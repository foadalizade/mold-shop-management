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4A9BEBF2-B704-4370-B307-47A8EB8DB5AB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شهریور!$A$1:$AU$452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53" i="19" l="1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<sst xmlns="http://schemas.openxmlformats.org/spreadsheetml/2006/main" count="53328" uniqueCount="2128">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</sst>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93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zoomScaleNormal="100" workbookViewId="0">
      <pane ySplit="1" topLeftCell="A674" activePane="bottomLeft" state="frozen"/>
      <selection pane="bottomLeft" activeCell="A681" sqref="A68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 filterMode="1">
    <tabColor theme="9" tint="0.39997558519241921"/>
    <pageSetUpPr fitToPage="1"/>
  </sheetPr>
  <dimension ref="A1:AU1048576"/>
  <sheetViews>
    <sheetView rightToLeft="1" topLeftCell="C1" zoomScaleNormal="100" workbookViewId="0">
      <pane ySplit="1" topLeftCell="A9" activePane="bottomLeft" state="frozen"/>
      <selection activeCell="D1" sqref="D1"/>
      <selection pane="bottomLeft" activeCell="B9" sqref="B9:R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hidden="1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hidden="1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hidden="1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hidden="1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hidden="1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hidden="1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hidden="1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hidden="1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hidden="1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hidden="1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hidden="1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hidden="1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hidden="1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hidden="1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hidden="1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hidden="1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hidden="1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hidden="1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hidden="1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hidden="1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hidden="1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hidden="1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hidden="1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hidden="1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hidden="1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hidden="1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hidden="1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hidden="1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hidden="1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hidden="1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hidden="1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hidden="1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hidden="1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hidden="1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hidden="1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hidden="1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hidden="1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hidden="1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hidden="1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hidden="1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hidden="1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hidden="1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hidden="1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hidden="1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hidden="1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hidden="1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hidden="1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hidden="1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hidden="1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hidden="1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hidden="1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hidden="1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hidden="1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hidden="1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hidden="1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hidden="1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hidden="1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hidden="1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hidden="1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hidden="1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hidden="1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hidden="1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hidden="1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hidden="1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hidden="1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hidden="1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hidden="1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hidden="1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hidden="1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hidden="1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hidden="1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hidden="1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hidden="1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hidden="1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hidden="1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hidden="1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hidden="1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hidden="1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hidden="1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hidden="1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hidden="1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hidden="1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hidden="1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hidden="1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hidden="1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hidden="1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hidden="1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hidden="1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hidden="1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hidden="1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hidden="1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hidden="1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hidden="1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hidden="1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hidden="1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hidden="1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hidden="1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hidden="1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hidden="1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hidden="1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hidden="1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hidden="1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hidden="1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hidden="1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hidden="1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hidden="1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hidden="1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hidden="1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hidden="1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hidden="1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hidden="1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hidden="1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hidden="1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hidden="1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hidden="1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hidden="1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hidden="1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hidden="1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hidden="1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hidden="1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hidden="1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hidden="1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hidden="1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hidden="1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hidden="1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hidden="1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hidden="1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hidden="1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hidden="1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hidden="1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hidden="1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hidden="1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hidden="1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hidden="1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hidden="1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hidden="1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hidden="1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hidden="1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hidden="1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hidden="1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hidden="1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hidden="1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hidden="1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hidden="1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hidden="1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hidden="1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hidden="1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hidden="1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hidden="1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hidden="1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hidden="1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hidden="1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hidden="1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hidden="1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hidden="1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hidden="1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hidden="1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hidden="1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hidden="1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hidden="1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hidden="1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hidden="1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hidden="1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hidden="1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hidden="1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hidden="1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hidden="1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hidden="1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hidden="1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hidden="1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hidden="1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hidden="1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hidden="1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hidden="1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hidden="1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hidden="1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hidden="1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hidden="1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hidden="1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hidden="1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hidden="1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hidden="1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hidden="1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hidden="1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hidden="1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hidden="1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hidden="1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hidden="1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hidden="1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hidden="1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hidden="1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hidden="1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hidden="1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hidden="1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hidden="1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hidden="1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hidden="1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hidden="1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hidden="1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hidden="1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hidden="1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hidden="1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hidden="1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hidden="1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hidden="1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hidden="1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hidden="1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hidden="1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hidden="1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hidden="1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hidden="1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hidden="1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hidden="1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hidden="1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hidden="1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hidden="1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hidden="1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hidden="1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hidden="1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hidden="1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hidden="1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hidden="1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hidden="1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hidden="1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hidden="1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hidden="1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hidden="1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hidden="1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hidden="1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hidden="1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hidden="1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hidden="1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hidden="1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hidden="1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hidden="1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hidden="1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hidden="1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hidden="1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hidden="1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hidden="1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hidden="1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hidden="1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hidden="1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hidden="1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hidden="1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hidden="1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hidden="1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hidden="1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hidden="1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hidden="1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hidden="1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hidden="1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hidden="1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hidden="1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hidden="1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hidden="1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hidden="1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hidden="1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hidden="1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hidden="1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hidden="1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hidden="1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hidden="1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hidden="1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hidden="1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hidden="1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hidden="1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hidden="1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hidden="1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hidden="1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hidden="1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hidden="1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hidden="1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hidden="1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hidden="1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hidden="1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hidden="1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hidden="1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hidden="1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hidden="1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hidden="1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hidden="1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hidden="1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hidden="1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hidden="1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hidden="1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hidden="1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hidden="1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hidden="1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hidden="1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hidden="1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hidden="1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hidden="1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hidden="1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hidden="1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hidden="1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hidden="1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hidden="1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hidden="1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hidden="1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hidden="1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hidden="1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hidden="1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hidden="1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hidden="1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hidden="1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hidden="1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hidden="1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hidden="1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hidden="1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hidden="1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hidden="1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hidden="1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hidden="1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hidden="1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hidden="1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hidden="1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hidden="1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hidden="1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hidden="1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hidden="1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hidden="1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hidden="1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hidden="1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hidden="1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hidden="1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hidden="1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hidden="1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hidden="1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hidden="1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hidden="1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hidden="1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hidden="1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hidden="1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hidden="1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hidden="1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hidden="1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hidden="1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hidden="1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hidden="1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hidden="1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hidden="1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hidden="1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hidden="1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hidden="1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hidden="1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hidden="1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hidden="1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hidden="1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hidden="1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hidden="1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hidden="1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hidden="1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hidden="1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hidden="1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hidden="1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hidden="1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hidden="1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hidden="1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hidden="1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hidden="1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hidden="1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hidden="1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hidden="1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hidden="1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hidden="1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hidden="1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hidden="1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hidden="1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hidden="1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hidden="1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hidden="1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hidden="1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hidden="1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hidden="1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hidden="1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hidden="1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hidden="1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hidden="1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hidden="1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hidden="1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hidden="1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hidden="1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hidden="1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hidden="1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hidden="1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hidden="1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hidden="1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hidden="1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hidden="1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hidden="1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hidden="1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hidden="1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hidden="1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hidden="1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hidden="1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hidden="1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hidden="1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hidden="1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hidden="1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hidden="1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hidden="1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hidden="1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hidden="1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hidden="1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hidden="1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hidden="1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hidden="1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hidden="1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hidden="1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hidden="1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hidden="1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hidden="1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hidden="1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hidden="1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hidden="1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hidden="1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hidden="1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hidden="1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hidden="1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hidden="1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hidden="1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hidden="1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hidden="1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hidden="1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hidden="1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hidden="1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hidden="1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hidden="1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hidden="1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hidden="1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hidden="1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hidden="1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hidden="1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hidden="1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hidden="1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hidden="1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hidden="1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hidden="1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hidden="1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hidden="1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hidden="1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hidden="1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hidden="1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hidden="1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hidden="1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hidden="1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hidden="1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hidden="1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hidden="1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hidden="1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hidden="1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hidden="1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hidden="1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hidden="1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hidden="1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hidden="1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hidden="1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hidden="1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hidden="1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hidden="1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hidden="1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hidden="1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hidden="1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hidden="1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hidden="1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hidden="1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hidden="1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hidden="1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hidden="1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hidden="1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hidden="1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hidden="1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hidden="1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hidden="1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hidden="1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hidden="1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hidden="1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hidden="1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hidden="1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hidden="1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hidden="1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hidden="1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hidden="1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hidden="1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hidden="1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hidden="1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hidden="1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hidden="1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hidden="1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hidden="1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hidden="1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hidden="1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hidden="1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hidden="1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hidden="1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hidden="1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hidden="1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hidden="1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hidden="1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hidden="1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hidden="1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hidden="1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hidden="1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hidden="1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hidden="1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hidden="1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hidden="1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hidden="1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hidden="1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hidden="1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hidden="1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hidden="1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hidden="1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hidden="1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hidden="1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hidden="1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hidden="1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hidden="1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hidden="1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hidden="1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hidden="1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hidden="1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hidden="1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hidden="1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hidden="1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hidden="1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hidden="1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hidden="1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hidden="1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hidden="1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hidden="1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hidden="1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hidden="1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hidden="1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hidden="1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hidden="1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hidden="1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hidden="1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hidden="1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hidden="1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hidden="1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hidden="1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hidden="1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hidden="1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hidden="1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hidden="1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hidden="1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hidden="1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hidden="1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hidden="1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hidden="1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hidden="1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hidden="1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hidden="1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hidden="1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hidden="1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hidden="1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hidden="1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hidden="1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hidden="1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hidden="1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hidden="1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hidden="1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hidden="1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hidden="1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hidden="1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hidden="1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hidden="1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hidden="1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hidden="1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hidden="1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hidden="1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hidden="1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hidden="1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hidden="1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hidden="1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hidden="1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hidden="1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hidden="1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hidden="1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hidden="1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hidden="1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hidden="1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hidden="1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hidden="1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hidden="1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hidden="1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hidden="1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hidden="1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hidden="1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hidden="1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hidden="1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hidden="1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hidden="1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hidden="1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hidden="1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hidden="1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hidden="1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hidden="1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hidden="1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hidden="1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hidden="1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hidden="1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hidden="1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hidden="1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hidden="1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hidden="1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hidden="1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hidden="1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hidden="1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hidden="1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hidden="1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hidden="1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hidden="1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hidden="1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hidden="1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hidden="1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hidden="1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hidden="1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hidden="1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hidden="1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hidden="1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hidden="1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hidden="1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hidden="1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hidden="1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hidden="1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hidden="1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hidden="1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hidden="1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hidden="1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hidden="1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hidden="1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hidden="1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hidden="1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hidden="1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hidden="1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hidden="1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hidden="1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hidden="1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hidden="1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hidden="1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hidden="1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hidden="1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hidden="1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hidden="1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hidden="1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hidden="1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hidden="1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hidden="1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hidden="1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hidden="1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hidden="1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hidden="1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hidden="1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hidden="1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hidden="1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hidden="1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hidden="1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hidden="1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hidden="1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hidden="1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hidden="1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hidden="1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hidden="1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hidden="1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hidden="1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hidden="1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hidden="1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hidden="1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hidden="1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hidden="1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hidden="1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hidden="1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hidden="1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hidden="1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hidden="1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hidden="1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hidden="1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hidden="1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hidden="1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hidden="1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hidden="1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hidden="1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hidden="1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hidden="1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hidden="1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hidden="1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hidden="1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hidden="1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hidden="1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hidden="1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hidden="1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hidden="1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hidden="1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hidden="1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hidden="1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hidden="1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hidden="1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hidden="1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hidden="1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hidden="1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hidden="1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hidden="1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hidden="1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hidden="1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hidden="1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hidden="1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hidden="1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hidden="1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hidden="1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hidden="1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hidden="1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hidden="1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hidden="1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hidden="1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hidden="1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hidden="1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hidden="1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hidden="1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hidden="1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hidden="1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hidden="1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hidden="1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hidden="1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hidden="1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hidden="1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hidden="1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hidden="1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hidden="1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hidden="1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hidden="1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hidden="1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hidden="1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hidden="1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hidden="1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hidden="1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hidden="1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hidden="1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hidden="1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hidden="1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hidden="1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hidden="1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hidden="1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hidden="1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hidden="1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hidden="1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hidden="1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hidden="1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hidden="1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hidden="1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hidden="1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hidden="1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hidden="1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hidden="1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hidden="1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hidden="1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hidden="1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hidden="1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hidden="1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hidden="1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hidden="1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hidden="1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hidden="1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hidden="1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hidden="1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hidden="1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hidden="1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hidden="1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hidden="1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hidden="1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>
    <filterColumn colId="1">
      <filters>
        <filter val="صفحات 50*50 پخت کلاچ"/>
      </filters>
    </filterColumn>
  </autoFilter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zoomScale="85" zoomScaleNormal="85" workbookViewId="0">
      <pane ySplit="1" topLeftCell="A4" activePane="bottomLeft" state="frozen"/>
      <selection activeCell="AH1" sqref="AH1"/>
      <selection pane="bottomLeft" activeCell="B1" sqref="B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topLeftCell="J1" zoomScale="85" zoomScaleNormal="85" workbookViewId="0">
      <pane ySplit="1" topLeftCell="A442" activePane="bottomLeft" state="frozen"/>
      <selection activeCell="Y1" sqref="Y1"/>
      <selection pane="bottomLeft" activeCell="AE454" sqref="AE454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53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2097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2097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2096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2095</v>
      </c>
      <c r="R403" s="73" t="s">
        <v>1810</v>
      </c>
      <c r="S403" s="3" t="s">
        <v>939</v>
      </c>
      <c r="AB403" s="2" t="s">
        <v>267</v>
      </c>
      <c r="AC403" s="3" t="s">
        <v>2096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2096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2096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2098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2099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2096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2096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2101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2100</v>
      </c>
      <c r="R408" s="3" t="s">
        <v>38</v>
      </c>
      <c r="S408" s="3" t="s">
        <v>939</v>
      </c>
      <c r="AB408" s="2" t="s">
        <v>267</v>
      </c>
      <c r="AC408" s="3" t="s">
        <v>2096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2096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2076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2081</v>
      </c>
      <c r="K410" s="73">
        <v>1</v>
      </c>
      <c r="N410" s="3" t="s">
        <v>38</v>
      </c>
      <c r="O410" s="129">
        <v>7604</v>
      </c>
      <c r="P410" s="2" t="s">
        <v>2082</v>
      </c>
      <c r="R410" s="73" t="s">
        <v>38</v>
      </c>
      <c r="AB410" s="2" t="s">
        <v>267</v>
      </c>
      <c r="AC410" s="3" t="s">
        <v>2096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2079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2081</v>
      </c>
      <c r="K411" s="73">
        <v>1</v>
      </c>
      <c r="N411" s="3" t="s">
        <v>38</v>
      </c>
      <c r="O411" s="129">
        <v>7604</v>
      </c>
      <c r="P411" s="2" t="s">
        <v>2085</v>
      </c>
      <c r="R411" s="73" t="s">
        <v>38</v>
      </c>
      <c r="AB411" s="2" t="s">
        <v>267</v>
      </c>
      <c r="AC411" s="3" t="s">
        <v>2096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2080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2081</v>
      </c>
      <c r="K412" s="73">
        <v>1</v>
      </c>
      <c r="N412" s="3" t="s">
        <v>38</v>
      </c>
      <c r="O412" s="129">
        <v>7604</v>
      </c>
      <c r="P412" s="2" t="s">
        <v>2080</v>
      </c>
      <c r="R412" s="73" t="s">
        <v>38</v>
      </c>
      <c r="AB412" s="2" t="s">
        <v>267</v>
      </c>
      <c r="AC412" s="3" t="s">
        <v>2096</v>
      </c>
      <c r="AD412" s="3" t="s">
        <v>108</v>
      </c>
      <c r="AE412" s="1">
        <v>360</v>
      </c>
      <c r="AF412" s="1">
        <f t="shared" ref="AF412:AF453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2096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2095</v>
      </c>
      <c r="R414" s="73" t="s">
        <v>36</v>
      </c>
      <c r="AB414" s="2" t="s">
        <v>267</v>
      </c>
      <c r="AC414" s="3" t="s">
        <v>2096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2109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2110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2102</v>
      </c>
      <c r="Q415" s="3" t="s">
        <v>2111</v>
      </c>
      <c r="R415" s="3" t="s">
        <v>79</v>
      </c>
      <c r="S415" s="3" t="s">
        <v>939</v>
      </c>
      <c r="AB415" s="2" t="s">
        <v>267</v>
      </c>
      <c r="AC415" s="3" t="s">
        <v>2096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2096</v>
      </c>
      <c r="AD416" s="3" t="s">
        <v>108</v>
      </c>
      <c r="AE416" s="1">
        <v>60</v>
      </c>
      <c r="AF416" s="1">
        <f t="shared" si="30"/>
        <v>1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2096</v>
      </c>
      <c r="AD417" s="3" t="s">
        <v>108</v>
      </c>
      <c r="AE417" s="1">
        <v>300</v>
      </c>
      <c r="AF417" s="1">
        <f t="shared" si="30"/>
        <v>5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2103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2104</v>
      </c>
      <c r="R418" s="3" t="s">
        <v>48</v>
      </c>
      <c r="S418" s="3" t="s">
        <v>939</v>
      </c>
      <c r="AB418" s="2" t="s">
        <v>267</v>
      </c>
      <c r="AC418" s="3" t="s">
        <v>2096</v>
      </c>
      <c r="AD418" s="3" t="s">
        <v>108</v>
      </c>
      <c r="AE418" s="1">
        <v>120</v>
      </c>
      <c r="AF418" s="1">
        <f t="shared" si="30"/>
        <v>2</v>
      </c>
    </row>
    <row r="419" spans="1:40" ht="30" x14ac:dyDescent="0.25">
      <c r="A419" s="3">
        <v>418</v>
      </c>
      <c r="B419" s="3" t="s">
        <v>2105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2106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2107</v>
      </c>
      <c r="S419" s="3" t="s">
        <v>939</v>
      </c>
      <c r="AB419" s="2" t="s">
        <v>267</v>
      </c>
      <c r="AC419" s="3" t="s">
        <v>2096</v>
      </c>
      <c r="AD419" s="3" t="s">
        <v>108</v>
      </c>
      <c r="AE419" s="1">
        <v>120</v>
      </c>
      <c r="AF419" s="1">
        <f t="shared" si="30"/>
        <v>2</v>
      </c>
    </row>
    <row r="420" spans="1:40" ht="30" x14ac:dyDescent="0.25">
      <c r="A420" s="3">
        <v>419</v>
      </c>
      <c r="B420" s="3" t="s">
        <v>2105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2106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2108</v>
      </c>
      <c r="AB420" s="2" t="s">
        <v>267</v>
      </c>
      <c r="AC420" s="3" t="s">
        <v>2096</v>
      </c>
      <c r="AD420" s="3" t="s">
        <v>108</v>
      </c>
      <c r="AE420" s="1">
        <v>360</v>
      </c>
      <c r="AF420" s="1">
        <f t="shared" si="30"/>
        <v>6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2112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2096</v>
      </c>
      <c r="AD421" s="3" t="s">
        <v>108</v>
      </c>
      <c r="AE421" s="1">
        <v>60</v>
      </c>
      <c r="AF421" s="1">
        <f t="shared" si="30"/>
        <v>1</v>
      </c>
      <c r="AN421" s="1" t="s">
        <v>2096</v>
      </c>
    </row>
    <row r="422" spans="1:40" ht="30" x14ac:dyDescent="0.25">
      <c r="A422" s="3">
        <v>421</v>
      </c>
      <c r="B422" s="3" t="s">
        <v>2113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2114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2096</v>
      </c>
      <c r="AD422" s="3" t="s">
        <v>108</v>
      </c>
      <c r="AE422" s="1">
        <v>30</v>
      </c>
      <c r="AF422" s="1">
        <f t="shared" si="30"/>
        <v>0.5</v>
      </c>
    </row>
    <row r="423" spans="1:40" ht="30" x14ac:dyDescent="0.25">
      <c r="A423" s="3">
        <v>422</v>
      </c>
      <c r="B423" s="3" t="s">
        <v>2113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2114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2096</v>
      </c>
      <c r="AD423" s="3" t="s">
        <v>108</v>
      </c>
      <c r="AE423" s="1">
        <v>30</v>
      </c>
      <c r="AF423" s="1">
        <f t="shared" si="30"/>
        <v>0.5</v>
      </c>
      <c r="AN423" s="1" t="s">
        <v>2096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2115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2116</v>
      </c>
      <c r="R424" s="3" t="s">
        <v>1812</v>
      </c>
      <c r="S424" s="3" t="s">
        <v>939</v>
      </c>
      <c r="AB424" s="2" t="s">
        <v>267</v>
      </c>
      <c r="AC424" s="3" t="s">
        <v>2096</v>
      </c>
      <c r="AD424" s="3" t="s">
        <v>108</v>
      </c>
      <c r="AE424" s="1">
        <v>120</v>
      </c>
      <c r="AF424" s="1">
        <f t="shared" si="30"/>
        <v>2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2096</v>
      </c>
      <c r="AD425" s="3" t="s">
        <v>108</v>
      </c>
      <c r="AE425" s="1">
        <v>120</v>
      </c>
      <c r="AF425" s="1">
        <f t="shared" si="30"/>
        <v>2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2096</v>
      </c>
      <c r="AD426" s="3" t="s">
        <v>108</v>
      </c>
      <c r="AE426" s="1">
        <v>300</v>
      </c>
      <c r="AF426" s="1">
        <f t="shared" si="30"/>
        <v>5</v>
      </c>
      <c r="AN426" s="1" t="s">
        <v>2096</v>
      </c>
    </row>
    <row r="427" spans="1:40" ht="45" x14ac:dyDescent="0.25">
      <c r="A427" s="3">
        <v>426</v>
      </c>
      <c r="B427" s="3" t="s">
        <v>2117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2118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  <c r="AB427" s="2" t="s">
        <v>267</v>
      </c>
      <c r="AC427" s="3" t="s">
        <v>2096</v>
      </c>
      <c r="AD427" s="3" t="s">
        <v>108</v>
      </c>
      <c r="AE427" s="1">
        <v>240</v>
      </c>
      <c r="AF427" s="1">
        <f t="shared" si="30"/>
        <v>4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2096</v>
      </c>
      <c r="AD428" s="3" t="s">
        <v>108</v>
      </c>
      <c r="AE428" s="1">
        <v>180</v>
      </c>
      <c r="AF428" s="1">
        <f t="shared" si="30"/>
        <v>3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2096</v>
      </c>
      <c r="AD429" s="3" t="s">
        <v>108</v>
      </c>
      <c r="AE429" s="1">
        <v>60</v>
      </c>
      <c r="AF429" s="1">
        <f t="shared" si="30"/>
        <v>1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2096</v>
      </c>
      <c r="AD430" s="3" t="s">
        <v>108</v>
      </c>
      <c r="AE430" s="1">
        <v>180</v>
      </c>
      <c r="AF430" s="1">
        <f t="shared" si="30"/>
        <v>3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2096</v>
      </c>
      <c r="AD431" s="3" t="s">
        <v>108</v>
      </c>
      <c r="AE431" s="1">
        <v>180</v>
      </c>
      <c r="AF431" s="1">
        <f t="shared" si="30"/>
        <v>3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2096</v>
      </c>
      <c r="AD432" s="3" t="s">
        <v>108</v>
      </c>
      <c r="AE432" s="1">
        <v>120</v>
      </c>
      <c r="AF432" s="1">
        <f t="shared" si="30"/>
        <v>2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2096</v>
      </c>
      <c r="AD433" s="3" t="s">
        <v>108</v>
      </c>
      <c r="AE433" s="1">
        <v>180</v>
      </c>
      <c r="AF433" s="1">
        <f t="shared" si="30"/>
        <v>3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2074</v>
      </c>
      <c r="AD434" s="3" t="s">
        <v>108</v>
      </c>
      <c r="AE434" s="1">
        <v>60</v>
      </c>
      <c r="AF434" s="1">
        <f t="shared" si="30"/>
        <v>1</v>
      </c>
    </row>
    <row r="435" spans="1:40" ht="45" x14ac:dyDescent="0.25">
      <c r="A435" s="3">
        <v>434</v>
      </c>
      <c r="B435" s="3" t="s">
        <v>2117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2118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2074</v>
      </c>
      <c r="AD435" s="3" t="s">
        <v>108</v>
      </c>
      <c r="AE435" s="1">
        <v>60</v>
      </c>
      <c r="AF435" s="1">
        <f t="shared" si="30"/>
        <v>1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2074</v>
      </c>
      <c r="AD436" s="3" t="s">
        <v>108</v>
      </c>
      <c r="AE436" s="1">
        <v>60</v>
      </c>
      <c r="AF436" s="1">
        <f t="shared" si="30"/>
        <v>1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2074</v>
      </c>
      <c r="AD437" s="3" t="s">
        <v>108</v>
      </c>
      <c r="AE437" s="1">
        <v>120</v>
      </c>
      <c r="AF437" s="1">
        <f t="shared" si="30"/>
        <v>2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2074</v>
      </c>
      <c r="AD438" s="3" t="s">
        <v>108</v>
      </c>
      <c r="AE438" s="1">
        <v>120</v>
      </c>
      <c r="AF438" s="1">
        <f t="shared" si="30"/>
        <v>2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2096</v>
      </c>
      <c r="AD439" s="3" t="s">
        <v>108</v>
      </c>
      <c r="AE439" s="1">
        <v>120</v>
      </c>
      <c r="AF439" s="1">
        <f t="shared" si="30"/>
        <v>2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2096</v>
      </c>
      <c r="AD440" s="3" t="s">
        <v>108</v>
      </c>
      <c r="AE440" s="1">
        <v>180</v>
      </c>
      <c r="AF440" s="1">
        <f t="shared" si="30"/>
        <v>3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2096</v>
      </c>
      <c r="AD441" s="3" t="s">
        <v>108</v>
      </c>
      <c r="AE441" s="1">
        <v>60</v>
      </c>
      <c r="AF441" s="1">
        <f t="shared" si="30"/>
        <v>1</v>
      </c>
      <c r="AN441" s="1" t="s">
        <v>2119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2120</v>
      </c>
      <c r="AD442" s="3" t="s">
        <v>108</v>
      </c>
      <c r="AE442" s="1">
        <v>660</v>
      </c>
      <c r="AF442" s="1">
        <f t="shared" si="30"/>
        <v>11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2120</v>
      </c>
      <c r="AD443" s="3" t="s">
        <v>108</v>
      </c>
      <c r="AE443" s="1">
        <v>480</v>
      </c>
      <c r="AF443" s="1">
        <f t="shared" si="30"/>
        <v>8</v>
      </c>
    </row>
    <row r="444" spans="1:40" ht="30" x14ac:dyDescent="0.25">
      <c r="A444" s="3">
        <v>443</v>
      </c>
      <c r="B444" s="3" t="s">
        <v>2076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2081</v>
      </c>
      <c r="K444" s="73">
        <v>1</v>
      </c>
      <c r="N444" s="9" t="s">
        <v>48</v>
      </c>
      <c r="O444" s="129">
        <v>7501</v>
      </c>
      <c r="P444" s="2" t="s">
        <v>2082</v>
      </c>
      <c r="R444" s="3" t="s">
        <v>48</v>
      </c>
      <c r="AB444" s="2" t="s">
        <v>267</v>
      </c>
      <c r="AC444" s="3" t="s">
        <v>2120</v>
      </c>
      <c r="AD444" s="3" t="s">
        <v>108</v>
      </c>
      <c r="AE444" s="1">
        <v>180</v>
      </c>
      <c r="AF444" s="1">
        <f t="shared" si="30"/>
        <v>3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2121</v>
      </c>
      <c r="S445" s="73" t="s">
        <v>941</v>
      </c>
      <c r="AB445" s="2" t="s">
        <v>267</v>
      </c>
      <c r="AC445" s="3" t="s">
        <v>2120</v>
      </c>
      <c r="AD445" s="3" t="s">
        <v>108</v>
      </c>
      <c r="AE445" s="1">
        <v>120</v>
      </c>
      <c r="AF445" s="1">
        <f t="shared" si="30"/>
        <v>2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2120</v>
      </c>
      <c r="AD446" s="3" t="s">
        <v>108</v>
      </c>
      <c r="AE446" s="1">
        <v>120</v>
      </c>
      <c r="AF446" s="1">
        <f t="shared" si="30"/>
        <v>2</v>
      </c>
    </row>
    <row r="447" spans="1:40" ht="30" x14ac:dyDescent="0.25">
      <c r="A447" s="3">
        <v>446</v>
      </c>
      <c r="B447" s="3" t="s">
        <v>2098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2099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2120</v>
      </c>
      <c r="AD447" s="3" t="s">
        <v>108</v>
      </c>
      <c r="AE447" s="1">
        <v>240</v>
      </c>
      <c r="AF447" s="1">
        <f t="shared" si="30"/>
        <v>4</v>
      </c>
      <c r="AN447" s="1" t="s">
        <v>2120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2120</v>
      </c>
      <c r="AD448" s="3" t="s">
        <v>108</v>
      </c>
      <c r="AE448" s="1">
        <v>120</v>
      </c>
      <c r="AF448" s="1">
        <f t="shared" si="30"/>
        <v>2</v>
      </c>
      <c r="AN448" s="1" t="s">
        <v>2120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2120</v>
      </c>
      <c r="AD449" s="3" t="s">
        <v>108</v>
      </c>
      <c r="AE449" s="1">
        <v>60</v>
      </c>
      <c r="AF449" s="1">
        <f t="shared" si="30"/>
        <v>1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2119</v>
      </c>
      <c r="AD450" s="3" t="s">
        <v>108</v>
      </c>
      <c r="AE450" s="1">
        <v>240</v>
      </c>
      <c r="AF450" s="1">
        <f t="shared" si="30"/>
        <v>4</v>
      </c>
    </row>
    <row r="451" spans="1:40" ht="30" x14ac:dyDescent="0.25">
      <c r="A451" s="3">
        <v>450</v>
      </c>
      <c r="B451" s="3" t="s">
        <v>2122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2123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2119</v>
      </c>
      <c r="AD451" s="3" t="s">
        <v>108</v>
      </c>
      <c r="AE451" s="1">
        <v>180</v>
      </c>
      <c r="AF451" s="1">
        <f t="shared" si="30"/>
        <v>3</v>
      </c>
      <c r="AN451" s="1" t="s">
        <v>2124</v>
      </c>
    </row>
    <row r="452" spans="1:40" ht="30" x14ac:dyDescent="0.25">
      <c r="A452" s="3">
        <v>451</v>
      </c>
      <c r="B452" s="3" t="s">
        <v>2125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2126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2119</v>
      </c>
      <c r="AD452" s="3" t="s">
        <v>108</v>
      </c>
      <c r="AE452" s="1">
        <v>30</v>
      </c>
      <c r="AF452" s="1">
        <f t="shared" si="30"/>
        <v>0.5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2127</v>
      </c>
      <c r="R453" s="3" t="s">
        <v>1812</v>
      </c>
      <c r="S453" s="3" t="s">
        <v>939</v>
      </c>
      <c r="AB453" s="2" t="s">
        <v>267</v>
      </c>
      <c r="AC453" s="3" t="s">
        <v>2119</v>
      </c>
      <c r="AD453" s="3" t="s">
        <v>108</v>
      </c>
      <c r="AE453" s="1">
        <v>210</v>
      </c>
      <c r="AF453" s="1">
        <f t="shared" si="30"/>
        <v>3.5</v>
      </c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52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16" zoomScale="70" zoomScaleNormal="70" workbookViewId="0">
      <selection activeCell="R27" sqref="R27:X27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18000000</v>
      </c>
      <c r="S26" s="80">
        <f>SUMIFS(شهریور!$AQ$2:$AQ$800,شهریور!$C$2:$C$800,"* نو",شهریور!$AC$2:$AC$800,S18)</f>
        <v>12000000</v>
      </c>
      <c r="T26" s="80">
        <f>SUMIFS(شهریور!$AQ$2:$AQ$800,شهریور!$C$2:$C$800,"* نو",شهریور!$AC$2:$AC$800,T18)</f>
        <v>16500000</v>
      </c>
      <c r="U26" s="80">
        <f>SUMIFS(شهریور!$AQ$2:$AQ$800,شهریور!$C$2:$C$800,"* نو",شهریور!$AC$2:$AC$800,U18)</f>
        <v>20250000</v>
      </c>
      <c r="V26" s="80">
        <f>SUMIFS(شهریور!$AQ$2:$AQ$800,شهریور!$C$2:$C$800,"* نو",شهریور!$AC$2:$AC$800,V18)</f>
        <v>18000000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84750000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7500000</v>
      </c>
      <c r="S27" s="80">
        <f>SUMIFS(شهریور!$AQ$2:$AQ$800,شهریور!$C$2:$C$800,"* تعمیری",شهریور!$AC$2:$AC$800,S18)</f>
        <v>12000000</v>
      </c>
      <c r="T27" s="80">
        <f>SUMIFS(شهریور!$AQ$2:$AQ$800,شهریور!$C$2:$C$800,"* تعمیری",شهریور!$AC$2:$AC$800,T18)</f>
        <v>11250000</v>
      </c>
      <c r="U27" s="80">
        <f>SUMIFS(شهریور!$AQ$2:$AQ$800,شهریور!$C$2:$C$800,"* تعمیری",شهریور!$AC$2:$AC$800,U18)</f>
        <v>11250000</v>
      </c>
      <c r="V27" s="80">
        <f>SUMIFS(شهریور!$AQ$2:$AQ$800,شهریور!$C$2:$C$800,"* تعمیری",شهریور!$AC$2:$AC$800,V18)</f>
        <v>8250000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50250000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25500000</v>
      </c>
      <c r="S29" s="107">
        <f t="shared" ref="S29:X29" si="4">SUM(S26:S27)</f>
        <v>24000000</v>
      </c>
      <c r="T29" s="107">
        <f t="shared" si="4"/>
        <v>27750000</v>
      </c>
      <c r="U29" s="107">
        <f t="shared" si="4"/>
        <v>31500000</v>
      </c>
      <c r="V29" s="107">
        <f t="shared" si="4"/>
        <v>26250000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2026-09-21T08:07:53Z</dcterms:modified>
</cp:coreProperties>
</file>