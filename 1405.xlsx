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66F26BC0-692A-4C6A-B7CB-7425EF5C990C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شهریور!$A$1:$AU$401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02" i="19" l="1"/>
  <c r="AF401" i="19"/>
  <c r="AF400" i="19"/>
  <c r="AF399" i="19"/>
  <c r="AF398" i="19"/>
  <c r="AF397" i="19"/>
  <c r="AF396" i="19"/>
  <c r="AF395" i="19"/>
  <c r="AF394" i="19"/>
  <c r="AF393" i="19"/>
  <c r="AF392" i="19"/>
  <c r="AF391" i="19"/>
  <c r="AF390" i="19"/>
  <c r="AF389" i="19"/>
  <c r="AF388" i="19"/>
  <c r="AF387" i="19"/>
  <c r="AF386" i="19"/>
  <c r="AF385" i="19"/>
  <c r="AF384" i="19"/>
  <c r="AF383" i="19"/>
  <c r="AF382" i="19"/>
  <c r="AF381" i="19"/>
  <c r="AF380" i="19"/>
  <c r="AF379" i="19"/>
  <c r="AF378" i="19"/>
  <c r="AH372" i="19"/>
  <c r="AH373" i="19"/>
  <c r="AH374" i="19"/>
  <c r="AH375" i="19"/>
  <c r="AH376" i="19"/>
  <c r="AH377" i="19"/>
  <c r="AF377" i="19"/>
  <c r="AF376" i="19"/>
  <c r="AF375" i="19"/>
  <c r="AF374" i="19"/>
  <c r="AF373" i="19"/>
  <c r="AF372" i="19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S27" i="26" l="1"/>
  <c r="T27" i="26"/>
  <c r="U27" i="26"/>
  <c r="V27" i="26"/>
  <c r="W27" i="26"/>
  <c r="X27" i="26"/>
  <c r="S26" i="26"/>
  <c r="T26" i="26"/>
  <c r="U26" i="26"/>
  <c r="V26" i="26"/>
  <c r="W26" i="26"/>
  <c r="X26" i="26"/>
  <c r="X20" i="26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R155" i="19" s="1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R8" i="26" s="1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R266" i="19" s="1"/>
  <c r="AF267" i="19"/>
  <c r="AF268" i="19"/>
  <c r="AF269" i="19"/>
  <c r="AR269" i="19" s="1"/>
  <c r="AF270" i="19"/>
  <c r="AR270" i="19" s="1"/>
  <c r="AF271" i="19"/>
  <c r="AF272" i="19"/>
  <c r="AR272" i="19" s="1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R294" i="19" s="1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R302" i="19" s="1"/>
  <c r="AF303" i="19"/>
  <c r="AR303" i="19" s="1"/>
  <c r="AF304" i="19"/>
  <c r="AR304" i="19" s="1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R315" i="19" s="1"/>
  <c r="AF316" i="19"/>
  <c r="AR316" i="19" s="1"/>
  <c r="AF317" i="19"/>
  <c r="AR317" i="19" s="1"/>
  <c r="AF318" i="19"/>
  <c r="AR318" i="19" s="1"/>
  <c r="AF319" i="19"/>
  <c r="AF320" i="19"/>
  <c r="AR320" i="19" s="1"/>
  <c r="AF321" i="19"/>
  <c r="AR321" i="19" s="1"/>
  <c r="AF322" i="19"/>
  <c r="AR322" i="19" s="1"/>
  <c r="AF323" i="19"/>
  <c r="AR323" i="19" s="1"/>
  <c r="AF324" i="19"/>
  <c r="AF325" i="19"/>
  <c r="AR325" i="19" s="1"/>
  <c r="AF326" i="19"/>
  <c r="AR326" i="19" s="1"/>
  <c r="AF327" i="19"/>
  <c r="AR327" i="19" s="1"/>
  <c r="AF328" i="19"/>
  <c r="AF329" i="19"/>
  <c r="AR329" i="19" s="1"/>
  <c r="AF330" i="19"/>
  <c r="AR330" i="19" s="1"/>
  <c r="AF331" i="19"/>
  <c r="AR331" i="19" s="1"/>
  <c r="AF332" i="19"/>
  <c r="AR332" i="19" s="1"/>
  <c r="AF333" i="19"/>
  <c r="AF334" i="19"/>
  <c r="AF335" i="19"/>
  <c r="AR335" i="19" s="1"/>
  <c r="AF336" i="19"/>
  <c r="AF337" i="19"/>
  <c r="AR337" i="19" s="1"/>
  <c r="AF338" i="19"/>
  <c r="AR338" i="19" s="1"/>
  <c r="AF339" i="19"/>
  <c r="AR339" i="19" s="1"/>
  <c r="AF340" i="19"/>
  <c r="AR340" i="19" s="1"/>
  <c r="AF341" i="19"/>
  <c r="AR341" i="19" s="1"/>
  <c r="AF342" i="19"/>
  <c r="AF343" i="19"/>
  <c r="AF344" i="19"/>
  <c r="AF345" i="19"/>
  <c r="AR345" i="19" s="1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R354" i="19" s="1"/>
  <c r="AF355" i="19"/>
  <c r="AF356" i="19"/>
  <c r="AF357" i="19"/>
  <c r="AR357" i="19" s="1"/>
  <c r="AF358" i="19"/>
  <c r="AF359" i="19"/>
  <c r="AR359" i="19" s="1"/>
  <c r="AF360" i="19"/>
  <c r="AR360" i="19" s="1"/>
  <c r="AF361" i="19"/>
  <c r="AR361" i="19" s="1"/>
  <c r="AF362" i="19"/>
  <c r="AF363" i="19"/>
  <c r="AR363" i="19" s="1"/>
  <c r="AF364" i="19"/>
  <c r="AF365" i="19"/>
  <c r="AR365" i="19" s="1"/>
  <c r="AF366" i="19"/>
  <c r="AF367" i="19"/>
  <c r="AF368" i="19"/>
  <c r="AF369" i="19"/>
  <c r="AF370" i="19"/>
  <c r="AF371" i="19"/>
  <c r="AF3" i="19"/>
  <c r="AF4" i="19"/>
  <c r="AF5" i="19"/>
  <c r="AF2" i="19"/>
  <c r="A2" i="19" a="1"/>
  <c r="A2" i="19" s="1"/>
  <c r="AR285" i="19" l="1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R27" i="26" l="1"/>
  <c r="R26" i="26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R599" i="18" s="1"/>
  <c r="AF600" i="18"/>
  <c r="AF601" i="18"/>
  <c r="AR601" i="18" s="1"/>
  <c r="AF602" i="18"/>
  <c r="AF603" i="18"/>
  <c r="AR603" i="18" s="1"/>
  <c r="AF604" i="18"/>
  <c r="AR604" i="18" s="1"/>
  <c r="AF605" i="18"/>
  <c r="AF606" i="18"/>
  <c r="AR606" i="18" s="1"/>
  <c r="AF607" i="18"/>
  <c r="AF608" i="18"/>
  <c r="AR608" i="18" s="1"/>
  <c r="AF609" i="18"/>
  <c r="AR609" i="18" s="1"/>
  <c r="AF610" i="18"/>
  <c r="AR610" i="18" s="1"/>
  <c r="AF611" i="18"/>
  <c r="AR611" i="18" s="1"/>
  <c r="AF612" i="18"/>
  <c r="AR612" i="18" s="1"/>
  <c r="AF613" i="18"/>
  <c r="AR613" i="18" s="1"/>
  <c r="AF614" i="18"/>
  <c r="AR614" i="18" s="1"/>
  <c r="AF615" i="18"/>
  <c r="AF616" i="18"/>
  <c r="AF617" i="18"/>
  <c r="AR617" i="18" s="1"/>
  <c r="AF618" i="18"/>
  <c r="AR618" i="18" s="1"/>
  <c r="AF619" i="18"/>
  <c r="AR619" i="18" s="1"/>
  <c r="AF620" i="18"/>
  <c r="AF621" i="18"/>
  <c r="AF622" i="18"/>
  <c r="AR622" i="18" s="1"/>
  <c r="AF623" i="18"/>
  <c r="AR623" i="18" s="1"/>
  <c r="AF624" i="18"/>
  <c r="AF625" i="18"/>
  <c r="AR625" i="18" s="1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565" i="18" l="1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<sst xmlns="http://schemas.openxmlformats.org/spreadsheetml/2006/main" count="52561" uniqueCount="2095">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</sst>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zoomScale="85" zoomScaleNormal="85" workbookViewId="0">
      <pane ySplit="1" topLeftCell="A57" activePane="bottomLeft" state="frozen"/>
      <selection activeCell="AH1" sqref="AH1"/>
      <selection pane="bottomLeft" activeCell="B1" sqref="B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391" activePane="bottomLeft" state="frozen"/>
      <selection activeCell="Y1" sqref="Y1"/>
      <selection pane="bottomLeft" activeCell="AE402" sqref="AE402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01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46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46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02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5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</row>
    <row r="369" spans="1:41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</row>
    <row r="370" spans="1:41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</row>
    <row r="371" spans="1:41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</row>
    <row r="372" spans="1:41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</row>
    <row r="373" spans="1:41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</row>
    <row r="374" spans="1:41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</row>
    <row r="375" spans="1:41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</row>
    <row r="376" spans="1:41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</row>
    <row r="377" spans="1:41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</row>
    <row r="378" spans="1:41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</row>
    <row r="379" spans="1:41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</row>
    <row r="380" spans="1:41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</row>
    <row r="381" spans="1:41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</row>
    <row r="382" spans="1:41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</row>
    <row r="383" spans="1:41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</row>
    <row r="384" spans="1:41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</row>
    <row r="385" spans="1:32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</row>
    <row r="386" spans="1:32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</row>
    <row r="387" spans="1:32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</row>
    <row r="388" spans="1:32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</row>
    <row r="389" spans="1:32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</row>
    <row r="390" spans="1:32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</row>
    <row r="391" spans="1:32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</row>
    <row r="392" spans="1:32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</row>
    <row r="393" spans="1:32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</row>
    <row r="394" spans="1:32" ht="30" x14ac:dyDescent="0.25">
      <c r="A394" s="3">
        <v>393</v>
      </c>
      <c r="B394" s="9" t="s">
        <v>2000</v>
      </c>
      <c r="C394" s="9" t="s">
        <v>27</v>
      </c>
      <c r="D394" s="3" t="s">
        <v>40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</row>
    <row r="395" spans="1:32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</row>
    <row r="396" spans="1:32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</row>
    <row r="397" spans="1:32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</row>
    <row r="398" spans="1:32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</row>
    <row r="399" spans="1:32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</row>
    <row r="400" spans="1:32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</row>
    <row r="401" spans="1:32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</row>
    <row r="402" spans="1:32" x14ac:dyDescent="0.25">
      <c r="D402" s="73"/>
      <c r="E402" s="73"/>
      <c r="F402" s="73"/>
      <c r="G402" s="73"/>
      <c r="H402" s="73"/>
      <c r="I402" s="73"/>
      <c r="K402" s="73"/>
      <c r="AF402" s="1">
        <f t="shared" si="25"/>
        <v>0</v>
      </c>
    </row>
    <row r="403" spans="1:32" x14ac:dyDescent="0.25">
      <c r="F403" s="19"/>
    </row>
    <row r="404" spans="1:32" x14ac:dyDescent="0.25">
      <c r="F404" s="19"/>
    </row>
    <row r="405" spans="1:32" x14ac:dyDescent="0.25">
      <c r="F405" s="19"/>
    </row>
    <row r="406" spans="1:32" x14ac:dyDescent="0.25">
      <c r="F406" s="19"/>
    </row>
    <row r="407" spans="1:32" x14ac:dyDescent="0.25">
      <c r="F407" s="19"/>
    </row>
    <row r="408" spans="1:32" x14ac:dyDescent="0.25">
      <c r="F408" s="19"/>
    </row>
    <row r="409" spans="1:32" x14ac:dyDescent="0.25">
      <c r="F409" s="19"/>
    </row>
    <row r="410" spans="1:32" x14ac:dyDescent="0.25">
      <c r="F410" s="19"/>
    </row>
    <row r="411" spans="1:32" x14ac:dyDescent="0.25">
      <c r="F411" s="19"/>
    </row>
    <row r="412" spans="1:32" x14ac:dyDescent="0.25">
      <c r="F412" s="19"/>
    </row>
    <row r="413" spans="1:32" x14ac:dyDescent="0.25">
      <c r="F413" s="19"/>
    </row>
    <row r="414" spans="1:32" x14ac:dyDescent="0.25">
      <c r="F414" s="19"/>
    </row>
    <row r="415" spans="1:32" x14ac:dyDescent="0.25">
      <c r="F415" s="19"/>
    </row>
    <row r="416" spans="1:32" x14ac:dyDescent="0.25">
      <c r="F416" s="19"/>
    </row>
    <row r="417" spans="3:6" x14ac:dyDescent="0.25">
      <c r="F417" s="19"/>
    </row>
    <row r="418" spans="3:6" x14ac:dyDescent="0.25">
      <c r="F418" s="19"/>
    </row>
    <row r="419" spans="3:6" x14ac:dyDescent="0.25">
      <c r="F419" s="19"/>
    </row>
    <row r="420" spans="3:6" x14ac:dyDescent="0.25">
      <c r="F420" s="19"/>
    </row>
    <row r="421" spans="3:6" x14ac:dyDescent="0.25">
      <c r="F421" s="19"/>
    </row>
    <row r="422" spans="3:6" x14ac:dyDescent="0.25">
      <c r="C422" s="4"/>
      <c r="F422" s="19"/>
    </row>
    <row r="423" spans="3:6" x14ac:dyDescent="0.25">
      <c r="F423" s="19"/>
    </row>
    <row r="424" spans="3:6" x14ac:dyDescent="0.25">
      <c r="F424" s="19"/>
    </row>
    <row r="425" spans="3:6" x14ac:dyDescent="0.25">
      <c r="F425" s="19"/>
    </row>
    <row r="426" spans="3:6" x14ac:dyDescent="0.25">
      <c r="F426" s="19"/>
    </row>
    <row r="427" spans="3:6" x14ac:dyDescent="0.25">
      <c r="F427" s="19"/>
    </row>
    <row r="428" spans="3:6" x14ac:dyDescent="0.25">
      <c r="F428" s="19"/>
    </row>
    <row r="429" spans="3:6" x14ac:dyDescent="0.25">
      <c r="F429" s="19"/>
    </row>
    <row r="430" spans="3:6" x14ac:dyDescent="0.25">
      <c r="F430" s="19"/>
    </row>
    <row r="431" spans="3:6" x14ac:dyDescent="0.25">
      <c r="F431" s="19"/>
    </row>
    <row r="432" spans="3:6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01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22" zoomScale="70" zoomScaleNormal="70" workbookViewId="0">
      <selection activeCell="L26" sqref="L26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374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0</v>
      </c>
      <c r="R7" s="80">
        <f>SUMIFS(شهریور!$AF$2:$AF$800,شهریور!$B$2:$B$800,$J$7,شهریور!$C$2:$C$800,$J$8,شهریور!$N$2:$N$800,$K$7)</f>
        <v>0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0</v>
      </c>
      <c r="Z7" s="80">
        <v>1500000</v>
      </c>
      <c r="AA7" s="89">
        <f>Y7*Z7</f>
        <v>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0</v>
      </c>
      <c r="Q8" s="80">
        <f>SUMIFS(مرداد!AF3:AF801,مرداد!B3:B801,$J$7,مرداد!C3:C801,$J$8,مرداد!N3:N801,Total!K8)</f>
        <v>0</v>
      </c>
      <c r="R8" s="80">
        <f>SUMIFS(شهریور!$AF$2:$AF$800,شهریور!$B$2:$B$800,$J$7,شهریور!$C$2:$C$800,$J$8,شهریور!$N$2:$N$800,K8)</f>
        <v>8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8</v>
      </c>
      <c r="Z8" s="80">
        <v>750000</v>
      </c>
      <c r="AA8" s="89">
        <f t="shared" ref="AA8:AA15" si="1">Y8*Z8</f>
        <v>6000000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0</v>
      </c>
      <c r="Q9" s="80">
        <f>SUMIFS(مرداد!AF4:AF802,مرداد!B4:B802,$J$7,مرداد!C4:C802,$J$8,مرداد!N4:N802,Total!K9)</f>
        <v>10.5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10.5</v>
      </c>
      <c r="Z9" s="80">
        <v>750000</v>
      </c>
      <c r="AA9" s="89">
        <f t="shared" si="1"/>
        <v>7875000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1.5</v>
      </c>
      <c r="O10" s="80">
        <f>SUMIFS(خرداد!AF5:AF803,خرداد!B5:B803,$J$7,خرداد!C5:C803,$J$8,خرداد!N5:N803,K10,خرداد!$H$2:$H$800,"*")</f>
        <v>2</v>
      </c>
      <c r="P10" s="80">
        <f>SUMIFS(تیر!AF5:AF803,تیر!B5:B803,$J$7,تیر!C5:C803,$J$8,تیر!N5:N803,K10)</f>
        <v>3</v>
      </c>
      <c r="Q10" s="80">
        <f>SUMIFS(مرداد!AF5:AF803,مرداد!B5:B803,$J$7,مرداد!C5:C803,$J$8,مرداد!N5:N803,Total!K10)</f>
        <v>20</v>
      </c>
      <c r="R10" s="80">
        <f>SUMIFS(شهریور!$AF$2:$AF$800,شهریور!$B$2:$B$800,$J$7,شهریور!$C$2:$C$800,$J$8,شهریور!$N$2:$N$800,K10)</f>
        <v>32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58.5</v>
      </c>
      <c r="Z10" s="80">
        <v>750000</v>
      </c>
      <c r="AA10" s="89">
        <f t="shared" si="1"/>
        <v>43875000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3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0.5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3.5</v>
      </c>
      <c r="Z12" s="80">
        <v>750000</v>
      </c>
      <c r="AA12" s="89">
        <f t="shared" si="1"/>
        <v>2625000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12.833333333333332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12.833333333333332</v>
      </c>
      <c r="Z13" s="80">
        <v>750000</v>
      </c>
      <c r="AA13" s="89">
        <f t="shared" si="1"/>
        <v>9625000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2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2</v>
      </c>
      <c r="Z15" s="80">
        <v>750000</v>
      </c>
      <c r="AA15" s="89">
        <f t="shared" si="1"/>
        <v>1500000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1.5</v>
      </c>
      <c r="O16" s="81">
        <f>SUM(O7:O15)</f>
        <v>14.833333333333332</v>
      </c>
      <c r="P16" s="81">
        <f>SUM(P7:P15)</f>
        <v>8</v>
      </c>
      <c r="Q16" s="81">
        <f>SUM(Q7:Q15)</f>
        <v>30.5</v>
      </c>
      <c r="R16" s="81">
        <f>R7+R8+R9+R10+R11+R12+R13+R15</f>
        <v>40.5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95.333333333333329</v>
      </c>
      <c r="Z16" s="80"/>
      <c r="AA16" s="89">
        <f>SUM(AA7:AA13)</f>
        <v>70000000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SUMIFS(مرداد!$AQ$2:$AQ$800,مرداد!$C$2:$C$800,"* نو",مرداد!$AC$2:$AC$800,R18)</f>
        <v>0</v>
      </c>
      <c r="S26" s="80">
        <f>SUMIFS(مرداد!$AQ$2:$AQ$800,مرداد!$C$2:$C$800,"* نو",مرداد!$AC$2:$AC$800,S18)</f>
        <v>0</v>
      </c>
      <c r="T26" s="80">
        <f>SUMIFS(مرداد!$AQ$2:$AQ$800,مرداد!$C$2:$C$800,"* نو",مرداد!$AC$2:$AC$800,T18)</f>
        <v>0</v>
      </c>
      <c r="U26" s="80">
        <f>SUMIFS(مرداد!$AQ$2:$AQ$800,مرداد!$C$2:$C$800,"* نو",مرداد!$AC$2:$AC$800,U18)</f>
        <v>0</v>
      </c>
      <c r="V26" s="80">
        <f>SUMIFS(مرداد!$AQ$2:$AQ$800,مرداد!$C$2:$C$800,"* نو",مرداد!$AC$2:$AC$800,V18)</f>
        <v>0</v>
      </c>
      <c r="W26" s="80">
        <f>SUMIFS(مرداد!$AQ$2:$AQ$800,مرداد!$C$2:$C$800,"* نو",مرداد!$AC$2:$AC$800,W18)</f>
        <v>0</v>
      </c>
      <c r="X26" s="80">
        <f>SUMIFS(مرداد!$AQ$2:$AQ$800,مرداد!$C$2:$C$800,"* نو",مرداد!$AC$2:$AC$800,X18)</f>
        <v>0</v>
      </c>
      <c r="Y26" s="80">
        <f>SUM(R26:X26)</f>
        <v>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SUMIFS(مرداد!$AQ$2:$AQ$800,مرداد!$C$2:$C$800,"* تعمیری",مرداد!$AC$2:$AC$800,R18)</f>
        <v>0</v>
      </c>
      <c r="S27" s="80">
        <f>SUMIFS(مرداد!$AQ$2:$AQ$800,مرداد!$C$2:$C$800,"* تعمیری",مرداد!$AC$2:$AC$800,S18)</f>
        <v>0</v>
      </c>
      <c r="T27" s="80">
        <f>SUMIFS(مرداد!$AQ$2:$AQ$800,مرداد!$C$2:$C$800,"* تعمیری",مرداد!$AC$2:$AC$800,T18)</f>
        <v>0</v>
      </c>
      <c r="U27" s="80">
        <f>SUMIFS(مرداد!$AQ$2:$AQ$800,مرداد!$C$2:$C$800,"* تعمیری",مرداد!$AC$2:$AC$800,U18)</f>
        <v>0</v>
      </c>
      <c r="V27" s="80">
        <f>SUMIFS(مرداد!$AQ$2:$AQ$800,مرداد!$C$2:$C$800,"* تعمیری",مرداد!$AC$2:$AC$800,V18)</f>
        <v>0</v>
      </c>
      <c r="W27" s="80">
        <f>SUMIFS(مرداد!$AQ$2:$AQ$800,مرداد!$C$2:$C$800,"* تعمیری",مرداد!$AC$2:$AC$800,W18)</f>
        <v>0</v>
      </c>
      <c r="X27" s="80">
        <f>SUMIFS(مرداد!$AQ$2:$AQ$800,مرداد!$C$2:$C$800,"* تعمیری",مرداد!$AC$2:$AC$800,X18)</f>
        <v>0</v>
      </c>
      <c r="Y27" s="80">
        <f>SUM(R27:X27)</f>
        <v>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41" t="s">
        <v>1369</v>
      </c>
      <c r="Q29" s="142"/>
      <c r="R29" s="107">
        <f>SUM(R26:R27)</f>
        <v>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39" t="s">
        <v>1368</v>
      </c>
      <c r="Q30" s="140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4"/>
      <c r="AA34" s="135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P29:Q29"/>
    <mergeCell ref="I34:I36"/>
    <mergeCell ref="I37:I40"/>
    <mergeCell ref="Z34:AA34"/>
    <mergeCell ref="I41:I43"/>
    <mergeCell ref="I45:I46"/>
    <mergeCell ref="I47:I51"/>
    <mergeCell ref="P30:Q30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2026-09-14T14:22:34Z</dcterms:modified>
</cp:coreProperties>
</file>