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349A8405-CA64-4E47-AD85-3E9DFD8C2C48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شهریور!$A$1:$AU$441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41" i="19" l="1"/>
  <c r="AF440" i="19"/>
  <c r="AF439" i="19"/>
  <c r="AF438" i="19"/>
  <c r="AF437" i="19"/>
  <c r="AF436" i="19"/>
  <c r="AF435" i="19"/>
  <c r="AF434" i="19"/>
  <c r="AF433" i="19"/>
  <c r="AF432" i="19"/>
  <c r="AF431" i="19"/>
  <c r="AF430" i="19"/>
  <c r="AF429" i="19"/>
  <c r="AF428" i="19"/>
  <c r="AF427" i="19"/>
  <c r="AF426" i="19"/>
  <c r="AF425" i="19"/>
  <c r="AF424" i="19"/>
  <c r="AF423" i="19"/>
  <c r="AF422" i="19"/>
  <c r="AF421" i="19"/>
  <c r="AF420" i="19"/>
  <c r="AF419" i="19"/>
  <c r="AF418" i="19"/>
  <c r="AF417" i="19"/>
  <c r="AF416" i="19"/>
  <c r="AF415" i="19"/>
  <c r="AF414" i="19"/>
  <c r="AF411" i="19"/>
  <c r="AF412" i="19"/>
  <c r="AF413" i="19"/>
  <c r="AF410" i="19"/>
  <c r="AF409" i="19"/>
  <c r="AF408" i="19"/>
  <c r="AF407" i="19"/>
  <c r="AF406" i="19"/>
  <c r="AF405" i="19"/>
  <c r="AF404" i="19"/>
  <c r="AF403" i="19"/>
  <c r="S27" i="26" l="1"/>
  <c r="T27" i="26"/>
  <c r="U27" i="26"/>
  <c r="V27" i="26"/>
  <c r="W27" i="26"/>
  <c r="X27" i="26"/>
  <c r="R27" i="26"/>
  <c r="S26" i="26"/>
  <c r="T26" i="26"/>
  <c r="U26" i="26"/>
  <c r="V26" i="26"/>
  <c r="W26" i="26"/>
  <c r="X26" i="26"/>
  <c r="R26" i="26"/>
  <c r="AF402" i="19" l="1"/>
  <c r="AF401" i="19"/>
  <c r="AR401" i="19" s="1"/>
  <c r="AF400" i="19"/>
  <c r="AR400" i="19" s="1"/>
  <c r="AF399" i="19"/>
  <c r="AR399" i="19" s="1"/>
  <c r="AF398" i="19"/>
  <c r="AR398" i="19" s="1"/>
  <c r="AF397" i="19"/>
  <c r="AR397" i="19" s="1"/>
  <c r="AF396" i="19"/>
  <c r="AR396" i="19" s="1"/>
  <c r="AF395" i="19"/>
  <c r="AR395" i="19" s="1"/>
  <c r="AF394" i="19"/>
  <c r="AR394" i="19" s="1"/>
  <c r="AF393" i="19"/>
  <c r="AR393" i="19" s="1"/>
  <c r="AF392" i="19"/>
  <c r="AR392" i="19" s="1"/>
  <c r="AF391" i="19"/>
  <c r="AR391" i="19" s="1"/>
  <c r="AF390" i="19"/>
  <c r="AR390" i="19" s="1"/>
  <c r="AF389" i="19"/>
  <c r="AR389" i="19" s="1"/>
  <c r="AF388" i="19"/>
  <c r="AR388" i="19" s="1"/>
  <c r="AF387" i="19"/>
  <c r="AR387" i="19" s="1"/>
  <c r="AF386" i="19"/>
  <c r="AR386" i="19" s="1"/>
  <c r="AF385" i="19"/>
  <c r="AR385" i="19" s="1"/>
  <c r="AF384" i="19"/>
  <c r="AR384" i="19" s="1"/>
  <c r="AF383" i="19"/>
  <c r="AR383" i="19" s="1"/>
  <c r="AF382" i="19"/>
  <c r="AR382" i="19" s="1"/>
  <c r="AF381" i="19"/>
  <c r="AR381" i="19" s="1"/>
  <c r="AF380" i="19"/>
  <c r="AR380" i="19" s="1"/>
  <c r="AF379" i="19"/>
  <c r="AR379" i="19" s="1"/>
  <c r="AF378" i="19"/>
  <c r="AR378" i="19" s="1"/>
  <c r="AH372" i="19"/>
  <c r="AH373" i="19"/>
  <c r="AH374" i="19"/>
  <c r="AH375" i="19"/>
  <c r="AH376" i="19"/>
  <c r="AH377" i="19"/>
  <c r="AF377" i="19"/>
  <c r="AR377" i="19" s="1"/>
  <c r="AF376" i="19"/>
  <c r="AR376" i="19" s="1"/>
  <c r="AF375" i="19"/>
  <c r="AR375" i="19" s="1"/>
  <c r="AF374" i="19"/>
  <c r="AR374" i="19" s="1"/>
  <c r="AF373" i="19"/>
  <c r="AR373" i="19" s="1"/>
  <c r="AF372" i="19"/>
  <c r="AR372" i="19" s="1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X20" i="26" l="1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F267" i="19"/>
  <c r="AF268" i="19"/>
  <c r="AF269" i="19"/>
  <c r="AF270" i="19"/>
  <c r="AR270" i="19" s="1"/>
  <c r="AF271" i="19"/>
  <c r="AF272" i="19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F303" i="19"/>
  <c r="AR303" i="19" s="1"/>
  <c r="AF304" i="19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F316" i="19"/>
  <c r="AR316" i="19" s="1"/>
  <c r="AF317" i="19"/>
  <c r="AF318" i="19"/>
  <c r="AR318" i="19" s="1"/>
  <c r="AF319" i="19"/>
  <c r="AF320" i="19"/>
  <c r="AF321" i="19"/>
  <c r="AR321" i="19" s="1"/>
  <c r="AF322" i="19"/>
  <c r="AR322" i="19" s="1"/>
  <c r="AF323" i="19"/>
  <c r="AR323" i="19" s="1"/>
  <c r="AF324" i="19"/>
  <c r="AF325" i="19"/>
  <c r="AF326" i="19"/>
  <c r="AF327" i="19"/>
  <c r="AF328" i="19"/>
  <c r="AF329" i="19"/>
  <c r="AR329" i="19" s="1"/>
  <c r="AF330" i="19"/>
  <c r="AF331" i="19"/>
  <c r="AR331" i="19" s="1"/>
  <c r="AF332" i="19"/>
  <c r="AR332" i="19" s="1"/>
  <c r="AF333" i="19"/>
  <c r="AF334" i="19"/>
  <c r="AF335" i="19"/>
  <c r="AF336" i="19"/>
  <c r="AF337" i="19"/>
  <c r="AF338" i="19"/>
  <c r="AR338" i="19" s="1"/>
  <c r="AF339" i="19"/>
  <c r="AF340" i="19"/>
  <c r="AR340" i="19" s="1"/>
  <c r="AF341" i="19"/>
  <c r="AR341" i="19" s="1"/>
  <c r="AF342" i="19"/>
  <c r="AF343" i="19"/>
  <c r="AF344" i="19"/>
  <c r="AF345" i="19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F355" i="19"/>
  <c r="AF356" i="19"/>
  <c r="AF357" i="19"/>
  <c r="AR357" i="19" s="1"/>
  <c r="AF358" i="19"/>
  <c r="AF359" i="19"/>
  <c r="AF360" i="19"/>
  <c r="AR360" i="19" s="1"/>
  <c r="AF361" i="19"/>
  <c r="AR361" i="19" s="1"/>
  <c r="AF362" i="19"/>
  <c r="AF363" i="19"/>
  <c r="AF364" i="19"/>
  <c r="AF365" i="19"/>
  <c r="AR365" i="19" s="1"/>
  <c r="AF366" i="19"/>
  <c r="AR366" i="19" s="1"/>
  <c r="AF367" i="19"/>
  <c r="AR367" i="19" s="1"/>
  <c r="AF368" i="19"/>
  <c r="AR368" i="19" s="1"/>
  <c r="AF369" i="19"/>
  <c r="AR369" i="19" s="1"/>
  <c r="AF370" i="19"/>
  <c r="AR370" i="19" s="1"/>
  <c r="AF371" i="19"/>
  <c r="AR371" i="19" s="1"/>
  <c r="AF3" i="19"/>
  <c r="AF4" i="19"/>
  <c r="AF5" i="19"/>
  <c r="AF2" i="19"/>
  <c r="A2" i="19" a="1"/>
  <c r="A2" i="19" s="1"/>
  <c r="AR339" i="19" l="1"/>
  <c r="AR335" i="19"/>
  <c r="AR327" i="19"/>
  <c r="AR315" i="19"/>
  <c r="AR155" i="19"/>
  <c r="AR363" i="19"/>
  <c r="AR359" i="19"/>
  <c r="AR330" i="19"/>
  <c r="AR326" i="19"/>
  <c r="AR302" i="19"/>
  <c r="AR294" i="19"/>
  <c r="AR266" i="19"/>
  <c r="AR325" i="19"/>
  <c r="AR317" i="19"/>
  <c r="AR269" i="19"/>
  <c r="AR354" i="19"/>
  <c r="AR345" i="19"/>
  <c r="AR337" i="19"/>
  <c r="AR320" i="19"/>
  <c r="AR304" i="19"/>
  <c r="AR272" i="19"/>
  <c r="R8" i="26"/>
  <c r="AR285" i="19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F600" i="18"/>
  <c r="AF601" i="18"/>
  <c r="AF602" i="18"/>
  <c r="AF603" i="18"/>
  <c r="AF604" i="18"/>
  <c r="AR604" i="18" s="1"/>
  <c r="AF605" i="18"/>
  <c r="AF606" i="18"/>
  <c r="AF607" i="18"/>
  <c r="AF608" i="18"/>
  <c r="AR608" i="18" s="1"/>
  <c r="AF609" i="18"/>
  <c r="AF610" i="18"/>
  <c r="AR610" i="18" s="1"/>
  <c r="AF611" i="18"/>
  <c r="AR611" i="18" s="1"/>
  <c r="AF612" i="18"/>
  <c r="AR612" i="18" s="1"/>
  <c r="AF613" i="18"/>
  <c r="AF614" i="18"/>
  <c r="AF615" i="18"/>
  <c r="AF616" i="18"/>
  <c r="AF617" i="18"/>
  <c r="AR617" i="18" s="1"/>
  <c r="AF618" i="18"/>
  <c r="AF619" i="18"/>
  <c r="AR619" i="18" s="1"/>
  <c r="AF620" i="18"/>
  <c r="AF621" i="18"/>
  <c r="AF622" i="18"/>
  <c r="AF623" i="18"/>
  <c r="AF624" i="18"/>
  <c r="AF625" i="18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625" i="18" l="1"/>
  <c r="AR613" i="18"/>
  <c r="AR609" i="18"/>
  <c r="AR601" i="18"/>
  <c r="AR603" i="18"/>
  <c r="AR599" i="18"/>
  <c r="AR623" i="18"/>
  <c r="AR622" i="18"/>
  <c r="AR618" i="18"/>
  <c r="AR614" i="18"/>
  <c r="AR606" i="18"/>
  <c r="AR565" i="18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<sst xmlns="http://schemas.openxmlformats.org/spreadsheetml/2006/main" count="53146" uniqueCount="2120">
  <si>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</si>
  <si>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</si>
  <si>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</si>
  <si>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</si>
  <si>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</si>
  <si>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</si>
  <si>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</si>
  <si>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</si>
  <si>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</si>
  <si>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</si>
  <si>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</si>
  <si>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</si>
  <si>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</si>
  <si>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</si>
  <si>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</si>
  <si>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</si>
  <si>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</si>
  <si>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</si>
  <si>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</si>
  <si>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</si>
  <si>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</si>
  <si>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</si>
  <si>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</si>
  <si>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</si>
  <si>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</si>
  <si>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</si>
  <si>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</si>
  <si>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</si>
  <si>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</si>
  <si>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</si>
  <si>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</si>
  <si>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</si>
  <si>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</si>
  <si>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</si>
  <si>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</si>
  <si>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</si>
  <si>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</si>
  <si>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</si>
  <si>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</si>
  <si>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</si>
  <si>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</si>
  <si>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</si>
  <si>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</si>
  <si>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</si>
  <si>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</si>
  <si>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</si>
  <si>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</si>
  <si>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</si>
  <si>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</si>
  <si>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</si>
  <si>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</si>
  <si>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</si>
  <si>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</si>
  <si>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</si>
  <si>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</si>
  <si>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</si>
  <si>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</si>
  <si>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</si>
  <si>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</si>
  <si>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</si>
  <si>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</si>
  <si>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</si>
  <si>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</si>
  <si>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</si>
  <si>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</si>
  <si>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</si>
  <si>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</si>
  <si>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</si>
  <si>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</si>
  <si>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</si>
  <si>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</si>
  <si>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</si>
  <si>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</si>
  <si>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</si>
  <si>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</si>
  <si>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</si>
  <si>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</si>
  <si>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</si>
  <si>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</si>
  <si>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</si>
  <si>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</si>
  <si>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</si>
  <si>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</si>
  <si>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</si>
  <si>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</si>
  <si>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</si>
  <si>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</si>
  <si>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</si>
  <si>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</si>
  <si>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</si>
  <si>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</si>
  <si>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</si>
  <si>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</si>
  <si>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</si>
  <si>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</si>
  <si>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</si>
  <si>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</si>
  <si>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</si>
  <si>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</si>
  <si>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</si>
  <si>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</si>
  <si>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</si>
  <si>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</si>
  <si>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</si>
  <si>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</si>
  <si>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</si>
  <si>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</si>
  <si>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</si>
  <si>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</si>
  <si>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</si>
  <si>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</si>
  <si>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</si>
  <si>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</si>
  <si>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</si>
  <si>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</si>
  <si>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</si>
  <si>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</si>
  <si>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</si>
  <si>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</si>
  <si>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</si>
  <si>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</si>
  <si>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</si>
  <si>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</si>
  <si>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</si>
  <si>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</si>
  <si>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</si>
  <si>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</si>
  <si>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</si>
  <si>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</si>
  <si>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</si>
  <si>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</si>
  <si>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</si>
  <si>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</si>
  <si>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</si>
  <si>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</si>
  <si>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</si>
  <si>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</si>
  <si>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</si>
  <si>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</si>
  <si>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</si>
  <si>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</si>
  <si>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</si>
  <si>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</si>
  <si>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</si>
  <si>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</si>
  <si>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</si>
  <si>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</si>
  <si>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</si>
  <si>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</si>
  <si>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</si>
  <si>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</si>
  <si>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</si>
  <si>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</si>
  <si>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</si>
  <si>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</si>
  <si>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</si>
  <si>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</si>
  <si>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</si>
  <si>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</si>
  <si>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</si>
  <si>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</si>
  <si>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</si>
  <si>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</si>
  <si>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</si>
  <si>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</si>
  <si>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</si>
  <si>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</si>
  <si>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</si>
  <si>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</si>
  <si>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</si>
  <si>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</si>
  <si>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</si>
  <si>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</si>
  <si>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</si>
  <si>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</si>
  <si>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</si>
  <si>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</si>
  <si>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</si>
  <si>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</si>
  <si>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</si>
  <si>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</si>
  <si>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</si>
  <si>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</si>
  <si>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</si>
  <si>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</si>
  <si>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</si>
  <si>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</si>
  <si>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</si>
  <si>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</si>
  <si>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</si>
  <si>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</si>
  <si>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</si>
  <si>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</si>
  <si>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</si>
  <si>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</si>
  <si>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</si>
  <si>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</si>
  <si>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</si>
  <si>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</si>
  <si>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</si>
  <si>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</si>
  <si>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</si>
  <si>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</si>
  <si>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</si>
  <si>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</si>
  <si>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</si>
  <si>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</si>
  <si>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</si>
  <si>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</si>
  <si>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</si>
  <si>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</si>
  <si>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</si>
  <si>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</si>
  <si>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</si>
  <si>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</si>
  <si>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</si>
  <si>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</si>
  <si>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</si>
  <si>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</si>
  <si>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</si>
  <si>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</si>
  <si>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</si>
  <si>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</si>
  <si>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</si>
  <si>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</si>
  <si>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</si>
  <si>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</si>
  <si>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</si>
  <si>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</si>
  <si>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</si>
  <si>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</si>
  <si>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</si>
  <si>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</si>
  <si>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</si>
  <si>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</si>
  <si>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</si>
  <si>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</si>
  <si>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</si>
  <si>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</si>
  <si>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</si>
  <si>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</si>
  <si>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</si>
  <si>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</si>
  <si>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</si>
  <si>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</si>
  <si>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</si>
  <si>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</si>
  <si>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</si>
  <si>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</si>
  <si>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</si>
  <si>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</si>
  <si>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</si>
  <si>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</si>
  <si>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</si>
  <si>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</si>
  <si>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</si>
  <si>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</si>
  <si>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</si>
  <si>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</si>
  <si>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</si>
  <si>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</si>
  <si>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</si>
  <si>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</si>
  <si>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</si>
  <si>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</si>
  <si>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</si>
  <si>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</si>
  <si>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</si>
  <si>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</si>
  <si>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</si>
  <si>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</si>
  <si>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</si>
  <si>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</si>
  <si>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</si>
  <si>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</si>
  <si>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</si>
  <si>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</si>
  <si>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</si>
  <si>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</si>
  <si>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</si>
  <si>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</si>
  <si>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</si>
  <si>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</si>
  <si>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</si>
  <si>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</si>
  <si>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</si>
  <si>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</si>
  <si>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</si>
  <si>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</si>
  <si>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</si>
  <si>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</si>
  <si>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</si>
  <si>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</si>
  <si>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</si>
  <si>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</si>
  <si>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</si>
  <si>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</si>
  <si>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</si>
  <si>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</si>
  <si>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</si>
  <si>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</si>
  <si>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</si>
  <si>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</si>
  <si>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</si>
  <si>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</si>
  <si>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</si>
  <si>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</si>
  <si>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</si>
  <si>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</si>
  <si>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</si>
  <si>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</si>
  <si>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</si>
  <si>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</si>
  <si>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</si>
  <si>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</si>
  <si>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</si>
  <si>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</si>
  <si>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</si>
  <si>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</si>
  <si>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</si>
  <si>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</si>
  <si>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</si>
  <si>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</si>
  <si>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</si>
  <si>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</si>
  <si>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</si>
  <si>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</si>
  <si>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</si>
  <si>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</si>
  <si>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</si>
  <si>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</si>
  <si>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</si>
  <si>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</si>
  <si>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</si>
  <si>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</si>
  <si>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</si>
  <si>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</si>
  <si>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</si>
  <si>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</si>
  <si>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</si>
  <si>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</si>
  <si>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</si>
  <si>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</si>
  <si>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</si>
  <si>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</si>
  <si>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</si>
  <si>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</si>
  <si>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</si>
  <si>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</si>
  <si>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</si>
  <si>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</si>
  <si>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</si>
  <si>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</si>
  <si>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</si>
  <si>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</si>
  <si>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</si>
  <si>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</si>
  <si>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</si>
  <si>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</si>
  <si>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</si>
  <si>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</si>
  <si>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</si>
  <si>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</si>
  <si>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</si>
  <si>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</si>
  <si>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</si>
  <si>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</si>
  <si>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</si>
  <si>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</si>
  <si>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</si>
  <si>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</si>
  <si>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</si>
  <si>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</si>
  <si>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</si>
  <si>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</si>
  <si>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</si>
  <si>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</si>
  <si>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</si>
  <si>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</si>
  <si>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</si>
  <si>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</si>
  <si>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</si>
  <si>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</si>
  <si>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</si>
  <si>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</si>
  <si>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</si>
  <si>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</si>
  <si>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</si>
  <si>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</si>
  <si>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</si>
  <si>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</si>
  <si>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</si>
  <si>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</si>
  <si>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</si>
  <si>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</si>
  <si>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</si>
  <si>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</si>
  <si>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</si>
  <si>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</si>
  <si>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</si>
  <si>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</si>
  <si>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</si>
  <si>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</si>
  <si>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</si>
  <si>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</si>
  <si>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</si>
  <si>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</si>
  <si>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</si>
  <si>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</si>
  <si>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</si>
  <si>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</si>
  <si>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</si>
  <si>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</si>
  <si>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</si>
  <si>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</si>
  <si>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</si>
  <si>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</si>
  <si>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</si>
  <si>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</si>
  <si>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</si>
  <si>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</si>
  <si>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</si>
  <si>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</si>
  <si>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</si>
  <si>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</si>
  <si>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</si>
  <si>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</si>
  <si>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</si>
  <si>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</si>
  <si>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</si>
  <si>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</si>
  <si>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</si>
  <si>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</si>
  <si>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</si>
  <si>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</si>
  <si>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</si>
  <si>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</si>
  <si>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</si>
  <si>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</si>
  <si>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</si>
  <si>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</si>
  <si>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</si>
  <si>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</si>
  <si>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</si>
  <si>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</si>
  <si>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</si>
  <si>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</si>
  <si>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</si>
  <si>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</si>
  <si>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</si>
  <si>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</si>
  <si>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</si>
  <si>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</si>
  <si>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</si>
  <si>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</si>
  <si>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</si>
  <si>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</si>
  <si>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</si>
  <si>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</si>
  <si>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</si>
  <si>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</si>
  <si>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</si>
  <si>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</si>
  <si>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</si>
  <si>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</si>
  <si>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</si>
  <si>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</si>
  <si>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</si>
  <si>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</si>
  <si>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</si>
  <si>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</si>
  <si>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</si>
  <si>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</si>
  <si>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</si>
  <si>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</si>
  <si>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</si>
  <si>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</si>
  <si>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</si>
  <si>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</si>
  <si>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</si>
  <si>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</si>
  <si>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</si>
  <si>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</si>
  <si>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</si>
  <si>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</si>
  <si>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</si>
  <si>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</si>
  <si>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</si>
  <si>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</si>
  <si>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</si>
  <si>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</si>
  <si>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</si>
  <si>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</si>
  <si>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</si>
  <si>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</si>
  <si>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</si>
  <si>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</si>
  <si>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</si>
  <si>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</si>
  <si>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</si>
  <si>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</si>
  <si>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</si>
  <si>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</si>
  <si>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</si>
  <si>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</si>
  <si>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</si>
  <si>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</si>
  <si>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</si>
  <si>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</si>
  <si>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</si>
  <si>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</si>
  <si>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</si>
  <si>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</si>
  <si>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</si>
  <si>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</si>
  <si>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</si>
  <si>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</si>
  <si>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</si>
  <si>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</si>
  <si>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</si>
  <si>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</si>
  <si>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</si>
  <si>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</si>
  <si>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</si>
  <si>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</si>
  <si>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</si>
  <si>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</si>
  <si>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</si>
  <si>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</si>
  <si>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</si>
  <si>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</si>
  <si>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</si>
  <si>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</si>
  <si>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</si>
  <si>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</si>
  <si>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</si>
  <si>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</si>
  <si>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</si>
  <si>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</si>
  <si>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</si>
  <si>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</si>
  <si>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</si>
  <si>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</si>
  <si>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</si>
  <si>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</si>
  <si>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</si>
  <si>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</si>
  <si>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</si>
  <si>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</si>
  <si>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</si>
  <si>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</si>
  <si>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</si>
  <si>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</si>
  <si>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</si>
  <si>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</si>
  <si>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</si>
  <si>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</si>
  <si>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</si>
  <si>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</si>
  <si>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</si>
  <si>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</si>
  <si>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</si>
  <si>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</si>
  <si>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</si>
  <si>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</si>
  <si>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</si>
  <si>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</si>
  <si>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</si>
  <si>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</si>
  <si>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</si>
  <si>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</si>
  <si>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</si>
  <si>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</si>
  <si>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</si>
  <si>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</si>
  <si>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</si>
  <si>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</si>
  <si>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</si>
  <si>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</si>
  <si>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</si>
  <si>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</si>
  <si>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</si>
  <si>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</si>
  <si>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</si>
  <si>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</si>
  <si>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</si>
  <si>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</si>
  <si>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</si>
  <si>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</si>
  <si>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</si>
  <si>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</si>
  <si>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</si>
  <si>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</si>
  <si>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</si>
  <si>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</si>
  <si>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</si>
  <si>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</si>
  <si>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</si>
  <si>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</si>
  <si>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</si>
  <si>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</si>
  <si>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</si>
  <si>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</si>
  <si>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</si>
  <si>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</si>
  <si>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</si>
  <si>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</si>
  <si>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</si>
  <si>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</si>
  <si>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</si>
  <si>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</si>
  <si>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</si>
  <si>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</si>
  <si>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</si>
  <si>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</si>
  <si>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</si>
  <si>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</si>
  <si>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</si>
  <si>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</si>
  <si>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</si>
  <si>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</si>
  <si>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</si>
  <si>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</si>
  <si>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</si>
  <si>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</si>
  <si>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</si>
  <si>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</si>
  <si>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</si>
  <si>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</si>
  <si>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</si>
  <si>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</si>
  <si>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</si>
  <si>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</si>
  <si>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</si>
  <si>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</si>
  <si>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</si>
  <si>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</si>
  <si>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</si>
  <si>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</si>
  <si>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</si>
  <si>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</si>
  <si>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</si>
  <si>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</si>
  <si>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</si>
  <si>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</si>
  <si>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</si>
  <si>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</si>
  <si>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</si>
  <si>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</si>
  <si>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</si>
  <si>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</si>
  <si>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</si>
  <si>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</si>
  <si>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</si>
  <si>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</si>
  <si>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</si>
  <si>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</si>
  <si>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</si>
  <si>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</si>
  <si>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</si>
  <si>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</si>
  <si>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</si>
  <si>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</si>
  <si>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</si>
  <si>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</si>
  <si>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</si>
  <si>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</si>
  <si>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</si>
  <si>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</si>
  <si>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</si>
  <si>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</si>
  <si>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</si>
  <si>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</si>
  <si>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</si>
  <si>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</si>
  <si>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</si>
  <si>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</si>
  <si>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</si>
  <si>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</si>
  <si>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</si>
  <si>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</si>
  <si>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</si>
  <si>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</si>
  <si>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</si>
  <si>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</si>
  <si>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</si>
  <si>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</si>
  <si>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</si>
  <si>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</si>
  <si>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</si>
  <si>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</si>
  <si>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</si>
  <si>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</si>
  <si>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</si>
  <si>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</si>
  <si>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</si>
  <si>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</si>
  <si>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</si>
  <si>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</si>
  <si>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</si>
  <si>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</si>
  <si>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</si>
  <si>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</si>
  <si>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</si>
  <si>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</si>
  <si>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</si>
  <si>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</si>
  <si>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</si>
  <si>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</si>
  <si>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</si>
  <si>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</si>
  <si>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</si>
  <si>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</si>
  <si>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</si>
  <si>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</si>
  <si>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</si>
  <si>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</si>
  <si>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</si>
  <si>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</si>
  <si>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</si>
  <si>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</si>
  <si>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</si>
  <si>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</si>
  <si>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</si>
  <si>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</si>
  <si>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</si>
  <si>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</si>
  <si>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</si>
  <si>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</si>
  <si>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</si>
  <si>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</si>
  <si>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</si>
  <si>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</si>
  <si>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</si>
  <si>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</si>
  <si>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</si>
  <si>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</si>
  <si>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</si>
  <si>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</si>
  <si>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</si>
  <si>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</si>
  <si>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</si>
  <si>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</si>
  <si>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</si>
  <si>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</si>
  <si>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</si>
  <si>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</si>
  <si>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</si>
  <si>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</si>
  <si>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</si>
  <si>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</si>
  <si>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</si>
  <si>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</si>
  <si>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</si>
  <si>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</si>
  <si>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</si>
  <si>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</si>
  <si>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</si>
  <si>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</si>
  <si>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</si>
  <si>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</si>
  <si>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</si>
  <si>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</si>
  <si>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</si>
  <si>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</si>
  <si>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</si>
  <si>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</si>
  <si>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</si>
  <si>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</si>
  <si>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</si>
  <si>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</si>
  <si>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</si>
  <si>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</si>
  <si>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</si>
  <si>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</si>
  <si>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</si>
  <si>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</si>
  <si>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</si>
  <si>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</si>
  <si>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</si>
  <si>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</si>
  <si>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</si>
  <si>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</si>
  <si>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</si>
  <si>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</si>
  <si>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</si>
  <si>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</si>
  <si>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</si>
  <si>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</si>
  <si>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</si>
  <si>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</si>
  <si>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</si>
  <si>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</si>
  <si>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</si>
  <si>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</si>
  <si>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</si>
  <si>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</si>
  <si>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</si>
  <si>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</si>
  <si>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</si>
  <si>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</si>
  <si>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</si>
  <si>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</si>
  <si>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</si>
  <si>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</si>
  <si>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</si>
  <si>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</si>
  <si>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</si>
  <si>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</si>
  <si>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</si>
  <si>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</si>
  <si>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</si>
  <si>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</si>
  <si>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</si>
  <si>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</si>
  <si>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</si>
  <si>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</si>
  <si>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</si>
  <si>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</si>
  <si>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</si>
  <si>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</si>
  <si>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</si>
  <si>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</si>
  <si>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</si>
  <si>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</si>
  <si>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</si>
  <si>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</si>
  <si>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</si>
  <si>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</si>
  <si>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</si>
  <si>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</si>
  <si>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</si>
  <si>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</si>
  <si>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</si>
  <si>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</si>
  <si>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</si>
  <si>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</si>
  <si>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</si>
  <si>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</si>
  <si>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</si>
  <si>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</si>
  <si>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</si>
  <si>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</si>
  <si>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</si>
  <si>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</si>
  <si>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</si>
  <si>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</si>
  <si>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</si>
  <si>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</si>
  <si>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</si>
  <si>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</si>
  <si>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</si>
  <si>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</si>
  <si>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</si>
  <si>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</si>
  <si>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</si>
  <si>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</si>
  <si>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</si>
  <si>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</si>
  <si>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</si>
  <si>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</si>
  <si>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</si>
  <si>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</si>
  <si>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</si>
  <si>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</si>
  <si>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</si>
  <si>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</si>
  <si>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</si>
  <si>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</si>
  <si>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</si>
  <si>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</si>
  <si>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</si>
  <si>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</si>
  <si>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</si>
  <si>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</si>
  <si>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</si>
  <si>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</si>
  <si>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</si>
  <si>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</si>
  <si>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</si>
  <si>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</si>
  <si>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</si>
  <si>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</si>
  <si>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</si>
  <si>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</si>
  <si>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</si>
  <si>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</si>
  <si>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</si>
  <si>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</si>
  <si>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</si>
  <si>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</si>
  <si>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</si>
  <si>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</si>
  <si>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</si>
  <si>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</si>
  <si>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</si>
  <si>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</si>
  <si>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</si>
  <si>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</si>
  <si>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</si>
  <si>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</si>
  <si>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</si>
  <si>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</si>
  <si>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</si>
  <si>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</si>
  <si>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</si>
  <si>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</si>
  <si>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</si>
  <si>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</si>
  <si>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</si>
  <si>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</si>
  <si>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</si>
  <si>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</si>
  <si>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</si>
  <si>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</si>
  <si>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</si>
  <si>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</si>
  <si>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</si>
  <si>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</si>
  <si>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</si>
  <si>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</si>
  <si>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</si>
  <si>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</si>
  <si>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</si>
  <si>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</si>
  <si>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</si>
  <si>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</si>
  <si>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</si>
  <si>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</si>
  <si>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</si>
  <si>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</si>
  <si>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</si>
  <si>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</si>
  <si>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</si>
  <si>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</si>
  <si>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</si>
  <si>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</si>
  <si>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</si>
  <si>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</si>
  <si>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</si>
  <si>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</si>
  <si>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</si>
  <si>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</si>
  <si>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</si>
  <si>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</si>
  <si>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</si>
  <si>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</si>
  <si>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</si>
  <si>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</si>
  <si>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</si>
  <si>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</si>
  <si>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</si>
  <si>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</si>
  <si>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</si>
  <si>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</si>
  <si>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</si>
  <si>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</si>
  <si>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</si>
  <si>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</si>
  <si>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</si>
  <si>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</si>
  <si>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</si>
  <si>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</si>
  <si>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</si>
  <si>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</si>
  <si>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</si>
  <si>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</si>
  <si>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</si>
  <si>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</si>
  <si>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</si>
  <si>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</si>
  <si>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</si>
  <si>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</si>
  <si>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</si>
  <si>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</si>
  <si>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</si>
  <si>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</si>
  <si>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</si>
  <si>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</si>
  <si>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</si>
  <si>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</si>
  <si>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</si>
  <si>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</si>
  <si>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</si>
  <si>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</si>
  <si>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</si>
  <si>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</si>
  <si>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</si>
  <si>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</si>
  <si>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</si>
  <si>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</si>
  <si>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</si>
  <si>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</si>
  <si>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</si>
  <si>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</si>
  <si>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</si>
  <si>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</si>
  <si>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</si>
  <si>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</si>
  <si>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</si>
  <si>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</si>
  <si>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</si>
  <si>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</si>
  <si>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</si>
  <si>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</si>
  <si>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</si>
  <si>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</si>
  <si>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</si>
  <si>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</si>
  <si>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</si>
  <si>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</si>
  <si>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</si>
  <si>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</si>
  <si>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</si>
  <si>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</si>
  <si>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</si>
  <si>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</si>
  <si>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</si>
  <si>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</si>
  <si>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</si>
  <si>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</si>
  <si>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</si>
  <si>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</si>
  <si>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</si>
  <si>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</si>
  <si>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</si>
  <si>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</si>
  <si>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</si>
  <si>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</si>
  <si>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</si>
  <si>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</si>
  <si>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</si>
  <si>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</si>
  <si>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</si>
  <si>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</si>
  <si>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</si>
  <si>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</si>
  <si>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</si>
  <si>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</si>
  <si>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</si>
  <si>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</si>
  <si>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</si>
  <si>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</si>
  <si>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</si>
  <si>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</si>
  <si>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</si>
  <si>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</si>
  <si>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</si>
  <si>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</si>
  <si>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</si>
  <si>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</si>
  <si>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</si>
  <si>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</si>
  <si>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</si>
  <si>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</si>
  <si>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</si>
  <si>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</si>
  <si>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</si>
  <si>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</si>
  <si>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</si>
  <si>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</si>
  <si>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</si>
  <si>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</si>
  <si>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</si>
  <si>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</si>
  <si>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</si>
  <si>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</si>
  <si>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</si>
  <si>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</si>
  <si>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</si>
  <si>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</si>
  <si>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</si>
  <si>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</si>
  <si>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</si>
  <si>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</si>
  <si>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</si>
  <si>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</si>
  <si>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</si>
  <si>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</si>
  <si>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</si>
  <si>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</si>
  <si>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</si>
  <si>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</si>
  <si>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</si>
  <si>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</si>
  <si>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</si>
  <si>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</si>
  <si>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</si>
  <si>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</si>
  <si>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</si>
  <si>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</si>
  <si>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</si>
  <si>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</si>
  <si>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</si>
  <si>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</si>
  <si>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</si>
  <si>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</si>
  <si>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</si>
  <si>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</si>
  <si>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</si>
  <si>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</si>
  <si>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</si>
  <si>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</si>
  <si>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</si>
  <si>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</si>
  <si>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</si>
  <si>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</si>
  <si>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</si>
  <si>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</si>
  <si>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</si>
  <si>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</si>
  <si>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</si>
  <si>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</si>
  <si>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</si>
  <si>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</si>
  <si>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</si>
  <si>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</si>
  <si>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</si>
  <si>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</si>
  <si>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</si>
  <si>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</si>
  <si>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</si>
  <si>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</si>
  <si>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</si>
  <si>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</si>
  <si>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</si>
  <si>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</si>
  <si>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</si>
  <si>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</si>
  <si>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</si>
  <si>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</si>
  <si>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</si>
  <si>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</si>
  <si>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</si>
  <si>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</si>
  <si>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</si>
  <si>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</si>
  <si>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</si>
  <si>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</si>
  <si>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</si>
  <si>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</si>
  <si>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</si>
  <si>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</si>
  <si>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</si>
  <si>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</si>
  <si>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</si>
  <si>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</si>
  <si>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</si>
  <si>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</si>
  <si>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</si>
  <si>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</si>
  <si>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</si>
  <si>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</si>
  <si>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</si>
  <si>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</si>
  <si>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</si>
  <si>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</si>
  <si>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</si>
  <si>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</si>
  <si>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</si>
  <si>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</si>
  <si>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</si>
  <si>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</si>
  <si>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</si>
  <si>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</si>
  <si>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</si>
  <si>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</si>
  <si>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</si>
  <si>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</si>
  <si>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</si>
  <si>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</si>
  <si>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</si>
  <si>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</si>
  <si>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</si>
  <si>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</si>
  <si>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</si>
  <si>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</si>
  <si>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</si>
  <si>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</si>
  <si>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</si>
  <si>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</si>
  <si>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</si>
  <si>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</si>
  <si>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</si>
  <si>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</si>
  <si>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</si>
  <si>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</si>
  <si>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</si>
  <si>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</si>
  <si>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</si>
  <si>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</si>
  <si>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</si>
  <si>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</si>
  <si>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</si>
  <si>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</si>
  <si>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</si>
  <si>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</si>
  <si>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</si>
  <si>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</si>
  <si>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</si>
  <si>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</si>
  <si>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</si>
  <si>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</si>
  <si>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</si>
  <si>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</si>
  <si>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</si>
  <si>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</si>
  <si>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</si>
  <si>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</si>
  <si>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</si>
  <si>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</si>
  <si>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</si>
  <si>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</si>
  <si>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</si>
  <si>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</si>
  <si>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</si>
  <si>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</si>
  <si>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</si>
  <si>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</si>
  <si>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</si>
  <si>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</si>
  <si>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</si>
  <si>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</si>
  <si>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</si>
  <si>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</si>
  <si>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</si>
  <si>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</si>
  <si>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</si>
  <si>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</si>
  <si>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</si>
  <si>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</si>
  <si>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</si>
  <si>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</si>
  <si>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</si>
  <si>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</si>
  <si>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</si>
  <si>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</si>
  <si>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</si>
  <si>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</si>
  <si>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</si>
  <si>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</si>
  <si>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</si>
  <si>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</si>
  <si>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</si>
  <si>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</si>
  <si>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</si>
  <si>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</si>
  <si>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</si>
  <si>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</si>
  <si>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</si>
  <si>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</si>
  <si>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</si>
  <si>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</si>
  <si>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</si>
  <si>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</si>
  <si>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</si>
  <si>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</si>
  <si>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</si>
  <si>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</si>
  <si>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</si>
  <si>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</si>
  <si>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</si>
  <si>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</si>
  <si>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</si>
  <si>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</si>
  <si>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</si>
  <si>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</si>
  <si>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</si>
  <si>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</si>
  <si>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</si>
  <si>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</si>
  <si>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</si>
  <si>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</si>
  <si>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</si>
  <si>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</si>
  <si>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</si>
  <si>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</si>
  <si>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</si>
  <si>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</si>
  <si>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</si>
  <si>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</si>
  <si>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</si>
  <si>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</si>
  <si>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</si>
  <si>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</si>
  <si>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</si>
  <si>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</si>
  <si>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</si>
  <si>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</si>
  <si>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</si>
  <si>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</si>
  <si>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</si>
  <si>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</si>
  <si>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</si>
  <si>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</si>
  <si>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</si>
  <si>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</si>
  <si>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</si>
  <si>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</si>
  <si>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</si>
  <si>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</si>
  <si>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</si>
  <si>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</si>
  <si>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</si>
  <si>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</si>
  <si>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</si>
  <si>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</si>
  <si>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</si>
  <si>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</si>
  <si>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</si>
  <si>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</si>
  <si>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</si>
  <si>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</si>
  <si>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</si>
  <si>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</si>
  <si>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</si>
  <si>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</si>
  <si>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</si>
  <si>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</si>
  <si>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</si>
  <si>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</si>
  <si>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</si>
  <si>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</si>
  <si>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</si>
  <si>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</si>
  <si>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</si>
  <si>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</si>
  <si>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</si>
  <si>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</si>
  <si>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</si>
  <si>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</si>
  <si>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</si>
  <si>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</si>
  <si>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</si>
  <si>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</si>
  <si>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</si>
  <si>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</si>
  <si>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</si>
  <si>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</si>
  <si>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</si>
  <si>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</si>
  <si>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</si>
  <si>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</si>
  <si>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</si>
  <si>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</si>
  <si>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</si>
  <si>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</si>
  <si>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</si>
  <si>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</si>
  <si>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</si>
  <si>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</si>
  <si>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</si>
  <si>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</si>
  <si>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</si>
  <si>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</si>
  <si>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</si>
  <si>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</si>
  <si>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</si>
  <si>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</si>
  <si>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</si>
  <si>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</si>
  <si>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</si>
  <si>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</si>
  <si>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</si>
  <si>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</si>
  <si>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</si>
  <si>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</si>
  <si>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</si>
  <si>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</si>
  <si>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</si>
  <si>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</si>
  <si>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</si>
  <si>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</si>
  <si>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</si>
  <si>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</si>
  <si>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</si>
  <si>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</si>
  <si>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</si>
  <si>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</si>
  <si>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</si>
  <si>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</si>
  <si>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</si>
  <si>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</si>
  <si>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</si>
  <si>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</si>
  <si>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</si>
  <si>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</si>
  <si>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</si>
  <si>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</si>
  <si>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</si>
  <si>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</si>
  <si>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</si>
  <si>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</si>
  <si>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</si>
  <si>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</si>
  <si>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</si>
  <si>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</si>
  <si>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</si>
  <si>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</si>
  <si>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</si>
  <si>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</si>
  <si>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</si>
  <si>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</si>
  <si>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</si>
  <si>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</si>
  <si>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</si>
  <si>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</si>
  <si>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</si>
  <si>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</si>
  <si>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</si>
  <si>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</si>
  <si>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</si>
  <si>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</si>
  <si>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</si>
  <si>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</si>
  <si>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</si>
  <si>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</si>
  <si>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</si>
  <si>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</si>
  <si>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</si>
  <si>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</si>
  <si>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</si>
  <si>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</si>
  <si>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</si>
  <si>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</si>
  <si>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</si>
  <si>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</si>
  <si>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</si>
  <si>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</si>
  <si>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</si>
  <si>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</si>
  <si>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</si>
  <si>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</si>
  <si>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</si>
  <si>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</si>
  <si>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</si>
  <si>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</si>
  <si>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</si>
  <si>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</si>
  <si>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</si>
  <si>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</si>
  <si>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</si>
  <si>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</si>
  <si>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</si>
  <si>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</si>
  <si>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</si>
  <si>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</si>
  <si>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</si>
  <si>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</si>
  <si>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</si>
  <si>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</si>
  <si>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</si>
  <si>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</si>
  <si>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</si>
  <si>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</si>
  <si>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</si>
  <si>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</si>
  <si>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</si>
  <si>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</si>
  <si>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</si>
  <si>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</si>
  <si>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</si>
  <si>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</si>
  <si>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</si>
  <si>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</si>
  <si>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</si>
  <si>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</si>
  <si>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</si>
  <si>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</si>
  <si>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</si>
  <si>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</si>
  <si>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</si>
  <si>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</si>
  <si>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</si>
  <si>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</si>
  <si>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</si>
  <si>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</si>
  <si>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</si>
  <si>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</si>
  <si>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</si>
  <si>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</si>
  <si>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</si>
  <si>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</si>
  <si>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</si>
  <si>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</si>
  <si>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</si>
  <si>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</si>
  <si>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</si>
  <si>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</si>
  <si>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</si>
  <si>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</si>
  <si>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</si>
  <si>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</si>
  <si>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</si>
  <si>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</si>
  <si>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</si>
  <si>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</si>
  <si>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</si>
  <si>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</si>
  <si>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</si>
  <si>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</si>
  <si>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</si>
  <si>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</si>
  <si>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</si>
  <si>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</si>
  <si>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</si>
  <si>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</si>
  <si>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</si>
  <si>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</si>
  <si>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</si>
  <si>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</si>
  <si>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</si>
  <si>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</si>
  <si>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</si>
  <si>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</si>
  <si>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</si>
  <si>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</si>
  <si>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</si>
  <si>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</si>
  <si>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</si>
  <si>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</si>
  <si>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</si>
  <si>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</si>
  <si>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</si>
  <si>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</si>
  <si>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</si>
  <si>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</si>
  <si>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</si>
  <si>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</si>
  <si>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</si>
  <si>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</si>
  <si>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</si>
  <si>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</si>
  <si>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</si>
  <si>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</si>
  <si>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</si>
  <si>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</si>
  <si>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</si>
  <si>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</si>
  <si>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</si>
  <si>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</si>
  <si>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</si>
  <si>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</si>
  <si>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</si>
  <si>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</si>
  <si>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</si>
  <si>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</si>
  <si>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</si>
  <si>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</si>
  <si>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</si>
  <si>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</si>
  <si>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</si>
  <si>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</si>
  <si>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</si>
  <si>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</si>
  <si>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</si>
  <si>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</si>
  <si>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</si>
  <si>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</si>
  <si>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</si>
  <si>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</si>
  <si>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</si>
  <si>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</si>
  <si>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</si>
  <si>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</si>
  <si>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</si>
  <si>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</si>
  <si>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</si>
  <si>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</si>
  <si>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</si>
  <si>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</si>
  <si>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</si>
  <si>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</si>
  <si>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</si>
  <si>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</si>
  <si>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</si>
  <si>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</si>
  <si>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</si>
  <si>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</si>
  <si>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</si>
  <si>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</si>
  <si>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</si>
  <si>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</si>
  <si>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</si>
  <si>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</si>
  <si>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</si>
  <si>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</si>
  <si>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</si>
  <si>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</si>
  <si>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</si>
  <si>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</si>
  <si>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</si>
  <si>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</si>
  <si>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</si>
  <si>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</si>
  <si>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</si>
  <si>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</si>
  <si>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</si>
  <si>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</si>
  <si>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</si>
  <si>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</si>
  <si>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</si>
  <si>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</si>
  <si>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</si>
  <si>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</si>
  <si>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</si>
  <si>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</si>
  <si>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</si>
  <si>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</si>
  <si>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</si>
  <si>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</si>
  <si>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</si>
  <si>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</si>
  <si>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</si>
  <si>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</si>
  <si>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</si>
  <si>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</si>
  <si>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</si>
  <si>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</si>
  <si>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</si>
  <si>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</si>
  <si>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</si>
  <si>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</si>
  <si>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</si>
  <si>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</si>
  <si>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</si>
  <si>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</si>
  <si>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</si>
  <si>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</si>
  <si>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</si>
  <si>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</si>
  <si>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</si>
  <si>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</si>
  <si>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</si>
  <si>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</si>
  <si>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</si>
  <si>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</si>
  <si>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</si>
  <si>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</si>
  <si>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</si>
  <si>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</si>
  <si>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</si>
  <si>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</si>
  <si>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</si>
  <si>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</si>
  <si>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</si>
  <si>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</si>
  <si>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</si>
  <si>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</si>
  <si>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</si>
  <si>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</si>
  <si>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</si>
  <si>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</si>
  <si>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</si>
  <si>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</si>
  <si>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</si>
  <si>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</si>
  <si>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</si>
  <si>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</si>
  <si>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</si>
  <si>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</si>
  <si>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</si>
  <si>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</si>
  <si>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</si>
  <si>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</si>
  <si>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</si>
  <si>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</si>
  <si>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</si>
  <si>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</si>
  <si>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</si>
  <si>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</si>
  <si>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</si>
  <si>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</si>
  <si>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</si>
  <si>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</si>
  <si>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</si>
  <si>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</si>
  <si>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</si>
  <si>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</si>
  <si>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</si>
  <si>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</si>
  <si>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</si>
  <si>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</si>
  <si>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</si>
  <si>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</si>
  <si>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</si>
  <si>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</si>
  <si>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</si>
  <si>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</si>
  <si>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</si>
  <si>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</si>
  <si>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</si>
  <si>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</si>
  <si>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</si>
  <si>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</si>
  <si>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</si>
  <si>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</si>
  <si>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</si>
  <si>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</si>
  <si>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</si>
  <si>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</si>
  <si>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</si>
  <si>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</si>
  <si>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</si>
  <si>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</si>
  <si>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</si>
  <si>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</si>
  <si>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</si>
  <si>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</si>
  <si>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</si>
  <si>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</si>
  <si>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</si>
  <si>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</si>
  <si>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</si>
  <si>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</si>
  <si>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</si>
  <si>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</si>
  <si>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</si>
  <si>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</si>
  <si>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</si>
  <si>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</si>
  <si>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</si>
  <si>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</si>
  <si>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</si>
  <si>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</si>
  <si>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</si>
  <si>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</si>
  <si>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</si>
  <si>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</si>
  <si>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</si>
  <si>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</si>
  <si>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</si>
  <si>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</si>
  <si>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</si>
  <si>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</si>
  <si>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</si>
  <si>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</si>
  <si>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</si>
  <si>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</si>
  <si>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</si>
  <si>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</si>
  <si>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</si>
  <si>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</si>
  <si>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</si>
  <si>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</si>
  <si>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</si>
  <si>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</si>
  <si>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</si>
  <si>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</si>
  <si>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</si>
  <si>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</si>
  <si>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</si>
  <si>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</si>
  <si>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</si>
  <si>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</si>
  <si>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</si>
  <si>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</si>
  <si>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</si>
  <si>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</si>
  <si>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</si>
  <si>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</si>
  <si>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</si>
  <si>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</si>
  <si>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</si>
  <si>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</si>
  <si>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</si>
  <si>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</si>
  <si>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</si>
  <si>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</si>
  <si>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</si>
  <si>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</si>
  <si>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</si>
  <si>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</si>
  <si>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</si>
  <si>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</si>
  <si>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</si>
  <si>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</si>
  <si>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</si>
  <si>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</si>
  <si>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</si>
  <si>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</si>
  <si>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</si>
  <si>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</si>
  <si>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</si>
  <si>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</si>
  <si>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</si>
  <si>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</si>
  <si>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</si>
  <si>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</si>
  <si>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</si>
  <si>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</si>
  <si>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</si>
  <si>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</si>
  <si>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</si>
  <si>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</si>
  <si>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</si>
  <si>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</si>
  <si>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</si>
  <si>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</si>
  <si>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</si>
  <si>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</si>
  <si>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</si>
  <si>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</si>
  <si>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</si>
  <si>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</si>
  <si>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</si>
  <si>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</si>
  <si>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</si>
  <si>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</si>
  <si>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</si>
  <si>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</si>
  <si>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</si>
  <si>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</si>
  <si>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</si>
  <si>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</si>
  <si>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</si>
  <si>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</si>
  <si>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</si>
  <si>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</si>
  <si>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</si>
  <si>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</si>
  <si>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</si>
  <si>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</si>
  <si>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</si>
  <si>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</si>
  <si>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</si>
  <si>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</si>
  <si>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</si>
  <si>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</si>
  <si>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</si>
  <si>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</si>
  <si>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</si>
  <si>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</si>
  <si>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</si>
  <si>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</si>
  <si>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</si>
  <si>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</si>
  <si>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</si>
  <si>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</si>
  <si>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</si>
  <si>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</si>
  <si>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</si>
  <si>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</si>
  <si>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</si>
  <si>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</si>
  <si>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</si>
  <si>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</si>
  <si>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</si>
  <si>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</si>
  <si>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</si>
  <si>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</si>
  <si>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</si>
  <si>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</si>
  <si>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</si>
  <si>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</si>
  <si>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</si>
  <si>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</si>
  <si>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</si>
  <si>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</si>
  <si>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</si>
  <si>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</si>
  <si>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</si>
  <si>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</si>
  <si>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</si>
  <si>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</si>
  <si>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</si>
  <si>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</si>
  <si>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</si>
  <si>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</si>
  <si>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</si>
  <si>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</si>
  <si>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</si>
  <si>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</si>
  <si>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</si>
  <si>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</si>
  <si>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</si>
  <si>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</si>
  <si>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</si>
  <si>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</si>
  <si>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</si>
  <si>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</si>
  <si>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</si>
  <si>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</si>
  <si>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</si>
  <si>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</si>
  <si>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</si>
  <si>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</si>
  <si>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</si>
  <si>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</si>
  <si>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</si>
  <si>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</si>
  <si>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</si>
  <si>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</si>
  <si>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</si>
  <si>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</si>
  <si>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</si>
  <si>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</si>
  <si>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</si>
  <si>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</si>
  <si>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</si>
  <si>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</si>
  <si>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</si>
  <si>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</si>
  <si>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</si>
  <si>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</si>
  <si>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</si>
  <si>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</si>
  <si>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</si>
  <si>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</si>
  <si>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</si>
  <si>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</si>
  <si>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</si>
  <si>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</si>
  <si>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</si>
  <si>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</si>
  <si>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</si>
  <si>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</si>
  <si>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</si>
  <si>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</si>
  <si>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</si>
  <si>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</si>
  <si>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</si>
  <si>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</si>
  <si>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</si>
  <si>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</si>
  <si>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</si>
  <si>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</si>
  <si>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</si>
  <si>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</si>
  <si>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</si>
  <si>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</si>
  <si>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</si>
  <si>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</si>
  <si>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</si>
  <si>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</si>
  <si>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</si>
  <si>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</si>
  <si>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</si>
  <si>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</si>
  <si>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</si>
  <si>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</si>
  <si>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</si>
  <si>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</si>
  <si>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</si>
  <si>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</si>
  <si>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</si>
  <si>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</si>
  <si>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</si>
  <si>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</si>
  <si>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</si>
  <si>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</si>
  <si>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</si>
  <si>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</si>
  <si>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</si>
  <si>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</si>
  <si>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</si>
  <si>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</si>
  <si>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</si>
  <si>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</si>
  <si>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</si>
  <si>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</si>
  <si>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</si>
  <si>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</si>
  <si>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</si>
  <si>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</si>
  <si>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</si>
  <si>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</si>
  <si>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</si>
  <si>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</si>
  <si>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</si>
  <si>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</si>
  <si>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</si>
  <si>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</si>
  <si>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</si>
  <si>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</si>
  <si>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</si>
  <si>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</si>
  <si>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</si>
  <si>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</si>
  <si>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</si>
  <si>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</si>
  <si>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</si>
  <si>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</si>
  <si>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</si>
  <si>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</si>
  <si>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</si>
  <si>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</si>
  <si>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</si>
  <si>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</si>
  <si>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</si>
  <si>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</si>
  <si>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</si>
  <si>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</si>
  <si>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</si>
  <si>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</si>
  <si>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</si>
  <si>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</si>
  <si>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</si>
  <si>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</si>
  <si>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</si>
  <si>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</si>
  <si>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</si>
  <si>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</si>
  <si>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</si>
  <si>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</si>
  <si>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</si>
  <si>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</si>
  <si>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</si>
  <si>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</si>
  <si>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</si>
  <si>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</si>
  <si>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</si>
  <si>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</si>
  <si>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</si>
  <si>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</si>
  <si>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</si>
  <si>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</si>
  <si>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</si>
  <si>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</si>
  <si>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</si>
  <si>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</si>
  <si>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</si>
  <si>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</si>
  <si>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</si>
  <si>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</si>
  <si>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</si>
  <si>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</si>
  <si>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</si>
  <si>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</si>
  <si>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</si>
  <si>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</si>
  <si>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</si>
  <si>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</si>
  <si>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</si>
  <si>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</si>
  <si>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</si>
  <si>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</si>
  <si>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</si>
  <si>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</si>
  <si>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</si>
  <si>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</si>
  <si>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</si>
  <si>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</si>
  <si>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</si>
  <si>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</si>
  <si>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</si>
  <si>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</si>
  <si>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</si>
  <si>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</si>
  <si>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</si>
  <si>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</si>
  <si>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</si>
  <si>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</si>
  <si>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</si>
  <si>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</si>
  <si>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</si>
  <si>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</si>
  <si>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</si>
  <si>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</si>
  <si>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</si>
  <si>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</si>
  <si>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</si>
  <si>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</si>
  <si>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</si>
  <si>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</si>
  <si>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</si>
  <si>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</si>
  <si>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</si>
  <si>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</si>
  <si>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</si>
  <si>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</si>
  <si>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1405/06/19</t>
  </si>
  <si>
    <t>1405/06/20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</si>
  <si>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</si>
  <si>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</si>
  <si>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</si>
  <si>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</si>
  <si>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</si>
  <si>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</si>
  <si>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</si>
  <si>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</si>
  <si>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</si>
  <si>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</si>
  <si>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</si>
  <si>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</si>
  <si>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</si>
  <si>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</si>
  <si>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</si>
  <si>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</si>
  <si>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</si>
  <si>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</si>
  <si>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</si>
  <si>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</si>
  <si>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</si>
  <si>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</si>
  <si>
    <t>Top Insert</t>
  </si>
  <si>
    <t>1405/06/22</t>
  </si>
  <si>
    <t>قتالب نو</t>
  </si>
  <si>
    <t>پخت کلاچ تراکتور رومانی</t>
  </si>
  <si>
    <t>اختلاف ضخامت</t>
  </si>
  <si>
    <t>پولی</t>
  </si>
  <si>
    <t>ساخت پولی تسمه</t>
  </si>
  <si>
    <t>المنت</t>
  </si>
  <si>
    <t xml:space="preserve">سنگ زنی قالب </t>
  </si>
  <si>
    <t>MOLD</t>
  </si>
  <si>
    <t>قالب ضایعات کن لنت</t>
  </si>
  <si>
    <t>تعویض صفحه قالب</t>
  </si>
  <si>
    <t>سنگ زنی
300*150</t>
  </si>
  <si>
    <t>سنگ زنی 400*400</t>
  </si>
  <si>
    <t>المنت 80 سانت</t>
  </si>
  <si>
    <t>تعداد 10 غدد المنت 80 به اندازه 1 میلی از روی آن برداشته شود.</t>
  </si>
  <si>
    <t>علیرضا به افتاده</t>
  </si>
  <si>
    <t>سوراخکاری توپی میز ساب جدید</t>
  </si>
  <si>
    <t>ساب کفگرگی</t>
  </si>
  <si>
    <t>سوراخکاری و جای خار زدن فولی تسمه</t>
  </si>
  <si>
    <t>سوراخکاری بلبرینگ</t>
  </si>
  <si>
    <t>بلبرینگ</t>
  </si>
  <si>
    <t>ساب عقب کاویان 106</t>
  </si>
  <si>
    <t xml:space="preserve">ساخت توپی عقب کاویان جهت اصلاح لنت های </t>
  </si>
  <si>
    <t>1405/06/24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</si>
</sst>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32.5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46.5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675.5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topLeftCell="N1" zoomScaleNormal="100" workbookViewId="0">
      <pane ySplit="1" topLeftCell="A793" activePane="bottomLeft" state="frozen"/>
      <selection pane="bottomLeft" activeCell="AB802" sqref="AB802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H800" s="69"/>
    </row>
    <row r="801" spans="34:34" x14ac:dyDescent="0.25">
      <c r="AH801" s="69"/>
    </row>
    <row r="802" spans="34:34" x14ac:dyDescent="0.25">
      <c r="AH802" s="69"/>
    </row>
    <row r="803" spans="34:34" x14ac:dyDescent="0.25">
      <c r="AH803" s="69"/>
    </row>
    <row r="804" spans="34:34" x14ac:dyDescent="0.25">
      <c r="AH804" s="69"/>
    </row>
    <row r="805" spans="34:34" x14ac:dyDescent="0.25">
      <c r="AH805" s="69"/>
    </row>
    <row r="806" spans="34:34" x14ac:dyDescent="0.25">
      <c r="AH806" s="69"/>
    </row>
    <row r="807" spans="34:34" x14ac:dyDescent="0.25">
      <c r="AH807" s="69"/>
    </row>
    <row r="808" spans="34:34" x14ac:dyDescent="0.25">
      <c r="AH808" s="69"/>
    </row>
    <row r="809" spans="34:34" x14ac:dyDescent="0.25">
      <c r="AH809" s="69"/>
    </row>
    <row r="810" spans="34:34" x14ac:dyDescent="0.25">
      <c r="AH810" s="69"/>
    </row>
    <row r="811" spans="34:34" x14ac:dyDescent="0.25">
      <c r="AH811" s="69"/>
    </row>
    <row r="812" spans="34:34" x14ac:dyDescent="0.25">
      <c r="AH812" s="69"/>
    </row>
    <row r="813" spans="34:34" x14ac:dyDescent="0.25">
      <c r="AH813" s="69"/>
    </row>
    <row r="814" spans="34:34" x14ac:dyDescent="0.25">
      <c r="AH814" s="69"/>
    </row>
    <row r="815" spans="34:34" x14ac:dyDescent="0.25">
      <c r="AH815" s="69"/>
    </row>
    <row r="816" spans="34:34" x14ac:dyDescent="0.25">
      <c r="AH816" s="69"/>
    </row>
    <row r="817" spans="34:34" x14ac:dyDescent="0.25">
      <c r="AH817" s="69"/>
    </row>
    <row r="818" spans="34:34" x14ac:dyDescent="0.25">
      <c r="AH818" s="69"/>
    </row>
    <row r="819" spans="34:34" x14ac:dyDescent="0.25">
      <c r="AH819" s="69"/>
    </row>
    <row r="820" spans="34:34" x14ac:dyDescent="0.25">
      <c r="AH820" s="69"/>
    </row>
    <row r="821" spans="34:34" x14ac:dyDescent="0.25">
      <c r="AH821" s="69"/>
    </row>
    <row r="822" spans="34:34" x14ac:dyDescent="0.25">
      <c r="AH822" s="69"/>
    </row>
    <row r="823" spans="34:34" x14ac:dyDescent="0.25">
      <c r="AH823" s="69"/>
    </row>
    <row r="824" spans="34:34" x14ac:dyDescent="0.25">
      <c r="AH824" s="69"/>
    </row>
    <row r="825" spans="34:34" x14ac:dyDescent="0.25">
      <c r="AH825" s="69"/>
    </row>
    <row r="826" spans="34:34" x14ac:dyDescent="0.25">
      <c r="AH826" s="69"/>
    </row>
    <row r="827" spans="34:34" x14ac:dyDescent="0.25">
      <c r="AH827" s="69"/>
    </row>
    <row r="828" spans="34:34" x14ac:dyDescent="0.25">
      <c r="AH828" s="69"/>
    </row>
    <row r="829" spans="34:34" x14ac:dyDescent="0.25">
      <c r="AH829" s="69"/>
    </row>
    <row r="830" spans="34:34" x14ac:dyDescent="0.25">
      <c r="AH830" s="69"/>
    </row>
    <row r="831" spans="34:34" x14ac:dyDescent="0.25">
      <c r="AH831" s="69"/>
    </row>
    <row r="832" spans="34:34" x14ac:dyDescent="0.25">
      <c r="AH832" s="69"/>
    </row>
    <row r="833" spans="34:34" x14ac:dyDescent="0.25">
      <c r="AH833" s="69"/>
    </row>
    <row r="834" spans="34:34" x14ac:dyDescent="0.25">
      <c r="AH834" s="69"/>
    </row>
    <row r="835" spans="34:34" x14ac:dyDescent="0.25">
      <c r="AH835" s="69"/>
    </row>
    <row r="836" spans="34:34" x14ac:dyDescent="0.25">
      <c r="AH836" s="69"/>
    </row>
    <row r="837" spans="34:34" x14ac:dyDescent="0.25">
      <c r="AH837" s="69"/>
    </row>
    <row r="838" spans="34:34" x14ac:dyDescent="0.25">
      <c r="AH838" s="69"/>
    </row>
    <row r="839" spans="34:34" x14ac:dyDescent="0.25">
      <c r="AH839" s="69"/>
    </row>
    <row r="840" spans="34:34" x14ac:dyDescent="0.25">
      <c r="AH840" s="69"/>
    </row>
    <row r="841" spans="34:34" x14ac:dyDescent="0.25">
      <c r="AH841" s="69"/>
    </row>
    <row r="842" spans="34:34" x14ac:dyDescent="0.25">
      <c r="AH842" s="69"/>
    </row>
    <row r="843" spans="34:34" x14ac:dyDescent="0.25">
      <c r="AH843" s="69"/>
    </row>
    <row r="844" spans="34:34" x14ac:dyDescent="0.25">
      <c r="AH844" s="69"/>
    </row>
    <row r="845" spans="34:34" x14ac:dyDescent="0.25">
      <c r="AH845" s="69"/>
    </row>
    <row r="846" spans="34:34" x14ac:dyDescent="0.25">
      <c r="AH846" s="69"/>
    </row>
    <row r="847" spans="34:34" x14ac:dyDescent="0.25">
      <c r="AH847" s="69"/>
    </row>
    <row r="848" spans="34:34" x14ac:dyDescent="0.25">
      <c r="AH848" s="69"/>
    </row>
    <row r="849" spans="34:34" x14ac:dyDescent="0.25">
      <c r="AH849" s="69"/>
    </row>
    <row r="850" spans="34:34" x14ac:dyDescent="0.25">
      <c r="AH850" s="69"/>
    </row>
    <row r="851" spans="34:34" x14ac:dyDescent="0.25">
      <c r="AH851" s="69"/>
    </row>
    <row r="852" spans="34:34" x14ac:dyDescent="0.25">
      <c r="AH852" s="69"/>
    </row>
    <row r="853" spans="34:34" x14ac:dyDescent="0.25">
      <c r="AH853" s="69"/>
    </row>
    <row r="854" spans="34:34" x14ac:dyDescent="0.25">
      <c r="AH854" s="69"/>
    </row>
    <row r="855" spans="34:34" x14ac:dyDescent="0.25">
      <c r="AH855" s="69"/>
    </row>
    <row r="856" spans="34:34" x14ac:dyDescent="0.25">
      <c r="AH856" s="69"/>
    </row>
    <row r="857" spans="34:34" x14ac:dyDescent="0.25">
      <c r="AH857" s="69"/>
    </row>
    <row r="858" spans="34:34" x14ac:dyDescent="0.25">
      <c r="AH858" s="69"/>
    </row>
    <row r="859" spans="34:34" x14ac:dyDescent="0.25">
      <c r="AH859" s="69"/>
    </row>
    <row r="860" spans="34:34" x14ac:dyDescent="0.25">
      <c r="AH860" s="69"/>
    </row>
    <row r="861" spans="34:34" x14ac:dyDescent="0.25">
      <c r="AH861" s="69"/>
    </row>
    <row r="862" spans="34:34" x14ac:dyDescent="0.25">
      <c r="AH862" s="69"/>
    </row>
    <row r="863" spans="34:34" x14ac:dyDescent="0.25">
      <c r="AH863" s="69"/>
    </row>
    <row r="864" spans="34:34" x14ac:dyDescent="0.25">
      <c r="AH864" s="69"/>
    </row>
    <row r="865" spans="34:34" x14ac:dyDescent="0.25">
      <c r="AH865" s="69"/>
    </row>
    <row r="866" spans="34:34" x14ac:dyDescent="0.25">
      <c r="AH866" s="69"/>
    </row>
    <row r="867" spans="34:34" x14ac:dyDescent="0.25">
      <c r="AH867" s="69"/>
    </row>
    <row r="868" spans="34:34" x14ac:dyDescent="0.25">
      <c r="AH868" s="69"/>
    </row>
    <row r="869" spans="34:34" x14ac:dyDescent="0.25">
      <c r="AH869" s="69"/>
    </row>
    <row r="870" spans="34:34" x14ac:dyDescent="0.25">
      <c r="AH870" s="69"/>
    </row>
    <row r="871" spans="34:34" x14ac:dyDescent="0.25">
      <c r="AH871" s="69"/>
    </row>
    <row r="872" spans="34:34" x14ac:dyDescent="0.25">
      <c r="AH872" s="69"/>
    </row>
    <row r="873" spans="34:34" x14ac:dyDescent="0.25">
      <c r="AH873" s="69"/>
    </row>
    <row r="874" spans="34:34" x14ac:dyDescent="0.25">
      <c r="AH874" s="69"/>
    </row>
    <row r="875" spans="34:34" x14ac:dyDescent="0.25">
      <c r="AH875" s="69"/>
    </row>
    <row r="876" spans="34:34" x14ac:dyDescent="0.25">
      <c r="AH876" s="69"/>
    </row>
    <row r="877" spans="34:34" x14ac:dyDescent="0.25">
      <c r="AH877" s="69"/>
    </row>
    <row r="878" spans="34:34" x14ac:dyDescent="0.25">
      <c r="AH878" s="69"/>
    </row>
    <row r="879" spans="34:34" x14ac:dyDescent="0.25">
      <c r="AH879" s="69"/>
    </row>
    <row r="880" spans="34:34" x14ac:dyDescent="0.25">
      <c r="AH880" s="69"/>
    </row>
    <row r="881" spans="34:34" x14ac:dyDescent="0.25">
      <c r="AH881" s="69"/>
    </row>
    <row r="882" spans="34:34" x14ac:dyDescent="0.25">
      <c r="AH882" s="69"/>
    </row>
    <row r="883" spans="34:34" x14ac:dyDescent="0.25">
      <c r="AH883" s="69"/>
    </row>
    <row r="884" spans="34:34" x14ac:dyDescent="0.25">
      <c r="AH884" s="69"/>
    </row>
    <row r="885" spans="34:34" x14ac:dyDescent="0.25">
      <c r="AH885" s="69"/>
    </row>
    <row r="886" spans="34:34" x14ac:dyDescent="0.25">
      <c r="AH886" s="69"/>
    </row>
    <row r="887" spans="34:34" x14ac:dyDescent="0.25">
      <c r="AH887" s="69"/>
    </row>
    <row r="888" spans="34:34" x14ac:dyDescent="0.25">
      <c r="AH888" s="69"/>
    </row>
    <row r="889" spans="34:34" x14ac:dyDescent="0.25">
      <c r="AH889" s="69"/>
    </row>
    <row r="890" spans="34:34" x14ac:dyDescent="0.25">
      <c r="AH890" s="69"/>
    </row>
    <row r="891" spans="34:34" x14ac:dyDescent="0.25">
      <c r="AH891" s="69"/>
    </row>
    <row r="892" spans="34:34" x14ac:dyDescent="0.25">
      <c r="AH892" s="69"/>
    </row>
    <row r="893" spans="34:34" x14ac:dyDescent="0.25">
      <c r="AH893" s="69"/>
    </row>
    <row r="894" spans="34:34" x14ac:dyDescent="0.25">
      <c r="AH894" s="69"/>
    </row>
    <row r="895" spans="34:34" x14ac:dyDescent="0.25">
      <c r="AH895" s="69"/>
    </row>
    <row r="896" spans="34:34" x14ac:dyDescent="0.25">
      <c r="AH896" s="69"/>
    </row>
    <row r="897" spans="34:34" x14ac:dyDescent="0.25">
      <c r="AH897" s="69"/>
    </row>
    <row r="898" spans="34:34" x14ac:dyDescent="0.25">
      <c r="AH898" s="69"/>
    </row>
    <row r="899" spans="34:34" x14ac:dyDescent="0.25">
      <c r="AH899" s="69"/>
    </row>
    <row r="900" spans="34:34" x14ac:dyDescent="0.25">
      <c r="AH900" s="69"/>
    </row>
    <row r="901" spans="34:34" x14ac:dyDescent="0.25">
      <c r="AH901" s="69"/>
    </row>
    <row r="902" spans="34:34" x14ac:dyDescent="0.25">
      <c r="AH902" s="69"/>
    </row>
    <row r="903" spans="34:34" x14ac:dyDescent="0.25">
      <c r="AH903" s="69"/>
    </row>
    <row r="904" spans="34:34" x14ac:dyDescent="0.25">
      <c r="AH904" s="69"/>
    </row>
    <row r="905" spans="34:34" x14ac:dyDescent="0.25">
      <c r="AH905" s="69"/>
    </row>
    <row r="906" spans="34:34" x14ac:dyDescent="0.25">
      <c r="AH906" s="69"/>
    </row>
    <row r="907" spans="34:34" x14ac:dyDescent="0.25">
      <c r="AH907" s="69"/>
    </row>
    <row r="908" spans="34:34" x14ac:dyDescent="0.25">
      <c r="AH908" s="69"/>
    </row>
    <row r="909" spans="34:34" x14ac:dyDescent="0.25">
      <c r="AH909" s="69"/>
    </row>
    <row r="910" spans="34:34" x14ac:dyDescent="0.25">
      <c r="AH910" s="69"/>
    </row>
    <row r="911" spans="34:34" x14ac:dyDescent="0.25">
      <c r="AH911" s="69"/>
    </row>
    <row r="912" spans="34:34" x14ac:dyDescent="0.25">
      <c r="AH912" s="69"/>
    </row>
    <row r="913" spans="34:34" x14ac:dyDescent="0.25">
      <c r="AH913" s="69"/>
    </row>
    <row r="914" spans="34:34" x14ac:dyDescent="0.25">
      <c r="AH914" s="69"/>
    </row>
    <row r="915" spans="34:34" x14ac:dyDescent="0.25">
      <c r="AH915" s="69"/>
    </row>
    <row r="916" spans="34:34" x14ac:dyDescent="0.25">
      <c r="AH916" s="69"/>
    </row>
    <row r="917" spans="34:34" x14ac:dyDescent="0.25">
      <c r="AH917" s="69"/>
    </row>
    <row r="918" spans="34:34" x14ac:dyDescent="0.25">
      <c r="AH918" s="69"/>
    </row>
    <row r="919" spans="34:34" x14ac:dyDescent="0.25">
      <c r="AH919" s="69"/>
    </row>
    <row r="920" spans="34:34" x14ac:dyDescent="0.25">
      <c r="AH920" s="69"/>
    </row>
    <row r="921" spans="34:34" x14ac:dyDescent="0.25">
      <c r="AH921" s="69"/>
    </row>
    <row r="922" spans="34:34" x14ac:dyDescent="0.25">
      <c r="AH922" s="69"/>
    </row>
    <row r="923" spans="34:34" x14ac:dyDescent="0.25">
      <c r="AH923" s="69"/>
    </row>
    <row r="924" spans="34:34" x14ac:dyDescent="0.25">
      <c r="AH924" s="69"/>
    </row>
    <row r="925" spans="34:34" x14ac:dyDescent="0.25">
      <c r="AH925" s="69"/>
    </row>
    <row r="926" spans="34:34" x14ac:dyDescent="0.25">
      <c r="AH926" s="69"/>
    </row>
    <row r="927" spans="34:34" x14ac:dyDescent="0.25">
      <c r="AH927" s="69"/>
    </row>
    <row r="928" spans="34:34" x14ac:dyDescent="0.25">
      <c r="AH928" s="69"/>
    </row>
    <row r="929" spans="34:34" x14ac:dyDescent="0.25">
      <c r="AH929" s="69"/>
    </row>
    <row r="930" spans="34:34" x14ac:dyDescent="0.25">
      <c r="AH930" s="69"/>
    </row>
    <row r="931" spans="34:34" x14ac:dyDescent="0.25">
      <c r="AH931" s="69"/>
    </row>
    <row r="932" spans="34:34" x14ac:dyDescent="0.25">
      <c r="AH932" s="69"/>
    </row>
    <row r="933" spans="34:34" x14ac:dyDescent="0.25">
      <c r="AH933" s="69"/>
    </row>
    <row r="934" spans="34:34" x14ac:dyDescent="0.25">
      <c r="AH934" s="69"/>
    </row>
    <row r="935" spans="34:34" x14ac:dyDescent="0.25">
      <c r="AH935" s="69"/>
    </row>
    <row r="936" spans="34:34" x14ac:dyDescent="0.25">
      <c r="AH936" s="69"/>
    </row>
    <row r="937" spans="34:34" x14ac:dyDescent="0.25">
      <c r="AH937" s="69"/>
    </row>
    <row r="938" spans="34:34" x14ac:dyDescent="0.25">
      <c r="AH938" s="69"/>
    </row>
    <row r="939" spans="34:34" x14ac:dyDescent="0.25">
      <c r="AH939" s="69"/>
    </row>
    <row r="940" spans="34:34" x14ac:dyDescent="0.25">
      <c r="AH940" s="69"/>
    </row>
    <row r="941" spans="34:34" x14ac:dyDescent="0.25">
      <c r="AH941" s="69"/>
    </row>
    <row r="942" spans="34:34" x14ac:dyDescent="0.25">
      <c r="AH942" s="69"/>
    </row>
    <row r="943" spans="34:34" x14ac:dyDescent="0.25">
      <c r="AH943" s="69"/>
    </row>
    <row r="944" spans="34:34" x14ac:dyDescent="0.25">
      <c r="AH944" s="69"/>
    </row>
    <row r="945" spans="34:34" x14ac:dyDescent="0.25">
      <c r="AH945" s="69"/>
    </row>
    <row r="946" spans="34:34" x14ac:dyDescent="0.25">
      <c r="AH946" s="69"/>
    </row>
    <row r="947" spans="34:34" x14ac:dyDescent="0.25">
      <c r="AH947" s="69"/>
    </row>
    <row r="948" spans="34:34" x14ac:dyDescent="0.25">
      <c r="AH948" s="69"/>
    </row>
    <row r="949" spans="34:34" x14ac:dyDescent="0.25">
      <c r="AH949" s="69"/>
    </row>
    <row r="950" spans="34:34" x14ac:dyDescent="0.25">
      <c r="AH950" s="69"/>
    </row>
    <row r="951" spans="34:34" x14ac:dyDescent="0.25">
      <c r="AH951" s="69"/>
    </row>
    <row r="952" spans="34:34" x14ac:dyDescent="0.25">
      <c r="AH952" s="69"/>
    </row>
    <row r="953" spans="34:34" x14ac:dyDescent="0.25">
      <c r="AH953" s="69"/>
    </row>
    <row r="954" spans="34:34" x14ac:dyDescent="0.25">
      <c r="AH954" s="69"/>
    </row>
    <row r="955" spans="34:34" x14ac:dyDescent="0.25">
      <c r="AH955" s="69"/>
    </row>
    <row r="956" spans="34:34" x14ac:dyDescent="0.25">
      <c r="AH956" s="69"/>
    </row>
    <row r="957" spans="34:34" x14ac:dyDescent="0.25">
      <c r="AH957" s="69"/>
    </row>
    <row r="958" spans="34:34" x14ac:dyDescent="0.25">
      <c r="AH958" s="69"/>
    </row>
    <row r="959" spans="34:34" x14ac:dyDescent="0.25">
      <c r="AH959" s="69"/>
    </row>
    <row r="960" spans="34:34" x14ac:dyDescent="0.25">
      <c r="AH960" s="69"/>
    </row>
    <row r="961" spans="34:34" x14ac:dyDescent="0.25">
      <c r="AH961" s="69"/>
    </row>
    <row r="962" spans="34:34" x14ac:dyDescent="0.25">
      <c r="AH962" s="69"/>
    </row>
    <row r="963" spans="34:34" x14ac:dyDescent="0.25">
      <c r="AH963" s="69"/>
    </row>
    <row r="964" spans="34:34" x14ac:dyDescent="0.25">
      <c r="AH964" s="69"/>
    </row>
    <row r="965" spans="34:34" x14ac:dyDescent="0.25">
      <c r="AH965" s="69"/>
    </row>
    <row r="966" spans="34:34" x14ac:dyDescent="0.25">
      <c r="AH966" s="69"/>
    </row>
    <row r="967" spans="34:34" x14ac:dyDescent="0.25">
      <c r="AH967" s="69"/>
    </row>
    <row r="968" spans="34:34" x14ac:dyDescent="0.25">
      <c r="AH968" s="69"/>
    </row>
    <row r="969" spans="34:34" x14ac:dyDescent="0.25">
      <c r="AH969" s="69"/>
    </row>
    <row r="970" spans="34:34" x14ac:dyDescent="0.25">
      <c r="AH970" s="69"/>
    </row>
    <row r="971" spans="34:34" x14ac:dyDescent="0.25">
      <c r="AH971" s="69"/>
    </row>
    <row r="972" spans="34:34" x14ac:dyDescent="0.25">
      <c r="AH972" s="69"/>
    </row>
    <row r="973" spans="34:34" x14ac:dyDescent="0.25">
      <c r="AH973" s="69"/>
    </row>
    <row r="974" spans="34:34" x14ac:dyDescent="0.25">
      <c r="AH974" s="69"/>
    </row>
    <row r="975" spans="34:34" x14ac:dyDescent="0.25">
      <c r="AH975" s="69"/>
    </row>
    <row r="976" spans="34:34" x14ac:dyDescent="0.25">
      <c r="AH976" s="69"/>
    </row>
    <row r="977" spans="34:34" x14ac:dyDescent="0.25">
      <c r="AH977" s="69"/>
    </row>
    <row r="978" spans="34:34" x14ac:dyDescent="0.25">
      <c r="AH978" s="69"/>
    </row>
    <row r="979" spans="34:34" x14ac:dyDescent="0.25">
      <c r="AH979" s="69"/>
    </row>
    <row r="980" spans="34:34" x14ac:dyDescent="0.25">
      <c r="AH980" s="69"/>
    </row>
    <row r="981" spans="34:34" x14ac:dyDescent="0.25">
      <c r="AH981" s="69"/>
    </row>
    <row r="982" spans="34:34" x14ac:dyDescent="0.25">
      <c r="AH982" s="69"/>
    </row>
    <row r="983" spans="34:34" x14ac:dyDescent="0.25">
      <c r="AH983" s="69"/>
    </row>
    <row r="984" spans="34:34" x14ac:dyDescent="0.25">
      <c r="AH984" s="69"/>
    </row>
    <row r="985" spans="34:34" x14ac:dyDescent="0.25">
      <c r="AH985" s="69"/>
    </row>
    <row r="986" spans="34:34" x14ac:dyDescent="0.25">
      <c r="AH986" s="69"/>
    </row>
    <row r="987" spans="34:34" x14ac:dyDescent="0.25">
      <c r="AH987" s="69"/>
    </row>
    <row r="988" spans="34:34" x14ac:dyDescent="0.25">
      <c r="AH988" s="69"/>
    </row>
    <row r="989" spans="34:34" x14ac:dyDescent="0.25">
      <c r="AH989" s="69"/>
    </row>
    <row r="990" spans="34:34" x14ac:dyDescent="0.25">
      <c r="AH990" s="69"/>
    </row>
    <row r="991" spans="34:34" x14ac:dyDescent="0.25">
      <c r="AH991" s="69"/>
    </row>
    <row r="992" spans="34:34" x14ac:dyDescent="0.25">
      <c r="AH992" s="69"/>
    </row>
    <row r="993" spans="34:34" x14ac:dyDescent="0.25">
      <c r="AH993" s="69"/>
    </row>
    <row r="994" spans="34:34" x14ac:dyDescent="0.25">
      <c r="AH994" s="69"/>
    </row>
    <row r="995" spans="34:34" x14ac:dyDescent="0.25">
      <c r="AH995" s="69"/>
    </row>
    <row r="996" spans="34:34" x14ac:dyDescent="0.25">
      <c r="AH996" s="69"/>
    </row>
    <row r="997" spans="34:34" x14ac:dyDescent="0.25">
      <c r="AH997" s="69"/>
    </row>
    <row r="998" spans="34:34" x14ac:dyDescent="0.25">
      <c r="AH998" s="69"/>
    </row>
    <row r="999" spans="34:34" x14ac:dyDescent="0.25">
      <c r="AH999" s="69"/>
    </row>
    <row r="1000" spans="34:34" x14ac:dyDescent="0.25">
      <c r="AH1000" s="69"/>
    </row>
    <row r="1001" spans="34:34" x14ac:dyDescent="0.25">
      <c r="AH1001" s="69"/>
    </row>
    <row r="1002" spans="34:34" x14ac:dyDescent="0.25">
      <c r="AH1002" s="69"/>
    </row>
    <row r="1003" spans="34:34" x14ac:dyDescent="0.25">
      <c r="AH1003" s="69"/>
    </row>
    <row r="1004" spans="34:34" x14ac:dyDescent="0.25">
      <c r="AH1004" s="69"/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>
    <tabColor theme="4" tint="-0.249977111117893"/>
    <pageSetUpPr fitToPage="1"/>
  </sheetPr>
  <dimension ref="A1:AU1048576"/>
  <sheetViews>
    <sheetView rightToLeft="1" zoomScaleNormal="100" workbookViewId="0">
      <pane ySplit="1" topLeftCell="A674" activePane="bottomLeft" state="frozen"/>
      <selection pane="bottomLeft" activeCell="A681" sqref="A68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/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>
    <tabColor theme="9" tint="0.39997558519241921"/>
    <pageSetUpPr fitToPage="1"/>
  </sheetPr>
  <dimension ref="A1:AU1048576"/>
  <sheetViews>
    <sheetView rightToLeft="1" zoomScaleNormal="100" workbookViewId="0">
      <pane ySplit="1" topLeftCell="A785" activePane="bottomLeft" state="frozen"/>
      <selection activeCell="D1" sqref="D1"/>
      <selection pane="bottomLeft" activeCell="AH789" sqref="AH789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/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 filterMode="1">
    <tabColor rgb="FFFF0000"/>
  </sheetPr>
  <dimension ref="A1:BI1048576"/>
  <sheetViews>
    <sheetView rightToLeft="1" zoomScale="85" zoomScaleNormal="85" workbookViewId="0">
      <pane ySplit="1" topLeftCell="A206" activePane="bottomLeft" state="frozen"/>
      <selection activeCell="AH1" sqref="AH1"/>
      <selection pane="bottomLeft" activeCell="B218" sqref="B218:S218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hidden="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hidden="1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hidden="1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hidden="1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hidden="1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hidden="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hidden="1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hidden="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hidden="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hidden="1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hidden="1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hidden="1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hidden="1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hidden="1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hidden="1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hidden="1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hidden="1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hidden="1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hidden="1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hidden="1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hidden="1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hidden="1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hidden="1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hidden="1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hidden="1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hidden="1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hidden="1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hidden="1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hidden="1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hidden="1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hidden="1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hidden="1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hidden="1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hidden="1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hidden="1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hidden="1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hidden="1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hidden="1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idden="1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hidden="1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hidden="1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hidden="1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idden="1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idden="1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hidden="1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hidden="1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hidden="1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hidden="1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hidden="1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hidden="1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hidden="1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hidden="1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hidden="1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hidden="1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hidden="1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hidden="1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hidden="1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hidden="1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hidden="1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hidden="1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hidden="1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hidden="1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hidden="1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hidden="1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hidden="1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hidden="1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hidden="1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hidden="1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hidden="1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hidden="1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hidden="1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hidden="1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hidden="1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hidden="1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hidden="1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hidden="1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hidden="1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hidden="1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hidden="1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hidden="1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hidden="1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hidden="1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hidden="1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hidden="1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hidden="1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hidden="1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hidden="1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hidden="1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hidden="1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hidden="1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hidden="1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hidden="1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hidden="1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hidden="1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hidden="1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hidden="1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hidden="1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hidden="1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hidden="1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hidden="1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hidden="1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hidden="1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hidden="1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hidden="1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hidden="1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hidden="1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hidden="1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hidden="1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hidden="1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hidden="1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hidden="1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hidden="1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hidden="1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hidden="1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hidden="1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hidden="1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hidden="1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hidden="1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hidden="1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hidden="1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hidden="1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hidden="1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hidden="1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hidden="1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hidden="1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hidden="1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hidden="1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hidden="1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hidden="1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hidden="1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hidden="1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hidden="1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hidden="1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hidden="1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hidden="1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hidden="1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hidden="1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hidden="1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hidden="1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hidden="1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hidden="1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hidden="1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hidden="1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hidden="1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hidden="1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hidden="1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hidden="1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hidden="1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hidden="1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hidden="1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hidden="1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hidden="1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hidden="1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hidden="1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hidden="1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hidden="1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hidden="1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hidden="1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hidden="1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hidden="1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hidden="1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hidden="1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hidden="1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hidden="1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hidden="1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hidden="1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hidden="1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hidden="1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hidden="1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hidden="1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hidden="1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hidden="1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hidden="1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hidden="1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hidden="1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hidden="1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hidden="1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hidden="1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hidden="1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hidden="1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hidden="1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hidden="1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hidden="1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hidden="1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hidden="1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hidden="1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hidden="1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hidden="1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hidden="1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hidden="1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hidden="1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hidden="1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hidden="1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hidden="1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hidden="1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hidden="1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hidden="1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hidden="1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hidden="1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hidden="1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hidden="1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hidden="1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hidden="1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hidden="1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hidden="1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hidden="1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hidden="1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hidden="1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hidden="1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hidden="1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hidden="1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hidden="1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hidden="1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hidden="1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hidden="1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hidden="1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hidden="1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hidden="1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hidden="1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hidden="1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hidden="1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hidden="1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hidden="1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hidden="1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hidden="1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hidden="1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hidden="1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hidden="1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hidden="1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hidden="1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hidden="1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hidden="1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hidden="1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hidden="1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hidden="1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hidden="1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hidden="1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hidden="1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hidden="1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hidden="1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hidden="1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hidden="1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hidden="1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hidden="1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hidden="1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hidden="1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hidden="1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hidden="1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hidden="1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hidden="1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hidden="1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hidden="1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hidden="1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hidden="1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hidden="1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hidden="1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hidden="1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hidden="1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hidden="1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hidden="1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hidden="1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hidden="1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hidden="1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hidden="1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hidden="1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hidden="1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hidden="1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hidden="1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hidden="1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hidden="1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hidden="1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hidden="1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hidden="1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hidden="1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hidden="1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hidden="1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hidden="1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hidden="1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hidden="1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hidden="1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hidden="1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hidden="1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hidden="1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hidden="1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hidden="1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hidden="1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hidden="1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hidden="1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hidden="1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hidden="1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hidden="1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hidden="1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hidden="1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hidden="1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hidden="1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hidden="1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hidden="1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hidden="1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hidden="1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hidden="1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hidden="1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hidden="1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hidden="1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hidden="1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hidden="1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hidden="1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hidden="1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hidden="1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hidden="1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hidden="1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hidden="1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hidden="1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hidden="1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hidden="1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hidden="1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hidden="1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hidden="1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hidden="1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hidden="1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hidden="1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hidden="1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hidden="1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hidden="1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hidden="1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hidden="1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hidden="1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hidden="1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hidden="1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hidden="1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hidden="1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hidden="1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hidden="1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hidden="1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hidden="1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hidden="1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hidden="1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hidden="1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hidden="1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hidden="1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hidden="1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hidden="1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hidden="1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hidden="1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hidden="1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hidden="1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hidden="1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hidden="1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hidden="1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hidden="1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hidden="1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hidden="1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hidden="1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hidden="1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hidden="1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hidden="1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hidden="1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hidden="1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hidden="1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hidden="1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hidden="1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hidden="1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hidden="1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hidden="1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hidden="1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hidden="1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hidden="1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hidden="1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hidden="1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hidden="1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hidden="1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hidden="1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hidden="1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hidden="1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hidden="1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hidden="1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hidden="1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hidden="1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hidden="1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hidden="1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hidden="1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hidden="1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hidden="1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hidden="1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hidden="1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hidden="1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hidden="1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hidden="1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hidden="1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hidden="1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hidden="1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hidden="1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hidden="1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hidden="1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hidden="1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hidden="1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hidden="1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hidden="1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hidden="1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hidden="1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hidden="1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hidden="1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hidden="1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hidden="1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hidden="1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hidden="1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hidden="1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hidden="1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hidden="1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hidden="1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hidden="1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hidden="1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hidden="1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hidden="1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hidden="1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hidden="1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hidden="1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hidden="1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hidden="1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hidden="1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hidden="1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hidden="1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hidden="1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hidden="1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hidden="1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hidden="1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hidden="1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hidden="1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hidden="1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hidden="1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hidden="1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hidden="1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hidden="1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hidden="1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hidden="1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hidden="1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hidden="1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hidden="1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hidden="1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hidden="1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hidden="1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hidden="1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hidden="1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hidden="1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hidden="1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hidden="1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hidden="1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hidden="1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hidden="1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hidden="1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hidden="1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hidden="1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hidden="1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hidden="1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hidden="1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hidden="1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hidden="1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hidden="1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hidden="1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hidden="1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hidden="1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hidden="1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hidden="1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hidden="1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hidden="1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hidden="1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hidden="1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hidden="1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hidden="1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hidden="1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hidden="1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hidden="1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hidden="1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hidden="1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hidden="1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hidden="1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hidden="1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hidden="1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hidden="1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hidden="1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hidden="1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hidden="1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hidden="1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hidden="1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hidden="1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hidden="1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hidden="1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hidden="1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hidden="1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hidden="1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hidden="1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hidden="1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hidden="1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hidden="1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hidden="1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hidden="1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hidden="1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hidden="1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hidden="1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hidden="1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hidden="1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hidden="1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hidden="1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hidden="1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hidden="1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hidden="1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hidden="1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hidden="1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hidden="1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hidden="1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hidden="1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hidden="1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hidden="1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hidden="1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hidden="1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hidden="1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hidden="1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hidden="1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hidden="1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hidden="1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hidden="1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hidden="1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hidden="1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hidden="1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hidden="1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hidden="1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hidden="1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hidden="1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hidden="1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hidden="1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hidden="1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hidden="1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hidden="1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hidden="1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hidden="1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hidden="1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hidden="1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hidden="1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hidden="1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hidden="1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hidden="1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hidden="1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hidden="1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hidden="1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hidden="1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hidden="1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hidden="1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hidden="1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hidden="1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hidden="1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hidden="1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hidden="1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hidden="1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hidden="1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hidden="1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hidden="1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hidden="1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hidden="1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hidden="1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hidden="1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hidden="1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hidden="1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hidden="1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hidden="1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hidden="1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hidden="1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hidden="1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hidden="1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hidden="1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hidden="1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hidden="1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hidden="1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hidden="1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hidden="1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hidden="1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hidden="1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hidden="1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hidden="1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hidden="1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hidden="1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hidden="1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hidden="1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>
        <v>8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hidden="1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hidden="1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hidden="1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hidden="1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hidden="1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hidden="1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hidden="1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hidden="1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hidden="1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hidden="1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hidden="1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hidden="1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hidden="1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hidden="1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hidden="1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hidden="1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hidden="1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hidden="1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hidden="1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hidden="1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hidden="1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hidden="1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hidden="1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hidden="1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hidden="1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hidden="1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hidden="1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hidden="1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hidden="1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hidden="1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hidden="1" x14ac:dyDescent="0.25">
      <c r="V626" s="19"/>
      <c r="AF626" s="3">
        <f t="shared" si="47"/>
        <v>0</v>
      </c>
      <c r="AH626" s="3">
        <f t="shared" si="48"/>
        <v>0</v>
      </c>
    </row>
    <row r="627" spans="1:44" hidden="1" x14ac:dyDescent="0.25">
      <c r="V627" s="19"/>
      <c r="AF627" s="3">
        <f t="shared" si="47"/>
        <v>0</v>
      </c>
      <c r="AH627" s="3">
        <f t="shared" si="48"/>
        <v>0</v>
      </c>
    </row>
    <row r="628" spans="1:44" hidden="1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hidden="1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hidden="1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hidden="1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hidden="1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hidden="1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hidden="1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hidden="1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hidden="1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hidden="1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hidden="1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hidden="1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hidden="1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hidden="1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hidden="1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hidden="1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hidden="1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hidden="1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hidden="1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hidden="1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hidden="1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hidden="1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hidden="1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hidden="1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hidden="1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hidden="1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hidden="1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hidden="1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hidden="1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hidden="1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hidden="1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hidden="1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hidden="1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hidden="1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hidden="1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hidden="1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hidden="1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hidden="1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hidden="1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hidden="1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hidden="1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hidden="1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hidden="1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hidden="1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hidden="1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hidden="1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hidden="1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hidden="1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hidden="1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hidden="1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hidden="1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hidden="1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hidden="1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hidden="1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hidden="1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hidden="1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hidden="1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hidden="1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hidden="1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hidden="1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hidden="1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hidden="1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hidden="1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hidden="1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hidden="1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hidden="1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hidden="1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hidden="1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hidden="1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hidden="1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hidden="1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hidden="1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hidden="1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hidden="1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hidden="1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hidden="1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hidden="1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hidden="1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hidden="1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hidden="1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hidden="1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hidden="1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hidden="1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hidden="1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hidden="1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hidden="1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hidden="1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hidden="1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hidden="1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hidden="1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hidden="1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hidden="1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hidden="1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hidden="1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hidden="1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hidden="1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hidden="1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hidden="1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hidden="1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hidden="1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hidden="1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hidden="1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hidden="1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hidden="1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hidden="1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hidden="1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hidden="1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hidden="1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hidden="1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hidden="1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hidden="1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hidden="1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hidden="1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hidden="1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hidden="1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hidden="1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hidden="1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hidden="1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hidden="1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hidden="1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hidden="1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hidden="1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hidden="1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hidden="1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hidden="1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hidden="1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hidden="1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hidden="1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hidden="1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hidden="1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hidden="1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hidden="1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hidden="1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hidden="1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hidden="1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hidden="1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hidden="1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hidden="1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hidden="1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hidden="1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hidden="1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hidden="1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hidden="1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hidden="1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hidden="1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hidden="1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hidden="1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hidden="1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hidden="1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hidden="1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hidden="1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hidden="1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hidden="1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hidden="1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hidden="1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hidden="1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hidden="1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hidden="1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hidden="1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hidden="1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hidden="1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hidden="1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hidden="1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hidden="1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hidden="1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hidden="1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hidden="1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hidden="1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hidden="1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hidden="1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hidden="1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hidden="1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hidden="1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hidden="1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hidden="1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hidden="1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hidden="1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hidden="1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hidden="1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hidden="1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hidden="1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hidden="1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hidden="1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hidden="1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hidden="1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hidden="1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hidden="1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hidden="1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hidden="1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hidden="1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hidden="1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hidden="1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hidden="1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hidden="1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hidden="1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hidden="1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hidden="1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hidden="1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hidden="1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hidden="1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hidden="1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hidden="1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hidden="1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hidden="1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hidden="1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hidden="1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hidden="1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hidden="1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hidden="1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hidden="1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hidden="1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hidden="1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hidden="1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hidden="1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hidden="1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hidden="1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hidden="1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hidden="1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hidden="1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hidden="1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hidden="1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hidden="1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hidden="1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hidden="1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hidden="1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hidden="1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hidden="1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hidden="1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hidden="1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hidden="1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hidden="1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hidden="1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hidden="1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hidden="1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hidden="1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hidden="1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hidden="1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hidden="1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hidden="1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hidden="1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hidden="1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hidden="1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hidden="1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hidden="1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hidden="1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hidden="1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hidden="1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hidden="1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hidden="1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hidden="1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hidden="1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hidden="1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hidden="1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hidden="1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hidden="1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hidden="1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hidden="1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hidden="1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hidden="1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hidden="1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hidden="1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hidden="1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hidden="1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hidden="1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hidden="1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hidden="1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hidden="1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hidden="1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hidden="1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hidden="1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hidden="1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hidden="1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hidden="1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hidden="1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hidden="1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hidden="1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hidden="1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hidden="1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hidden="1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hidden="1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hidden="1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hidden="1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hidden="1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hidden="1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hidden="1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hidden="1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hidden="1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hidden="1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hidden="1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hidden="1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hidden="1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hidden="1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hidden="1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hidden="1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hidden="1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hidden="1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hidden="1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hidden="1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hidden="1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hidden="1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hidden="1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hidden="1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hidden="1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hidden="1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hidden="1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hidden="1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hidden="1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hidden="1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hidden="1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hidden="1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hidden="1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hidden="1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hidden="1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hidden="1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hidden="1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hidden="1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hidden="1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hidden="1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hidden="1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hidden="1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hidden="1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hidden="1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hidden="1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hidden="1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hidden="1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hidden="1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hidden="1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hidden="1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hidden="1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hidden="1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hidden="1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hidden="1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hidden="1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hidden="1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hidden="1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hidden="1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hidden="1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hidden="1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hidden="1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hidden="1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hidden="1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hidden="1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hidden="1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hidden="1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hidden="1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hidden="1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hidden="1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hidden="1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hidden="1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hidden="1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hidden="1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hidden="1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hidden="1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hidden="1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hidden="1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hidden="1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hidden="1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hidden="1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hidden="1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hidden="1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hidden="1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hidden="1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hidden="1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hidden="1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hidden="1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hidden="1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hidden="1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hidden="1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hidden="1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hidden="1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hidden="1" x14ac:dyDescent="0.25">
      <c r="I998" s="31"/>
      <c r="AF998" s="3">
        <f t="shared" si="61"/>
        <v>0</v>
      </c>
      <c r="AH998" s="3">
        <f t="shared" si="62"/>
        <v>0</v>
      </c>
    </row>
    <row r="999" spans="9:34" hidden="1" x14ac:dyDescent="0.25"/>
    <row r="1048576" spans="18:19" x14ac:dyDescent="0.25">
      <c r="R1048576" s="73"/>
      <c r="S1048576" s="73"/>
    </row>
  </sheetData>
  <autoFilter ref="A1:AQ999" xr:uid="{EBD16A14-FAF8-4694-A392-66F9E737703D}">
    <filterColumn colId="1">
      <filters>
        <filter val="اصول 5S"/>
      </filters>
    </filterColumn>
  </autoFilter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zoomScale="85" zoomScaleNormal="85" workbookViewId="0">
      <pane ySplit="1" topLeftCell="A431" activePane="bottomLeft" state="frozen"/>
      <selection activeCell="Y1" sqref="Y1"/>
      <selection pane="bottomLeft" activeCell="B442" sqref="B442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40" width="9.140625" style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441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2097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2097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O261" s="1" t="s">
        <v>2028</v>
      </c>
      <c r="AP261" s="1" t="s">
        <v>939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11" si="25">AE323/60</f>
        <v>1</v>
      </c>
      <c r="AH323" s="1">
        <f t="shared" ref="AH323:AH377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7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2073</v>
      </c>
      <c r="S366" s="3" t="s">
        <v>939</v>
      </c>
      <c r="AB366" s="2" t="s">
        <v>267</v>
      </c>
      <c r="AC366" s="3" t="s">
        <v>2074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  <c r="AQ366" s="49">
        <v>1500000</v>
      </c>
      <c r="AR366" s="49">
        <f t="shared" si="28"/>
        <v>16500000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2074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  <c r="AQ367" s="49">
        <v>750000</v>
      </c>
      <c r="AR367" s="49">
        <f t="shared" si="28"/>
        <v>4875000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2074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  <c r="AQ368" s="49">
        <v>1500000</v>
      </c>
      <c r="AR368" s="49">
        <f t="shared" ref="AR368:AR401" si="29">AF368*AQ368</f>
        <v>9750000</v>
      </c>
    </row>
    <row r="369" spans="1:44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2074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  <c r="AQ369" s="49">
        <v>1500000</v>
      </c>
      <c r="AR369" s="49">
        <f t="shared" si="29"/>
        <v>6750000</v>
      </c>
    </row>
    <row r="370" spans="1:44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2074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  <c r="AQ370" s="49">
        <v>1500000</v>
      </c>
      <c r="AR370" s="49">
        <f t="shared" si="29"/>
        <v>15000000</v>
      </c>
    </row>
    <row r="371" spans="1:44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2074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  <c r="AQ371" s="49">
        <v>1500000</v>
      </c>
      <c r="AR371" s="49">
        <f t="shared" si="29"/>
        <v>1500000</v>
      </c>
    </row>
    <row r="372" spans="1:44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2074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  <c r="AQ372" s="49">
        <v>750000</v>
      </c>
      <c r="AR372" s="49">
        <f t="shared" si="29"/>
        <v>3375000</v>
      </c>
    </row>
    <row r="373" spans="1:44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2074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  <c r="AQ373" s="49">
        <v>750000</v>
      </c>
      <c r="AR373" s="49">
        <f t="shared" si="29"/>
        <v>4875000</v>
      </c>
    </row>
    <row r="374" spans="1:44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2074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  <c r="AQ374" s="49">
        <v>750000</v>
      </c>
      <c r="AR374" s="49">
        <f t="shared" si="29"/>
        <v>1500000</v>
      </c>
    </row>
    <row r="375" spans="1:44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2074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  <c r="AQ375" s="49">
        <v>750000</v>
      </c>
      <c r="AR375" s="49">
        <f t="shared" si="29"/>
        <v>2250000</v>
      </c>
    </row>
    <row r="376" spans="1:44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2074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  <c r="AQ376" s="49">
        <v>750000</v>
      </c>
      <c r="AR376" s="49">
        <f t="shared" si="29"/>
        <v>1500000</v>
      </c>
    </row>
    <row r="377" spans="1:44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2074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2075</v>
      </c>
      <c r="AQ377" s="49">
        <v>750000</v>
      </c>
      <c r="AR377" s="49">
        <f t="shared" si="29"/>
        <v>2250000</v>
      </c>
    </row>
    <row r="378" spans="1:44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2074</v>
      </c>
      <c r="AD378" s="3" t="s">
        <v>108</v>
      </c>
      <c r="AE378" s="1">
        <v>150</v>
      </c>
      <c r="AF378" s="1">
        <f t="shared" si="25"/>
        <v>2.5</v>
      </c>
      <c r="AQ378" s="49">
        <v>750000</v>
      </c>
      <c r="AR378" s="49">
        <f t="shared" si="29"/>
        <v>1875000</v>
      </c>
    </row>
    <row r="379" spans="1:44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2074</v>
      </c>
      <c r="AD379" s="3" t="s">
        <v>108</v>
      </c>
      <c r="AE379" s="1">
        <v>90</v>
      </c>
      <c r="AF379" s="1">
        <f t="shared" si="25"/>
        <v>1.5</v>
      </c>
      <c r="AQ379" s="49">
        <v>750000</v>
      </c>
      <c r="AR379" s="49">
        <f t="shared" si="29"/>
        <v>1125000</v>
      </c>
    </row>
    <row r="380" spans="1:44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2074</v>
      </c>
      <c r="AD380" s="3" t="s">
        <v>108</v>
      </c>
      <c r="AE380" s="1">
        <v>240</v>
      </c>
      <c r="AF380" s="1">
        <f t="shared" si="25"/>
        <v>4</v>
      </c>
      <c r="AQ380" s="49">
        <v>750000</v>
      </c>
      <c r="AR380" s="49">
        <f t="shared" si="29"/>
        <v>3000000</v>
      </c>
    </row>
    <row r="381" spans="1:44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2074</v>
      </c>
      <c r="AD381" s="3" t="s">
        <v>108</v>
      </c>
      <c r="AE381" s="1">
        <v>90</v>
      </c>
      <c r="AF381" s="1">
        <f t="shared" si="25"/>
        <v>1.5</v>
      </c>
      <c r="AO381" s="1" t="s">
        <v>2074</v>
      </c>
      <c r="AQ381" s="49">
        <v>750000</v>
      </c>
      <c r="AR381" s="49">
        <f t="shared" si="29"/>
        <v>1125000</v>
      </c>
    </row>
    <row r="382" spans="1:44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2074</v>
      </c>
      <c r="AD382" s="3" t="s">
        <v>108</v>
      </c>
      <c r="AE382" s="1">
        <v>90</v>
      </c>
      <c r="AF382" s="1">
        <f t="shared" si="25"/>
        <v>1.5</v>
      </c>
      <c r="AQ382" s="49">
        <v>750000</v>
      </c>
      <c r="AR382" s="49">
        <f t="shared" si="29"/>
        <v>1125000</v>
      </c>
    </row>
    <row r="383" spans="1:44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2074</v>
      </c>
      <c r="AD383" s="3" t="s">
        <v>108</v>
      </c>
      <c r="AE383" s="1">
        <v>720</v>
      </c>
      <c r="AF383" s="1">
        <f t="shared" si="25"/>
        <v>12</v>
      </c>
      <c r="AQ383" s="49">
        <v>750000</v>
      </c>
      <c r="AR383" s="49">
        <f t="shared" si="29"/>
        <v>9000000</v>
      </c>
    </row>
    <row r="384" spans="1:44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2074</v>
      </c>
      <c r="AD384" s="3" t="s">
        <v>127</v>
      </c>
      <c r="AE384" s="1">
        <v>540</v>
      </c>
      <c r="AF384" s="1">
        <f t="shared" si="25"/>
        <v>9</v>
      </c>
      <c r="AQ384" s="49">
        <v>750000</v>
      </c>
      <c r="AR384" s="49">
        <f t="shared" si="29"/>
        <v>6750000</v>
      </c>
    </row>
    <row r="385" spans="1:44" ht="30" x14ac:dyDescent="0.25">
      <c r="A385" s="3">
        <v>384</v>
      </c>
      <c r="B385" s="3" t="s">
        <v>2076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2081</v>
      </c>
      <c r="K385" s="19">
        <v>1</v>
      </c>
      <c r="N385" s="3" t="s">
        <v>38</v>
      </c>
      <c r="O385" s="129">
        <v>7605</v>
      </c>
      <c r="P385" s="2" t="s">
        <v>2082</v>
      </c>
      <c r="R385" s="73" t="s">
        <v>38</v>
      </c>
      <c r="AB385" s="2" t="s">
        <v>267</v>
      </c>
      <c r="AC385" s="3" t="s">
        <v>2074</v>
      </c>
      <c r="AD385" s="3" t="s">
        <v>130</v>
      </c>
      <c r="AE385" s="1">
        <v>270</v>
      </c>
      <c r="AF385" s="1">
        <f t="shared" si="25"/>
        <v>4.5</v>
      </c>
      <c r="AQ385" s="49">
        <v>750000</v>
      </c>
      <c r="AR385" s="49">
        <f t="shared" si="29"/>
        <v>3375000</v>
      </c>
    </row>
    <row r="386" spans="1:44" ht="30" x14ac:dyDescent="0.25">
      <c r="A386" s="3">
        <v>385</v>
      </c>
      <c r="B386" s="3" t="s">
        <v>2077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2081</v>
      </c>
      <c r="K386" s="19">
        <v>1</v>
      </c>
      <c r="N386" s="3" t="s">
        <v>38</v>
      </c>
      <c r="O386" s="129">
        <v>7605</v>
      </c>
      <c r="P386" s="2" t="s">
        <v>2084</v>
      </c>
      <c r="R386" s="73" t="s">
        <v>38</v>
      </c>
      <c r="AB386" s="2" t="s">
        <v>267</v>
      </c>
      <c r="AC386" s="3" t="s">
        <v>2074</v>
      </c>
      <c r="AD386" s="3" t="s">
        <v>130</v>
      </c>
      <c r="AE386" s="1">
        <v>270</v>
      </c>
      <c r="AF386" s="1">
        <f t="shared" si="25"/>
        <v>4.5</v>
      </c>
      <c r="AQ386" s="49">
        <v>750000</v>
      </c>
      <c r="AR386" s="49">
        <f t="shared" si="29"/>
        <v>3375000</v>
      </c>
    </row>
    <row r="387" spans="1:44" ht="30" x14ac:dyDescent="0.25">
      <c r="A387" s="3">
        <v>386</v>
      </c>
      <c r="B387" s="3" t="s">
        <v>2078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2081</v>
      </c>
      <c r="K387" s="19">
        <v>1</v>
      </c>
      <c r="N387" s="3" t="s">
        <v>38</v>
      </c>
      <c r="O387" s="129">
        <v>7605</v>
      </c>
      <c r="P387" s="2" t="s">
        <v>2083</v>
      </c>
      <c r="R387" s="73" t="s">
        <v>38</v>
      </c>
      <c r="AB387" s="2" t="s">
        <v>267</v>
      </c>
      <c r="AC387" s="3" t="s">
        <v>2074</v>
      </c>
      <c r="AD387" s="3" t="s">
        <v>130</v>
      </c>
      <c r="AE387" s="1">
        <v>180</v>
      </c>
      <c r="AF387" s="1">
        <f t="shared" si="25"/>
        <v>3</v>
      </c>
      <c r="AQ387" s="49">
        <v>750000</v>
      </c>
      <c r="AR387" s="49">
        <f t="shared" si="29"/>
        <v>2250000</v>
      </c>
    </row>
    <row r="388" spans="1:44" ht="30" x14ac:dyDescent="0.25">
      <c r="A388" s="3">
        <v>387</v>
      </c>
      <c r="B388" s="3" t="s">
        <v>2079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2081</v>
      </c>
      <c r="K388" s="19">
        <v>1</v>
      </c>
      <c r="N388" s="3" t="s">
        <v>38</v>
      </c>
      <c r="O388" s="129">
        <v>7604</v>
      </c>
      <c r="P388" s="2" t="s">
        <v>2085</v>
      </c>
      <c r="R388" s="73" t="s">
        <v>38</v>
      </c>
      <c r="AB388" s="2" t="s">
        <v>267</v>
      </c>
      <c r="AC388" s="3" t="s">
        <v>2074</v>
      </c>
      <c r="AD388" s="3" t="s">
        <v>130</v>
      </c>
      <c r="AE388" s="1">
        <v>180</v>
      </c>
      <c r="AF388" s="1">
        <f t="shared" si="25"/>
        <v>3</v>
      </c>
      <c r="AQ388" s="49">
        <v>750000</v>
      </c>
      <c r="AR388" s="49">
        <f t="shared" si="29"/>
        <v>2250000</v>
      </c>
    </row>
    <row r="389" spans="1:44" ht="30" x14ac:dyDescent="0.25">
      <c r="A389" s="3">
        <v>388</v>
      </c>
      <c r="B389" s="3" t="s">
        <v>2080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2081</v>
      </c>
      <c r="K389" s="19">
        <v>1</v>
      </c>
      <c r="N389" s="3" t="s">
        <v>38</v>
      </c>
      <c r="O389" s="129">
        <v>7604</v>
      </c>
      <c r="P389" s="2" t="s">
        <v>2080</v>
      </c>
      <c r="R389" s="73" t="s">
        <v>38</v>
      </c>
      <c r="AB389" s="2" t="s">
        <v>267</v>
      </c>
      <c r="AC389" s="3" t="s">
        <v>2074</v>
      </c>
      <c r="AD389" s="3" t="s">
        <v>130</v>
      </c>
      <c r="AE389" s="1">
        <v>180</v>
      </c>
      <c r="AF389" s="1">
        <f t="shared" si="25"/>
        <v>3</v>
      </c>
      <c r="AQ389" s="49">
        <v>750000</v>
      </c>
      <c r="AR389" s="49">
        <f t="shared" si="29"/>
        <v>2250000</v>
      </c>
    </row>
    <row r="390" spans="1:44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2074</v>
      </c>
      <c r="AD390" s="3" t="s">
        <v>108</v>
      </c>
      <c r="AE390" s="1">
        <v>660</v>
      </c>
      <c r="AF390" s="1">
        <f t="shared" si="25"/>
        <v>11</v>
      </c>
      <c r="AQ390" s="49">
        <v>750000</v>
      </c>
      <c r="AR390" s="49">
        <f t="shared" si="29"/>
        <v>8250000</v>
      </c>
    </row>
    <row r="391" spans="1:44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2074</v>
      </c>
      <c r="AD391" s="3" t="s">
        <v>108</v>
      </c>
      <c r="AE391" s="1">
        <v>300</v>
      </c>
      <c r="AF391" s="1">
        <f t="shared" si="25"/>
        <v>5</v>
      </c>
      <c r="AQ391" s="49">
        <v>750000</v>
      </c>
      <c r="AR391" s="49">
        <f t="shared" si="29"/>
        <v>3750000</v>
      </c>
    </row>
    <row r="392" spans="1:44" ht="30" x14ac:dyDescent="0.25">
      <c r="A392" s="3">
        <v>391</v>
      </c>
      <c r="B392" s="3" t="s">
        <v>2086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2074</v>
      </c>
      <c r="AD392" s="3" t="s">
        <v>108</v>
      </c>
      <c r="AE392" s="1">
        <v>60</v>
      </c>
      <c r="AF392" s="1">
        <f t="shared" si="25"/>
        <v>1</v>
      </c>
      <c r="AQ392" s="49">
        <v>750000</v>
      </c>
      <c r="AR392" s="49">
        <f t="shared" si="29"/>
        <v>750000</v>
      </c>
    </row>
    <row r="393" spans="1:44" ht="30" x14ac:dyDescent="0.25">
      <c r="A393" s="3">
        <v>392</v>
      </c>
      <c r="B393" s="3" t="s">
        <v>2086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2074</v>
      </c>
      <c r="AD393" s="3" t="s">
        <v>108</v>
      </c>
      <c r="AE393" s="1">
        <v>60</v>
      </c>
      <c r="AF393" s="1">
        <f t="shared" si="25"/>
        <v>1</v>
      </c>
      <c r="AQ393" s="49">
        <v>750000</v>
      </c>
      <c r="AR393" s="49">
        <f t="shared" si="29"/>
        <v>750000</v>
      </c>
    </row>
    <row r="394" spans="1:44" ht="30" x14ac:dyDescent="0.25">
      <c r="A394" s="3">
        <v>393</v>
      </c>
      <c r="B394" s="9" t="s">
        <v>2000</v>
      </c>
      <c r="C394" s="9" t="s">
        <v>27</v>
      </c>
      <c r="D394" s="73" t="s">
        <v>329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2074</v>
      </c>
      <c r="AD394" s="3" t="s">
        <v>108</v>
      </c>
      <c r="AE394" s="1">
        <v>60</v>
      </c>
      <c r="AF394" s="1">
        <f t="shared" si="25"/>
        <v>1</v>
      </c>
      <c r="AQ394" s="49">
        <v>750000</v>
      </c>
      <c r="AR394" s="49">
        <f t="shared" si="29"/>
        <v>750000</v>
      </c>
    </row>
    <row r="395" spans="1:44" ht="30" x14ac:dyDescent="0.25">
      <c r="A395" s="3">
        <v>394</v>
      </c>
      <c r="B395" s="3" t="s">
        <v>2087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2088</v>
      </c>
      <c r="K395" s="19">
        <v>2</v>
      </c>
      <c r="L395" s="3" t="s">
        <v>2089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2074</v>
      </c>
      <c r="AD395" s="3" t="s">
        <v>108</v>
      </c>
      <c r="AE395" s="1">
        <v>150</v>
      </c>
      <c r="AF395" s="1">
        <f t="shared" si="25"/>
        <v>2.5</v>
      </c>
      <c r="AQ395" s="49">
        <v>750000</v>
      </c>
      <c r="AR395" s="49">
        <f t="shared" si="29"/>
        <v>1875000</v>
      </c>
    </row>
    <row r="396" spans="1:44" ht="30" x14ac:dyDescent="0.25">
      <c r="A396" s="3">
        <v>395</v>
      </c>
      <c r="B396" s="3" t="s">
        <v>2090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2091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2074</v>
      </c>
      <c r="AD396" s="3" t="s">
        <v>108</v>
      </c>
      <c r="AE396" s="1">
        <v>150</v>
      </c>
      <c r="AF396" s="1">
        <f t="shared" si="25"/>
        <v>2.5</v>
      </c>
      <c r="AQ396" s="49">
        <v>750000</v>
      </c>
      <c r="AR396" s="49">
        <f t="shared" si="29"/>
        <v>1875000</v>
      </c>
    </row>
    <row r="397" spans="1:44" ht="30" x14ac:dyDescent="0.25">
      <c r="A397" s="3">
        <v>396</v>
      </c>
      <c r="B397" s="3" t="s">
        <v>2076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2081</v>
      </c>
      <c r="K397" s="73">
        <v>1</v>
      </c>
      <c r="N397" s="3" t="s">
        <v>57</v>
      </c>
      <c r="O397" s="129">
        <v>7302</v>
      </c>
      <c r="P397" s="2" t="s">
        <v>2082</v>
      </c>
      <c r="R397" s="3" t="s">
        <v>79</v>
      </c>
      <c r="AB397" s="2" t="s">
        <v>267</v>
      </c>
      <c r="AC397" s="3" t="s">
        <v>2074</v>
      </c>
      <c r="AD397" s="3" t="s">
        <v>108</v>
      </c>
      <c r="AE397" s="1">
        <v>120</v>
      </c>
      <c r="AF397" s="1">
        <f t="shared" si="25"/>
        <v>2</v>
      </c>
      <c r="AQ397" s="49">
        <v>750000</v>
      </c>
      <c r="AR397" s="49">
        <f t="shared" si="29"/>
        <v>1500000</v>
      </c>
    </row>
    <row r="398" spans="1:44" ht="30" x14ac:dyDescent="0.25">
      <c r="A398" s="3">
        <v>397</v>
      </c>
      <c r="B398" s="3" t="s">
        <v>2090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2092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2074</v>
      </c>
      <c r="AD398" s="3" t="s">
        <v>108</v>
      </c>
      <c r="AE398" s="1">
        <v>240</v>
      </c>
      <c r="AF398" s="1">
        <f t="shared" si="25"/>
        <v>4</v>
      </c>
      <c r="AQ398" s="49">
        <v>750000</v>
      </c>
      <c r="AR398" s="49">
        <f t="shared" si="29"/>
        <v>3000000</v>
      </c>
    </row>
    <row r="399" spans="1:44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2093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2074</v>
      </c>
      <c r="AD399" s="3" t="s">
        <v>108</v>
      </c>
      <c r="AE399" s="1">
        <v>360</v>
      </c>
      <c r="AF399" s="1">
        <f t="shared" si="25"/>
        <v>6</v>
      </c>
      <c r="AQ399" s="49">
        <v>750000</v>
      </c>
      <c r="AR399" s="49">
        <f t="shared" si="29"/>
        <v>4500000</v>
      </c>
    </row>
    <row r="400" spans="1:44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2094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2074</v>
      </c>
      <c r="AD400" s="3" t="s">
        <v>108</v>
      </c>
      <c r="AE400" s="1">
        <v>300</v>
      </c>
      <c r="AF400" s="1">
        <f t="shared" si="25"/>
        <v>5</v>
      </c>
      <c r="AQ400" s="49">
        <v>750000</v>
      </c>
      <c r="AR400" s="49">
        <f t="shared" si="29"/>
        <v>3750000</v>
      </c>
    </row>
    <row r="401" spans="1:44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2074</v>
      </c>
      <c r="AD401" s="3" t="s">
        <v>108</v>
      </c>
      <c r="AE401" s="1">
        <v>60</v>
      </c>
      <c r="AF401" s="1">
        <f t="shared" si="25"/>
        <v>1</v>
      </c>
      <c r="AQ401" s="49">
        <v>750000</v>
      </c>
      <c r="AR401" s="49">
        <f t="shared" si="29"/>
        <v>750000</v>
      </c>
    </row>
    <row r="402" spans="1:44" ht="30" x14ac:dyDescent="0.25">
      <c r="A402" s="3">
        <v>401</v>
      </c>
      <c r="B402" s="9" t="s">
        <v>2000</v>
      </c>
      <c r="C402" s="9" t="s">
        <v>27</v>
      </c>
      <c r="D402" s="3" t="s">
        <v>1065</v>
      </c>
      <c r="E402" s="9" t="s">
        <v>853</v>
      </c>
      <c r="F402" s="9" t="s">
        <v>28</v>
      </c>
      <c r="G402" s="9" t="s">
        <v>29</v>
      </c>
      <c r="H402" s="9">
        <v>29889</v>
      </c>
      <c r="I402" s="9"/>
      <c r="J402" s="32" t="s">
        <v>2001</v>
      </c>
      <c r="K402" s="32">
        <v>1</v>
      </c>
      <c r="N402" s="3" t="s">
        <v>50</v>
      </c>
      <c r="O402" s="129">
        <v>7204</v>
      </c>
      <c r="P402" s="2" t="s">
        <v>2051</v>
      </c>
      <c r="R402" s="73" t="s">
        <v>1810</v>
      </c>
      <c r="S402" s="3" t="s">
        <v>939</v>
      </c>
      <c r="AB402" s="2" t="s">
        <v>267</v>
      </c>
      <c r="AC402" s="3" t="s">
        <v>2096</v>
      </c>
      <c r="AD402" s="3" t="s">
        <v>145</v>
      </c>
      <c r="AE402" s="1">
        <v>540</v>
      </c>
      <c r="AF402" s="1">
        <f t="shared" si="25"/>
        <v>9</v>
      </c>
    </row>
    <row r="403" spans="1:44" ht="30" x14ac:dyDescent="0.25">
      <c r="A403" s="3">
        <v>402</v>
      </c>
      <c r="B403" s="9" t="s">
        <v>2000</v>
      </c>
      <c r="C403" s="9" t="s">
        <v>27</v>
      </c>
      <c r="D403" s="3" t="s">
        <v>1065</v>
      </c>
      <c r="E403" s="9" t="s">
        <v>853</v>
      </c>
      <c r="F403" s="9" t="s">
        <v>28</v>
      </c>
      <c r="G403" s="9" t="s">
        <v>29</v>
      </c>
      <c r="H403" s="9">
        <v>29889</v>
      </c>
      <c r="I403" s="9"/>
      <c r="J403" s="32" t="s">
        <v>2001</v>
      </c>
      <c r="K403" s="32">
        <v>1</v>
      </c>
      <c r="N403" s="3" t="s">
        <v>50</v>
      </c>
      <c r="O403" s="129">
        <v>7204</v>
      </c>
      <c r="P403" s="2" t="s">
        <v>2095</v>
      </c>
      <c r="R403" s="73" t="s">
        <v>1810</v>
      </c>
      <c r="S403" s="3" t="s">
        <v>939</v>
      </c>
      <c r="AB403" s="2" t="s">
        <v>267</v>
      </c>
      <c r="AC403" s="3" t="s">
        <v>2096</v>
      </c>
      <c r="AD403" s="3" t="s">
        <v>112</v>
      </c>
      <c r="AE403" s="1">
        <v>120</v>
      </c>
      <c r="AF403" s="1">
        <f t="shared" si="25"/>
        <v>2</v>
      </c>
    </row>
    <row r="404" spans="1:44" ht="30" x14ac:dyDescent="0.25">
      <c r="A404" s="3">
        <v>403</v>
      </c>
      <c r="B404" s="3" t="s">
        <v>2035</v>
      </c>
      <c r="C404" s="3" t="s">
        <v>45</v>
      </c>
      <c r="D404" s="9" t="s">
        <v>1964</v>
      </c>
      <c r="E404" s="73" t="s">
        <v>853</v>
      </c>
      <c r="F404" s="73" t="s">
        <v>199</v>
      </c>
      <c r="G404" s="73" t="s">
        <v>29</v>
      </c>
      <c r="H404" s="73"/>
      <c r="I404" s="73"/>
      <c r="J404" s="25" t="s">
        <v>2036</v>
      </c>
      <c r="K404" s="73">
        <v>1</v>
      </c>
      <c r="N404" s="3" t="s">
        <v>50</v>
      </c>
      <c r="O404" s="129">
        <v>7203</v>
      </c>
      <c r="P404" s="2" t="s">
        <v>146</v>
      </c>
      <c r="R404" s="73" t="s">
        <v>1810</v>
      </c>
      <c r="AB404" s="2" t="s">
        <v>267</v>
      </c>
      <c r="AC404" s="3" t="s">
        <v>2096</v>
      </c>
      <c r="AD404" s="3" t="s">
        <v>108</v>
      </c>
      <c r="AE404" s="1">
        <v>660</v>
      </c>
      <c r="AF404" s="1">
        <f t="shared" si="25"/>
        <v>11</v>
      </c>
    </row>
    <row r="405" spans="1:44" ht="30" x14ac:dyDescent="0.25">
      <c r="A405" s="3">
        <v>404</v>
      </c>
      <c r="B405" s="3" t="s">
        <v>1598</v>
      </c>
      <c r="C405" s="3" t="s">
        <v>27</v>
      </c>
      <c r="D405" s="3" t="s">
        <v>1806</v>
      </c>
      <c r="E405" s="3" t="s">
        <v>853</v>
      </c>
      <c r="F405" s="3" t="s">
        <v>28</v>
      </c>
      <c r="G405" s="3" t="s">
        <v>29</v>
      </c>
      <c r="H405" s="3">
        <v>30416</v>
      </c>
      <c r="I405" s="20"/>
      <c r="J405" s="3" t="s">
        <v>1738</v>
      </c>
      <c r="K405" s="3">
        <v>1</v>
      </c>
      <c r="N405" s="3" t="s">
        <v>50</v>
      </c>
      <c r="O405" s="129">
        <v>7202</v>
      </c>
      <c r="P405" s="2" t="s">
        <v>495</v>
      </c>
      <c r="R405" s="73" t="s">
        <v>1810</v>
      </c>
      <c r="S405" s="3" t="s">
        <v>939</v>
      </c>
      <c r="AB405" s="2" t="s">
        <v>267</v>
      </c>
      <c r="AC405" s="3" t="s">
        <v>2096</v>
      </c>
      <c r="AD405" s="3" t="s">
        <v>1303</v>
      </c>
      <c r="AE405" s="1">
        <v>150</v>
      </c>
      <c r="AF405" s="1">
        <f t="shared" si="25"/>
        <v>2.5</v>
      </c>
    </row>
    <row r="406" spans="1:44" ht="30" x14ac:dyDescent="0.25">
      <c r="A406" s="3">
        <v>405</v>
      </c>
      <c r="B406" s="3" t="s">
        <v>2098</v>
      </c>
      <c r="C406" s="3" t="s">
        <v>46</v>
      </c>
      <c r="D406" s="19" t="s">
        <v>1806</v>
      </c>
      <c r="E406" s="19" t="s">
        <v>853</v>
      </c>
      <c r="F406" s="19" t="s">
        <v>336</v>
      </c>
      <c r="G406" s="19" t="s">
        <v>47</v>
      </c>
      <c r="H406" s="19">
        <v>29847</v>
      </c>
      <c r="J406" s="25" t="s">
        <v>2099</v>
      </c>
      <c r="K406" s="19">
        <v>1</v>
      </c>
      <c r="N406" s="3" t="s">
        <v>50</v>
      </c>
      <c r="O406" s="129">
        <v>7202</v>
      </c>
      <c r="P406" s="2" t="s">
        <v>1907</v>
      </c>
      <c r="R406" s="73" t="s">
        <v>1810</v>
      </c>
      <c r="AB406" s="2" t="s">
        <v>267</v>
      </c>
      <c r="AC406" s="3" t="s">
        <v>2096</v>
      </c>
      <c r="AD406" s="3" t="s">
        <v>130</v>
      </c>
      <c r="AE406" s="1">
        <v>510</v>
      </c>
      <c r="AF406" s="1">
        <f t="shared" si="25"/>
        <v>8.5</v>
      </c>
    </row>
    <row r="407" spans="1:44" ht="30" x14ac:dyDescent="0.25">
      <c r="A407" s="3">
        <v>406</v>
      </c>
      <c r="B407" s="9" t="s">
        <v>2000</v>
      </c>
      <c r="C407" s="9" t="s">
        <v>27</v>
      </c>
      <c r="D407" s="3" t="s">
        <v>40</v>
      </c>
      <c r="E407" s="9" t="s">
        <v>853</v>
      </c>
      <c r="F407" s="9" t="s">
        <v>28</v>
      </c>
      <c r="G407" s="9" t="s">
        <v>29</v>
      </c>
      <c r="H407" s="9">
        <v>29889</v>
      </c>
      <c r="I407" s="9"/>
      <c r="J407" s="32" t="s">
        <v>2001</v>
      </c>
      <c r="K407" s="32">
        <v>1</v>
      </c>
      <c r="N407" s="3" t="s">
        <v>38</v>
      </c>
      <c r="O407" s="129">
        <v>7601</v>
      </c>
      <c r="P407" s="2" t="s">
        <v>2051</v>
      </c>
      <c r="R407" s="3" t="s">
        <v>38</v>
      </c>
      <c r="AB407" s="2" t="s">
        <v>267</v>
      </c>
      <c r="AC407" s="3" t="s">
        <v>2096</v>
      </c>
      <c r="AD407" s="3" t="s">
        <v>108</v>
      </c>
      <c r="AE407" s="1">
        <v>720</v>
      </c>
      <c r="AF407" s="1">
        <f t="shared" si="25"/>
        <v>12</v>
      </c>
    </row>
    <row r="408" spans="1:44" ht="30" x14ac:dyDescent="0.25">
      <c r="A408" s="3">
        <v>407</v>
      </c>
      <c r="B408" s="3" t="s">
        <v>850</v>
      </c>
      <c r="C408" s="3" t="s">
        <v>45</v>
      </c>
      <c r="D408" s="19" t="s">
        <v>40</v>
      </c>
      <c r="E408" s="19" t="s">
        <v>853</v>
      </c>
      <c r="F408" s="19" t="s">
        <v>221</v>
      </c>
      <c r="G408" s="19" t="s">
        <v>29</v>
      </c>
      <c r="J408" s="25" t="s">
        <v>2101</v>
      </c>
      <c r="K408" s="19">
        <v>4</v>
      </c>
      <c r="L408" s="3" t="s">
        <v>139</v>
      </c>
      <c r="N408" s="3" t="s">
        <v>38</v>
      </c>
      <c r="O408" s="129">
        <v>7602</v>
      </c>
      <c r="P408" s="2" t="s">
        <v>2100</v>
      </c>
      <c r="R408" s="3" t="s">
        <v>38</v>
      </c>
      <c r="S408" s="3" t="s">
        <v>939</v>
      </c>
      <c r="AB408" s="2" t="s">
        <v>267</v>
      </c>
      <c r="AC408" s="3" t="s">
        <v>2096</v>
      </c>
      <c r="AD408" s="3" t="s">
        <v>75</v>
      </c>
      <c r="AE408" s="1">
        <v>180</v>
      </c>
      <c r="AF408" s="1">
        <f t="shared" si="25"/>
        <v>3</v>
      </c>
    </row>
    <row r="409" spans="1:44" ht="30" x14ac:dyDescent="0.25">
      <c r="A409" s="3">
        <v>408</v>
      </c>
      <c r="B409" s="9" t="s">
        <v>1516</v>
      </c>
      <c r="C409" s="3" t="s">
        <v>27</v>
      </c>
      <c r="D409" s="73" t="s">
        <v>40</v>
      </c>
      <c r="E409" s="3" t="s">
        <v>853</v>
      </c>
      <c r="F409" s="3" t="s">
        <v>28</v>
      </c>
      <c r="G409" s="3" t="s">
        <v>29</v>
      </c>
      <c r="H409" s="3">
        <v>30487</v>
      </c>
      <c r="I409" s="20"/>
      <c r="J409" s="9" t="s">
        <v>1517</v>
      </c>
      <c r="K409" s="3">
        <v>1</v>
      </c>
      <c r="N409" s="3" t="s">
        <v>38</v>
      </c>
      <c r="O409" s="129">
        <v>7602</v>
      </c>
      <c r="P409" s="2" t="s">
        <v>1063</v>
      </c>
      <c r="R409" s="3" t="s">
        <v>38</v>
      </c>
      <c r="S409" s="3" t="s">
        <v>939</v>
      </c>
      <c r="AB409" s="2" t="s">
        <v>267</v>
      </c>
      <c r="AC409" s="3" t="s">
        <v>2096</v>
      </c>
      <c r="AD409" s="3" t="s">
        <v>1138</v>
      </c>
      <c r="AE409" s="1">
        <v>360</v>
      </c>
      <c r="AF409" s="1">
        <f t="shared" si="25"/>
        <v>6</v>
      </c>
    </row>
    <row r="410" spans="1:44" ht="30" x14ac:dyDescent="0.25">
      <c r="A410" s="3">
        <v>409</v>
      </c>
      <c r="B410" s="3" t="s">
        <v>2076</v>
      </c>
      <c r="C410" s="9" t="s">
        <v>45</v>
      </c>
      <c r="D410" s="3" t="s">
        <v>40</v>
      </c>
      <c r="E410" s="9" t="s">
        <v>853</v>
      </c>
      <c r="F410" s="73" t="s">
        <v>199</v>
      </c>
      <c r="G410" s="73" t="s">
        <v>47</v>
      </c>
      <c r="H410" s="73"/>
      <c r="I410" s="73"/>
      <c r="J410" s="25" t="s">
        <v>2081</v>
      </c>
      <c r="K410" s="73">
        <v>1</v>
      </c>
      <c r="N410" s="3" t="s">
        <v>38</v>
      </c>
      <c r="O410" s="129">
        <v>7604</v>
      </c>
      <c r="P410" s="2" t="s">
        <v>2082</v>
      </c>
      <c r="R410" s="73" t="s">
        <v>38</v>
      </c>
      <c r="AB410" s="2" t="s">
        <v>267</v>
      </c>
      <c r="AC410" s="3" t="s">
        <v>2096</v>
      </c>
      <c r="AD410" s="3" t="s">
        <v>88</v>
      </c>
      <c r="AE410" s="1">
        <v>180</v>
      </c>
      <c r="AF410" s="1">
        <f t="shared" si="25"/>
        <v>3</v>
      </c>
    </row>
    <row r="411" spans="1:44" ht="30" x14ac:dyDescent="0.25">
      <c r="A411" s="3">
        <v>410</v>
      </c>
      <c r="B411" s="3" t="s">
        <v>2079</v>
      </c>
      <c r="C411" s="9" t="s">
        <v>45</v>
      </c>
      <c r="D411" s="3" t="s">
        <v>40</v>
      </c>
      <c r="E411" s="9" t="s">
        <v>853</v>
      </c>
      <c r="F411" s="73" t="s">
        <v>199</v>
      </c>
      <c r="G411" s="73" t="s">
        <v>47</v>
      </c>
      <c r="H411" s="73"/>
      <c r="I411" s="73"/>
      <c r="J411" s="25" t="s">
        <v>2081</v>
      </c>
      <c r="K411" s="73">
        <v>1</v>
      </c>
      <c r="N411" s="3" t="s">
        <v>38</v>
      </c>
      <c r="O411" s="129">
        <v>7604</v>
      </c>
      <c r="P411" s="2" t="s">
        <v>2085</v>
      </c>
      <c r="R411" s="73" t="s">
        <v>38</v>
      </c>
      <c r="AB411" s="2" t="s">
        <v>267</v>
      </c>
      <c r="AC411" s="3" t="s">
        <v>2096</v>
      </c>
      <c r="AD411" s="3" t="s">
        <v>108</v>
      </c>
      <c r="AE411" s="1">
        <v>360</v>
      </c>
      <c r="AF411" s="1">
        <f t="shared" si="25"/>
        <v>6</v>
      </c>
    </row>
    <row r="412" spans="1:44" ht="30" x14ac:dyDescent="0.25">
      <c r="A412" s="3">
        <v>411</v>
      </c>
      <c r="B412" s="3" t="s">
        <v>2080</v>
      </c>
      <c r="C412" s="9" t="s">
        <v>45</v>
      </c>
      <c r="D412" s="3" t="s">
        <v>40</v>
      </c>
      <c r="E412" s="9" t="s">
        <v>853</v>
      </c>
      <c r="F412" s="73" t="s">
        <v>199</v>
      </c>
      <c r="G412" s="73" t="s">
        <v>47</v>
      </c>
      <c r="H412" s="73"/>
      <c r="I412" s="73"/>
      <c r="J412" s="25" t="s">
        <v>2081</v>
      </c>
      <c r="K412" s="73">
        <v>1</v>
      </c>
      <c r="N412" s="3" t="s">
        <v>38</v>
      </c>
      <c r="O412" s="129">
        <v>7604</v>
      </c>
      <c r="P412" s="2" t="s">
        <v>2080</v>
      </c>
      <c r="R412" s="73" t="s">
        <v>38</v>
      </c>
      <c r="AB412" s="2" t="s">
        <v>267</v>
      </c>
      <c r="AC412" s="3" t="s">
        <v>2096</v>
      </c>
      <c r="AD412" s="3" t="s">
        <v>108</v>
      </c>
      <c r="AE412" s="1">
        <v>360</v>
      </c>
      <c r="AF412" s="1">
        <f t="shared" ref="AF412:AF441" si="30">AE412/60</f>
        <v>6</v>
      </c>
    </row>
    <row r="413" spans="1:44" ht="30" x14ac:dyDescent="0.25">
      <c r="A413" s="3">
        <v>412</v>
      </c>
      <c r="B413" s="9" t="s">
        <v>2000</v>
      </c>
      <c r="C413" s="9" t="s">
        <v>27</v>
      </c>
      <c r="D413" s="3" t="s">
        <v>34</v>
      </c>
      <c r="E413" s="9" t="s">
        <v>853</v>
      </c>
      <c r="F413" s="9" t="s">
        <v>28</v>
      </c>
      <c r="G413" s="9" t="s">
        <v>29</v>
      </c>
      <c r="H413" s="9">
        <v>29889</v>
      </c>
      <c r="I413" s="9"/>
      <c r="J413" s="32" t="s">
        <v>2001</v>
      </c>
      <c r="K413" s="32">
        <v>1</v>
      </c>
      <c r="N413" s="3" t="s">
        <v>35</v>
      </c>
      <c r="O413" s="129">
        <v>7103</v>
      </c>
      <c r="P413" s="2" t="s">
        <v>503</v>
      </c>
      <c r="R413" s="3" t="s">
        <v>37</v>
      </c>
      <c r="AB413" s="2" t="s">
        <v>267</v>
      </c>
      <c r="AC413" s="3" t="s">
        <v>2096</v>
      </c>
      <c r="AD413" s="3" t="s">
        <v>31</v>
      </c>
      <c r="AE413" s="1">
        <v>390</v>
      </c>
      <c r="AF413" s="1">
        <f t="shared" si="30"/>
        <v>6.5</v>
      </c>
    </row>
    <row r="414" spans="1:44" ht="30" x14ac:dyDescent="0.25">
      <c r="A414" s="3">
        <v>413</v>
      </c>
      <c r="B414" s="9" t="s">
        <v>2000</v>
      </c>
      <c r="C414" s="9" t="s">
        <v>27</v>
      </c>
      <c r="D414" s="3" t="s">
        <v>49</v>
      </c>
      <c r="E414" s="9" t="s">
        <v>853</v>
      </c>
      <c r="F414" s="9" t="s">
        <v>28</v>
      </c>
      <c r="G414" s="9" t="s">
        <v>29</v>
      </c>
      <c r="H414" s="9">
        <v>29889</v>
      </c>
      <c r="I414" s="9"/>
      <c r="J414" s="32" t="s">
        <v>2001</v>
      </c>
      <c r="K414" s="32">
        <v>1</v>
      </c>
      <c r="N414" s="3" t="s">
        <v>35</v>
      </c>
      <c r="O414" s="129">
        <v>7102</v>
      </c>
      <c r="P414" s="2" t="s">
        <v>2095</v>
      </c>
      <c r="R414" s="73" t="s">
        <v>36</v>
      </c>
      <c r="AB414" s="2" t="s">
        <v>267</v>
      </c>
      <c r="AC414" s="3" t="s">
        <v>2096</v>
      </c>
      <c r="AD414" s="3" t="s">
        <v>108</v>
      </c>
      <c r="AE414" s="1">
        <v>660</v>
      </c>
      <c r="AF414" s="1">
        <f t="shared" si="30"/>
        <v>11</v>
      </c>
    </row>
    <row r="415" spans="1:44" ht="45" x14ac:dyDescent="0.25">
      <c r="A415" s="3">
        <v>414</v>
      </c>
      <c r="B415" s="3" t="s">
        <v>2109</v>
      </c>
      <c r="C415" s="3" t="s">
        <v>62</v>
      </c>
      <c r="D415" s="19" t="s">
        <v>78</v>
      </c>
      <c r="E415" s="19" t="s">
        <v>853</v>
      </c>
      <c r="F415" s="19" t="s">
        <v>221</v>
      </c>
      <c r="G415" s="19" t="s">
        <v>29</v>
      </c>
      <c r="I415" s="19">
        <v>17233</v>
      </c>
      <c r="J415" s="25" t="s">
        <v>2110</v>
      </c>
      <c r="K415" s="19">
        <v>10</v>
      </c>
      <c r="L415" s="3" t="s">
        <v>139</v>
      </c>
      <c r="N415" s="3" t="s">
        <v>57</v>
      </c>
      <c r="O415" s="129">
        <v>7301</v>
      </c>
      <c r="P415" s="2" t="s">
        <v>2102</v>
      </c>
      <c r="Q415" s="3" t="s">
        <v>2111</v>
      </c>
      <c r="R415" s="3" t="s">
        <v>79</v>
      </c>
      <c r="S415" s="3" t="s">
        <v>939</v>
      </c>
      <c r="AB415" s="2" t="s">
        <v>267</v>
      </c>
      <c r="AC415" s="3" t="s">
        <v>2096</v>
      </c>
      <c r="AD415" s="3" t="s">
        <v>108</v>
      </c>
      <c r="AE415" s="1">
        <v>600</v>
      </c>
      <c r="AF415" s="1">
        <f t="shared" si="30"/>
        <v>10</v>
      </c>
    </row>
    <row r="416" spans="1:44" ht="30" x14ac:dyDescent="0.25">
      <c r="A416" s="3">
        <v>415</v>
      </c>
      <c r="B416" s="3" t="s">
        <v>178</v>
      </c>
      <c r="C416" s="3" t="s">
        <v>62</v>
      </c>
      <c r="D416" s="9" t="s">
        <v>78</v>
      </c>
      <c r="E416" s="9" t="s">
        <v>853</v>
      </c>
      <c r="F416" s="3" t="s">
        <v>118</v>
      </c>
      <c r="G416" s="3" t="s">
        <v>29</v>
      </c>
      <c r="H416" s="3"/>
      <c r="I416" s="3"/>
      <c r="J416" s="20" t="s">
        <v>212</v>
      </c>
      <c r="K416" s="3">
        <v>6</v>
      </c>
      <c r="L416" s="3" t="s">
        <v>126</v>
      </c>
      <c r="N416" s="3" t="s">
        <v>57</v>
      </c>
      <c r="O416" s="3">
        <v>7301</v>
      </c>
      <c r="P416" s="3" t="s">
        <v>235</v>
      </c>
      <c r="R416" s="73" t="s">
        <v>1810</v>
      </c>
      <c r="S416" s="3" t="s">
        <v>939</v>
      </c>
      <c r="AB416" s="2" t="s">
        <v>267</v>
      </c>
      <c r="AC416" s="3" t="s">
        <v>2096</v>
      </c>
      <c r="AD416" s="3" t="s">
        <v>108</v>
      </c>
      <c r="AE416" s="1">
        <v>60</v>
      </c>
      <c r="AF416" s="1">
        <f t="shared" si="30"/>
        <v>1</v>
      </c>
    </row>
    <row r="417" spans="1:40" ht="30" x14ac:dyDescent="0.25">
      <c r="A417" s="3">
        <v>416</v>
      </c>
      <c r="B417" s="9" t="s">
        <v>2000</v>
      </c>
      <c r="C417" s="9" t="s">
        <v>27</v>
      </c>
      <c r="D417" s="3" t="s">
        <v>329</v>
      </c>
      <c r="E417" s="9" t="s">
        <v>853</v>
      </c>
      <c r="F417" s="9" t="s">
        <v>28</v>
      </c>
      <c r="G417" s="9" t="s">
        <v>29</v>
      </c>
      <c r="H417" s="9">
        <v>29889</v>
      </c>
      <c r="I417" s="9"/>
      <c r="J417" s="32" t="s">
        <v>2001</v>
      </c>
      <c r="K417" s="32">
        <v>1</v>
      </c>
      <c r="N417" s="3" t="s">
        <v>48</v>
      </c>
      <c r="O417" s="129">
        <v>7502</v>
      </c>
      <c r="P417" s="2" t="s">
        <v>1907</v>
      </c>
      <c r="R417" s="3" t="s">
        <v>48</v>
      </c>
      <c r="S417" s="3" t="s">
        <v>939</v>
      </c>
      <c r="AB417" s="2" t="s">
        <v>267</v>
      </c>
      <c r="AC417" s="3" t="s">
        <v>2096</v>
      </c>
      <c r="AD417" s="3" t="s">
        <v>108</v>
      </c>
      <c r="AE417" s="1">
        <v>300</v>
      </c>
      <c r="AF417" s="1">
        <f t="shared" si="30"/>
        <v>5</v>
      </c>
    </row>
    <row r="418" spans="1:40" ht="30" x14ac:dyDescent="0.25">
      <c r="A418" s="3">
        <v>417</v>
      </c>
      <c r="B418" s="3" t="s">
        <v>1097</v>
      </c>
      <c r="C418" s="3" t="s">
        <v>46</v>
      </c>
      <c r="D418" s="19" t="s">
        <v>329</v>
      </c>
      <c r="E418" s="19" t="s">
        <v>853</v>
      </c>
      <c r="F418" s="19" t="s">
        <v>118</v>
      </c>
      <c r="G418" s="9" t="s">
        <v>29</v>
      </c>
      <c r="I418" s="19">
        <v>1729</v>
      </c>
      <c r="J418" s="25" t="s">
        <v>2103</v>
      </c>
      <c r="K418" s="19">
        <v>1</v>
      </c>
      <c r="L418" s="3" t="s">
        <v>126</v>
      </c>
      <c r="N418" s="3" t="s">
        <v>48</v>
      </c>
      <c r="O418" s="129">
        <v>7501</v>
      </c>
      <c r="P418" s="2" t="s">
        <v>2104</v>
      </c>
      <c r="R418" s="3" t="s">
        <v>48</v>
      </c>
      <c r="S418" s="3" t="s">
        <v>939</v>
      </c>
      <c r="AB418" s="2" t="s">
        <v>267</v>
      </c>
      <c r="AC418" s="3" t="s">
        <v>2096</v>
      </c>
      <c r="AD418" s="3" t="s">
        <v>108</v>
      </c>
      <c r="AE418" s="1">
        <v>120</v>
      </c>
      <c r="AF418" s="1">
        <f t="shared" si="30"/>
        <v>2</v>
      </c>
    </row>
    <row r="419" spans="1:40" ht="30" x14ac:dyDescent="0.25">
      <c r="A419" s="3">
        <v>418</v>
      </c>
      <c r="B419" s="3" t="s">
        <v>2105</v>
      </c>
      <c r="C419" s="3" t="s">
        <v>46</v>
      </c>
      <c r="D419" s="19" t="s">
        <v>329</v>
      </c>
      <c r="E419" s="19" t="s">
        <v>853</v>
      </c>
      <c r="F419" s="19" t="s">
        <v>118</v>
      </c>
      <c r="G419" s="19" t="s">
        <v>29</v>
      </c>
      <c r="I419" s="19">
        <v>17228</v>
      </c>
      <c r="J419" s="25" t="s">
        <v>2106</v>
      </c>
      <c r="K419" s="73">
        <v>1</v>
      </c>
      <c r="L419" s="3" t="s">
        <v>126</v>
      </c>
      <c r="N419" s="3" t="s">
        <v>48</v>
      </c>
      <c r="O419" s="129">
        <v>7501</v>
      </c>
      <c r="P419" s="2" t="s">
        <v>155</v>
      </c>
      <c r="R419" s="3" t="s">
        <v>2107</v>
      </c>
      <c r="S419" s="3" t="s">
        <v>939</v>
      </c>
      <c r="AB419" s="2" t="s">
        <v>267</v>
      </c>
      <c r="AC419" s="3" t="s">
        <v>2096</v>
      </c>
      <c r="AD419" s="3" t="s">
        <v>108</v>
      </c>
      <c r="AE419" s="1">
        <v>120</v>
      </c>
      <c r="AF419" s="1">
        <f t="shared" si="30"/>
        <v>2</v>
      </c>
    </row>
    <row r="420" spans="1:40" ht="30" x14ac:dyDescent="0.25">
      <c r="A420" s="3">
        <v>419</v>
      </c>
      <c r="B420" s="3" t="s">
        <v>2105</v>
      </c>
      <c r="C420" s="3" t="s">
        <v>46</v>
      </c>
      <c r="D420" s="73" t="s">
        <v>329</v>
      </c>
      <c r="E420" s="73" t="s">
        <v>853</v>
      </c>
      <c r="F420" s="73" t="s">
        <v>118</v>
      </c>
      <c r="G420" s="73" t="s">
        <v>29</v>
      </c>
      <c r="H420" s="73"/>
      <c r="I420" s="73">
        <v>17228</v>
      </c>
      <c r="J420" s="25" t="s">
        <v>2106</v>
      </c>
      <c r="K420" s="73">
        <v>1</v>
      </c>
      <c r="L420" s="3" t="s">
        <v>126</v>
      </c>
      <c r="N420" s="3" t="s">
        <v>48</v>
      </c>
      <c r="O420" s="129">
        <v>7502</v>
      </c>
      <c r="P420" s="2" t="s">
        <v>155</v>
      </c>
      <c r="R420" s="3" t="s">
        <v>2108</v>
      </c>
      <c r="AB420" s="2" t="s">
        <v>267</v>
      </c>
      <c r="AC420" s="3" t="s">
        <v>2096</v>
      </c>
      <c r="AD420" s="3" t="s">
        <v>108</v>
      </c>
      <c r="AE420" s="1">
        <v>360</v>
      </c>
      <c r="AF420" s="1">
        <f t="shared" si="30"/>
        <v>6</v>
      </c>
    </row>
    <row r="421" spans="1:40" ht="30" x14ac:dyDescent="0.25">
      <c r="A421" s="3">
        <v>420</v>
      </c>
      <c r="B421" s="3" t="s">
        <v>376</v>
      </c>
      <c r="C421" s="3" t="s">
        <v>62</v>
      </c>
      <c r="D421" s="19" t="s">
        <v>172</v>
      </c>
      <c r="E421" s="19" t="s">
        <v>853</v>
      </c>
      <c r="F421" s="19" t="s">
        <v>221</v>
      </c>
      <c r="G421" s="19" t="s">
        <v>29</v>
      </c>
      <c r="J421" s="25" t="s">
        <v>2112</v>
      </c>
      <c r="K421" s="19">
        <v>1</v>
      </c>
      <c r="L421" s="3" t="s">
        <v>139</v>
      </c>
      <c r="N421" s="3" t="s">
        <v>133</v>
      </c>
      <c r="O421" s="129">
        <v>7401</v>
      </c>
      <c r="P421" s="2" t="s">
        <v>198</v>
      </c>
      <c r="R421" s="3" t="s">
        <v>1812</v>
      </c>
      <c r="S421" s="3" t="s">
        <v>939</v>
      </c>
      <c r="AB421" s="2" t="s">
        <v>267</v>
      </c>
      <c r="AC421" s="3" t="s">
        <v>2096</v>
      </c>
      <c r="AD421" s="3" t="s">
        <v>108</v>
      </c>
      <c r="AE421" s="1">
        <v>60</v>
      </c>
      <c r="AF421" s="1">
        <f t="shared" si="30"/>
        <v>1</v>
      </c>
      <c r="AN421" s="1" t="s">
        <v>2096</v>
      </c>
    </row>
    <row r="422" spans="1:40" ht="30" x14ac:dyDescent="0.25">
      <c r="A422" s="3">
        <v>421</v>
      </c>
      <c r="B422" s="3" t="s">
        <v>2113</v>
      </c>
      <c r="C422" s="4" t="s">
        <v>62</v>
      </c>
      <c r="D422" s="19" t="s">
        <v>172</v>
      </c>
      <c r="E422" s="19" t="s">
        <v>853</v>
      </c>
      <c r="F422" s="19" t="s">
        <v>221</v>
      </c>
      <c r="G422" s="19" t="s">
        <v>29</v>
      </c>
      <c r="I422" s="19">
        <v>17462</v>
      </c>
      <c r="J422" s="25" t="s">
        <v>2114</v>
      </c>
      <c r="K422" s="19">
        <v>1</v>
      </c>
      <c r="L422" s="3" t="s">
        <v>139</v>
      </c>
      <c r="N422" s="3" t="s">
        <v>133</v>
      </c>
      <c r="O422" s="129">
        <v>7401</v>
      </c>
      <c r="P422" s="2" t="s">
        <v>343</v>
      </c>
      <c r="R422" s="3" t="s">
        <v>1812</v>
      </c>
      <c r="S422" s="3" t="s">
        <v>939</v>
      </c>
      <c r="AB422" s="2" t="s">
        <v>267</v>
      </c>
      <c r="AC422" s="3" t="s">
        <v>2096</v>
      </c>
      <c r="AD422" s="3" t="s">
        <v>108</v>
      </c>
      <c r="AE422" s="1">
        <v>30</v>
      </c>
      <c r="AF422" s="1">
        <f t="shared" si="30"/>
        <v>0.5</v>
      </c>
    </row>
    <row r="423" spans="1:40" ht="30" x14ac:dyDescent="0.25">
      <c r="A423" s="3">
        <v>422</v>
      </c>
      <c r="B423" s="3" t="s">
        <v>2113</v>
      </c>
      <c r="C423" s="4" t="s">
        <v>62</v>
      </c>
      <c r="D423" s="73" t="s">
        <v>172</v>
      </c>
      <c r="E423" s="73" t="s">
        <v>853</v>
      </c>
      <c r="F423" s="73" t="s">
        <v>221</v>
      </c>
      <c r="G423" s="73" t="s">
        <v>29</v>
      </c>
      <c r="H423" s="73"/>
      <c r="I423" s="73">
        <v>17462</v>
      </c>
      <c r="J423" s="25" t="s">
        <v>2114</v>
      </c>
      <c r="K423" s="73">
        <v>1</v>
      </c>
      <c r="L423" s="3" t="s">
        <v>139</v>
      </c>
      <c r="N423" s="3" t="s">
        <v>33</v>
      </c>
      <c r="O423" s="129" t="s">
        <v>33</v>
      </c>
      <c r="P423" s="2" t="s">
        <v>343</v>
      </c>
      <c r="R423" s="3" t="s">
        <v>200</v>
      </c>
      <c r="S423" s="3" t="s">
        <v>939</v>
      </c>
      <c r="AB423" s="2" t="s">
        <v>267</v>
      </c>
      <c r="AC423" s="3" t="s">
        <v>2096</v>
      </c>
      <c r="AD423" s="3" t="s">
        <v>108</v>
      </c>
      <c r="AE423" s="1">
        <v>30</v>
      </c>
      <c r="AF423" s="1">
        <f t="shared" si="30"/>
        <v>0.5</v>
      </c>
      <c r="AN423" s="1" t="s">
        <v>2096</v>
      </c>
    </row>
    <row r="424" spans="1:40" ht="30" x14ac:dyDescent="0.25">
      <c r="A424" s="3">
        <v>423</v>
      </c>
      <c r="B424" s="3" t="s">
        <v>485</v>
      </c>
      <c r="C424" s="3" t="s">
        <v>62</v>
      </c>
      <c r="D424" s="19" t="s">
        <v>172</v>
      </c>
      <c r="E424" s="19" t="s">
        <v>853</v>
      </c>
      <c r="F424" s="19" t="s">
        <v>221</v>
      </c>
      <c r="G424" s="19" t="s">
        <v>47</v>
      </c>
      <c r="J424" s="25" t="s">
        <v>2115</v>
      </c>
      <c r="K424" s="19">
        <v>1</v>
      </c>
      <c r="L424" s="3" t="s">
        <v>139</v>
      </c>
      <c r="N424" s="3" t="s">
        <v>133</v>
      </c>
      <c r="O424" s="129">
        <v>7401</v>
      </c>
      <c r="P424" s="2" t="s">
        <v>2116</v>
      </c>
      <c r="R424" s="3" t="s">
        <v>1812</v>
      </c>
      <c r="S424" s="3" t="s">
        <v>939</v>
      </c>
      <c r="AB424" s="2" t="s">
        <v>267</v>
      </c>
      <c r="AC424" s="3" t="s">
        <v>2096</v>
      </c>
      <c r="AD424" s="3" t="s">
        <v>108</v>
      </c>
      <c r="AE424" s="1">
        <v>120</v>
      </c>
      <c r="AF424" s="1">
        <f t="shared" si="30"/>
        <v>2</v>
      </c>
    </row>
    <row r="425" spans="1:40" ht="30" x14ac:dyDescent="0.25">
      <c r="A425" s="3">
        <v>424</v>
      </c>
      <c r="B425" s="3" t="s">
        <v>389</v>
      </c>
      <c r="C425" s="3" t="s">
        <v>46</v>
      </c>
      <c r="D425" s="73" t="s">
        <v>172</v>
      </c>
      <c r="E425" s="9" t="s">
        <v>853</v>
      </c>
      <c r="F425" s="3" t="s">
        <v>336</v>
      </c>
      <c r="G425" s="3" t="s">
        <v>47</v>
      </c>
      <c r="H425" s="3" t="s">
        <v>677</v>
      </c>
      <c r="I425" s="3"/>
      <c r="J425" s="20" t="s">
        <v>353</v>
      </c>
      <c r="K425" s="20">
        <v>1</v>
      </c>
      <c r="N425" s="3" t="s">
        <v>33</v>
      </c>
      <c r="O425" s="129" t="s">
        <v>33</v>
      </c>
      <c r="P425" s="2" t="s">
        <v>1063</v>
      </c>
      <c r="R425" s="3" t="s">
        <v>54</v>
      </c>
      <c r="AB425" s="2" t="s">
        <v>267</v>
      </c>
      <c r="AC425" s="3" t="s">
        <v>2096</v>
      </c>
      <c r="AD425" s="3" t="s">
        <v>108</v>
      </c>
      <c r="AE425" s="1">
        <v>120</v>
      </c>
      <c r="AF425" s="1">
        <f t="shared" si="30"/>
        <v>2</v>
      </c>
    </row>
    <row r="426" spans="1:40" ht="30" x14ac:dyDescent="0.25">
      <c r="A426" s="3">
        <v>425</v>
      </c>
      <c r="B426" s="9" t="s">
        <v>1117</v>
      </c>
      <c r="C426" s="34" t="s">
        <v>27</v>
      </c>
      <c r="D426" s="3" t="s">
        <v>172</v>
      </c>
      <c r="E426" s="9" t="s">
        <v>996</v>
      </c>
      <c r="F426" s="3" t="s">
        <v>445</v>
      </c>
      <c r="G426" s="3" t="s">
        <v>29</v>
      </c>
      <c r="H426" s="3"/>
      <c r="I426" s="3"/>
      <c r="J426" s="32" t="s">
        <v>1993</v>
      </c>
      <c r="K426" s="20">
        <v>1</v>
      </c>
      <c r="N426" s="3" t="s">
        <v>33</v>
      </c>
      <c r="O426" s="129" t="s">
        <v>33</v>
      </c>
      <c r="P426" s="2" t="s">
        <v>472</v>
      </c>
      <c r="R426" s="3" t="s">
        <v>181</v>
      </c>
      <c r="S426" s="3" t="s">
        <v>939</v>
      </c>
      <c r="AB426" s="2" t="s">
        <v>267</v>
      </c>
      <c r="AC426" s="3" t="s">
        <v>2096</v>
      </c>
      <c r="AD426" s="3" t="s">
        <v>108</v>
      </c>
      <c r="AE426" s="1">
        <v>300</v>
      </c>
      <c r="AF426" s="1">
        <f t="shared" si="30"/>
        <v>5</v>
      </c>
      <c r="AN426" s="1" t="s">
        <v>2096</v>
      </c>
    </row>
    <row r="427" spans="1:40" ht="45" x14ac:dyDescent="0.25">
      <c r="A427" s="3">
        <v>426</v>
      </c>
      <c r="B427" s="3" t="s">
        <v>2117</v>
      </c>
      <c r="C427" s="3" t="s">
        <v>45</v>
      </c>
      <c r="D427" s="19" t="s">
        <v>39</v>
      </c>
      <c r="E427" s="19" t="s">
        <v>853</v>
      </c>
      <c r="F427" s="19" t="s">
        <v>199</v>
      </c>
      <c r="G427" s="19" t="s">
        <v>29</v>
      </c>
      <c r="I427" s="19">
        <v>3128</v>
      </c>
      <c r="J427" s="25" t="s">
        <v>2118</v>
      </c>
      <c r="K427" s="19">
        <v>1</v>
      </c>
      <c r="N427" s="3" t="s">
        <v>57</v>
      </c>
      <c r="O427" s="129">
        <v>7303</v>
      </c>
      <c r="P427" s="2" t="s">
        <v>198</v>
      </c>
      <c r="R427" s="3" t="s">
        <v>36</v>
      </c>
      <c r="S427" s="3" t="s">
        <v>939</v>
      </c>
      <c r="AB427" s="2" t="s">
        <v>267</v>
      </c>
      <c r="AC427" s="3" t="s">
        <v>2096</v>
      </c>
      <c r="AD427" s="3" t="s">
        <v>108</v>
      </c>
      <c r="AE427" s="1">
        <v>240</v>
      </c>
      <c r="AF427" s="1">
        <f t="shared" si="30"/>
        <v>4</v>
      </c>
    </row>
    <row r="428" spans="1:40" ht="30" x14ac:dyDescent="0.25">
      <c r="A428" s="3">
        <v>427</v>
      </c>
      <c r="B428" s="3" t="s">
        <v>1510</v>
      </c>
      <c r="C428" s="9" t="s">
        <v>46</v>
      </c>
      <c r="D428" s="73" t="s">
        <v>39</v>
      </c>
      <c r="E428" s="3" t="s">
        <v>853</v>
      </c>
      <c r="F428" s="3" t="s">
        <v>336</v>
      </c>
      <c r="G428" s="3" t="s">
        <v>29</v>
      </c>
      <c r="H428" s="3">
        <v>29087</v>
      </c>
      <c r="I428" s="20">
        <v>1005</v>
      </c>
      <c r="J428" s="3" t="s">
        <v>353</v>
      </c>
      <c r="N428" s="3" t="s">
        <v>57</v>
      </c>
      <c r="O428" s="129">
        <v>7302</v>
      </c>
      <c r="P428" s="2" t="s">
        <v>58</v>
      </c>
      <c r="R428" s="3" t="s">
        <v>79</v>
      </c>
      <c r="S428" s="3" t="s">
        <v>939</v>
      </c>
      <c r="AB428" s="2" t="s">
        <v>267</v>
      </c>
      <c r="AC428" s="3" t="s">
        <v>2096</v>
      </c>
      <c r="AD428" s="3" t="s">
        <v>108</v>
      </c>
      <c r="AE428" s="1">
        <v>180</v>
      </c>
      <c r="AF428" s="1">
        <f t="shared" si="30"/>
        <v>3</v>
      </c>
    </row>
    <row r="429" spans="1:40" ht="30" x14ac:dyDescent="0.25">
      <c r="A429" s="3">
        <v>428</v>
      </c>
      <c r="B429" s="3" t="s">
        <v>403</v>
      </c>
      <c r="C429" s="3" t="s">
        <v>154</v>
      </c>
      <c r="D429" s="3" t="s">
        <v>39</v>
      </c>
      <c r="E429" s="9" t="s">
        <v>853</v>
      </c>
      <c r="F429" s="3" t="s">
        <v>79</v>
      </c>
      <c r="G429" s="3" t="s">
        <v>881</v>
      </c>
      <c r="H429" s="3"/>
      <c r="I429" s="3"/>
      <c r="J429" s="20" t="s">
        <v>404</v>
      </c>
      <c r="K429" s="20">
        <v>1</v>
      </c>
      <c r="N429" s="3" t="s">
        <v>154</v>
      </c>
      <c r="O429" s="3" t="s">
        <v>154</v>
      </c>
      <c r="P429" s="3" t="s">
        <v>244</v>
      </c>
      <c r="Q429" s="73"/>
      <c r="R429" s="73" t="s">
        <v>154</v>
      </c>
      <c r="S429" s="73" t="s">
        <v>941</v>
      </c>
      <c r="AB429" s="2" t="s">
        <v>267</v>
      </c>
      <c r="AC429" s="3" t="s">
        <v>2096</v>
      </c>
      <c r="AD429" s="3" t="s">
        <v>108</v>
      </c>
      <c r="AE429" s="1">
        <v>60</v>
      </c>
      <c r="AF429" s="1">
        <f t="shared" si="30"/>
        <v>1</v>
      </c>
    </row>
    <row r="430" spans="1:40" ht="30" x14ac:dyDescent="0.25">
      <c r="A430" s="3">
        <v>429</v>
      </c>
      <c r="B430" s="3" t="s">
        <v>389</v>
      </c>
      <c r="C430" s="3" t="s">
        <v>46</v>
      </c>
      <c r="D430" s="73" t="s">
        <v>400</v>
      </c>
      <c r="E430" s="9" t="s">
        <v>853</v>
      </c>
      <c r="F430" s="3" t="s">
        <v>336</v>
      </c>
      <c r="G430" s="3" t="s">
        <v>47</v>
      </c>
      <c r="H430" s="3" t="s">
        <v>677</v>
      </c>
      <c r="I430" s="3"/>
      <c r="J430" s="20" t="s">
        <v>353</v>
      </c>
      <c r="K430" s="20">
        <v>1</v>
      </c>
      <c r="N430" s="3" t="s">
        <v>33</v>
      </c>
      <c r="O430" s="129" t="s">
        <v>33</v>
      </c>
      <c r="P430" s="2" t="s">
        <v>1063</v>
      </c>
      <c r="R430" s="3" t="s">
        <v>54</v>
      </c>
      <c r="S430" s="73" t="s">
        <v>941</v>
      </c>
      <c r="AB430" s="2" t="s">
        <v>267</v>
      </c>
      <c r="AC430" s="3" t="s">
        <v>2096</v>
      </c>
      <c r="AD430" s="3" t="s">
        <v>108</v>
      </c>
      <c r="AE430" s="1">
        <v>180</v>
      </c>
      <c r="AF430" s="1">
        <f t="shared" si="30"/>
        <v>3</v>
      </c>
    </row>
    <row r="431" spans="1:40" ht="30" x14ac:dyDescent="0.25">
      <c r="A431" s="3">
        <v>430</v>
      </c>
      <c r="B431" s="3" t="s">
        <v>389</v>
      </c>
      <c r="C431" s="3" t="s">
        <v>46</v>
      </c>
      <c r="D431" s="73" t="s">
        <v>400</v>
      </c>
      <c r="E431" s="9" t="s">
        <v>853</v>
      </c>
      <c r="F431" s="3" t="s">
        <v>336</v>
      </c>
      <c r="G431" s="3" t="s">
        <v>47</v>
      </c>
      <c r="H431" s="3" t="s">
        <v>677</v>
      </c>
      <c r="I431" s="3"/>
      <c r="J431" s="20" t="s">
        <v>353</v>
      </c>
      <c r="K431" s="20">
        <v>1</v>
      </c>
      <c r="N431" s="3" t="s">
        <v>33</v>
      </c>
      <c r="O431" s="129" t="s">
        <v>33</v>
      </c>
      <c r="P431" s="2" t="s">
        <v>1063</v>
      </c>
      <c r="R431" s="3" t="s">
        <v>200</v>
      </c>
      <c r="S431" s="73" t="s">
        <v>941</v>
      </c>
      <c r="AB431" s="2" t="s">
        <v>267</v>
      </c>
      <c r="AC431" s="3" t="s">
        <v>2096</v>
      </c>
      <c r="AD431" s="3" t="s">
        <v>108</v>
      </c>
      <c r="AE431" s="1">
        <v>180</v>
      </c>
      <c r="AF431" s="1">
        <f t="shared" si="30"/>
        <v>3</v>
      </c>
    </row>
    <row r="432" spans="1:40" ht="30" x14ac:dyDescent="0.25">
      <c r="A432" s="3">
        <v>431</v>
      </c>
      <c r="B432" s="9" t="s">
        <v>1117</v>
      </c>
      <c r="C432" s="34" t="s">
        <v>27</v>
      </c>
      <c r="D432" s="73" t="s">
        <v>400</v>
      </c>
      <c r="E432" s="9" t="s">
        <v>996</v>
      </c>
      <c r="F432" s="3" t="s">
        <v>445</v>
      </c>
      <c r="G432" s="3" t="s">
        <v>29</v>
      </c>
      <c r="H432" s="3"/>
      <c r="I432" s="3"/>
      <c r="J432" s="32" t="s">
        <v>1993</v>
      </c>
      <c r="K432" s="20">
        <v>1</v>
      </c>
      <c r="N432" s="3" t="s">
        <v>33</v>
      </c>
      <c r="O432" s="129" t="s">
        <v>33</v>
      </c>
      <c r="P432" s="2" t="s">
        <v>472</v>
      </c>
      <c r="R432" s="3" t="s">
        <v>181</v>
      </c>
      <c r="S432" s="3" t="s">
        <v>939</v>
      </c>
      <c r="AB432" s="2" t="s">
        <v>267</v>
      </c>
      <c r="AC432" s="3" t="s">
        <v>2096</v>
      </c>
      <c r="AD432" s="3" t="s">
        <v>108</v>
      </c>
      <c r="AE432" s="1">
        <v>120</v>
      </c>
      <c r="AF432" s="1">
        <f t="shared" si="30"/>
        <v>2</v>
      </c>
    </row>
    <row r="433" spans="1:40" ht="30" x14ac:dyDescent="0.25">
      <c r="A433" s="3">
        <v>432</v>
      </c>
      <c r="B433" s="9" t="s">
        <v>2000</v>
      </c>
      <c r="C433" s="9" t="s">
        <v>27</v>
      </c>
      <c r="D433" s="73" t="s">
        <v>400</v>
      </c>
      <c r="E433" s="9" t="s">
        <v>853</v>
      </c>
      <c r="F433" s="9" t="s">
        <v>28</v>
      </c>
      <c r="G433" s="9" t="s">
        <v>29</v>
      </c>
      <c r="H433" s="9">
        <v>29889</v>
      </c>
      <c r="I433" s="9"/>
      <c r="J433" s="32" t="s">
        <v>2001</v>
      </c>
      <c r="K433" s="32">
        <v>1</v>
      </c>
      <c r="N433" s="3" t="s">
        <v>33</v>
      </c>
      <c r="O433" s="129" t="s">
        <v>33</v>
      </c>
      <c r="P433" s="2" t="s">
        <v>2051</v>
      </c>
      <c r="R433" s="3" t="s">
        <v>200</v>
      </c>
      <c r="S433" s="3" t="s">
        <v>939</v>
      </c>
      <c r="AB433" s="2" t="s">
        <v>267</v>
      </c>
      <c r="AC433" s="3" t="s">
        <v>2096</v>
      </c>
      <c r="AD433" s="3" t="s">
        <v>108</v>
      </c>
      <c r="AE433" s="1">
        <v>180</v>
      </c>
      <c r="AF433" s="1">
        <f t="shared" si="30"/>
        <v>3</v>
      </c>
    </row>
    <row r="434" spans="1:40" ht="30" x14ac:dyDescent="0.25">
      <c r="A434" s="3">
        <v>433</v>
      </c>
      <c r="B434" s="3" t="s">
        <v>578</v>
      </c>
      <c r="C434" s="3" t="s">
        <v>45</v>
      </c>
      <c r="D434" s="73" t="s">
        <v>450</v>
      </c>
      <c r="E434" s="73" t="s">
        <v>853</v>
      </c>
      <c r="F434" s="73" t="s">
        <v>361</v>
      </c>
      <c r="G434" s="73" t="s">
        <v>1048</v>
      </c>
      <c r="H434" s="73"/>
      <c r="I434" s="73">
        <v>3129</v>
      </c>
      <c r="J434" s="25" t="s">
        <v>2069</v>
      </c>
      <c r="K434" s="73">
        <v>1</v>
      </c>
      <c r="N434" s="3" t="s">
        <v>35</v>
      </c>
      <c r="O434" s="129">
        <v>7101</v>
      </c>
      <c r="P434" s="2" t="s">
        <v>425</v>
      </c>
      <c r="R434" s="3" t="s">
        <v>434</v>
      </c>
      <c r="S434" s="3" t="s">
        <v>939</v>
      </c>
      <c r="AB434" s="2" t="s">
        <v>267</v>
      </c>
      <c r="AC434" s="3" t="s">
        <v>2074</v>
      </c>
      <c r="AD434" s="3" t="s">
        <v>108</v>
      </c>
      <c r="AE434" s="1">
        <v>60</v>
      </c>
      <c r="AF434" s="1">
        <f t="shared" si="30"/>
        <v>1</v>
      </c>
    </row>
    <row r="435" spans="1:40" ht="45" x14ac:dyDescent="0.25">
      <c r="A435" s="3">
        <v>434</v>
      </c>
      <c r="B435" s="3" t="s">
        <v>2117</v>
      </c>
      <c r="C435" s="3" t="s">
        <v>45</v>
      </c>
      <c r="D435" s="73" t="s">
        <v>450</v>
      </c>
      <c r="E435" s="73" t="s">
        <v>853</v>
      </c>
      <c r="F435" s="73" t="s">
        <v>199</v>
      </c>
      <c r="G435" s="73" t="s">
        <v>29</v>
      </c>
      <c r="H435" s="73"/>
      <c r="I435" s="73">
        <v>3128</v>
      </c>
      <c r="J435" s="25" t="s">
        <v>2118</v>
      </c>
      <c r="K435" s="73">
        <v>1</v>
      </c>
      <c r="N435" s="3" t="s">
        <v>35</v>
      </c>
      <c r="O435" s="129">
        <v>7101</v>
      </c>
      <c r="P435" s="2" t="s">
        <v>198</v>
      </c>
      <c r="R435" s="3" t="s">
        <v>434</v>
      </c>
      <c r="S435" s="3" t="s">
        <v>939</v>
      </c>
      <c r="AB435" s="2" t="s">
        <v>267</v>
      </c>
      <c r="AC435" s="3" t="s">
        <v>2074</v>
      </c>
      <c r="AD435" s="3" t="s">
        <v>108</v>
      </c>
      <c r="AE435" s="1">
        <v>60</v>
      </c>
      <c r="AF435" s="1">
        <f t="shared" si="30"/>
        <v>1</v>
      </c>
    </row>
    <row r="436" spans="1:40" ht="30" x14ac:dyDescent="0.25">
      <c r="A436" s="3">
        <v>435</v>
      </c>
      <c r="B436" s="3" t="s">
        <v>2032</v>
      </c>
      <c r="C436" s="3" t="s">
        <v>62</v>
      </c>
      <c r="D436" s="73" t="s">
        <v>450</v>
      </c>
      <c r="E436" s="73" t="s">
        <v>853</v>
      </c>
      <c r="F436" s="73" t="s">
        <v>187</v>
      </c>
      <c r="G436" s="73" t="s">
        <v>29</v>
      </c>
      <c r="H436" s="73"/>
      <c r="I436" s="73">
        <v>17451</v>
      </c>
      <c r="J436" s="25" t="s">
        <v>2033</v>
      </c>
      <c r="K436" s="73">
        <v>2</v>
      </c>
      <c r="N436" s="3" t="s">
        <v>35</v>
      </c>
      <c r="O436" s="129">
        <v>7101</v>
      </c>
      <c r="P436" s="2" t="s">
        <v>2034</v>
      </c>
      <c r="R436" s="3" t="s">
        <v>79</v>
      </c>
      <c r="S436" s="3" t="s">
        <v>939</v>
      </c>
      <c r="AB436" s="2" t="s">
        <v>267</v>
      </c>
      <c r="AC436" s="3" t="s">
        <v>2074</v>
      </c>
      <c r="AD436" s="3" t="s">
        <v>108</v>
      </c>
      <c r="AE436" s="1">
        <v>60</v>
      </c>
      <c r="AF436" s="1">
        <f t="shared" si="30"/>
        <v>1</v>
      </c>
    </row>
    <row r="437" spans="1:40" ht="30" x14ac:dyDescent="0.25">
      <c r="A437" s="3">
        <v>436</v>
      </c>
      <c r="B437" s="3" t="s">
        <v>439</v>
      </c>
      <c r="C437" s="3" t="s">
        <v>27</v>
      </c>
      <c r="D437" s="73" t="s">
        <v>450</v>
      </c>
      <c r="E437" s="9" t="s">
        <v>853</v>
      </c>
      <c r="F437" s="3" t="s">
        <v>28</v>
      </c>
      <c r="G437" s="3" t="s">
        <v>29</v>
      </c>
      <c r="H437" s="3"/>
      <c r="I437" s="3"/>
      <c r="J437" s="20" t="s">
        <v>752</v>
      </c>
      <c r="K437" s="20">
        <v>1</v>
      </c>
      <c r="N437" s="3" t="s">
        <v>33</v>
      </c>
      <c r="O437" s="129" t="s">
        <v>33</v>
      </c>
      <c r="P437" s="2" t="s">
        <v>495</v>
      </c>
      <c r="R437" s="3" t="s">
        <v>1817</v>
      </c>
      <c r="S437" s="3" t="s">
        <v>939</v>
      </c>
      <c r="AB437" s="2" t="s">
        <v>267</v>
      </c>
      <c r="AC437" s="3" t="s">
        <v>2074</v>
      </c>
      <c r="AD437" s="3" t="s">
        <v>108</v>
      </c>
      <c r="AE437" s="1">
        <v>120</v>
      </c>
      <c r="AF437" s="1">
        <f t="shared" si="30"/>
        <v>2</v>
      </c>
    </row>
    <row r="438" spans="1:40" ht="30" x14ac:dyDescent="0.25">
      <c r="A438" s="3">
        <v>437</v>
      </c>
      <c r="B438" s="9" t="s">
        <v>1117</v>
      </c>
      <c r="C438" s="34" t="s">
        <v>27</v>
      </c>
      <c r="D438" s="73" t="s">
        <v>450</v>
      </c>
      <c r="E438" s="9" t="s">
        <v>996</v>
      </c>
      <c r="F438" s="3" t="s">
        <v>445</v>
      </c>
      <c r="G438" s="3" t="s">
        <v>29</v>
      </c>
      <c r="H438" s="3"/>
      <c r="I438" s="3"/>
      <c r="J438" s="32" t="s">
        <v>1993</v>
      </c>
      <c r="K438" s="20">
        <v>1</v>
      </c>
      <c r="N438" s="3" t="s">
        <v>33</v>
      </c>
      <c r="O438" s="129" t="s">
        <v>33</v>
      </c>
      <c r="P438" s="2" t="s">
        <v>472</v>
      </c>
      <c r="R438" s="3" t="s">
        <v>181</v>
      </c>
      <c r="S438" s="3" t="s">
        <v>939</v>
      </c>
      <c r="AB438" s="2" t="s">
        <v>267</v>
      </c>
      <c r="AC438" s="3" t="s">
        <v>2074</v>
      </c>
      <c r="AD438" s="3" t="s">
        <v>108</v>
      </c>
      <c r="AE438" s="1">
        <v>120</v>
      </c>
      <c r="AF438" s="1">
        <f t="shared" si="30"/>
        <v>2</v>
      </c>
    </row>
    <row r="439" spans="1:40" ht="30" x14ac:dyDescent="0.25">
      <c r="A439" s="3">
        <v>438</v>
      </c>
      <c r="B439" s="9" t="s">
        <v>1117</v>
      </c>
      <c r="C439" s="34" t="s">
        <v>27</v>
      </c>
      <c r="D439" s="73" t="s">
        <v>450</v>
      </c>
      <c r="E439" s="9" t="s">
        <v>996</v>
      </c>
      <c r="F439" s="3" t="s">
        <v>445</v>
      </c>
      <c r="G439" s="3" t="s">
        <v>29</v>
      </c>
      <c r="H439" s="3"/>
      <c r="I439" s="3"/>
      <c r="J439" s="32" t="s">
        <v>1993</v>
      </c>
      <c r="K439" s="20">
        <v>1</v>
      </c>
      <c r="N439" s="3" t="s">
        <v>33</v>
      </c>
      <c r="O439" s="129" t="s">
        <v>33</v>
      </c>
      <c r="P439" s="2" t="s">
        <v>472</v>
      </c>
      <c r="R439" s="3" t="s">
        <v>181</v>
      </c>
      <c r="S439" s="3" t="s">
        <v>939</v>
      </c>
      <c r="AB439" s="2" t="s">
        <v>267</v>
      </c>
      <c r="AC439" s="3" t="s">
        <v>2096</v>
      </c>
      <c r="AD439" s="3" t="s">
        <v>108</v>
      </c>
      <c r="AE439" s="1">
        <v>120</v>
      </c>
      <c r="AF439" s="1">
        <f t="shared" si="30"/>
        <v>2</v>
      </c>
    </row>
    <row r="440" spans="1:40" ht="30" x14ac:dyDescent="0.25">
      <c r="A440" s="3">
        <v>439</v>
      </c>
      <c r="B440" s="3" t="s">
        <v>389</v>
      </c>
      <c r="C440" s="3" t="s">
        <v>46</v>
      </c>
      <c r="D440" s="73" t="s">
        <v>450</v>
      </c>
      <c r="E440" s="9" t="s">
        <v>853</v>
      </c>
      <c r="F440" s="3" t="s">
        <v>336</v>
      </c>
      <c r="G440" s="3" t="s">
        <v>47</v>
      </c>
      <c r="H440" s="3" t="s">
        <v>677</v>
      </c>
      <c r="I440" s="3"/>
      <c r="J440" s="20" t="s">
        <v>353</v>
      </c>
      <c r="K440" s="20">
        <v>1</v>
      </c>
      <c r="N440" s="3" t="s">
        <v>33</v>
      </c>
      <c r="O440" s="129" t="s">
        <v>33</v>
      </c>
      <c r="P440" s="2" t="s">
        <v>1063</v>
      </c>
      <c r="R440" s="3" t="s">
        <v>54</v>
      </c>
      <c r="S440" s="73" t="s">
        <v>941</v>
      </c>
      <c r="AB440" s="2" t="s">
        <v>267</v>
      </c>
      <c r="AC440" s="3" t="s">
        <v>2096</v>
      </c>
      <c r="AD440" s="3" t="s">
        <v>108</v>
      </c>
      <c r="AE440" s="1">
        <v>180</v>
      </c>
      <c r="AF440" s="1">
        <f t="shared" si="30"/>
        <v>3</v>
      </c>
    </row>
    <row r="441" spans="1:40" ht="30" x14ac:dyDescent="0.25">
      <c r="A441" s="3">
        <v>440</v>
      </c>
      <c r="B441" s="9" t="s">
        <v>1513</v>
      </c>
      <c r="C441" s="9" t="s">
        <v>46</v>
      </c>
      <c r="D441" s="73" t="s">
        <v>450</v>
      </c>
      <c r="E441" s="9" t="s">
        <v>853</v>
      </c>
      <c r="F441" s="3" t="s">
        <v>336</v>
      </c>
      <c r="G441" s="3" t="s">
        <v>47</v>
      </c>
      <c r="H441" s="3" t="s">
        <v>1454</v>
      </c>
      <c r="I441" s="20"/>
      <c r="J441" s="3" t="s">
        <v>1693</v>
      </c>
      <c r="K441" s="3">
        <v>1</v>
      </c>
      <c r="N441" s="3" t="s">
        <v>33</v>
      </c>
      <c r="O441" s="129" t="s">
        <v>33</v>
      </c>
      <c r="P441" s="2" t="s">
        <v>1063</v>
      </c>
      <c r="R441" s="3" t="s">
        <v>54</v>
      </c>
      <c r="S441" s="73" t="s">
        <v>941</v>
      </c>
      <c r="AB441" s="2" t="s">
        <v>267</v>
      </c>
      <c r="AC441" s="3" t="s">
        <v>2096</v>
      </c>
      <c r="AD441" s="3" t="s">
        <v>108</v>
      </c>
      <c r="AE441" s="1">
        <v>60</v>
      </c>
      <c r="AF441" s="1">
        <f t="shared" si="30"/>
        <v>1</v>
      </c>
      <c r="AN441" s="1" t="s">
        <v>2119</v>
      </c>
    </row>
    <row r="502" spans="17:17" x14ac:dyDescent="0.25">
      <c r="Q502" s="2"/>
    </row>
    <row r="523" spans="19:19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441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16" zoomScale="70" zoomScaleNormal="70" workbookViewId="0">
      <selection activeCell="R27" sqref="R27:X27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1583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11</v>
      </c>
      <c r="R7" s="80">
        <f>SUMIFS(شهریور!$AF$2:$AF$800,شهریور!$B$2:$B$800,$J$7,شهریور!$C$2:$C$800,$J$8,شهریور!$N$2:$N$800,$K$7)</f>
        <v>33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44</v>
      </c>
      <c r="Z7" s="80">
        <v>1500000</v>
      </c>
      <c r="AA7" s="89">
        <f>Y7*Z7</f>
        <v>66000000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39</v>
      </c>
      <c r="Q8" s="80">
        <f>SUMIFS(مرداد!AF3:AF801,مرداد!B3:B801,$J$7,مرداد!C3:C801,$J$8,مرداد!N3:N801,Total!K8)</f>
        <v>75</v>
      </c>
      <c r="R8" s="80">
        <f>SUMIFS(شهریور!$AF$2:$AF$800,شهریور!$B$2:$B$800,$J$7,شهریور!$C$2:$C$800,$J$8,شهریور!$N$2:$N$800,K8)</f>
        <v>0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114</v>
      </c>
      <c r="Z8" s="80">
        <v>750000</v>
      </c>
      <c r="AA8" s="89">
        <f t="shared" ref="AA8:AA15" si="1">Y8*Z8</f>
        <v>85500000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27</v>
      </c>
      <c r="Q9" s="80">
        <f>SUMIFS(مرداد!AF4:AF802,مرداد!B4:B802,$J$7,مرداد!C4:C802,$J$8,مرداد!N4:N802,Total!K9)</f>
        <v>0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27</v>
      </c>
      <c r="Z9" s="80">
        <v>750000</v>
      </c>
      <c r="AA9" s="89">
        <f t="shared" si="1"/>
        <v>20250000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0</v>
      </c>
      <c r="O10" s="80">
        <f>SUMIFS(خرداد!AF5:AF803,خرداد!B5:B803,$J$7,خرداد!C5:C803,$J$8,خرداد!N5:N803,K10,خرداد!$H$2:$H$800,"*")</f>
        <v>0</v>
      </c>
      <c r="P10" s="80">
        <f>SUMIFS(تیر!AF5:AF803,تیر!B5:B803,$J$7,تیر!C5:C803,$J$8,تیر!N5:N803,K10)</f>
        <v>0</v>
      </c>
      <c r="Q10" s="80">
        <f>SUMIFS(مرداد!AF5:AF803,مرداد!B5:B803,$J$7,مرداد!C5:C803,$J$8,مرداد!N5:N803,Total!K10)</f>
        <v>5.5</v>
      </c>
      <c r="R10" s="80">
        <f>SUMIFS(شهریور!$AF$2:$AF$800,شهریور!$B$2:$B$800,$J$7,شهریور!$C$2:$C$800,$J$8,شهریور!$N$2:$N$800,K10)</f>
        <v>9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14.5</v>
      </c>
      <c r="Z10" s="80">
        <v>750000</v>
      </c>
      <c r="AA10" s="89">
        <f t="shared" si="1"/>
        <v>10875000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0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0</v>
      </c>
      <c r="Z12" s="80">
        <v>750000</v>
      </c>
      <c r="AA12" s="89">
        <f t="shared" si="1"/>
        <v>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0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0</v>
      </c>
      <c r="Z13" s="80">
        <v>750000</v>
      </c>
      <c r="AA13" s="89">
        <f t="shared" si="1"/>
        <v>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0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0</v>
      </c>
      <c r="Z15" s="80">
        <v>750000</v>
      </c>
      <c r="AA15" s="89">
        <f t="shared" si="1"/>
        <v>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0</v>
      </c>
      <c r="O16" s="81">
        <f>SUM(O7:O15)</f>
        <v>0</v>
      </c>
      <c r="P16" s="81">
        <f>SUM(P7:P15)</f>
        <v>66</v>
      </c>
      <c r="Q16" s="81">
        <f>SUM(Q7:Q15)</f>
        <v>91.5</v>
      </c>
      <c r="R16" s="81">
        <f>R7+R8+R9+R10+R11+R12+R13+R15</f>
        <v>42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199.5</v>
      </c>
      <c r="Z16" s="80"/>
      <c r="AA16" s="89">
        <f>SUM(AA7:AA13)</f>
        <v>182625000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2002</v>
      </c>
      <c r="S18" s="104" t="s">
        <v>2013</v>
      </c>
      <c r="T18" s="104" t="s">
        <v>2028</v>
      </c>
      <c r="U18" s="104" t="s">
        <v>2044</v>
      </c>
      <c r="V18" s="104" t="s">
        <v>2041</v>
      </c>
      <c r="W18" s="104" t="s">
        <v>2071</v>
      </c>
      <c r="X18" s="104" t="s">
        <v>2072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0</v>
      </c>
      <c r="T19" s="80">
        <f>SUMIFS(شهریور!$AF$2:$AF$800,شهریور!$C$2:$C$800,P19,شهریور!$AC$2:$AC$800,$T$18)</f>
        <v>1</v>
      </c>
      <c r="U19" s="80">
        <f>SUMIFS(شهریور!$AF$2:$AF$800,شهریور!$C$2:$C$800,P19,شهریور!$AC$2:$AC$800,$U$18)</f>
        <v>4.5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5.5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63.5</v>
      </c>
      <c r="S21" s="80">
        <f>SUMIFS(شهریور!$AF$2:$AF$800,شهریور!$C$2:$C$800,P21,شهریور!$AC$2:$AC$800,$S$18)</f>
        <v>47.5</v>
      </c>
      <c r="T21" s="80">
        <f>SUMIFS(شهریور!$AF$2:$AF$800,شهریور!$C$2:$C$800,P21,شهریور!$AC$2:$AC$800,$T$18)</f>
        <v>54.833333333333329</v>
      </c>
      <c r="U21" s="80">
        <f>SUMIFS(شهریور!$AF$2:$AF$800,شهریور!$C$2:$C$800,P21,شهریور!$AC$2:$AC$800,$U$18)</f>
        <v>42.5</v>
      </c>
      <c r="V21" s="80">
        <f>SUMIFS(شهریور!$AF$2:$AF$800,شهریور!$C$2:$C$800,P21,شهریور!$AC$2:$AC$800,$V$18)</f>
        <v>82.5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290.83333333333331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14.5</v>
      </c>
      <c r="S22" s="80">
        <f>SUMIFS(شهریور!$AF$2:$AF$800,شهریور!$C$2:$C$800,P22,شهریور!$AC$2:$AC$800,$S$18)</f>
        <v>21.5</v>
      </c>
      <c r="T22" s="80">
        <f>SUMIFS(شهریور!$AF$2:$AF$800,شهریور!$C$2:$C$800,P22,شهریور!$AC$2:$AC$800,$T$18)</f>
        <v>33</v>
      </c>
      <c r="U22" s="80">
        <f>SUMIFS(شهریور!$AF$2:$AF$800,شهریور!$C$2:$C$800,P22,شهریور!$AC$2:$AC$800,$U$18)</f>
        <v>32</v>
      </c>
      <c r="V22" s="80">
        <f>SUMIFS(شهریور!$AF$2:$AF$800,شهریور!$C$2:$C$800,P22,شهریور!$AC$2:$AC$800,$V$18)</f>
        <v>35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136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7.5</v>
      </c>
      <c r="T23" s="80">
        <f>SUMIFS(شهریور!$AF$2:$AF$800,شهریور!$C$2:$C$800,P23,شهریور!$AC$2:$AC$800,$T$18)</f>
        <v>7.5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15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43.5</v>
      </c>
      <c r="S24" s="80">
        <f>SUMIFS(شهریور!$AF$2:$AF$800,شهریور!$C$2:$C$800,P24,شهریور!$AC$2:$AC$800,$S$18)</f>
        <v>40.5</v>
      </c>
      <c r="T24" s="80">
        <f>SUMIFS(شهریور!$AF$2:$AF$800,شهریور!$C$2:$C$800,P24,شهریور!$AC$2:$AC$800,$T$18)</f>
        <v>37.833333333333329</v>
      </c>
      <c r="U24" s="80">
        <f>SUMIFS(شهریور!$AF$2:$AF$800,شهریور!$C$2:$C$800,P24,شهریور!$AC$2:$AC$800,$U$18)</f>
        <v>31</v>
      </c>
      <c r="V24" s="80">
        <f>SUMIFS(شهریور!$AF$2:$AF$800,شهریور!$C$2:$C$800,P24,شهریور!$AC$2:$AC$800,$V$18)</f>
        <v>33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185.83333333333331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18</v>
      </c>
      <c r="S25" s="80">
        <f>SUMIFS(شهریور!$AF$2:$AF$800,شهریور!$C$2:$C$800,P25,شهریور!$AC$2:$AC$800,$S$18)</f>
        <v>7</v>
      </c>
      <c r="T25" s="80">
        <f>SUMIFS(شهریور!$AF$2:$AF$800,شهریور!$C$2:$C$800,P25,شهریور!$AC$2:$AC$800,$T$18)</f>
        <v>5.3333333333333339</v>
      </c>
      <c r="U25" s="80">
        <f>SUMIFS(شهریور!$AF$2:$AF$800,شهریور!$C$2:$C$800,P25,شهریور!$AC$2:$AC$800,$U$18)</f>
        <v>8</v>
      </c>
      <c r="V25" s="80">
        <f>SUMIFS(شهریور!$AF$2:$AF$800,شهریور!$C$2:$C$800,P25,شهریور!$AC$2:$AC$800,$V$18)</f>
        <v>4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42.333333333333336</v>
      </c>
      <c r="Z25" s="83">
        <f>SUM(Y19:Y25)</f>
        <v>675.5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SUMIFS(شهریور!$AQ$2:$AQ$800,شهریور!$C$2:$C$800,"* نو",شهریور!$AC$2:$AC$800,R18)</f>
        <v>18000000</v>
      </c>
      <c r="S26" s="80">
        <f>SUMIFS(شهریور!$AQ$2:$AQ$800,شهریور!$C$2:$C$800,"* نو",شهریور!$AC$2:$AC$800,S18)</f>
        <v>12000000</v>
      </c>
      <c r="T26" s="80">
        <f>SUMIFS(شهریور!$AQ$2:$AQ$800,شهریور!$C$2:$C$800,"* نو",شهریور!$AC$2:$AC$800,T18)</f>
        <v>16500000</v>
      </c>
      <c r="U26" s="80">
        <f>SUMIFS(شهریور!$AQ$2:$AQ$800,شهریور!$C$2:$C$800,"* نو",شهریور!$AC$2:$AC$800,U18)</f>
        <v>20250000</v>
      </c>
      <c r="V26" s="80">
        <f>SUMIFS(شهریور!$AQ$2:$AQ$800,شهریور!$C$2:$C$800,"* نو",شهریور!$AC$2:$AC$800,V18)</f>
        <v>18000000</v>
      </c>
      <c r="W26" s="80">
        <f>SUMIFS(شهریور!$AQ$2:$AQ$800,شهریور!$C$2:$C$800,"* نو",شهریور!$AC$2:$AC$800,W18)</f>
        <v>0</v>
      </c>
      <c r="X26" s="80">
        <f>SUMIFS(شهریور!$AQ$2:$AQ$800,شهریور!$C$2:$C$800,"* نو",شهریور!$AC$2:$AC$800,X18)</f>
        <v>0</v>
      </c>
      <c r="Y26" s="80">
        <f>SUM(R26:X26)</f>
        <v>84750000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SUMIFS(شهریور!$AQ$2:$AQ$800,شهریور!$C$2:$C$800,"* تعمیری",شهریور!$AC$2:$AC$800,R18)</f>
        <v>7500000</v>
      </c>
      <c r="S27" s="80">
        <f>SUMIFS(شهریور!$AQ$2:$AQ$800,شهریور!$C$2:$C$800,"* تعمیری",شهریور!$AC$2:$AC$800,S18)</f>
        <v>12000000</v>
      </c>
      <c r="T27" s="80">
        <f>SUMIFS(شهریور!$AQ$2:$AQ$800,شهریور!$C$2:$C$800,"* تعمیری",شهریور!$AC$2:$AC$800,T18)</f>
        <v>11250000</v>
      </c>
      <c r="U27" s="80">
        <f>SUMIFS(شهریور!$AQ$2:$AQ$800,شهریور!$C$2:$C$800,"* تعمیری",شهریور!$AC$2:$AC$800,U18)</f>
        <v>11250000</v>
      </c>
      <c r="V27" s="80">
        <f>SUMIFS(شهریور!$AQ$2:$AQ$800,شهریور!$C$2:$C$800,"* تعمیری",شهریور!$AC$2:$AC$800,V18)</f>
        <v>8250000</v>
      </c>
      <c r="W27" s="80">
        <f>SUMIFS(شهریور!$AQ$2:$AQ$800,شهریور!$C$2:$C$800,"* تعمیری",شهریور!$AC$2:$AC$800,W18)</f>
        <v>0</v>
      </c>
      <c r="X27" s="80">
        <f>SUMIFS(شهریور!$AQ$2:$AQ$800,شهریور!$C$2:$C$800,"* تعمیری",شهریور!$AC$2:$AC$800,X18)</f>
        <v>0</v>
      </c>
      <c r="Y27" s="80">
        <f>SUM(R27:X27)</f>
        <v>50250000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25500000</v>
      </c>
      <c r="S29" s="107">
        <f t="shared" ref="S29:X29" si="4">SUM(S26:S27)</f>
        <v>24000000</v>
      </c>
      <c r="T29" s="107">
        <f t="shared" si="4"/>
        <v>27750000</v>
      </c>
      <c r="U29" s="107">
        <f t="shared" si="4"/>
        <v>31500000</v>
      </c>
      <c r="V29" s="107">
        <f t="shared" si="4"/>
        <v>26250000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139.5</v>
      </c>
      <c r="S30" s="105">
        <f t="shared" ref="S30:X30" si="5">SUM(S19:S25)</f>
        <v>124</v>
      </c>
      <c r="T30" s="105">
        <f t="shared" si="5"/>
        <v>139.5</v>
      </c>
      <c r="U30" s="105">
        <f t="shared" si="5"/>
        <v>118</v>
      </c>
      <c r="V30" s="105">
        <f t="shared" si="5"/>
        <v>154.5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2002</v>
      </c>
      <c r="S32" s="104" t="s">
        <v>2013</v>
      </c>
      <c r="T32" s="104" t="s">
        <v>2028</v>
      </c>
      <c r="U32" s="104" t="s">
        <v>2044</v>
      </c>
      <c r="V32" s="104" t="s">
        <v>2041</v>
      </c>
      <c r="W32" s="104" t="s">
        <v>2071</v>
      </c>
      <c r="X32" s="104" t="s">
        <v>2072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11</v>
      </c>
      <c r="S34" s="114">
        <f>SUMIFS(شهریور!$AF$2:$AF$800,شهریور!$AC$2:$AC$800,$S$32,شهریور!$O$2:$O$800,J34)</f>
        <v>11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6</v>
      </c>
      <c r="V34" s="114">
        <f>SUMIFS(شهریور!$AF$2:$AF$800,شهریور!$AC$2:$AC$800,$V$32,شهریور!$O$2:$O$800,J34)</f>
        <v>8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47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11</v>
      </c>
      <c r="U35" s="114">
        <f>SUMIFS(شهریور!$AF$2:$AF$800,شهریور!$AC$2:$AC$800,$U$32,شهریور!$O$2:$O$800,J35)</f>
        <v>11</v>
      </c>
      <c r="V35" s="114">
        <f>SUMIFS(شهریور!$AF$2:$AF$800,شهریور!$AC$2:$AC$800,$V$32,شهریور!$O$2:$O$800,J35)</f>
        <v>11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55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6.5</v>
      </c>
      <c r="U36" s="114">
        <f>SUMIFS(شهریور!$AF$2:$AF$800,شهریور!$AC$2:$AC$800,$U$32,شهریور!$O$2:$O$800,J36)</f>
        <v>6.5</v>
      </c>
      <c r="V36" s="114">
        <f>SUMIFS(شهریور!$AF$2:$AF$800,شهریور!$AC$2:$AC$800,$V$32,شهریور!$O$2:$O$800,J36)</f>
        <v>6.5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32.5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11</v>
      </c>
      <c r="U38" s="114">
        <f>SUMIFS(شهریور!$AF$2:$AF$800,شهریور!$AC$2:$AC$800,$U$32,شهریور!$O$2:$O$800,J38)</f>
        <v>9.5</v>
      </c>
      <c r="V38" s="114">
        <f>SUMIFS(شهریور!$AF$2:$AF$800,شهریور!$AC$2:$AC$800,$V$32,شهریور!$O$2:$O$800,J38)</f>
        <v>11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53.5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11</v>
      </c>
      <c r="U39" s="114">
        <f>SUMIFS(شهریور!$AF$2:$AF$800,شهریور!$AC$2:$AC$800,$U$32,شهریور!$O$2:$O$800,J39)</f>
        <v>9.5</v>
      </c>
      <c r="V39" s="114">
        <f>SUMIFS(شهریور!$AF$2:$AF$800,شهریور!$AC$2:$AC$800,$V$32,شهریور!$O$2:$O$800,J39)</f>
        <v>11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53.5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6.5</v>
      </c>
      <c r="T40" s="114">
        <f>SUMIFS(شهریور!$AF$2:$AF$800,شهریور!$AC$2:$AC$800,$T$32,شهریور!$O$2:$O$800,J40)</f>
        <v>11</v>
      </c>
      <c r="U40" s="114">
        <f>SUMIFS(شهریور!$AF$2:$AF$800,شهریور!$AC$2:$AC$800,$U$32,شهریور!$O$2:$O$800,J40)</f>
        <v>7</v>
      </c>
      <c r="V40" s="114">
        <f>SUMIFS(شهریور!$AF$2:$AF$800,شهریور!$AC$2:$AC$800,$V$32,شهریور!$O$2:$O$800,J40)</f>
        <v>11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46.5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11</v>
      </c>
      <c r="S41" s="114">
        <f>SUMIFS(شهریور!$AF$2:$AF$800,شهریور!$AC$2:$AC$800,$S$32,شهریور!$O$2:$O$800,J41)</f>
        <v>8</v>
      </c>
      <c r="T41" s="114">
        <f>SUMIFS(شهریور!$AF$2:$AF$800,شهریور!$AC$2:$AC$800,$T$32,شهریور!$O$2:$O$800,J41)</f>
        <v>11</v>
      </c>
      <c r="U41" s="114">
        <f>SUMIFS(شهریور!$AF$2:$AF$800,شهریور!$AC$2:$AC$800,$U$32,شهریور!$O$2:$O$800,J41)</f>
        <v>11</v>
      </c>
      <c r="V41" s="114">
        <f>SUMIFS(شهریور!$AF$2:$AF$800,شهریور!$AC$2:$AC$800,$V$32,شهریور!$O$2:$O$800,J41)</f>
        <v>11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52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9</v>
      </c>
      <c r="S42" s="114">
        <f>SUMIFS(شهریور!$AF$2:$AF$800,شهریور!$AC$2:$AC$800,$S$32,شهریور!$O$2:$O$800,J42)</f>
        <v>6</v>
      </c>
      <c r="T42" s="114">
        <f>SUMIFS(شهریور!$AF$2:$AF$800,شهریور!$AC$2:$AC$800,$T$32,شهریور!$O$2:$O$800,J42)</f>
        <v>7</v>
      </c>
      <c r="U42" s="114">
        <f>SUMIFS(شهریور!$AF$2:$AF$800,شهریور!$AC$2:$AC$800,$U$32,شهریور!$O$2:$O$800,J42)</f>
        <v>10</v>
      </c>
      <c r="V42" s="114">
        <f>SUMIFS(شهریور!$AF$2:$AF$800,شهریور!$AC$2:$AC$800,$V$32,شهریور!$O$2:$O$800,J42)</f>
        <v>0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32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3</v>
      </c>
      <c r="T43" s="114">
        <f>SUMIFS(شهریور!$AF$2:$AF$800,شهریور!$AC$2:$AC$800,$T$32,شهریور!$O$2:$O$800,J43)</f>
        <v>3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11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17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0</v>
      </c>
      <c r="S44" s="114">
        <f>SUMIFS(شهریور!$AF$2:$AF$800,شهریور!$AC$2:$AC$800,$S$32,شهریور!$O$2:$O$800,J44)</f>
        <v>8</v>
      </c>
      <c r="T44" s="114">
        <f>SUMIFS(شهریور!$AF$2:$AF$800,شهریور!$AC$2:$AC$800,$T$32,شهریور!$O$2:$O$800,J44)</f>
        <v>4</v>
      </c>
      <c r="U44" s="114">
        <f>SUMIFS(شهریور!$AF$2:$AF$800,شهریور!$AC$2:$AC$800,$U$32,شهریور!$O$2:$O$800,J44)</f>
        <v>2</v>
      </c>
      <c r="V44" s="114">
        <f>SUMIFS(شهریور!$AF$2:$AF$800,شهریور!$AC$2:$AC$800,$V$32,شهریور!$O$2:$O$800,J44)</f>
        <v>0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14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0</v>
      </c>
      <c r="S45" s="114">
        <f>SUMIFS(شهریور!$AF$2:$AF$800,شهریور!$AC$2:$AC$800,$S$32,شهریور!$O$2:$O$800,J45)</f>
        <v>0</v>
      </c>
      <c r="T45" s="114">
        <f>SUMIFS(شهریور!$AF$2:$AF$800,شهریور!$AC$2:$AC$800,$T$32,شهریور!$O$2:$O$800,J45)</f>
        <v>0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11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11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11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44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0</v>
      </c>
      <c r="S47" s="114">
        <f>SUMIFS(شهریور!$AF$2:$AF$800,شهریور!$AC$2:$AC$800,$S$32,شهریور!$O$2:$O$800,J47)</f>
        <v>9</v>
      </c>
      <c r="T47" s="114">
        <f>SUMIFS(شهریور!$AF$2:$AF$800,شهریور!$AC$2:$AC$800,$T$32,شهریور!$O$2:$O$800,J47)</f>
        <v>12</v>
      </c>
      <c r="U47" s="114">
        <f>SUMIFS(شهریور!$AF$2:$AF$800,شهریور!$AC$2:$AC$800,$U$32,شهریور!$O$2:$O$800,J47)</f>
        <v>3</v>
      </c>
      <c r="V47" s="114">
        <f>SUMIFS(شهریور!$AF$2:$AF$800,شهریور!$AC$2:$AC$800,$V$32,شهریور!$O$2:$O$800,J47)</f>
        <v>12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36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12</v>
      </c>
      <c r="S48" s="114">
        <f>SUMIFS(شهریور!$AF$2:$AF$800,شهریور!$AC$2:$AC$800,$S$32,شهریور!$O$2:$O$800,J48)</f>
        <v>3</v>
      </c>
      <c r="T48" s="114">
        <f>SUMIFS(شهریور!$AF$2:$AF$800,شهریور!$AC$2:$AC$800,$T$32,شهریور!$O$2:$O$800,J48)</f>
        <v>7</v>
      </c>
      <c r="U48" s="114">
        <f>SUMIFS(شهریور!$AF$2:$AF$800,شهریور!$AC$2:$AC$800,$U$32,شهریور!$O$2:$O$800,J48)</f>
        <v>3</v>
      </c>
      <c r="V48" s="114">
        <f>SUMIFS(شهریور!$AF$2:$AF$800,شهریور!$AC$2:$AC$800,$V$32,شهریور!$O$2:$O$800,J48)</f>
        <v>9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34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12</v>
      </c>
      <c r="S50" s="114">
        <f>SUMIFS(شهریور!$AF$2:$AF$800,شهریور!$AC$2:$AC$800,$S$32,شهریور!$O$2:$O$800,J50)</f>
        <v>9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3</v>
      </c>
      <c r="V50" s="114">
        <f>SUMIFS(شهریور!$AF$2:$AF$800,شهریور!$AC$2:$AC$800,$V$32,شهریور!$O$2:$O$800,J50)</f>
        <v>9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33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0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4</v>
      </c>
      <c r="U51" s="114">
        <f>SUMIFS(شهریور!$AF$2:$AF$800,شهریور!$AC$2:$AC$800,$U$32,شهریور!$O$2:$O$800,J51)</f>
        <v>10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14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12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12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2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5</v>
      </c>
      <c r="U53" s="114">
        <f>SUMIFS(شهریور!$AF$2:$AF$800,شهریور!$AC$2:$AC$800,$U$32,شهریور!$O$2:$O$800,J53)</f>
        <v>2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9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5</v>
      </c>
      <c r="S55" s="114">
        <f>SUMIFS(شهریور!$AF$2:$AF$800,شهریور!$AC$2:$AC$800,$S$32,شهریور!$O$2:$O$800,J55)</f>
        <v>10</v>
      </c>
      <c r="T55" s="114">
        <f>SUMIFS(شهریور!$AF$2:$AF$800,شهریور!$AC$2:$AC$800,$T$32,شهریور!$O$2:$O$800,J55)</f>
        <v>14</v>
      </c>
      <c r="U55" s="114">
        <f>SUMIFS(شهریور!$AF$2:$AF$800,شهریور!$AC$2:$AC$800,$U$32,شهریور!$O$2:$O$800,J55)</f>
        <v>22.5</v>
      </c>
      <c r="V55" s="114">
        <f>SUMIFS(شهریور!$AF$2:$AF$800,شهریور!$AC$2:$AC$800,$V$32,شهریور!$O$2:$O$800,J55)</f>
        <v>16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67.5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4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2</v>
      </c>
      <c r="V56" s="114">
        <f>SUMIFS(شهریور!$AF$2:$AF$800,شهریور!$AC$2:$AC$800,$V$32,شهریور!$O$2:$O$800,J56)</f>
        <v>6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12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139.5</v>
      </c>
      <c r="S58" s="101">
        <f t="shared" ref="S58:X58" si="7">SUM(S34:S57)</f>
        <v>124</v>
      </c>
      <c r="T58" s="101">
        <f t="shared" si="7"/>
        <v>139.5</v>
      </c>
      <c r="U58" s="101">
        <f t="shared" si="7"/>
        <v>118</v>
      </c>
      <c r="V58" s="101">
        <f t="shared" si="7"/>
        <v>154.5</v>
      </c>
      <c r="W58" s="101">
        <f t="shared" si="7"/>
        <v>0</v>
      </c>
      <c r="X58" s="101">
        <f t="shared" si="7"/>
        <v>0</v>
      </c>
      <c r="Y58" s="102">
        <f>SUM(Y34:Y57)</f>
        <v>675.5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2026-09-21T06:49:24Z</dcterms:modified>
</cp:coreProperties>
</file>