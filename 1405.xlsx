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6B8BB459-06C7-4153-94F4-2EF39823DDDA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شهریور!$A$1:$AU$476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79" i="19" l="1"/>
  <c r="AF478" i="19"/>
  <c r="AF477" i="19"/>
  <c r="AF476" i="19"/>
  <c r="AF475" i="19"/>
  <c r="AF474" i="19"/>
  <c r="AF473" i="19"/>
  <c r="AF472" i="19"/>
  <c r="AF471" i="19"/>
  <c r="AF470" i="19"/>
  <c r="AF469" i="19"/>
  <c r="AF468" i="19"/>
  <c r="AF467" i="19"/>
  <c r="AF466" i="19"/>
  <c r="AF465" i="19"/>
  <c r="AF464" i="19"/>
  <c r="AF463" i="19"/>
  <c r="AF462" i="19"/>
  <c r="AF461" i="19"/>
  <c r="AF460" i="19"/>
  <c r="AF459" i="19"/>
  <c r="AF458" i="19"/>
  <c r="AF457" i="19"/>
  <c r="AF456" i="19"/>
  <c r="AF455" i="19"/>
  <c r="AF454" i="19"/>
  <c r="AF453" i="19"/>
  <c r="AF452" i="19"/>
  <c r="AF451" i="19"/>
  <c r="AF450" i="19"/>
  <c r="AF449" i="19"/>
  <c r="AF448" i="19"/>
  <c r="AF447" i="19"/>
  <c r="AF446" i="19"/>
  <c r="AF445" i="19"/>
  <c r="AF444" i="19"/>
  <c r="AF443" i="19"/>
  <c r="AF442" i="19"/>
  <c r="AF441" i="19"/>
  <c r="AF440" i="19"/>
  <c r="AF439" i="19"/>
  <c r="AF438" i="19"/>
  <c r="AF437" i="19"/>
  <c r="AF436" i="19"/>
  <c r="AF435" i="19"/>
  <c r="AF434" i="19"/>
  <c r="AF433" i="19"/>
  <c r="AF432" i="19"/>
  <c r="AF431" i="19"/>
  <c r="AF430" i="19"/>
  <c r="AF429" i="19"/>
  <c r="AF428" i="19"/>
  <c r="AF427" i="19"/>
  <c r="AF426" i="19"/>
  <c r="AF425" i="19"/>
  <c r="AF424" i="19"/>
  <c r="AF423" i="19"/>
  <c r="AF422" i="19"/>
  <c r="AF421" i="19"/>
  <c r="AF420" i="19"/>
  <c r="AF419" i="19"/>
  <c r="AF418" i="19"/>
  <c r="AF417" i="19"/>
  <c r="AF416" i="19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<sst xmlns="http://schemas.openxmlformats.org/spreadsheetml/2006/main" count="53719" uniqueCount="2138">
  <si>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</si>
  <si>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</si>
  <si>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</si>
  <si>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</si>
  <si>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</si>
  <si>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</si>
  <si>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</si>
  <si>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</si>
  <si>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</si>
  <si>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</si>
  <si>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</si>
  <si>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</si>
  <si>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</si>
  <si>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</si>
  <si>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</si>
  <si>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</si>
  <si>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</si>
  <si>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</si>
  <si>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</si>
  <si>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</si>
  <si>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</si>
  <si>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</si>
  <si>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</si>
  <si>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</si>
  <si>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</si>
  <si>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</si>
  <si>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</si>
  <si>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</si>
  <si>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</si>
  <si>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</si>
  <si>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</si>
  <si>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</si>
  <si>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</si>
  <si>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</si>
  <si>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</si>
  <si>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</si>
  <si>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</si>
  <si>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</si>
  <si>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</si>
  <si>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</si>
  <si>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</si>
  <si>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</si>
  <si>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</si>
  <si>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</si>
  <si>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</si>
  <si>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</si>
  <si>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</si>
  <si>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</si>
  <si>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</si>
  <si>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</si>
  <si>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</si>
  <si>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</si>
  <si>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</si>
  <si>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</si>
  <si>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</si>
  <si>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</si>
  <si>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</si>
  <si>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</si>
  <si>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</si>
  <si>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</si>
  <si>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</si>
  <si>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</si>
  <si>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</si>
  <si>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</si>
  <si>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</si>
  <si>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</si>
  <si>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</si>
  <si>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</si>
  <si>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</si>
  <si>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</si>
  <si>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</si>
  <si>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</si>
  <si>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</si>
  <si>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</si>
  <si>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</si>
  <si>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</si>
  <si>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</si>
  <si>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</si>
  <si>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</si>
  <si>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</si>
  <si>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</si>
  <si>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</si>
  <si>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</si>
  <si>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</si>
  <si>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</si>
  <si>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</si>
  <si>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</si>
  <si>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</si>
  <si>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</si>
  <si>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</si>
  <si>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</si>
  <si>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</si>
  <si>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</si>
  <si>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</si>
  <si>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</si>
  <si>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</si>
  <si>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</si>
  <si>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</si>
  <si>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</si>
  <si>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</si>
  <si>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</si>
  <si>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</si>
  <si>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</si>
  <si>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</si>
  <si>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</si>
  <si>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</si>
  <si>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</si>
  <si>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</si>
  <si>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</si>
  <si>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</si>
  <si>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</si>
  <si>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</si>
  <si>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</si>
  <si>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</si>
  <si>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</si>
  <si>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</si>
  <si>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</si>
  <si>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</si>
  <si>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</si>
  <si>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</si>
  <si>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</si>
  <si>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</si>
  <si>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</si>
  <si>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</si>
  <si>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</si>
  <si>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</si>
  <si>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</si>
  <si>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</si>
  <si>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</si>
  <si>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</si>
  <si>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</si>
  <si>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</si>
  <si>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</si>
  <si>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</si>
  <si>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</si>
  <si>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</si>
  <si>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</si>
  <si>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</si>
  <si>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</si>
  <si>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</si>
  <si>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</si>
  <si>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</si>
  <si>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</si>
  <si>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</si>
  <si>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</si>
  <si>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</si>
  <si>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</si>
  <si>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</si>
  <si>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</si>
  <si>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</si>
  <si>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</si>
  <si>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</si>
  <si>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</si>
  <si>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</si>
  <si>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</si>
  <si>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</si>
  <si>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</si>
  <si>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</si>
  <si>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</si>
  <si>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</si>
  <si>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</si>
  <si>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</si>
  <si>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</si>
  <si>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</si>
  <si>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</si>
  <si>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</si>
  <si>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</si>
  <si>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</si>
  <si>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</si>
  <si>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</si>
  <si>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</si>
  <si>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</si>
  <si>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</si>
  <si>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</si>
  <si>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</si>
  <si>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</si>
  <si>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</si>
  <si>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</si>
  <si>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</si>
  <si>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</si>
  <si>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</si>
  <si>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</si>
  <si>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</si>
  <si>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</si>
  <si>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</si>
  <si>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</si>
  <si>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</si>
  <si>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</si>
  <si>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</si>
  <si>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</si>
  <si>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</si>
  <si>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</si>
  <si>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</si>
  <si>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</si>
  <si>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</si>
  <si>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</si>
  <si>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</si>
  <si>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</si>
  <si>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</si>
  <si>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</si>
  <si>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</si>
  <si>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</si>
  <si>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</si>
  <si>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</si>
  <si>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</si>
  <si>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</si>
  <si>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</si>
  <si>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</si>
  <si>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</si>
  <si>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</si>
  <si>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</si>
  <si>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</si>
  <si>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</si>
  <si>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</si>
  <si>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</si>
  <si>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</si>
  <si>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</si>
  <si>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</si>
  <si>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</si>
  <si>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</si>
  <si>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</si>
  <si>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</si>
  <si>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</si>
  <si>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</si>
  <si>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</si>
  <si>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</si>
  <si>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</si>
  <si>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</si>
  <si>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</si>
  <si>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</si>
  <si>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</si>
  <si>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</si>
  <si>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</si>
  <si>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</si>
  <si>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</si>
  <si>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</si>
  <si>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</si>
  <si>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</si>
  <si>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</si>
  <si>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</si>
  <si>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</si>
  <si>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</si>
  <si>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</si>
  <si>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</si>
  <si>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</si>
  <si>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</si>
  <si>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</si>
  <si>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</si>
  <si>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</si>
  <si>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</si>
  <si>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</si>
  <si>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</si>
  <si>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</si>
  <si>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</si>
  <si>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</si>
  <si>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</si>
  <si>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</si>
  <si>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</si>
  <si>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</si>
  <si>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</si>
  <si>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</si>
  <si>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</si>
  <si>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</si>
  <si>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</si>
  <si>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</si>
  <si>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</si>
  <si>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</si>
  <si>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</si>
  <si>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</si>
  <si>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</si>
  <si>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</si>
  <si>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</si>
  <si>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</si>
  <si>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</si>
  <si>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</si>
  <si>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</si>
  <si>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</si>
  <si>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</si>
  <si>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</si>
  <si>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</si>
  <si>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</si>
  <si>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</si>
  <si>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</si>
  <si>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</si>
  <si>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</si>
  <si>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</si>
  <si>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</si>
  <si>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</si>
  <si>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</si>
  <si>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</si>
  <si>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</si>
  <si>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</si>
  <si>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</si>
  <si>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</si>
  <si>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</si>
  <si>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</si>
  <si>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</si>
  <si>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</si>
  <si>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</si>
  <si>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</si>
  <si>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</si>
  <si>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</si>
  <si>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</si>
  <si>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</si>
  <si>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</si>
  <si>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</si>
  <si>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</si>
  <si>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</si>
  <si>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</si>
  <si>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</si>
  <si>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</si>
  <si>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</si>
  <si>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</si>
  <si>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</si>
  <si>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</si>
  <si>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</si>
  <si>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</si>
  <si>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</si>
  <si>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</si>
  <si>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</si>
  <si>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</si>
  <si>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</si>
  <si>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</si>
  <si>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</si>
  <si>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</si>
  <si>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</si>
  <si>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</si>
  <si>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</si>
  <si>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</si>
  <si>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</si>
  <si>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</si>
  <si>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</si>
  <si>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</si>
  <si>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</si>
  <si>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</si>
  <si>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</si>
  <si>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</si>
  <si>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</si>
  <si>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</si>
  <si>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</si>
  <si>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</si>
  <si>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</si>
  <si>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</si>
  <si>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</si>
  <si>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</si>
  <si>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</si>
  <si>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</si>
  <si>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</si>
  <si>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</si>
  <si>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</si>
  <si>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</si>
  <si>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</si>
  <si>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</si>
  <si>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</si>
  <si>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</si>
  <si>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</si>
  <si>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</si>
  <si>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</si>
  <si>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</si>
  <si>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</si>
  <si>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</si>
  <si>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</si>
  <si>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</si>
  <si>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</si>
  <si>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</si>
  <si>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</si>
  <si>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</si>
  <si>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</si>
  <si>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</si>
  <si>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</si>
  <si>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</si>
  <si>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</si>
  <si>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</si>
  <si>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</si>
  <si>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</si>
  <si>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</si>
  <si>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</si>
  <si>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</si>
  <si>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</si>
  <si>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</si>
  <si>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</si>
  <si>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</si>
  <si>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</si>
  <si>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</si>
  <si>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</si>
  <si>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</si>
  <si>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</si>
  <si>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</si>
  <si>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</si>
  <si>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</si>
  <si>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</si>
  <si>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</si>
  <si>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</si>
  <si>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</si>
  <si>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</si>
  <si>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</si>
  <si>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</si>
  <si>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</si>
  <si>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</si>
  <si>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</si>
  <si>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</si>
  <si>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</si>
  <si>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</si>
  <si>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</si>
  <si>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</si>
  <si>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</si>
  <si>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</si>
  <si>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</si>
  <si>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</si>
  <si>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</si>
  <si>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</si>
  <si>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</si>
  <si>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</si>
  <si>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</si>
  <si>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</si>
  <si>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</si>
  <si>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</si>
  <si>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</si>
  <si>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</si>
  <si>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</si>
  <si>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</si>
  <si>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</si>
  <si>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</si>
  <si>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</si>
  <si>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</si>
  <si>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</si>
  <si>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</si>
  <si>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</si>
  <si>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</si>
  <si>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</si>
  <si>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</si>
  <si>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</si>
  <si>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</si>
  <si>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</si>
  <si>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</si>
  <si>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</si>
  <si>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</si>
  <si>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</si>
  <si>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</si>
  <si>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</si>
  <si>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</si>
  <si>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</si>
  <si>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</si>
  <si>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</si>
  <si>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</si>
  <si>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</si>
  <si>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</si>
  <si>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</si>
  <si>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</si>
  <si>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</si>
  <si>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</si>
  <si>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</si>
  <si>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</si>
  <si>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</si>
  <si>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</si>
  <si>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</si>
  <si>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</si>
  <si>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</si>
  <si>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</si>
  <si>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</si>
  <si>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</si>
  <si>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</si>
  <si>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</si>
  <si>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</si>
  <si>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</si>
  <si>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</si>
  <si>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</si>
  <si>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</si>
  <si>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</si>
  <si>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</si>
  <si>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</si>
  <si>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</si>
  <si>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</si>
  <si>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</si>
  <si>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</si>
  <si>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</si>
  <si>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</si>
  <si>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</si>
  <si>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</si>
  <si>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</si>
  <si>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</si>
  <si>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</si>
  <si>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</si>
  <si>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</si>
  <si>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</si>
  <si>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</si>
  <si>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</si>
  <si>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</si>
  <si>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</si>
  <si>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</si>
  <si>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</si>
  <si>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</si>
  <si>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</si>
  <si>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</si>
  <si>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</si>
  <si>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</si>
  <si>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</si>
  <si>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</si>
  <si>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</si>
  <si>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</si>
  <si>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</si>
  <si>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</si>
  <si>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</si>
  <si>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</si>
  <si>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</si>
  <si>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</si>
  <si>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</si>
  <si>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</si>
  <si>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</si>
  <si>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</si>
  <si>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</si>
  <si>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</si>
  <si>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</si>
  <si>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</si>
  <si>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</si>
  <si>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</si>
  <si>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</si>
  <si>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</si>
  <si>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</si>
  <si>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</si>
  <si>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</si>
  <si>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</si>
  <si>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</si>
  <si>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</si>
  <si>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</si>
  <si>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</si>
  <si>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</si>
  <si>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</si>
  <si>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</si>
  <si>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</si>
  <si>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</si>
  <si>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</si>
  <si>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</si>
  <si>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</si>
  <si>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</si>
  <si>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</si>
  <si>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</si>
  <si>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</si>
  <si>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</si>
  <si>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</si>
  <si>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</si>
  <si>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</si>
  <si>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</si>
  <si>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</si>
  <si>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</si>
  <si>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</si>
  <si>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</si>
  <si>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</si>
  <si>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</si>
  <si>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</si>
  <si>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</si>
  <si>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</si>
  <si>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</si>
  <si>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</si>
  <si>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</si>
  <si>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</si>
  <si>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</si>
  <si>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</si>
  <si>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</si>
  <si>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</si>
  <si>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</si>
  <si>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</si>
  <si>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</si>
  <si>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</si>
  <si>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</si>
  <si>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</si>
  <si>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</si>
  <si>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</si>
  <si>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</si>
  <si>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</si>
  <si>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</si>
  <si>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</si>
  <si>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</si>
  <si>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</si>
  <si>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</si>
  <si>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</si>
  <si>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</si>
  <si>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</si>
  <si>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</si>
  <si>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</si>
  <si>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</si>
  <si>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</si>
  <si>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</si>
  <si>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</si>
  <si>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</si>
  <si>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</si>
  <si>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</si>
  <si>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</si>
  <si>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</si>
  <si>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</si>
  <si>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</si>
  <si>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</si>
  <si>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</si>
  <si>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</si>
  <si>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</si>
  <si>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</si>
  <si>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</si>
  <si>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</si>
  <si>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</si>
  <si>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</si>
  <si>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</si>
  <si>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</si>
  <si>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</si>
  <si>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</si>
  <si>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</si>
  <si>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</si>
  <si>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</si>
  <si>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</si>
  <si>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</si>
  <si>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</si>
  <si>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</si>
  <si>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</si>
  <si>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</si>
  <si>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</si>
  <si>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</si>
  <si>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</si>
  <si>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</si>
  <si>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</si>
  <si>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</si>
  <si>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</si>
  <si>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</si>
  <si>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</si>
  <si>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</si>
  <si>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</si>
  <si>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</si>
  <si>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</si>
  <si>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</si>
  <si>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</si>
  <si>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</si>
  <si>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</si>
  <si>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</si>
  <si>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</si>
  <si>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</si>
  <si>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</si>
  <si>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</si>
  <si>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</si>
  <si>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</si>
  <si>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</si>
  <si>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</si>
  <si>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</si>
  <si>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</si>
  <si>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</si>
  <si>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</si>
  <si>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</si>
  <si>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</si>
  <si>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</si>
  <si>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</si>
  <si>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</si>
  <si>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</si>
  <si>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</si>
  <si>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</si>
  <si>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</si>
  <si>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</si>
  <si>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</si>
  <si>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</si>
  <si>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</si>
  <si>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</si>
  <si>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</si>
  <si>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</si>
  <si>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</si>
  <si>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</si>
  <si>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</si>
  <si>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</si>
  <si>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</si>
  <si>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</si>
  <si>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</si>
  <si>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</si>
  <si>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</si>
  <si>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</si>
  <si>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</si>
  <si>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</si>
  <si>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</si>
  <si>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</si>
  <si>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</si>
  <si>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</si>
  <si>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</si>
  <si>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</si>
  <si>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</si>
  <si>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</si>
  <si>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</si>
  <si>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</si>
  <si>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</si>
  <si>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</si>
  <si>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</si>
  <si>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</si>
  <si>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</si>
  <si>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</si>
  <si>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</si>
  <si>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</si>
  <si>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</si>
  <si>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</si>
  <si>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</si>
  <si>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</si>
  <si>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</si>
  <si>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</si>
  <si>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</si>
  <si>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</si>
  <si>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</si>
  <si>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</si>
  <si>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</si>
  <si>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</si>
  <si>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</si>
  <si>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</si>
  <si>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</si>
  <si>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</si>
  <si>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</si>
  <si>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</si>
  <si>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</si>
  <si>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</si>
  <si>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</si>
  <si>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</si>
  <si>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</si>
  <si>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</si>
  <si>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</si>
  <si>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</si>
  <si>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</si>
  <si>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</si>
  <si>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</si>
  <si>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</si>
  <si>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</si>
  <si>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</si>
  <si>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</si>
  <si>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</si>
  <si>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</si>
  <si>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</si>
  <si>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</si>
  <si>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</si>
  <si>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</si>
  <si>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</si>
  <si>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</si>
  <si>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</si>
  <si>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</si>
  <si>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</si>
  <si>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</si>
  <si>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</si>
  <si>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</si>
  <si>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</si>
  <si>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</si>
  <si>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</si>
  <si>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</si>
  <si>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</si>
  <si>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</si>
  <si>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</si>
  <si>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</si>
  <si>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</si>
  <si>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</si>
  <si>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</si>
  <si>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</si>
  <si>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</si>
  <si>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</si>
  <si>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</si>
  <si>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</si>
  <si>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</si>
  <si>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</si>
  <si>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</si>
  <si>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</si>
  <si>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</si>
  <si>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</si>
  <si>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</si>
  <si>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</si>
  <si>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</si>
  <si>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</si>
  <si>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</si>
  <si>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</si>
  <si>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</si>
  <si>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</si>
  <si>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</si>
  <si>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</si>
  <si>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</si>
  <si>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</si>
  <si>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</si>
  <si>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</si>
  <si>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</si>
  <si>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</si>
  <si>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</si>
  <si>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</si>
  <si>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</si>
  <si>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</si>
  <si>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</si>
  <si>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</si>
  <si>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</si>
  <si>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</si>
  <si>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</si>
  <si>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</si>
  <si>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</si>
  <si>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</si>
  <si>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</si>
  <si>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</si>
  <si>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</si>
  <si>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</si>
  <si>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</si>
  <si>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</si>
  <si>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</si>
  <si>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</si>
  <si>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</si>
  <si>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</si>
  <si>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</si>
  <si>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</si>
  <si>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</si>
  <si>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</si>
  <si>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</si>
  <si>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</si>
  <si>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</si>
  <si>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</si>
  <si>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</si>
  <si>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</si>
  <si>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</si>
  <si>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</si>
  <si>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</si>
  <si>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</si>
  <si>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</si>
  <si>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</si>
  <si>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</si>
  <si>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</si>
  <si>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</si>
  <si>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</si>
  <si>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</si>
  <si>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</si>
  <si>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</si>
  <si>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</si>
  <si>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</si>
  <si>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</si>
  <si>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</si>
  <si>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</si>
  <si>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</si>
  <si>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</si>
  <si>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</si>
  <si>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</si>
  <si>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</si>
  <si>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</si>
  <si>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</si>
  <si>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</si>
  <si>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</si>
  <si>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</si>
  <si>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</si>
  <si>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</si>
  <si>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</si>
  <si>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</si>
  <si>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</si>
  <si>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</si>
  <si>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</si>
  <si>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</si>
  <si>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</si>
  <si>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</si>
  <si>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</si>
  <si>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</si>
  <si>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</si>
  <si>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</si>
  <si>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</si>
  <si>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</si>
  <si>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</si>
  <si>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</si>
  <si>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</si>
  <si>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</si>
  <si>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</si>
  <si>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</si>
  <si>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</si>
  <si>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</si>
  <si>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</si>
  <si>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</si>
  <si>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</si>
  <si>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</si>
  <si>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</si>
  <si>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</si>
  <si>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</si>
  <si>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</si>
  <si>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</si>
  <si>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</si>
  <si>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</si>
  <si>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</si>
  <si>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</si>
  <si>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</si>
  <si>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</si>
  <si>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</si>
  <si>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</si>
  <si>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</si>
  <si>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</si>
  <si>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</si>
  <si>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</si>
  <si>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</si>
  <si>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</si>
  <si>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</si>
  <si>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</si>
  <si>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</si>
  <si>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</si>
  <si>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</si>
  <si>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</si>
  <si>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</si>
  <si>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</si>
  <si>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</si>
  <si>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</si>
  <si>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</si>
  <si>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</si>
  <si>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</si>
  <si>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</si>
  <si>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</si>
  <si>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</si>
  <si>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</si>
  <si>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</si>
  <si>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</si>
  <si>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</si>
  <si>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</si>
  <si>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</si>
  <si>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</si>
  <si>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</si>
  <si>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</si>
  <si>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</si>
  <si>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</si>
  <si>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</si>
  <si>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</si>
  <si>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</si>
  <si>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</si>
  <si>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</si>
  <si>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</si>
  <si>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</si>
  <si>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</si>
  <si>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</si>
  <si>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</si>
  <si>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</si>
  <si>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</si>
  <si>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</si>
  <si>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</si>
  <si>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</si>
  <si>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</si>
  <si>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</si>
  <si>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</si>
  <si>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</si>
  <si>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</si>
  <si>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</si>
  <si>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</si>
  <si>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</si>
  <si>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</si>
  <si>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</si>
  <si>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</si>
  <si>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</si>
  <si>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</si>
  <si>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</si>
  <si>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</si>
  <si>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</si>
  <si>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</si>
  <si>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</si>
  <si>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</si>
  <si>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</si>
  <si>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</si>
  <si>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</si>
  <si>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</si>
  <si>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</si>
  <si>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</si>
  <si>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</si>
  <si>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</si>
  <si>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</si>
  <si>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</si>
  <si>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</si>
  <si>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</si>
  <si>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</si>
  <si>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</si>
  <si>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</si>
  <si>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</si>
  <si>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</si>
  <si>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</si>
  <si>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</si>
  <si>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</si>
  <si>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</si>
  <si>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</si>
  <si>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</si>
  <si>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</si>
  <si>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</si>
  <si>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</si>
  <si>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</si>
  <si>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</si>
  <si>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</si>
  <si>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</si>
  <si>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</si>
  <si>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</si>
  <si>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</si>
  <si>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</si>
  <si>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</si>
  <si>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</si>
  <si>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</si>
  <si>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</si>
  <si>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</si>
  <si>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</si>
  <si>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</si>
  <si>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</si>
  <si>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</si>
  <si>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</si>
  <si>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</si>
  <si>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</si>
  <si>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</si>
  <si>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</si>
  <si>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</si>
  <si>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</si>
  <si>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</si>
  <si>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</si>
  <si>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</si>
  <si>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</si>
  <si>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</si>
  <si>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</si>
  <si>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</si>
  <si>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</si>
  <si>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</si>
  <si>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</si>
  <si>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</si>
  <si>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</si>
  <si>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</si>
  <si>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</si>
  <si>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</si>
  <si>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</si>
  <si>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</si>
  <si>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</si>
  <si>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</si>
  <si>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</si>
  <si>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</si>
  <si>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</si>
  <si>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</si>
  <si>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</si>
  <si>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</si>
  <si>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</si>
  <si>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</si>
  <si>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</si>
  <si>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</si>
  <si>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</si>
  <si>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</si>
  <si>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</si>
  <si>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</si>
  <si>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</si>
  <si>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</si>
  <si>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</si>
  <si>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</si>
  <si>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</si>
  <si>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</si>
  <si>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</si>
  <si>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</si>
  <si>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</si>
  <si>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</si>
  <si>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</si>
  <si>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</si>
  <si>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</si>
  <si>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</si>
  <si>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</si>
  <si>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</si>
  <si>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</si>
  <si>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</si>
  <si>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</si>
  <si>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</si>
  <si>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</si>
  <si>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</si>
  <si>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</si>
  <si>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</si>
  <si>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</si>
  <si>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</si>
  <si>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</si>
  <si>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</si>
  <si>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</si>
  <si>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</si>
  <si>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</si>
  <si>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</si>
  <si>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</si>
  <si>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</si>
  <si>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</si>
  <si>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</si>
  <si>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</si>
  <si>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</si>
  <si>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</si>
  <si>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</si>
  <si>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</si>
  <si>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</si>
  <si>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</si>
  <si>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</si>
  <si>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</si>
  <si>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</si>
  <si>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</si>
  <si>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</si>
  <si>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</si>
  <si>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</si>
  <si>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</si>
  <si>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</si>
  <si>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</si>
  <si>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</si>
  <si>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</si>
  <si>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</si>
  <si>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</si>
  <si>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</si>
  <si>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</si>
  <si>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</si>
  <si>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</si>
  <si>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</si>
  <si>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</si>
  <si>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</si>
  <si>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</si>
  <si>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</si>
  <si>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</si>
  <si>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</si>
  <si>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</si>
  <si>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</si>
  <si>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</si>
  <si>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</si>
  <si>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</si>
  <si>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</si>
  <si>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</si>
  <si>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</si>
  <si>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</si>
  <si>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</si>
  <si>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</si>
  <si>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</si>
  <si>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</si>
  <si>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</si>
  <si>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</si>
  <si>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</si>
  <si>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</si>
  <si>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</si>
  <si>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</si>
  <si>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</si>
  <si>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</si>
  <si>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</si>
  <si>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</si>
  <si>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</si>
  <si>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</si>
  <si>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</si>
  <si>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</si>
  <si>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</si>
  <si>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</si>
  <si>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</si>
  <si>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</si>
  <si>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</si>
  <si>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</si>
  <si>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</si>
  <si>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</si>
  <si>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</si>
  <si>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</si>
  <si>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</si>
  <si>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</si>
  <si>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</si>
  <si>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</si>
  <si>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</si>
  <si>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</si>
  <si>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</si>
  <si>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</si>
  <si>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</si>
  <si>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</si>
  <si>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</si>
  <si>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</si>
  <si>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</si>
  <si>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</si>
  <si>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</si>
  <si>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</si>
  <si>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</si>
  <si>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</si>
  <si>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</si>
  <si>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</si>
  <si>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</si>
  <si>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</si>
  <si>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</si>
  <si>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</si>
  <si>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</si>
  <si>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</si>
  <si>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</si>
  <si>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</si>
  <si>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</si>
  <si>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</si>
  <si>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</si>
  <si>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</si>
  <si>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</si>
  <si>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</si>
  <si>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</si>
  <si>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</si>
  <si>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</si>
  <si>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</si>
  <si>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</si>
  <si>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</si>
  <si>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</si>
  <si>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</si>
  <si>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</si>
  <si>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</si>
  <si>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</si>
  <si>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</si>
  <si>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</si>
  <si>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</si>
  <si>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</si>
  <si>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</si>
  <si>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</si>
  <si>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</si>
  <si>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</si>
  <si>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</si>
  <si>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</si>
  <si>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</si>
  <si>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</si>
  <si>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</si>
  <si>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</si>
  <si>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</si>
  <si>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</si>
  <si>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</si>
  <si>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</si>
  <si>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</si>
  <si>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</si>
  <si>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</si>
  <si>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</si>
  <si>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</si>
  <si>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</si>
  <si>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</si>
  <si>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</si>
  <si>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</si>
  <si>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</si>
  <si>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</si>
  <si>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</si>
  <si>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</si>
  <si>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</si>
  <si>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</si>
  <si>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</si>
  <si>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</si>
  <si>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</si>
  <si>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</si>
  <si>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</si>
  <si>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</si>
  <si>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</si>
  <si>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</si>
  <si>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</si>
  <si>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</si>
  <si>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</si>
  <si>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</si>
  <si>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</si>
  <si>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</si>
  <si>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</si>
  <si>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</si>
  <si>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</si>
  <si>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</si>
  <si>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</si>
  <si>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</si>
  <si>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</si>
  <si>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</si>
  <si>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</si>
  <si>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</si>
  <si>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</si>
  <si>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</si>
  <si>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</si>
  <si>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</si>
  <si>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</si>
  <si>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</si>
  <si>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</si>
  <si>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</si>
  <si>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</si>
  <si>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</si>
  <si>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</si>
  <si>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</si>
  <si>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</si>
  <si>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</si>
  <si>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</si>
  <si>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</si>
  <si>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</si>
  <si>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</si>
  <si>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</si>
  <si>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</si>
  <si>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</si>
  <si>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</si>
  <si>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</si>
  <si>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</si>
  <si>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</si>
  <si>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</si>
  <si>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</si>
  <si>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</si>
  <si>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</si>
  <si>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</si>
  <si>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</si>
  <si>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</si>
  <si>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</si>
  <si>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</si>
  <si>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</si>
  <si>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</si>
  <si>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</si>
  <si>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</si>
  <si>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</si>
  <si>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</si>
  <si>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</si>
  <si>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</si>
  <si>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</si>
  <si>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</si>
  <si>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</si>
  <si>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</si>
  <si>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</si>
  <si>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</si>
  <si>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</si>
  <si>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</si>
  <si>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</si>
  <si>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</si>
  <si>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</si>
  <si>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</si>
  <si>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</si>
  <si>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</si>
  <si>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</si>
  <si>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</si>
  <si>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</si>
  <si>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</si>
  <si>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</si>
  <si>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</si>
  <si>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</si>
  <si>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</si>
  <si>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</si>
  <si>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</si>
  <si>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</si>
  <si>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</si>
  <si>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</si>
  <si>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</si>
  <si>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</si>
  <si>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</si>
  <si>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</si>
  <si>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</si>
  <si>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</si>
  <si>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</si>
  <si>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</si>
  <si>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</si>
  <si>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</si>
  <si>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</si>
  <si>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</si>
  <si>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</si>
  <si>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</si>
  <si>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</si>
  <si>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</si>
  <si>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</si>
  <si>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</si>
  <si>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</si>
  <si>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</si>
  <si>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</si>
  <si>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</si>
  <si>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</si>
  <si>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</si>
  <si>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</si>
  <si>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</si>
  <si>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</si>
  <si>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</si>
  <si>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</si>
  <si>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</si>
  <si>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</si>
  <si>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</si>
  <si>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</si>
  <si>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</si>
  <si>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</si>
  <si>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</si>
  <si>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</si>
  <si>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</si>
  <si>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</si>
  <si>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</si>
  <si>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</si>
  <si>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</si>
  <si>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</si>
  <si>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</si>
  <si>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</si>
  <si>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</si>
  <si>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</si>
  <si>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</si>
  <si>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</si>
  <si>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</si>
  <si>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</si>
  <si>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</si>
  <si>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</si>
  <si>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</si>
  <si>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</si>
  <si>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</si>
  <si>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</si>
  <si>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</si>
  <si>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</si>
  <si>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</si>
  <si>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</si>
  <si>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</si>
  <si>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</si>
  <si>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</si>
  <si>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</si>
  <si>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</si>
  <si>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</si>
  <si>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</si>
  <si>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</si>
  <si>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</si>
  <si>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</si>
  <si>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</si>
  <si>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</si>
  <si>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</si>
  <si>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</si>
  <si>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</si>
  <si>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</si>
  <si>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</si>
  <si>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</si>
  <si>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</si>
  <si>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</si>
  <si>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</si>
  <si>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</si>
  <si>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</si>
  <si>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</si>
  <si>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</si>
  <si>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</si>
  <si>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</si>
  <si>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</si>
  <si>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</si>
  <si>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</si>
  <si>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</si>
  <si>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</si>
  <si>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</si>
  <si>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</si>
  <si>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</si>
  <si>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</si>
  <si>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</si>
  <si>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</si>
  <si>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</si>
  <si>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</si>
  <si>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</si>
  <si>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</si>
  <si>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</si>
  <si>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</si>
  <si>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</si>
  <si>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</si>
  <si>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</si>
  <si>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</si>
  <si>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</si>
  <si>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</si>
  <si>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</si>
  <si>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</si>
  <si>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</si>
  <si>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</si>
  <si>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</si>
  <si>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</si>
  <si>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</si>
  <si>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</si>
  <si>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</si>
  <si>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</si>
  <si>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</si>
  <si>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</si>
  <si>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</si>
  <si>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</si>
  <si>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</si>
  <si>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</si>
  <si>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</si>
  <si>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</si>
  <si>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</si>
  <si>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</si>
  <si>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</si>
  <si>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</si>
  <si>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</si>
  <si>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</si>
  <si>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</si>
  <si>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</si>
  <si>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</si>
  <si>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</si>
  <si>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</si>
  <si>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</si>
  <si>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</si>
  <si>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</si>
  <si>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</si>
  <si>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</si>
  <si>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</si>
  <si>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</si>
  <si>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</si>
  <si>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</si>
  <si>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</si>
  <si>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</si>
  <si>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</si>
  <si>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</si>
  <si>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</si>
  <si>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</si>
  <si>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</si>
  <si>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</si>
  <si>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</si>
  <si>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</si>
  <si>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</si>
  <si>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</si>
  <si>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</si>
  <si>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</si>
  <si>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</si>
  <si>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</si>
  <si>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</si>
  <si>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</si>
  <si>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</si>
  <si>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</si>
  <si>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</si>
  <si>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</si>
  <si>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</si>
  <si>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</si>
  <si>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</si>
  <si>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</si>
  <si>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</si>
  <si>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</si>
  <si>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</si>
  <si>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</si>
  <si>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</si>
  <si>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</si>
  <si>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</si>
  <si>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</si>
  <si>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</si>
  <si>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</si>
  <si>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</si>
  <si>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</si>
  <si>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</si>
  <si>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</si>
  <si>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</si>
  <si>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</si>
  <si>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</si>
  <si>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</si>
  <si>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</si>
  <si>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</si>
  <si>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</si>
  <si>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</si>
  <si>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</si>
  <si>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</si>
  <si>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</si>
  <si>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</si>
  <si>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</si>
  <si>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</si>
  <si>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</si>
  <si>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</si>
  <si>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</si>
  <si>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</si>
  <si>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</si>
  <si>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</si>
  <si>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</si>
  <si>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</si>
  <si>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</si>
  <si>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</si>
  <si>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</si>
  <si>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</si>
  <si>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</si>
  <si>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</si>
  <si>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</si>
  <si>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</si>
  <si>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</si>
  <si>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</si>
  <si>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</si>
  <si>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</si>
  <si>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</si>
  <si>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</si>
  <si>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</si>
  <si>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</si>
  <si>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</si>
  <si>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</si>
  <si>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</si>
  <si>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</si>
  <si>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</si>
  <si>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</si>
  <si>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</si>
  <si>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</si>
  <si>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</si>
  <si>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</si>
  <si>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</si>
  <si>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</si>
  <si>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</si>
  <si>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</si>
  <si>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</si>
  <si>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</si>
  <si>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</si>
  <si>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</si>
  <si>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</si>
  <si>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</si>
  <si>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</si>
  <si>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</si>
  <si>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</si>
  <si>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</si>
  <si>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</si>
  <si>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</si>
  <si>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</si>
  <si>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</si>
  <si>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</si>
  <si>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</si>
  <si>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</si>
  <si>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</si>
  <si>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</si>
  <si>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</si>
  <si>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</si>
  <si>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</si>
  <si>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</si>
  <si>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</si>
  <si>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</si>
  <si>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</si>
  <si>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</si>
  <si>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</si>
  <si>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</si>
  <si>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</si>
  <si>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</si>
  <si>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</si>
  <si>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</si>
  <si>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</si>
  <si>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</si>
  <si>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</si>
  <si>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</si>
  <si>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</si>
  <si>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</si>
  <si>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</si>
  <si>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</si>
  <si>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</si>
  <si>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</si>
  <si>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</si>
  <si>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</si>
  <si>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</si>
  <si>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</si>
  <si>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</si>
  <si>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</si>
  <si>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</si>
  <si>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</si>
  <si>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</si>
  <si>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</si>
  <si>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</si>
  <si>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</si>
  <si>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</si>
  <si>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</si>
  <si>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</si>
  <si>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</si>
  <si>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</si>
  <si>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</si>
  <si>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</si>
  <si>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</si>
  <si>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</si>
  <si>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</si>
  <si>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</si>
  <si>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</si>
  <si>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</si>
  <si>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</si>
  <si>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</si>
  <si>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</si>
  <si>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</si>
  <si>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</si>
  <si>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</si>
  <si>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</si>
  <si>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</si>
  <si>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</si>
  <si>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</si>
  <si>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</si>
  <si>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</si>
  <si>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</si>
  <si>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</si>
  <si>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</si>
  <si>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</si>
  <si>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</si>
  <si>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</si>
  <si>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</si>
  <si>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</si>
  <si>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</si>
  <si>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</si>
  <si>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</si>
  <si>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</si>
  <si>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</si>
  <si>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</si>
  <si>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</si>
  <si>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</si>
  <si>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</si>
  <si>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</si>
  <si>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</si>
  <si>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</si>
  <si>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</si>
  <si>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</si>
  <si>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</si>
  <si>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</si>
  <si>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</si>
  <si>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</si>
  <si>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</si>
  <si>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</si>
  <si>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</si>
  <si>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</si>
  <si>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</si>
  <si>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</si>
  <si>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</si>
  <si>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</si>
  <si>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</si>
  <si>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</si>
  <si>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</si>
  <si>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</si>
  <si>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</si>
  <si>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</si>
  <si>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</si>
  <si>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</si>
  <si>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</si>
  <si>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</si>
  <si>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</si>
  <si>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</si>
  <si>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</si>
  <si>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</si>
  <si>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</si>
  <si>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</si>
  <si>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</si>
  <si>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</si>
  <si>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</si>
  <si>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</si>
  <si>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</si>
  <si>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</si>
  <si>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</si>
  <si>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</si>
  <si>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</si>
  <si>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</si>
  <si>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</si>
  <si>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</si>
  <si>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</si>
  <si>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</si>
  <si>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</si>
  <si>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</si>
  <si>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</si>
  <si>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</si>
  <si>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</si>
  <si>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</si>
  <si>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</si>
  <si>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</si>
  <si>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</si>
  <si>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</si>
  <si>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</si>
  <si>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</si>
  <si>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</si>
  <si>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</si>
  <si>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</si>
  <si>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</si>
  <si>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</si>
  <si>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</si>
  <si>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</si>
  <si>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</si>
  <si>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</si>
  <si>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</si>
  <si>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</si>
  <si>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</si>
  <si>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</si>
  <si>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</si>
  <si>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</si>
  <si>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</si>
  <si>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</si>
  <si>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</si>
  <si>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</si>
  <si>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</si>
  <si>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</si>
  <si>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</si>
  <si>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</si>
  <si>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</si>
  <si>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</si>
  <si>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</si>
  <si>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</si>
  <si>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</si>
  <si>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</si>
  <si>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</si>
  <si>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</si>
  <si>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</si>
  <si>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</si>
  <si>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</si>
  <si>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</si>
  <si>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</si>
  <si>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</si>
  <si>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</si>
  <si>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</si>
  <si>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</si>
  <si>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</si>
  <si>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</si>
  <si>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</si>
  <si>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</si>
  <si>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</si>
  <si>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</si>
  <si>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</si>
  <si>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</si>
  <si>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</si>
  <si>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</si>
  <si>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</si>
  <si>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</si>
  <si>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</si>
  <si>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</si>
  <si>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</si>
  <si>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</si>
  <si>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</si>
  <si>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</si>
  <si>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</si>
  <si>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</si>
  <si>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</si>
  <si>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</si>
  <si>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</si>
  <si>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</si>
  <si>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</si>
  <si>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</si>
  <si>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</si>
  <si>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</si>
  <si>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</si>
  <si>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</si>
  <si>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</si>
  <si>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</si>
  <si>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</si>
  <si>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</si>
  <si>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</si>
  <si>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</si>
  <si>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</si>
  <si>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</si>
  <si>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</si>
  <si>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</si>
  <si>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</si>
  <si>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</si>
  <si>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</si>
  <si>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</si>
  <si>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</si>
  <si>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</si>
  <si>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</si>
  <si>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</si>
  <si>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</si>
  <si>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</si>
  <si>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</si>
  <si>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</si>
  <si>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</si>
  <si>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</si>
  <si>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</si>
  <si>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</si>
  <si>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</si>
  <si>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</si>
  <si>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</si>
  <si>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</si>
  <si>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</si>
  <si>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</si>
  <si>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</si>
  <si>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</si>
  <si>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</si>
  <si>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</si>
  <si>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</si>
  <si>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</si>
  <si>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</si>
  <si>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</si>
  <si>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</si>
  <si>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</si>
  <si>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</si>
  <si>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</si>
  <si>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</si>
  <si>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</si>
  <si>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</si>
  <si>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</si>
  <si>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</si>
  <si>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</si>
  <si>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</si>
  <si>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</si>
  <si>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</si>
  <si>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</si>
  <si>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</si>
  <si>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</si>
  <si>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</si>
  <si>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</si>
  <si>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</si>
  <si>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</si>
  <si>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</si>
  <si>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</si>
  <si>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</si>
  <si>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</si>
  <si>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</si>
  <si>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</si>
  <si>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</si>
  <si>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</si>
  <si>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</si>
  <si>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</si>
  <si>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</si>
  <si>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</si>
  <si>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</si>
  <si>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</si>
  <si>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</si>
  <si>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</si>
  <si>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</si>
  <si>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</si>
  <si>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</si>
  <si>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</si>
  <si>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</si>
  <si>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</si>
  <si>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</si>
  <si>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</si>
  <si>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</si>
  <si>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</si>
  <si>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</si>
  <si>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</si>
  <si>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</si>
  <si>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</si>
  <si>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</si>
  <si>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</si>
  <si>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</si>
  <si>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</si>
  <si>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</si>
  <si>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</si>
  <si>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</si>
  <si>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</si>
  <si>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</si>
  <si>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</si>
  <si>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</si>
  <si>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</si>
  <si>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</si>
  <si>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</si>
  <si>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</si>
  <si>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</si>
  <si>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</si>
  <si>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</si>
  <si>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</si>
  <si>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</si>
  <si>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</si>
  <si>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</si>
  <si>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</si>
  <si>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</si>
  <si>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</si>
  <si>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</si>
  <si>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</si>
  <si>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</si>
  <si>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</si>
  <si>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</si>
  <si>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</si>
  <si>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</si>
  <si>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</si>
  <si>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</si>
  <si>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</si>
  <si>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</si>
  <si>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</si>
  <si>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</si>
  <si>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</si>
  <si>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</si>
  <si>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</si>
  <si>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</si>
  <si>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</si>
  <si>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</si>
  <si>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</si>
  <si>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</si>
  <si>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</si>
  <si>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</si>
  <si>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</si>
  <si>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</si>
  <si>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</si>
  <si>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</si>
  <si>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</si>
  <si>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</si>
  <si>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</si>
  <si>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</si>
  <si>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</si>
  <si>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</si>
  <si>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</si>
  <si>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</si>
  <si>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</si>
  <si>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</si>
  <si>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</si>
  <si>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</si>
  <si>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</si>
  <si>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</si>
  <si>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</si>
  <si>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</si>
  <si>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</si>
  <si>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</si>
  <si>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</si>
  <si>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</si>
  <si>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</si>
  <si>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</si>
  <si>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</si>
  <si>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</si>
  <si>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</si>
  <si>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</si>
  <si>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</si>
  <si>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</si>
  <si>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</si>
  <si>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</si>
  <si>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</si>
  <si>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</si>
  <si>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</si>
  <si>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</si>
  <si>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</si>
  <si>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</si>
  <si>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</si>
  <si>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</si>
  <si>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</si>
  <si>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</si>
  <si>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</si>
  <si>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</si>
  <si>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</si>
  <si>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</si>
  <si>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</si>
  <si>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</si>
  <si>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</si>
  <si>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</si>
  <si>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</si>
  <si>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</si>
  <si>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</si>
  <si>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</si>
  <si>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</si>
  <si>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</si>
  <si>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</si>
  <si>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</si>
  <si>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</si>
  <si>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</si>
  <si>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</si>
  <si>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</si>
  <si>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</si>
  <si>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</si>
  <si>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</si>
  <si>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</si>
  <si>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</si>
  <si>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</si>
  <si>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</si>
  <si>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</si>
  <si>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</si>
  <si>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</si>
  <si>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</si>
  <si>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</si>
  <si>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</si>
  <si>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</si>
  <si>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</si>
  <si>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</si>
  <si>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</si>
  <si>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</si>
  <si>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</si>
  <si>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</si>
  <si>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</si>
  <si>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</si>
  <si>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</si>
  <si>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</si>
  <si>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</si>
  <si>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</si>
  <si>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</si>
  <si>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</si>
  <si>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</si>
  <si>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</si>
  <si>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</si>
  <si>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</si>
  <si>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</si>
  <si>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</si>
  <si>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</si>
  <si>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</si>
  <si>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</si>
  <si>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</si>
  <si>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</si>
  <si>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</si>
  <si>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</si>
  <si>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</si>
  <si>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</si>
  <si>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</si>
  <si>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</si>
  <si>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</si>
  <si>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</si>
  <si>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</si>
  <si>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</si>
  <si>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</si>
  <si>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</si>
  <si>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</si>
  <si>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</si>
  <si>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</si>
  <si>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</si>
  <si>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</si>
  <si>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</si>
  <si>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</si>
  <si>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</si>
  <si>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</si>
  <si>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</si>
  <si>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</si>
  <si>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</si>
  <si>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</si>
  <si>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</si>
  <si>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</si>
  <si>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</si>
  <si>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</si>
  <si>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</si>
  <si>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</si>
  <si>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</si>
  <si>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</si>
  <si>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</si>
  <si>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</si>
  <si>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</si>
  <si>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</si>
  <si>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</si>
  <si>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</si>
  <si>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</si>
  <si>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</si>
  <si>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</si>
  <si>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</si>
  <si>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</si>
  <si>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</si>
  <si>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</si>
  <si>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</si>
  <si>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</si>
  <si>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</si>
  <si>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</si>
  <si>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</si>
  <si>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</si>
  <si>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</si>
  <si>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</si>
  <si>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</si>
  <si>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</si>
  <si>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</si>
  <si>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</si>
  <si>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</si>
  <si>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</si>
  <si>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</si>
  <si>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</si>
  <si>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</si>
  <si>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</si>
  <si>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</si>
  <si>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</si>
  <si>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</si>
  <si>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</si>
  <si>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</si>
  <si>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</si>
  <si>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</si>
  <si>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</si>
  <si>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</si>
  <si>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</si>
  <si>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</si>
  <si>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</si>
  <si>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</si>
  <si>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</si>
  <si>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</si>
  <si>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</si>
  <si>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</si>
  <si>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</si>
  <si>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</si>
  <si>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</si>
  <si>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</si>
  <si>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</si>
  <si>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</si>
  <si>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</si>
  <si>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</si>
  <si>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پولی</t>
  </si>
  <si>
    <t>ساخت پولی تسمه</t>
  </si>
  <si>
    <t>المنت</t>
  </si>
  <si>
    <t xml:space="preserve">سنگ زنی قالب </t>
  </si>
  <si>
    <t>MOLD</t>
  </si>
  <si>
    <t>قالب ضایعات کن لنت</t>
  </si>
  <si>
    <t>تعویض صفحه قالب</t>
  </si>
  <si>
    <t>سنگ زنی
300*150</t>
  </si>
  <si>
    <t>سنگ زنی 400*400</t>
  </si>
  <si>
    <t>المنت 80 سانت</t>
  </si>
  <si>
    <t>تعداد 10 غدد المنت 80 به اندازه 1 میلی از روی آن برداشته شود.</t>
  </si>
  <si>
    <t>علیرضا به افتاده</t>
  </si>
  <si>
    <t>سوراخکاری توپی میز ساب جدید</t>
  </si>
  <si>
    <t>ساب کفگرگی</t>
  </si>
  <si>
    <t>سوراخکاری و جای خار زدن فولی تسمه</t>
  </si>
  <si>
    <t>سوراخکاری بلبرینگ</t>
  </si>
  <si>
    <t>بلبرینگ</t>
  </si>
  <si>
    <t>ساب عقب کاویان 106</t>
  </si>
  <si>
    <t xml:space="preserve">ساخت توپی عقب کاویان جهت اصلاح لنت های </t>
  </si>
  <si>
    <t>1405/06/24</t>
  </si>
  <si>
    <t>1405/06/23</t>
  </si>
  <si>
    <t>سوراخکاری جای پیچ</t>
  </si>
  <si>
    <t>پخت کلاچ پؤو 405</t>
  </si>
  <si>
    <t>MC30243</t>
  </si>
  <si>
    <t>1405/06/25</t>
  </si>
  <si>
    <t>شیرینگ بسته بندی</t>
  </si>
  <si>
    <t>سوراخکاری تسمه شیرینگ بسته بندی</t>
  </si>
  <si>
    <t>پانچ</t>
  </si>
  <si>
    <t>ساخت قالب ضایعات کن جدید</t>
  </si>
  <si>
    <t>1405/06/26</t>
  </si>
  <si>
    <t>1405/06/27</t>
  </si>
  <si>
    <t>نصب فریم f12 روی بنز 74</t>
  </si>
  <si>
    <t>باز کردن جهت نصب</t>
  </si>
  <si>
    <t>لوبیابی صفحه تنظیم ساب ترابوزا</t>
  </si>
  <si>
    <t>لوبیابی</t>
  </si>
  <si>
    <t>درخواست ساخت قطعه کشویی با تفلون</t>
  </si>
  <si>
    <t>MC30246-08S</t>
  </si>
  <si>
    <t>نصب فریم f12 روی بنز 74( فریم روی قالب غیر قابل نصب هست)</t>
  </si>
  <si>
    <t>شیرازی</t>
  </si>
  <si>
    <t>1405/06/29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</si>
</sst>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31.5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topLeftCell="Y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topLeftCell="N1" zoomScaleNormal="100" workbookViewId="0">
      <pane ySplit="1" topLeftCell="A757" activePane="bottomLeft" state="frozen"/>
      <selection pane="bottomLeft" activeCell="AB802" sqref="AB80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H800" s="69"/>
    </row>
    <row r="801" spans="34:34" x14ac:dyDescent="0.25">
      <c r="AH801" s="69"/>
    </row>
    <row r="802" spans="34:34" x14ac:dyDescent="0.25">
      <c r="AH802" s="69"/>
    </row>
    <row r="803" spans="34:34" x14ac:dyDescent="0.25">
      <c r="AH803" s="69"/>
    </row>
    <row r="804" spans="34:34" x14ac:dyDescent="0.25">
      <c r="AH804" s="69"/>
    </row>
    <row r="805" spans="34:34" x14ac:dyDescent="0.25">
      <c r="AH805" s="69"/>
    </row>
    <row r="806" spans="34:34" x14ac:dyDescent="0.25">
      <c r="AH806" s="69"/>
    </row>
    <row r="807" spans="34:34" x14ac:dyDescent="0.25">
      <c r="AH807" s="69"/>
    </row>
    <row r="808" spans="34:34" x14ac:dyDescent="0.25">
      <c r="AH808" s="69"/>
    </row>
    <row r="809" spans="34:34" x14ac:dyDescent="0.25">
      <c r="AH809" s="69"/>
    </row>
    <row r="810" spans="34:34" x14ac:dyDescent="0.25">
      <c r="AH810" s="69"/>
    </row>
    <row r="811" spans="34:34" x14ac:dyDescent="0.25">
      <c r="AH811" s="69"/>
    </row>
    <row r="812" spans="34:34" x14ac:dyDescent="0.25">
      <c r="AH812" s="69"/>
    </row>
    <row r="813" spans="34:34" x14ac:dyDescent="0.25">
      <c r="AH813" s="69"/>
    </row>
    <row r="814" spans="34:34" x14ac:dyDescent="0.25">
      <c r="AH814" s="69"/>
    </row>
    <row r="815" spans="34:34" x14ac:dyDescent="0.25">
      <c r="AH815" s="69"/>
    </row>
    <row r="816" spans="34:34" x14ac:dyDescent="0.25">
      <c r="AH816" s="69"/>
    </row>
    <row r="817" spans="34:34" x14ac:dyDescent="0.25">
      <c r="AH817" s="69"/>
    </row>
    <row r="818" spans="34:34" x14ac:dyDescent="0.25">
      <c r="AH818" s="69"/>
    </row>
    <row r="819" spans="34:34" x14ac:dyDescent="0.25">
      <c r="AH819" s="69"/>
    </row>
    <row r="820" spans="34:34" x14ac:dyDescent="0.25">
      <c r="AH820" s="69"/>
    </row>
    <row r="821" spans="34:34" x14ac:dyDescent="0.25">
      <c r="AH821" s="69"/>
    </row>
    <row r="822" spans="34:34" x14ac:dyDescent="0.25">
      <c r="AH822" s="69"/>
    </row>
    <row r="823" spans="34:34" x14ac:dyDescent="0.25">
      <c r="AH823" s="69"/>
    </row>
    <row r="824" spans="34:34" x14ac:dyDescent="0.25">
      <c r="AH824" s="69"/>
    </row>
    <row r="825" spans="34:34" x14ac:dyDescent="0.25">
      <c r="AH825" s="69"/>
    </row>
    <row r="826" spans="34:34" x14ac:dyDescent="0.25">
      <c r="AH826" s="69"/>
    </row>
    <row r="827" spans="34:34" x14ac:dyDescent="0.25">
      <c r="AH827" s="69"/>
    </row>
    <row r="828" spans="34:34" x14ac:dyDescent="0.25">
      <c r="AH828" s="69"/>
    </row>
    <row r="829" spans="34:34" x14ac:dyDescent="0.25">
      <c r="AH829" s="69"/>
    </row>
    <row r="830" spans="34:34" x14ac:dyDescent="0.25">
      <c r="AH830" s="69"/>
    </row>
    <row r="831" spans="34:34" x14ac:dyDescent="0.25">
      <c r="AH831" s="69"/>
    </row>
    <row r="832" spans="34:34" x14ac:dyDescent="0.25">
      <c r="AH832" s="69"/>
    </row>
    <row r="833" spans="34:34" x14ac:dyDescent="0.25">
      <c r="AH833" s="69"/>
    </row>
    <row r="834" spans="34:34" x14ac:dyDescent="0.25">
      <c r="AH834" s="69"/>
    </row>
    <row r="835" spans="34:34" x14ac:dyDescent="0.25">
      <c r="AH835" s="69"/>
    </row>
    <row r="836" spans="34:34" x14ac:dyDescent="0.25">
      <c r="AH836" s="69"/>
    </row>
    <row r="837" spans="34:34" x14ac:dyDescent="0.25">
      <c r="AH837" s="69"/>
    </row>
    <row r="838" spans="34:34" x14ac:dyDescent="0.25">
      <c r="AH838" s="69"/>
    </row>
    <row r="839" spans="34:34" x14ac:dyDescent="0.25">
      <c r="AH839" s="69"/>
    </row>
    <row r="840" spans="34:34" x14ac:dyDescent="0.25">
      <c r="AH840" s="69"/>
    </row>
    <row r="841" spans="34:34" x14ac:dyDescent="0.25">
      <c r="AH841" s="69"/>
    </row>
    <row r="842" spans="34:34" x14ac:dyDescent="0.25">
      <c r="AH842" s="69"/>
    </row>
    <row r="843" spans="34:34" x14ac:dyDescent="0.25">
      <c r="AH843" s="69"/>
    </row>
    <row r="844" spans="34:34" x14ac:dyDescent="0.25">
      <c r="AH844" s="69"/>
    </row>
    <row r="845" spans="34:34" x14ac:dyDescent="0.25">
      <c r="AH845" s="69"/>
    </row>
    <row r="846" spans="34:34" x14ac:dyDescent="0.25">
      <c r="AH846" s="69"/>
    </row>
    <row r="847" spans="34:34" x14ac:dyDescent="0.25">
      <c r="AH847" s="69"/>
    </row>
    <row r="848" spans="34:34" x14ac:dyDescent="0.25">
      <c r="AH848" s="69"/>
    </row>
    <row r="849" spans="34:34" x14ac:dyDescent="0.25">
      <c r="AH849" s="69"/>
    </row>
    <row r="850" spans="34:34" x14ac:dyDescent="0.25">
      <c r="AH850" s="69"/>
    </row>
    <row r="851" spans="34:34" x14ac:dyDescent="0.25">
      <c r="AH851" s="69"/>
    </row>
    <row r="852" spans="34:34" x14ac:dyDescent="0.25">
      <c r="AH852" s="69"/>
    </row>
    <row r="853" spans="34:34" x14ac:dyDescent="0.25">
      <c r="AH853" s="69"/>
    </row>
    <row r="854" spans="34:34" x14ac:dyDescent="0.25">
      <c r="AH854" s="69"/>
    </row>
    <row r="855" spans="34:34" x14ac:dyDescent="0.25">
      <c r="AH855" s="69"/>
    </row>
    <row r="856" spans="34:34" x14ac:dyDescent="0.25">
      <c r="AH856" s="69"/>
    </row>
    <row r="857" spans="34:34" x14ac:dyDescent="0.25">
      <c r="AH857" s="69"/>
    </row>
    <row r="858" spans="34:34" x14ac:dyDescent="0.25">
      <c r="AH858" s="69"/>
    </row>
    <row r="859" spans="34:34" x14ac:dyDescent="0.25">
      <c r="AH859" s="69"/>
    </row>
    <row r="860" spans="34:34" x14ac:dyDescent="0.25">
      <c r="AH860" s="69"/>
    </row>
    <row r="861" spans="34:34" x14ac:dyDescent="0.25">
      <c r="AH861" s="69"/>
    </row>
    <row r="862" spans="34:34" x14ac:dyDescent="0.25">
      <c r="AH862" s="69"/>
    </row>
    <row r="863" spans="34:34" x14ac:dyDescent="0.25">
      <c r="AH863" s="69"/>
    </row>
    <row r="864" spans="34:34" x14ac:dyDescent="0.25">
      <c r="AH864" s="69"/>
    </row>
    <row r="865" spans="34:34" x14ac:dyDescent="0.25">
      <c r="AH865" s="69"/>
    </row>
    <row r="866" spans="34:34" x14ac:dyDescent="0.25">
      <c r="AH866" s="69"/>
    </row>
    <row r="867" spans="34:34" x14ac:dyDescent="0.25">
      <c r="AH867" s="69"/>
    </row>
    <row r="868" spans="34:34" x14ac:dyDescent="0.25">
      <c r="AH868" s="69"/>
    </row>
    <row r="869" spans="34:34" x14ac:dyDescent="0.25">
      <c r="AH869" s="69"/>
    </row>
    <row r="870" spans="34:34" x14ac:dyDescent="0.25">
      <c r="AH870" s="69"/>
    </row>
    <row r="871" spans="34:34" x14ac:dyDescent="0.25">
      <c r="AH871" s="69"/>
    </row>
    <row r="872" spans="34:34" x14ac:dyDescent="0.25">
      <c r="AH872" s="69"/>
    </row>
    <row r="873" spans="34:34" x14ac:dyDescent="0.25">
      <c r="AH873" s="69"/>
    </row>
    <row r="874" spans="34:34" x14ac:dyDescent="0.25">
      <c r="AH874" s="69"/>
    </row>
    <row r="875" spans="34:34" x14ac:dyDescent="0.25">
      <c r="AH875" s="69"/>
    </row>
    <row r="876" spans="34:34" x14ac:dyDescent="0.25">
      <c r="AH876" s="69"/>
    </row>
    <row r="877" spans="34:34" x14ac:dyDescent="0.25">
      <c r="AH877" s="69"/>
    </row>
    <row r="878" spans="34:34" x14ac:dyDescent="0.25">
      <c r="AH878" s="69"/>
    </row>
    <row r="879" spans="34:34" x14ac:dyDescent="0.25">
      <c r="AH879" s="69"/>
    </row>
    <row r="880" spans="34:34" x14ac:dyDescent="0.25">
      <c r="AH880" s="69"/>
    </row>
    <row r="881" spans="34:34" x14ac:dyDescent="0.25">
      <c r="AH881" s="69"/>
    </row>
    <row r="882" spans="34:34" x14ac:dyDescent="0.25">
      <c r="AH882" s="69"/>
    </row>
    <row r="883" spans="34:34" x14ac:dyDescent="0.25">
      <c r="AH883" s="69"/>
    </row>
    <row r="884" spans="34:34" x14ac:dyDescent="0.25">
      <c r="AH884" s="69"/>
    </row>
    <row r="885" spans="34:34" x14ac:dyDescent="0.25">
      <c r="AH885" s="69"/>
    </row>
    <row r="886" spans="34:34" x14ac:dyDescent="0.25">
      <c r="AH886" s="69"/>
    </row>
    <row r="887" spans="34:34" x14ac:dyDescent="0.25">
      <c r="AH887" s="69"/>
    </row>
    <row r="888" spans="34:34" x14ac:dyDescent="0.25">
      <c r="AH888" s="69"/>
    </row>
    <row r="889" spans="34:34" x14ac:dyDescent="0.25">
      <c r="AH889" s="69"/>
    </row>
    <row r="890" spans="34:34" x14ac:dyDescent="0.25">
      <c r="AH890" s="69"/>
    </row>
    <row r="891" spans="34:34" x14ac:dyDescent="0.25">
      <c r="AH891" s="69"/>
    </row>
    <row r="892" spans="34:34" x14ac:dyDescent="0.25">
      <c r="AH892" s="69"/>
    </row>
    <row r="893" spans="34:34" x14ac:dyDescent="0.25">
      <c r="AH893" s="69"/>
    </row>
    <row r="894" spans="34:34" x14ac:dyDescent="0.25">
      <c r="AH894" s="69"/>
    </row>
    <row r="895" spans="34:34" x14ac:dyDescent="0.25">
      <c r="AH895" s="69"/>
    </row>
    <row r="896" spans="34:34" x14ac:dyDescent="0.25">
      <c r="AH896" s="69"/>
    </row>
    <row r="897" spans="34:34" x14ac:dyDescent="0.25">
      <c r="AH897" s="69"/>
    </row>
    <row r="898" spans="34:34" x14ac:dyDescent="0.25">
      <c r="AH898" s="69"/>
    </row>
    <row r="899" spans="34:34" x14ac:dyDescent="0.25">
      <c r="AH899" s="69"/>
    </row>
    <row r="900" spans="34:34" x14ac:dyDescent="0.25">
      <c r="AH900" s="69"/>
    </row>
    <row r="901" spans="34:34" x14ac:dyDescent="0.25">
      <c r="AH901" s="69"/>
    </row>
    <row r="902" spans="34:34" x14ac:dyDescent="0.25">
      <c r="AH902" s="69"/>
    </row>
    <row r="903" spans="34:34" x14ac:dyDescent="0.25">
      <c r="AH903" s="69"/>
    </row>
    <row r="904" spans="34:34" x14ac:dyDescent="0.25">
      <c r="AH904" s="69"/>
    </row>
    <row r="905" spans="34:34" x14ac:dyDescent="0.25">
      <c r="AH905" s="69"/>
    </row>
    <row r="906" spans="34:34" x14ac:dyDescent="0.25">
      <c r="AH906" s="69"/>
    </row>
    <row r="907" spans="34:34" x14ac:dyDescent="0.25">
      <c r="AH907" s="69"/>
    </row>
    <row r="908" spans="34:34" x14ac:dyDescent="0.25">
      <c r="AH908" s="69"/>
    </row>
    <row r="909" spans="34:34" x14ac:dyDescent="0.25">
      <c r="AH909" s="69"/>
    </row>
    <row r="910" spans="34:34" x14ac:dyDescent="0.25">
      <c r="AH910" s="69"/>
    </row>
    <row r="911" spans="34:34" x14ac:dyDescent="0.25">
      <c r="AH911" s="69"/>
    </row>
    <row r="912" spans="34:34" x14ac:dyDescent="0.25">
      <c r="AH912" s="69"/>
    </row>
    <row r="913" spans="34:34" x14ac:dyDescent="0.25">
      <c r="AH913" s="69"/>
    </row>
    <row r="914" spans="34:34" x14ac:dyDescent="0.25">
      <c r="AH914" s="69"/>
    </row>
    <row r="915" spans="34:34" x14ac:dyDescent="0.25">
      <c r="AH915" s="69"/>
    </row>
    <row r="916" spans="34:34" x14ac:dyDescent="0.25">
      <c r="AH916" s="69"/>
    </row>
    <row r="917" spans="34:34" x14ac:dyDescent="0.25">
      <c r="AH917" s="69"/>
    </row>
    <row r="918" spans="34:34" x14ac:dyDescent="0.25">
      <c r="AH918" s="69"/>
    </row>
    <row r="919" spans="34:34" x14ac:dyDescent="0.25">
      <c r="AH919" s="69"/>
    </row>
    <row r="920" spans="34:34" x14ac:dyDescent="0.25">
      <c r="AH920" s="69"/>
    </row>
    <row r="921" spans="34:34" x14ac:dyDescent="0.25">
      <c r="AH921" s="69"/>
    </row>
    <row r="922" spans="34:34" x14ac:dyDescent="0.25">
      <c r="AH922" s="69"/>
    </row>
    <row r="923" spans="34:34" x14ac:dyDescent="0.25">
      <c r="AH923" s="69"/>
    </row>
    <row r="924" spans="34:34" x14ac:dyDescent="0.25">
      <c r="AH924" s="69"/>
    </row>
    <row r="925" spans="34:34" x14ac:dyDescent="0.25">
      <c r="AH925" s="69"/>
    </row>
    <row r="926" spans="34:34" x14ac:dyDescent="0.25">
      <c r="AH926" s="69"/>
    </row>
    <row r="927" spans="34:34" x14ac:dyDescent="0.25">
      <c r="AH927" s="69"/>
    </row>
    <row r="928" spans="34:34" x14ac:dyDescent="0.25">
      <c r="AH928" s="69"/>
    </row>
    <row r="929" spans="34:34" x14ac:dyDescent="0.25">
      <c r="AH929" s="69"/>
    </row>
    <row r="930" spans="34:34" x14ac:dyDescent="0.25">
      <c r="AH930" s="69"/>
    </row>
    <row r="931" spans="34:34" x14ac:dyDescent="0.25">
      <c r="AH931" s="69"/>
    </row>
    <row r="932" spans="34:34" x14ac:dyDescent="0.25">
      <c r="AH932" s="69"/>
    </row>
    <row r="933" spans="34:34" x14ac:dyDescent="0.25">
      <c r="AH933" s="69"/>
    </row>
    <row r="934" spans="34:34" x14ac:dyDescent="0.25">
      <c r="AH934" s="69"/>
    </row>
    <row r="935" spans="34:34" x14ac:dyDescent="0.25">
      <c r="AH935" s="69"/>
    </row>
    <row r="936" spans="34:34" x14ac:dyDescent="0.25">
      <c r="AH936" s="69"/>
    </row>
    <row r="937" spans="34:34" x14ac:dyDescent="0.25">
      <c r="AH937" s="69"/>
    </row>
    <row r="938" spans="34:34" x14ac:dyDescent="0.25">
      <c r="AH938" s="69"/>
    </row>
    <row r="939" spans="34:34" x14ac:dyDescent="0.25">
      <c r="AH939" s="69"/>
    </row>
    <row r="940" spans="34:34" x14ac:dyDescent="0.25">
      <c r="AH940" s="69"/>
    </row>
    <row r="941" spans="34:34" x14ac:dyDescent="0.25">
      <c r="AH941" s="69"/>
    </row>
    <row r="942" spans="34:34" x14ac:dyDescent="0.25">
      <c r="AH942" s="69"/>
    </row>
    <row r="943" spans="34:34" x14ac:dyDescent="0.25">
      <c r="AH943" s="69"/>
    </row>
    <row r="944" spans="34:34" x14ac:dyDescent="0.25">
      <c r="AH944" s="69"/>
    </row>
    <row r="945" spans="34:34" x14ac:dyDescent="0.25">
      <c r="AH945" s="69"/>
    </row>
    <row r="946" spans="34:34" x14ac:dyDescent="0.25">
      <c r="AH946" s="69"/>
    </row>
    <row r="947" spans="34:34" x14ac:dyDescent="0.25">
      <c r="AH947" s="69"/>
    </row>
    <row r="948" spans="34:34" x14ac:dyDescent="0.25">
      <c r="AH948" s="69"/>
    </row>
    <row r="949" spans="34:34" x14ac:dyDescent="0.25">
      <c r="AH949" s="69"/>
    </row>
    <row r="950" spans="34:34" x14ac:dyDescent="0.25">
      <c r="AH950" s="69"/>
    </row>
    <row r="951" spans="34:34" x14ac:dyDescent="0.25">
      <c r="AH951" s="69"/>
    </row>
    <row r="952" spans="34:34" x14ac:dyDescent="0.25">
      <c r="AH952" s="69"/>
    </row>
    <row r="953" spans="34:34" x14ac:dyDescent="0.25">
      <c r="AH953" s="69"/>
    </row>
    <row r="954" spans="34:34" x14ac:dyDescent="0.25">
      <c r="AH954" s="69"/>
    </row>
    <row r="955" spans="34:34" x14ac:dyDescent="0.25">
      <c r="AH955" s="69"/>
    </row>
    <row r="956" spans="34:34" x14ac:dyDescent="0.25">
      <c r="AH956" s="69"/>
    </row>
    <row r="957" spans="34:34" x14ac:dyDescent="0.25">
      <c r="AH957" s="69"/>
    </row>
    <row r="958" spans="34:34" x14ac:dyDescent="0.25">
      <c r="AH958" s="69"/>
    </row>
    <row r="959" spans="34:34" x14ac:dyDescent="0.25">
      <c r="AH959" s="69"/>
    </row>
    <row r="960" spans="34:34" x14ac:dyDescent="0.25">
      <c r="AH960" s="69"/>
    </row>
    <row r="961" spans="34:34" x14ac:dyDescent="0.25">
      <c r="AH961" s="69"/>
    </row>
    <row r="962" spans="34:34" x14ac:dyDescent="0.25">
      <c r="AH962" s="69"/>
    </row>
    <row r="963" spans="34:34" x14ac:dyDescent="0.25">
      <c r="AH963" s="69"/>
    </row>
    <row r="964" spans="34:34" x14ac:dyDescent="0.25">
      <c r="AH964" s="69"/>
    </row>
    <row r="965" spans="34:34" x14ac:dyDescent="0.25">
      <c r="AH965" s="69"/>
    </row>
    <row r="966" spans="34:34" x14ac:dyDescent="0.25">
      <c r="AH966" s="69"/>
    </row>
    <row r="967" spans="34:34" x14ac:dyDescent="0.25">
      <c r="AH967" s="69"/>
    </row>
    <row r="968" spans="34:34" x14ac:dyDescent="0.25">
      <c r="AH968" s="69"/>
    </row>
    <row r="969" spans="34:34" x14ac:dyDescent="0.25">
      <c r="AH969" s="69"/>
    </row>
    <row r="970" spans="34:34" x14ac:dyDescent="0.25">
      <c r="AH970" s="69"/>
    </row>
    <row r="971" spans="34:34" x14ac:dyDescent="0.25">
      <c r="AH971" s="69"/>
    </row>
    <row r="972" spans="34:34" x14ac:dyDescent="0.25">
      <c r="AH972" s="69"/>
    </row>
    <row r="973" spans="34:34" x14ac:dyDescent="0.25">
      <c r="AH973" s="69"/>
    </row>
    <row r="974" spans="34:34" x14ac:dyDescent="0.25">
      <c r="AH974" s="69"/>
    </row>
    <row r="975" spans="34:34" x14ac:dyDescent="0.25">
      <c r="AH975" s="69"/>
    </row>
    <row r="976" spans="34:34" x14ac:dyDescent="0.25">
      <c r="AH976" s="69"/>
    </row>
    <row r="977" spans="34:34" x14ac:dyDescent="0.25">
      <c r="AH977" s="69"/>
    </row>
    <row r="978" spans="34:34" x14ac:dyDescent="0.25">
      <c r="AH978" s="69"/>
    </row>
    <row r="979" spans="34:34" x14ac:dyDescent="0.25">
      <c r="AH979" s="69"/>
    </row>
    <row r="980" spans="34:34" x14ac:dyDescent="0.25">
      <c r="AH980" s="69"/>
    </row>
    <row r="981" spans="34:34" x14ac:dyDescent="0.25">
      <c r="AH981" s="69"/>
    </row>
    <row r="982" spans="34:34" x14ac:dyDescent="0.25">
      <c r="AH982" s="69"/>
    </row>
    <row r="983" spans="34:34" x14ac:dyDescent="0.25">
      <c r="AH983" s="69"/>
    </row>
    <row r="984" spans="34:34" x14ac:dyDescent="0.25">
      <c r="AH984" s="69"/>
    </row>
    <row r="985" spans="34:34" x14ac:dyDescent="0.25">
      <c r="AH985" s="69"/>
    </row>
    <row r="986" spans="34:34" x14ac:dyDescent="0.25">
      <c r="AH986" s="69"/>
    </row>
    <row r="987" spans="34:34" x14ac:dyDescent="0.25">
      <c r="AH987" s="69"/>
    </row>
    <row r="988" spans="34:34" x14ac:dyDescent="0.25">
      <c r="AH988" s="69"/>
    </row>
    <row r="989" spans="34:34" x14ac:dyDescent="0.25">
      <c r="AH989" s="69"/>
    </row>
    <row r="990" spans="34:34" x14ac:dyDescent="0.25">
      <c r="AH990" s="69"/>
    </row>
    <row r="991" spans="34:34" x14ac:dyDescent="0.25">
      <c r="AH991" s="69"/>
    </row>
    <row r="992" spans="34:34" x14ac:dyDescent="0.25">
      <c r="AH992" s="69"/>
    </row>
    <row r="993" spans="34:34" x14ac:dyDescent="0.25">
      <c r="AH993" s="69"/>
    </row>
    <row r="994" spans="34:34" x14ac:dyDescent="0.25">
      <c r="AH994" s="69"/>
    </row>
    <row r="995" spans="34:34" x14ac:dyDescent="0.25">
      <c r="AH995" s="69"/>
    </row>
    <row r="996" spans="34:34" x14ac:dyDescent="0.25">
      <c r="AH996" s="69"/>
    </row>
    <row r="997" spans="34:34" x14ac:dyDescent="0.25">
      <c r="AH997" s="69"/>
    </row>
    <row r="998" spans="34:34" x14ac:dyDescent="0.25">
      <c r="AH998" s="69"/>
    </row>
    <row r="999" spans="34:34" x14ac:dyDescent="0.25">
      <c r="AH999" s="69"/>
    </row>
    <row r="1000" spans="34:34" x14ac:dyDescent="0.25">
      <c r="AH1000" s="69"/>
    </row>
    <row r="1001" spans="34:34" x14ac:dyDescent="0.25">
      <c r="AH1001" s="69"/>
    </row>
    <row r="1002" spans="34:34" x14ac:dyDescent="0.25">
      <c r="AH1002" s="69"/>
    </row>
    <row r="1003" spans="34:34" x14ac:dyDescent="0.25">
      <c r="AH1003" s="69"/>
    </row>
    <row r="1004" spans="34:34" x14ac:dyDescent="0.25">
      <c r="AH1004" s="69"/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>
    <tabColor theme="4" tint="-0.249977111117893"/>
    <pageSetUpPr fitToPage="1"/>
  </sheetPr>
  <dimension ref="A1:AU1048576"/>
  <sheetViews>
    <sheetView rightToLeft="1" topLeftCell="R1" zoomScaleNormal="100" workbookViewId="0">
      <pane ySplit="1" topLeftCell="A624" activePane="bottomLeft" state="frozen"/>
      <selection pane="bottomLeft" activeCell="AF679" sqref="AF679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/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topLeftCell="Q1" zoomScaleNormal="100" workbookViewId="0">
      <pane ySplit="1" topLeftCell="A9" activePane="bottomLeft" state="frozen"/>
      <selection activeCell="D1" sqref="D1"/>
      <selection pane="bottomLeft" activeCell="K13" sqref="K1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>
    <tabColor rgb="FFFF0000"/>
  </sheetPr>
  <dimension ref="A1:BI1048576"/>
  <sheetViews>
    <sheetView rightToLeft="1" topLeftCell="Q1" zoomScale="85" zoomScaleNormal="85" workbookViewId="0">
      <pane ySplit="1" topLeftCell="A2" activePane="bottomLeft" state="frozen"/>
      <selection activeCell="AH1" sqref="AH1"/>
      <selection pane="bottomLeft" activeCell="AE133" sqref="AE133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 t="s">
        <v>2134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x14ac:dyDescent="0.25">
      <c r="V626" s="19"/>
      <c r="AF626" s="3">
        <f t="shared" si="47"/>
        <v>0</v>
      </c>
      <c r="AH626" s="3">
        <f t="shared" si="48"/>
        <v>0</v>
      </c>
    </row>
    <row r="627" spans="1:44" x14ac:dyDescent="0.25">
      <c r="V627" s="19"/>
      <c r="AF627" s="3">
        <f t="shared" si="47"/>
        <v>0</v>
      </c>
      <c r="AH627" s="3">
        <f t="shared" si="48"/>
        <v>0</v>
      </c>
    </row>
    <row r="628" spans="1:44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x14ac:dyDescent="0.25">
      <c r="I998" s="31"/>
      <c r="AF998" s="3">
        <f t="shared" si="61"/>
        <v>0</v>
      </c>
      <c r="AH998" s="3">
        <f t="shared" si="62"/>
        <v>0</v>
      </c>
    </row>
    <row r="1048576" spans="18:19" x14ac:dyDescent="0.25">
      <c r="R1048576" s="73"/>
      <c r="S1048576" s="73"/>
    </row>
  </sheetData>
  <autoFilter ref="A1:AQ999" xr:uid="{EBD16A14-FAF8-4694-A392-66F9E737703D}"/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69" activePane="bottomLeft" state="frozen"/>
      <selection activeCell="Y1" sqref="Y1"/>
      <selection pane="bottomLeft" activeCell="B480" sqref="B480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39" width="9.140625" style="1"/>
    <col min="40" max="40" width="15" style="1" bestFit="1" customWidth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79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2095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2095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2071</v>
      </c>
      <c r="S366" s="3" t="s">
        <v>939</v>
      </c>
      <c r="AB366" s="2" t="s">
        <v>267</v>
      </c>
      <c r="AC366" s="3" t="s">
        <v>2072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2072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2072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2072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2072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2072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2072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2072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2072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2072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2072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2072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2073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2072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2072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2072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2072</v>
      </c>
      <c r="AD381" s="3" t="s">
        <v>108</v>
      </c>
      <c r="AE381" s="1">
        <v>90</v>
      </c>
      <c r="AF381" s="1">
        <f t="shared" si="25"/>
        <v>1.5</v>
      </c>
      <c r="AO381" s="1" t="s">
        <v>2072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2072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2072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2072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2074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2079</v>
      </c>
      <c r="K385" s="19">
        <v>1</v>
      </c>
      <c r="N385" s="3" t="s">
        <v>38</v>
      </c>
      <c r="O385" s="129">
        <v>7605</v>
      </c>
      <c r="P385" s="2" t="s">
        <v>2080</v>
      </c>
      <c r="R385" s="73" t="s">
        <v>38</v>
      </c>
      <c r="AB385" s="2" t="s">
        <v>267</v>
      </c>
      <c r="AC385" s="3" t="s">
        <v>2072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2075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2079</v>
      </c>
      <c r="K386" s="19">
        <v>1</v>
      </c>
      <c r="N386" s="3" t="s">
        <v>38</v>
      </c>
      <c r="O386" s="129">
        <v>7605</v>
      </c>
      <c r="P386" s="2" t="s">
        <v>2082</v>
      </c>
      <c r="R386" s="73" t="s">
        <v>38</v>
      </c>
      <c r="AB386" s="2" t="s">
        <v>267</v>
      </c>
      <c r="AC386" s="3" t="s">
        <v>2072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2076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2079</v>
      </c>
      <c r="K387" s="19">
        <v>1</v>
      </c>
      <c r="N387" s="3" t="s">
        <v>38</v>
      </c>
      <c r="O387" s="129">
        <v>7605</v>
      </c>
      <c r="P387" s="2" t="s">
        <v>2081</v>
      </c>
      <c r="R387" s="73" t="s">
        <v>38</v>
      </c>
      <c r="AB387" s="2" t="s">
        <v>267</v>
      </c>
      <c r="AC387" s="3" t="s">
        <v>2072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2077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2079</v>
      </c>
      <c r="K388" s="19">
        <v>1</v>
      </c>
      <c r="N388" s="3" t="s">
        <v>38</v>
      </c>
      <c r="O388" s="129">
        <v>7604</v>
      </c>
      <c r="P388" s="2" t="s">
        <v>2083</v>
      </c>
      <c r="R388" s="73" t="s">
        <v>38</v>
      </c>
      <c r="AB388" s="2" t="s">
        <v>267</v>
      </c>
      <c r="AC388" s="3" t="s">
        <v>2072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2078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2079</v>
      </c>
      <c r="K389" s="19">
        <v>1</v>
      </c>
      <c r="N389" s="3" t="s">
        <v>38</v>
      </c>
      <c r="O389" s="129">
        <v>7604</v>
      </c>
      <c r="P389" s="2" t="s">
        <v>2078</v>
      </c>
      <c r="R389" s="73" t="s">
        <v>38</v>
      </c>
      <c r="AB389" s="2" t="s">
        <v>267</v>
      </c>
      <c r="AC389" s="3" t="s">
        <v>2072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2072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2072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2084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2072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2084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2072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2072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2085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2086</v>
      </c>
      <c r="K395" s="19">
        <v>2</v>
      </c>
      <c r="L395" s="3" t="s">
        <v>2087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2072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2088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2089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2072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2074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2079</v>
      </c>
      <c r="K397" s="73">
        <v>1</v>
      </c>
      <c r="N397" s="3" t="s">
        <v>57</v>
      </c>
      <c r="O397" s="129">
        <v>7302</v>
      </c>
      <c r="P397" s="2" t="s">
        <v>2080</v>
      </c>
      <c r="R397" s="3" t="s">
        <v>79</v>
      </c>
      <c r="AB397" s="2" t="s">
        <v>267</v>
      </c>
      <c r="AC397" s="3" t="s">
        <v>2072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2088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2090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2072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2091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2072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2092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2072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2072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2094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2093</v>
      </c>
      <c r="R403" s="73" t="s">
        <v>1810</v>
      </c>
      <c r="S403" s="3" t="s">
        <v>939</v>
      </c>
      <c r="AB403" s="2" t="s">
        <v>267</v>
      </c>
      <c r="AC403" s="3" t="s">
        <v>2094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2094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2094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2096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2097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2094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2094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853</v>
      </c>
      <c r="F408" s="19" t="s">
        <v>221</v>
      </c>
      <c r="G408" s="19" t="s">
        <v>29</v>
      </c>
      <c r="J408" s="25" t="s">
        <v>2099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2098</v>
      </c>
      <c r="R408" s="3" t="s">
        <v>38</v>
      </c>
      <c r="S408" s="3" t="s">
        <v>939</v>
      </c>
      <c r="AB408" s="2" t="s">
        <v>267</v>
      </c>
      <c r="AC408" s="3" t="s">
        <v>2094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2094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2074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2079</v>
      </c>
      <c r="K410" s="73">
        <v>1</v>
      </c>
      <c r="N410" s="3" t="s">
        <v>38</v>
      </c>
      <c r="O410" s="129">
        <v>7604</v>
      </c>
      <c r="P410" s="2" t="s">
        <v>2080</v>
      </c>
      <c r="R410" s="73" t="s">
        <v>38</v>
      </c>
      <c r="AB410" s="2" t="s">
        <v>267</v>
      </c>
      <c r="AC410" s="3" t="s">
        <v>2094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2077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2079</v>
      </c>
      <c r="K411" s="73">
        <v>1</v>
      </c>
      <c r="N411" s="3" t="s">
        <v>38</v>
      </c>
      <c r="O411" s="129">
        <v>7604</v>
      </c>
      <c r="P411" s="2" t="s">
        <v>2083</v>
      </c>
      <c r="R411" s="73" t="s">
        <v>38</v>
      </c>
      <c r="AB411" s="2" t="s">
        <v>267</v>
      </c>
      <c r="AC411" s="3" t="s">
        <v>2094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2078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2079</v>
      </c>
      <c r="K412" s="73">
        <v>1</v>
      </c>
      <c r="N412" s="3" t="s">
        <v>38</v>
      </c>
      <c r="O412" s="129">
        <v>7604</v>
      </c>
      <c r="P412" s="2" t="s">
        <v>2078</v>
      </c>
      <c r="R412" s="73" t="s">
        <v>38</v>
      </c>
      <c r="AB412" s="2" t="s">
        <v>267</v>
      </c>
      <c r="AC412" s="3" t="s">
        <v>2094</v>
      </c>
      <c r="AD412" s="3" t="s">
        <v>108</v>
      </c>
      <c r="AE412" s="1">
        <v>360</v>
      </c>
      <c r="AF412" s="1">
        <f t="shared" ref="AF412:AF479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2094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2093</v>
      </c>
      <c r="R414" s="73" t="s">
        <v>36</v>
      </c>
      <c r="AB414" s="2" t="s">
        <v>267</v>
      </c>
      <c r="AC414" s="3" t="s">
        <v>2094</v>
      </c>
      <c r="AD414" s="3" t="s">
        <v>108</v>
      </c>
      <c r="AE414" s="1">
        <v>660</v>
      </c>
      <c r="AF414" s="1">
        <f t="shared" si="30"/>
        <v>11</v>
      </c>
    </row>
    <row r="415" spans="1:44" ht="45" x14ac:dyDescent="0.25">
      <c r="A415" s="3">
        <v>414</v>
      </c>
      <c r="B415" s="3" t="s">
        <v>2107</v>
      </c>
      <c r="C415" s="3" t="s">
        <v>62</v>
      </c>
      <c r="D415" s="19" t="s">
        <v>78</v>
      </c>
      <c r="E415" s="19" t="s">
        <v>853</v>
      </c>
      <c r="F415" s="19" t="s">
        <v>221</v>
      </c>
      <c r="G415" s="19" t="s">
        <v>29</v>
      </c>
      <c r="I415" s="19">
        <v>17233</v>
      </c>
      <c r="J415" s="25" t="s">
        <v>2108</v>
      </c>
      <c r="K415" s="19">
        <v>10</v>
      </c>
      <c r="L415" s="3" t="s">
        <v>139</v>
      </c>
      <c r="N415" s="3" t="s">
        <v>57</v>
      </c>
      <c r="O415" s="129">
        <v>7301</v>
      </c>
      <c r="P415" s="2" t="s">
        <v>2100</v>
      </c>
      <c r="Q415" s="3" t="s">
        <v>2109</v>
      </c>
      <c r="R415" s="3" t="s">
        <v>79</v>
      </c>
      <c r="S415" s="3" t="s">
        <v>939</v>
      </c>
      <c r="AB415" s="2" t="s">
        <v>267</v>
      </c>
      <c r="AC415" s="3" t="s">
        <v>2094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2094</v>
      </c>
      <c r="AD416" s="3" t="s">
        <v>108</v>
      </c>
      <c r="AE416" s="1">
        <v>60</v>
      </c>
      <c r="AF416" s="1">
        <f t="shared" si="30"/>
        <v>1</v>
      </c>
    </row>
    <row r="417" spans="1:40" ht="30" x14ac:dyDescent="0.25">
      <c r="A417" s="3">
        <v>416</v>
      </c>
      <c r="B417" s="9" t="s">
        <v>2000</v>
      </c>
      <c r="C417" s="9" t="s">
        <v>27</v>
      </c>
      <c r="D417" s="3" t="s">
        <v>329</v>
      </c>
      <c r="E417" s="9" t="s">
        <v>853</v>
      </c>
      <c r="F417" s="9" t="s">
        <v>28</v>
      </c>
      <c r="G417" s="9" t="s">
        <v>29</v>
      </c>
      <c r="H417" s="9">
        <v>29889</v>
      </c>
      <c r="I417" s="9"/>
      <c r="J417" s="32" t="s">
        <v>2001</v>
      </c>
      <c r="K417" s="32">
        <v>1</v>
      </c>
      <c r="N417" s="3" t="s">
        <v>48</v>
      </c>
      <c r="O417" s="129">
        <v>7502</v>
      </c>
      <c r="P417" s="2" t="s">
        <v>1907</v>
      </c>
      <c r="R417" s="3" t="s">
        <v>48</v>
      </c>
      <c r="S417" s="3" t="s">
        <v>939</v>
      </c>
      <c r="AB417" s="2" t="s">
        <v>267</v>
      </c>
      <c r="AC417" s="3" t="s">
        <v>2094</v>
      </c>
      <c r="AD417" s="3" t="s">
        <v>108</v>
      </c>
      <c r="AE417" s="1">
        <v>300</v>
      </c>
      <c r="AF417" s="1">
        <f t="shared" si="30"/>
        <v>5</v>
      </c>
    </row>
    <row r="418" spans="1:40" ht="30" x14ac:dyDescent="0.25">
      <c r="A418" s="3">
        <v>417</v>
      </c>
      <c r="B418" s="3" t="s">
        <v>1097</v>
      </c>
      <c r="C418" s="3" t="s">
        <v>46</v>
      </c>
      <c r="D418" s="19" t="s">
        <v>329</v>
      </c>
      <c r="E418" s="19" t="s">
        <v>853</v>
      </c>
      <c r="F418" s="19" t="s">
        <v>118</v>
      </c>
      <c r="G418" s="9" t="s">
        <v>29</v>
      </c>
      <c r="I418" s="19">
        <v>1729</v>
      </c>
      <c r="J418" s="25" t="s">
        <v>2101</v>
      </c>
      <c r="K418" s="19">
        <v>1</v>
      </c>
      <c r="L418" s="3" t="s">
        <v>126</v>
      </c>
      <c r="N418" s="3" t="s">
        <v>48</v>
      </c>
      <c r="O418" s="129">
        <v>7501</v>
      </c>
      <c r="P418" s="2" t="s">
        <v>2102</v>
      </c>
      <c r="R418" s="3" t="s">
        <v>48</v>
      </c>
      <c r="S418" s="3" t="s">
        <v>939</v>
      </c>
      <c r="AB418" s="2" t="s">
        <v>267</v>
      </c>
      <c r="AC418" s="3" t="s">
        <v>2094</v>
      </c>
      <c r="AD418" s="3" t="s">
        <v>108</v>
      </c>
      <c r="AE418" s="1">
        <v>120</v>
      </c>
      <c r="AF418" s="1">
        <f t="shared" si="30"/>
        <v>2</v>
      </c>
    </row>
    <row r="419" spans="1:40" ht="30" x14ac:dyDescent="0.25">
      <c r="A419" s="3">
        <v>418</v>
      </c>
      <c r="B419" s="3" t="s">
        <v>2103</v>
      </c>
      <c r="C419" s="3" t="s">
        <v>46</v>
      </c>
      <c r="D419" s="19" t="s">
        <v>329</v>
      </c>
      <c r="E419" s="19" t="s">
        <v>853</v>
      </c>
      <c r="F419" s="19" t="s">
        <v>118</v>
      </c>
      <c r="G419" s="19" t="s">
        <v>29</v>
      </c>
      <c r="I419" s="19">
        <v>17228</v>
      </c>
      <c r="J419" s="25" t="s">
        <v>2104</v>
      </c>
      <c r="K419" s="73">
        <v>1</v>
      </c>
      <c r="L419" s="3" t="s">
        <v>126</v>
      </c>
      <c r="N419" s="3" t="s">
        <v>48</v>
      </c>
      <c r="O419" s="129">
        <v>7501</v>
      </c>
      <c r="P419" s="2" t="s">
        <v>155</v>
      </c>
      <c r="R419" s="3" t="s">
        <v>2105</v>
      </c>
      <c r="S419" s="3" t="s">
        <v>939</v>
      </c>
      <c r="AB419" s="2" t="s">
        <v>267</v>
      </c>
      <c r="AC419" s="3" t="s">
        <v>2094</v>
      </c>
      <c r="AD419" s="3" t="s">
        <v>108</v>
      </c>
      <c r="AE419" s="1">
        <v>120</v>
      </c>
      <c r="AF419" s="1">
        <f t="shared" si="30"/>
        <v>2</v>
      </c>
    </row>
    <row r="420" spans="1:40" ht="30" x14ac:dyDescent="0.25">
      <c r="A420" s="3">
        <v>419</v>
      </c>
      <c r="B420" s="3" t="s">
        <v>2103</v>
      </c>
      <c r="C420" s="3" t="s">
        <v>46</v>
      </c>
      <c r="D420" s="73" t="s">
        <v>329</v>
      </c>
      <c r="E420" s="73" t="s">
        <v>853</v>
      </c>
      <c r="F420" s="73" t="s">
        <v>118</v>
      </c>
      <c r="G420" s="73" t="s">
        <v>29</v>
      </c>
      <c r="H420" s="73"/>
      <c r="I420" s="73">
        <v>17228</v>
      </c>
      <c r="J420" s="25" t="s">
        <v>2104</v>
      </c>
      <c r="K420" s="73">
        <v>1</v>
      </c>
      <c r="L420" s="3" t="s">
        <v>126</v>
      </c>
      <c r="N420" s="3" t="s">
        <v>48</v>
      </c>
      <c r="O420" s="129">
        <v>7502</v>
      </c>
      <c r="P420" s="2" t="s">
        <v>155</v>
      </c>
      <c r="R420" s="3" t="s">
        <v>2106</v>
      </c>
      <c r="AB420" s="2" t="s">
        <v>267</v>
      </c>
      <c r="AC420" s="3" t="s">
        <v>2094</v>
      </c>
      <c r="AD420" s="3" t="s">
        <v>108</v>
      </c>
      <c r="AE420" s="1">
        <v>360</v>
      </c>
      <c r="AF420" s="1">
        <f t="shared" si="30"/>
        <v>6</v>
      </c>
    </row>
    <row r="421" spans="1:40" ht="30" x14ac:dyDescent="0.25">
      <c r="A421" s="3">
        <v>420</v>
      </c>
      <c r="B421" s="3" t="s">
        <v>376</v>
      </c>
      <c r="C421" s="3" t="s">
        <v>62</v>
      </c>
      <c r="D421" s="19" t="s">
        <v>172</v>
      </c>
      <c r="E421" s="19" t="s">
        <v>853</v>
      </c>
      <c r="F421" s="19" t="s">
        <v>221</v>
      </c>
      <c r="G421" s="19" t="s">
        <v>29</v>
      </c>
      <c r="J421" s="25" t="s">
        <v>2110</v>
      </c>
      <c r="K421" s="19">
        <v>1</v>
      </c>
      <c r="L421" s="3" t="s">
        <v>139</v>
      </c>
      <c r="N421" s="3" t="s">
        <v>133</v>
      </c>
      <c r="O421" s="129">
        <v>7401</v>
      </c>
      <c r="P421" s="2" t="s">
        <v>198</v>
      </c>
      <c r="R421" s="3" t="s">
        <v>1812</v>
      </c>
      <c r="S421" s="3" t="s">
        <v>939</v>
      </c>
      <c r="AB421" s="2" t="s">
        <v>267</v>
      </c>
      <c r="AC421" s="3" t="s">
        <v>2094</v>
      </c>
      <c r="AD421" s="3" t="s">
        <v>108</v>
      </c>
      <c r="AE421" s="1">
        <v>60</v>
      </c>
      <c r="AF421" s="1">
        <f t="shared" si="30"/>
        <v>1</v>
      </c>
      <c r="AN421" s="1" t="s">
        <v>2094</v>
      </c>
    </row>
    <row r="422" spans="1:40" ht="30" x14ac:dyDescent="0.25">
      <c r="A422" s="3">
        <v>421</v>
      </c>
      <c r="B422" s="3" t="s">
        <v>2111</v>
      </c>
      <c r="C422" s="4" t="s">
        <v>62</v>
      </c>
      <c r="D422" s="19" t="s">
        <v>172</v>
      </c>
      <c r="E422" s="19" t="s">
        <v>853</v>
      </c>
      <c r="F422" s="19" t="s">
        <v>221</v>
      </c>
      <c r="G422" s="19" t="s">
        <v>29</v>
      </c>
      <c r="I422" s="19">
        <v>17462</v>
      </c>
      <c r="J422" s="25" t="s">
        <v>2112</v>
      </c>
      <c r="K422" s="19">
        <v>1</v>
      </c>
      <c r="L422" s="3" t="s">
        <v>139</v>
      </c>
      <c r="N422" s="3" t="s">
        <v>133</v>
      </c>
      <c r="O422" s="129">
        <v>7401</v>
      </c>
      <c r="P422" s="2" t="s">
        <v>343</v>
      </c>
      <c r="R422" s="3" t="s">
        <v>1812</v>
      </c>
      <c r="S422" s="3" t="s">
        <v>939</v>
      </c>
      <c r="AB422" s="2" t="s">
        <v>267</v>
      </c>
      <c r="AC422" s="3" t="s">
        <v>2094</v>
      </c>
      <c r="AD422" s="3" t="s">
        <v>108</v>
      </c>
      <c r="AE422" s="1">
        <v>30</v>
      </c>
      <c r="AF422" s="1">
        <f t="shared" si="30"/>
        <v>0.5</v>
      </c>
    </row>
    <row r="423" spans="1:40" ht="30" x14ac:dyDescent="0.25">
      <c r="A423" s="3">
        <v>422</v>
      </c>
      <c r="B423" s="3" t="s">
        <v>2111</v>
      </c>
      <c r="C423" s="4" t="s">
        <v>62</v>
      </c>
      <c r="D423" s="73" t="s">
        <v>172</v>
      </c>
      <c r="E423" s="73" t="s">
        <v>853</v>
      </c>
      <c r="F423" s="73" t="s">
        <v>221</v>
      </c>
      <c r="G423" s="73" t="s">
        <v>29</v>
      </c>
      <c r="H423" s="73"/>
      <c r="I423" s="73">
        <v>17462</v>
      </c>
      <c r="J423" s="25" t="s">
        <v>2112</v>
      </c>
      <c r="K423" s="73">
        <v>1</v>
      </c>
      <c r="L423" s="3" t="s">
        <v>139</v>
      </c>
      <c r="N423" s="3" t="s">
        <v>33</v>
      </c>
      <c r="O423" s="129" t="s">
        <v>33</v>
      </c>
      <c r="P423" s="2" t="s">
        <v>343</v>
      </c>
      <c r="R423" s="3" t="s">
        <v>200</v>
      </c>
      <c r="S423" s="3" t="s">
        <v>939</v>
      </c>
      <c r="AB423" s="2" t="s">
        <v>267</v>
      </c>
      <c r="AC423" s="3" t="s">
        <v>2094</v>
      </c>
      <c r="AD423" s="3" t="s">
        <v>108</v>
      </c>
      <c r="AE423" s="1">
        <v>30</v>
      </c>
      <c r="AF423" s="1">
        <f t="shared" si="30"/>
        <v>0.5</v>
      </c>
      <c r="AN423" s="1" t="s">
        <v>2094</v>
      </c>
    </row>
    <row r="424" spans="1:40" ht="30" x14ac:dyDescent="0.25">
      <c r="A424" s="3">
        <v>423</v>
      </c>
      <c r="B424" s="3" t="s">
        <v>485</v>
      </c>
      <c r="C424" s="3" t="s">
        <v>62</v>
      </c>
      <c r="D424" s="19" t="s">
        <v>172</v>
      </c>
      <c r="E424" s="19" t="s">
        <v>853</v>
      </c>
      <c r="F424" s="19" t="s">
        <v>221</v>
      </c>
      <c r="G424" s="19" t="s">
        <v>47</v>
      </c>
      <c r="J424" s="25" t="s">
        <v>2113</v>
      </c>
      <c r="K424" s="19">
        <v>1</v>
      </c>
      <c r="L424" s="3" t="s">
        <v>139</v>
      </c>
      <c r="N424" s="3" t="s">
        <v>133</v>
      </c>
      <c r="O424" s="129">
        <v>7401</v>
      </c>
      <c r="P424" s="2" t="s">
        <v>2114</v>
      </c>
      <c r="R424" s="3" t="s">
        <v>1812</v>
      </c>
      <c r="S424" s="3" t="s">
        <v>939</v>
      </c>
      <c r="AB424" s="2" t="s">
        <v>267</v>
      </c>
      <c r="AC424" s="3" t="s">
        <v>2094</v>
      </c>
      <c r="AD424" s="3" t="s">
        <v>108</v>
      </c>
      <c r="AE424" s="1">
        <v>120</v>
      </c>
      <c r="AF424" s="1">
        <f t="shared" si="30"/>
        <v>2</v>
      </c>
    </row>
    <row r="425" spans="1:40" ht="30" x14ac:dyDescent="0.25">
      <c r="A425" s="3">
        <v>424</v>
      </c>
      <c r="B425" s="3" t="s">
        <v>389</v>
      </c>
      <c r="C425" s="3" t="s">
        <v>46</v>
      </c>
      <c r="D425" s="73" t="s">
        <v>172</v>
      </c>
      <c r="E425" s="9" t="s">
        <v>853</v>
      </c>
      <c r="F425" s="3" t="s">
        <v>336</v>
      </c>
      <c r="G425" s="3" t="s">
        <v>47</v>
      </c>
      <c r="H425" s="3" t="s">
        <v>677</v>
      </c>
      <c r="I425" s="3"/>
      <c r="J425" s="20" t="s">
        <v>353</v>
      </c>
      <c r="K425" s="20">
        <v>1</v>
      </c>
      <c r="N425" s="3" t="s">
        <v>33</v>
      </c>
      <c r="O425" s="129" t="s">
        <v>33</v>
      </c>
      <c r="P425" s="2" t="s">
        <v>1063</v>
      </c>
      <c r="R425" s="3" t="s">
        <v>54</v>
      </c>
      <c r="AB425" s="2" t="s">
        <v>267</v>
      </c>
      <c r="AC425" s="3" t="s">
        <v>2094</v>
      </c>
      <c r="AD425" s="3" t="s">
        <v>108</v>
      </c>
      <c r="AE425" s="1">
        <v>120</v>
      </c>
      <c r="AF425" s="1">
        <f t="shared" si="30"/>
        <v>2</v>
      </c>
    </row>
    <row r="426" spans="1:40" ht="30" x14ac:dyDescent="0.25">
      <c r="A426" s="3">
        <v>425</v>
      </c>
      <c r="B426" s="9" t="s">
        <v>1117</v>
      </c>
      <c r="C426" s="34" t="s">
        <v>27</v>
      </c>
      <c r="D426" s="3" t="s">
        <v>172</v>
      </c>
      <c r="E426" s="9" t="s">
        <v>996</v>
      </c>
      <c r="F426" s="3" t="s">
        <v>445</v>
      </c>
      <c r="G426" s="3" t="s">
        <v>29</v>
      </c>
      <c r="H426" s="3"/>
      <c r="I426" s="3"/>
      <c r="J426" s="32" t="s">
        <v>1993</v>
      </c>
      <c r="K426" s="20">
        <v>1</v>
      </c>
      <c r="N426" s="3" t="s">
        <v>33</v>
      </c>
      <c r="O426" s="129" t="s">
        <v>33</v>
      </c>
      <c r="P426" s="2" t="s">
        <v>472</v>
      </c>
      <c r="R426" s="3" t="s">
        <v>181</v>
      </c>
      <c r="S426" s="3" t="s">
        <v>939</v>
      </c>
      <c r="AB426" s="2" t="s">
        <v>267</v>
      </c>
      <c r="AC426" s="3" t="s">
        <v>2094</v>
      </c>
      <c r="AD426" s="3" t="s">
        <v>108</v>
      </c>
      <c r="AE426" s="1">
        <v>300</v>
      </c>
      <c r="AF426" s="1">
        <f t="shared" si="30"/>
        <v>5</v>
      </c>
      <c r="AN426" s="1" t="s">
        <v>2094</v>
      </c>
    </row>
    <row r="427" spans="1:40" ht="45" x14ac:dyDescent="0.25">
      <c r="A427" s="3">
        <v>426</v>
      </c>
      <c r="B427" s="3" t="s">
        <v>2115</v>
      </c>
      <c r="C427" s="3" t="s">
        <v>45</v>
      </c>
      <c r="D427" s="19" t="s">
        <v>39</v>
      </c>
      <c r="E427" s="19" t="s">
        <v>853</v>
      </c>
      <c r="F427" s="19" t="s">
        <v>199</v>
      </c>
      <c r="G427" s="19" t="s">
        <v>29</v>
      </c>
      <c r="I427" s="19">
        <v>3128</v>
      </c>
      <c r="J427" s="25" t="s">
        <v>2116</v>
      </c>
      <c r="K427" s="19">
        <v>1</v>
      </c>
      <c r="N427" s="3" t="s">
        <v>57</v>
      </c>
      <c r="O427" s="129">
        <v>7303</v>
      </c>
      <c r="P427" s="2" t="s">
        <v>198</v>
      </c>
      <c r="R427" s="3" t="s">
        <v>36</v>
      </c>
      <c r="S427" s="3" t="s">
        <v>939</v>
      </c>
      <c r="AB427" s="2" t="s">
        <v>267</v>
      </c>
      <c r="AC427" s="3" t="s">
        <v>2094</v>
      </c>
      <c r="AD427" s="3" t="s">
        <v>108</v>
      </c>
      <c r="AE427" s="1">
        <v>240</v>
      </c>
      <c r="AF427" s="1">
        <f t="shared" si="30"/>
        <v>4</v>
      </c>
    </row>
    <row r="428" spans="1:40" ht="30" x14ac:dyDescent="0.25">
      <c r="A428" s="3">
        <v>427</v>
      </c>
      <c r="B428" s="3" t="s">
        <v>1510</v>
      </c>
      <c r="C428" s="9" t="s">
        <v>46</v>
      </c>
      <c r="D428" s="73" t="s">
        <v>39</v>
      </c>
      <c r="E428" s="3" t="s">
        <v>853</v>
      </c>
      <c r="F428" s="3" t="s">
        <v>336</v>
      </c>
      <c r="G428" s="3" t="s">
        <v>29</v>
      </c>
      <c r="H428" s="3">
        <v>29087</v>
      </c>
      <c r="I428" s="20">
        <v>1005</v>
      </c>
      <c r="J428" s="3" t="s">
        <v>353</v>
      </c>
      <c r="N428" s="3" t="s">
        <v>57</v>
      </c>
      <c r="O428" s="129">
        <v>7302</v>
      </c>
      <c r="P428" s="2" t="s">
        <v>58</v>
      </c>
      <c r="R428" s="3" t="s">
        <v>79</v>
      </c>
      <c r="S428" s="3" t="s">
        <v>939</v>
      </c>
      <c r="AB428" s="2" t="s">
        <v>267</v>
      </c>
      <c r="AC428" s="3" t="s">
        <v>2094</v>
      </c>
      <c r="AD428" s="3" t="s">
        <v>108</v>
      </c>
      <c r="AE428" s="1">
        <v>180</v>
      </c>
      <c r="AF428" s="1">
        <f t="shared" si="30"/>
        <v>3</v>
      </c>
    </row>
    <row r="429" spans="1:40" ht="30" x14ac:dyDescent="0.25">
      <c r="A429" s="3">
        <v>428</v>
      </c>
      <c r="B429" s="3" t="s">
        <v>403</v>
      </c>
      <c r="C429" s="3" t="s">
        <v>154</v>
      </c>
      <c r="D429" s="3" t="s">
        <v>39</v>
      </c>
      <c r="E429" s="9" t="s">
        <v>853</v>
      </c>
      <c r="F429" s="3" t="s">
        <v>79</v>
      </c>
      <c r="G429" s="3" t="s">
        <v>881</v>
      </c>
      <c r="H429" s="3"/>
      <c r="I429" s="3"/>
      <c r="J429" s="20" t="s">
        <v>404</v>
      </c>
      <c r="K429" s="20">
        <v>1</v>
      </c>
      <c r="N429" s="3" t="s">
        <v>154</v>
      </c>
      <c r="O429" s="3" t="s">
        <v>154</v>
      </c>
      <c r="P429" s="3" t="s">
        <v>244</v>
      </c>
      <c r="Q429" s="73"/>
      <c r="R429" s="73" t="s">
        <v>154</v>
      </c>
      <c r="S429" s="73" t="s">
        <v>941</v>
      </c>
      <c r="AB429" s="2" t="s">
        <v>267</v>
      </c>
      <c r="AC429" s="3" t="s">
        <v>2094</v>
      </c>
      <c r="AD429" s="3" t="s">
        <v>108</v>
      </c>
      <c r="AE429" s="1">
        <v>60</v>
      </c>
      <c r="AF429" s="1">
        <f t="shared" si="30"/>
        <v>1</v>
      </c>
    </row>
    <row r="430" spans="1:40" ht="30" x14ac:dyDescent="0.25">
      <c r="A430" s="3">
        <v>429</v>
      </c>
      <c r="B430" s="3" t="s">
        <v>389</v>
      </c>
      <c r="C430" s="3" t="s">
        <v>46</v>
      </c>
      <c r="D430" s="73" t="s">
        <v>400</v>
      </c>
      <c r="E430" s="9" t="s">
        <v>853</v>
      </c>
      <c r="F430" s="3" t="s">
        <v>336</v>
      </c>
      <c r="G430" s="3" t="s">
        <v>47</v>
      </c>
      <c r="H430" s="3" t="s">
        <v>677</v>
      </c>
      <c r="I430" s="3"/>
      <c r="J430" s="20" t="s">
        <v>353</v>
      </c>
      <c r="K430" s="20">
        <v>1</v>
      </c>
      <c r="N430" s="3" t="s">
        <v>33</v>
      </c>
      <c r="O430" s="129" t="s">
        <v>33</v>
      </c>
      <c r="P430" s="2" t="s">
        <v>1063</v>
      </c>
      <c r="R430" s="3" t="s">
        <v>54</v>
      </c>
      <c r="S430" s="73" t="s">
        <v>941</v>
      </c>
      <c r="AB430" s="2" t="s">
        <v>267</v>
      </c>
      <c r="AC430" s="3" t="s">
        <v>2094</v>
      </c>
      <c r="AD430" s="3" t="s">
        <v>108</v>
      </c>
      <c r="AE430" s="1">
        <v>180</v>
      </c>
      <c r="AF430" s="1">
        <f t="shared" si="30"/>
        <v>3</v>
      </c>
    </row>
    <row r="431" spans="1:40" ht="30" x14ac:dyDescent="0.25">
      <c r="A431" s="3">
        <v>430</v>
      </c>
      <c r="B431" s="3" t="s">
        <v>389</v>
      </c>
      <c r="C431" s="3" t="s">
        <v>46</v>
      </c>
      <c r="D431" s="73" t="s">
        <v>400</v>
      </c>
      <c r="E431" s="9" t="s">
        <v>853</v>
      </c>
      <c r="F431" s="3" t="s">
        <v>336</v>
      </c>
      <c r="G431" s="3" t="s">
        <v>47</v>
      </c>
      <c r="H431" s="3" t="s">
        <v>677</v>
      </c>
      <c r="I431" s="3"/>
      <c r="J431" s="20" t="s">
        <v>353</v>
      </c>
      <c r="K431" s="20">
        <v>1</v>
      </c>
      <c r="N431" s="3" t="s">
        <v>33</v>
      </c>
      <c r="O431" s="129" t="s">
        <v>33</v>
      </c>
      <c r="P431" s="2" t="s">
        <v>1063</v>
      </c>
      <c r="R431" s="3" t="s">
        <v>200</v>
      </c>
      <c r="S431" s="73" t="s">
        <v>941</v>
      </c>
      <c r="AB431" s="2" t="s">
        <v>267</v>
      </c>
      <c r="AC431" s="3" t="s">
        <v>2094</v>
      </c>
      <c r="AD431" s="3" t="s">
        <v>108</v>
      </c>
      <c r="AE431" s="1">
        <v>180</v>
      </c>
      <c r="AF431" s="1">
        <f t="shared" si="30"/>
        <v>3</v>
      </c>
    </row>
    <row r="432" spans="1:40" ht="30" x14ac:dyDescent="0.25">
      <c r="A432" s="3">
        <v>431</v>
      </c>
      <c r="B432" s="9" t="s">
        <v>1117</v>
      </c>
      <c r="C432" s="34" t="s">
        <v>27</v>
      </c>
      <c r="D432" s="73" t="s">
        <v>400</v>
      </c>
      <c r="E432" s="9" t="s">
        <v>996</v>
      </c>
      <c r="F432" s="3" t="s">
        <v>445</v>
      </c>
      <c r="G432" s="3" t="s">
        <v>29</v>
      </c>
      <c r="H432" s="3"/>
      <c r="I432" s="3"/>
      <c r="J432" s="32" t="s">
        <v>1993</v>
      </c>
      <c r="K432" s="20">
        <v>1</v>
      </c>
      <c r="N432" s="3" t="s">
        <v>33</v>
      </c>
      <c r="O432" s="129" t="s">
        <v>33</v>
      </c>
      <c r="P432" s="2" t="s">
        <v>472</v>
      </c>
      <c r="R432" s="3" t="s">
        <v>181</v>
      </c>
      <c r="S432" s="3" t="s">
        <v>939</v>
      </c>
      <c r="AB432" s="2" t="s">
        <v>267</v>
      </c>
      <c r="AC432" s="3" t="s">
        <v>2094</v>
      </c>
      <c r="AD432" s="3" t="s">
        <v>108</v>
      </c>
      <c r="AE432" s="1">
        <v>120</v>
      </c>
      <c r="AF432" s="1">
        <f t="shared" si="30"/>
        <v>2</v>
      </c>
    </row>
    <row r="433" spans="1:40" ht="30" x14ac:dyDescent="0.25">
      <c r="A433" s="3">
        <v>432</v>
      </c>
      <c r="B433" s="9" t="s">
        <v>2000</v>
      </c>
      <c r="C433" s="9" t="s">
        <v>27</v>
      </c>
      <c r="D433" s="73" t="s">
        <v>400</v>
      </c>
      <c r="E433" s="9" t="s">
        <v>853</v>
      </c>
      <c r="F433" s="9" t="s">
        <v>28</v>
      </c>
      <c r="G433" s="9" t="s">
        <v>29</v>
      </c>
      <c r="H433" s="9">
        <v>29889</v>
      </c>
      <c r="I433" s="9"/>
      <c r="J433" s="32" t="s">
        <v>2001</v>
      </c>
      <c r="K433" s="32">
        <v>1</v>
      </c>
      <c r="N433" s="3" t="s">
        <v>33</v>
      </c>
      <c r="O433" s="129" t="s">
        <v>33</v>
      </c>
      <c r="P433" s="2" t="s">
        <v>2051</v>
      </c>
      <c r="R433" s="3" t="s">
        <v>200</v>
      </c>
      <c r="S433" s="3" t="s">
        <v>939</v>
      </c>
      <c r="AB433" s="2" t="s">
        <v>267</v>
      </c>
      <c r="AC433" s="3" t="s">
        <v>2094</v>
      </c>
      <c r="AD433" s="3" t="s">
        <v>108</v>
      </c>
      <c r="AE433" s="1">
        <v>180</v>
      </c>
      <c r="AF433" s="1">
        <f t="shared" si="30"/>
        <v>3</v>
      </c>
    </row>
    <row r="434" spans="1:40" ht="30" x14ac:dyDescent="0.25">
      <c r="A434" s="3">
        <v>433</v>
      </c>
      <c r="B434" s="3" t="s">
        <v>578</v>
      </c>
      <c r="C434" s="3" t="s">
        <v>45</v>
      </c>
      <c r="D434" s="73" t="s">
        <v>450</v>
      </c>
      <c r="E434" s="73" t="s">
        <v>853</v>
      </c>
      <c r="F434" s="73" t="s">
        <v>361</v>
      </c>
      <c r="G434" s="73" t="s">
        <v>1048</v>
      </c>
      <c r="H434" s="73"/>
      <c r="I434" s="73">
        <v>3129</v>
      </c>
      <c r="J434" s="25" t="s">
        <v>2069</v>
      </c>
      <c r="K434" s="73">
        <v>1</v>
      </c>
      <c r="N434" s="3" t="s">
        <v>35</v>
      </c>
      <c r="O434" s="129">
        <v>7101</v>
      </c>
      <c r="P434" s="2" t="s">
        <v>425</v>
      </c>
      <c r="R434" s="3" t="s">
        <v>434</v>
      </c>
      <c r="S434" s="3" t="s">
        <v>939</v>
      </c>
      <c r="AB434" s="2" t="s">
        <v>267</v>
      </c>
      <c r="AC434" s="3" t="s">
        <v>2072</v>
      </c>
      <c r="AD434" s="3" t="s">
        <v>108</v>
      </c>
      <c r="AE434" s="1">
        <v>60</v>
      </c>
      <c r="AF434" s="1">
        <f t="shared" si="30"/>
        <v>1</v>
      </c>
    </row>
    <row r="435" spans="1:40" ht="45" x14ac:dyDescent="0.25">
      <c r="A435" s="3">
        <v>434</v>
      </c>
      <c r="B435" s="3" t="s">
        <v>2115</v>
      </c>
      <c r="C435" s="3" t="s">
        <v>45</v>
      </c>
      <c r="D435" s="73" t="s">
        <v>450</v>
      </c>
      <c r="E435" s="73" t="s">
        <v>853</v>
      </c>
      <c r="F435" s="73" t="s">
        <v>199</v>
      </c>
      <c r="G435" s="73" t="s">
        <v>29</v>
      </c>
      <c r="H435" s="73"/>
      <c r="I435" s="73">
        <v>3128</v>
      </c>
      <c r="J435" s="25" t="s">
        <v>2116</v>
      </c>
      <c r="K435" s="73">
        <v>1</v>
      </c>
      <c r="N435" s="3" t="s">
        <v>35</v>
      </c>
      <c r="O435" s="129">
        <v>7101</v>
      </c>
      <c r="P435" s="2" t="s">
        <v>198</v>
      </c>
      <c r="R435" s="3" t="s">
        <v>434</v>
      </c>
      <c r="S435" s="3" t="s">
        <v>939</v>
      </c>
      <c r="AB435" s="2" t="s">
        <v>267</v>
      </c>
      <c r="AC435" s="3" t="s">
        <v>2072</v>
      </c>
      <c r="AD435" s="3" t="s">
        <v>108</v>
      </c>
      <c r="AE435" s="1">
        <v>60</v>
      </c>
      <c r="AF435" s="1">
        <f t="shared" si="30"/>
        <v>1</v>
      </c>
    </row>
    <row r="436" spans="1:40" ht="30" x14ac:dyDescent="0.25">
      <c r="A436" s="3">
        <v>435</v>
      </c>
      <c r="B436" s="3" t="s">
        <v>2032</v>
      </c>
      <c r="C436" s="3" t="s">
        <v>62</v>
      </c>
      <c r="D436" s="73" t="s">
        <v>450</v>
      </c>
      <c r="E436" s="73" t="s">
        <v>853</v>
      </c>
      <c r="F436" s="73" t="s">
        <v>187</v>
      </c>
      <c r="G436" s="73" t="s">
        <v>29</v>
      </c>
      <c r="H436" s="73"/>
      <c r="I436" s="73">
        <v>17451</v>
      </c>
      <c r="J436" s="25" t="s">
        <v>2033</v>
      </c>
      <c r="K436" s="73">
        <v>2</v>
      </c>
      <c r="N436" s="3" t="s">
        <v>35</v>
      </c>
      <c r="O436" s="129">
        <v>7101</v>
      </c>
      <c r="P436" s="2" t="s">
        <v>2034</v>
      </c>
      <c r="R436" s="3" t="s">
        <v>79</v>
      </c>
      <c r="S436" s="3" t="s">
        <v>939</v>
      </c>
      <c r="AB436" s="2" t="s">
        <v>267</v>
      </c>
      <c r="AC436" s="3" t="s">
        <v>2072</v>
      </c>
      <c r="AD436" s="3" t="s">
        <v>108</v>
      </c>
      <c r="AE436" s="1">
        <v>60</v>
      </c>
      <c r="AF436" s="1">
        <f t="shared" si="30"/>
        <v>1</v>
      </c>
    </row>
    <row r="437" spans="1:40" ht="30" x14ac:dyDescent="0.25">
      <c r="A437" s="3">
        <v>436</v>
      </c>
      <c r="B437" s="3" t="s">
        <v>439</v>
      </c>
      <c r="C437" s="3" t="s">
        <v>27</v>
      </c>
      <c r="D437" s="73" t="s">
        <v>450</v>
      </c>
      <c r="E437" s="9" t="s">
        <v>853</v>
      </c>
      <c r="F437" s="3" t="s">
        <v>28</v>
      </c>
      <c r="G437" s="3" t="s">
        <v>29</v>
      </c>
      <c r="H437" s="3"/>
      <c r="I437" s="3"/>
      <c r="J437" s="20" t="s">
        <v>752</v>
      </c>
      <c r="K437" s="20">
        <v>1</v>
      </c>
      <c r="N437" s="3" t="s">
        <v>33</v>
      </c>
      <c r="O437" s="129" t="s">
        <v>33</v>
      </c>
      <c r="P437" s="2" t="s">
        <v>495</v>
      </c>
      <c r="R437" s="3" t="s">
        <v>1817</v>
      </c>
      <c r="S437" s="3" t="s">
        <v>939</v>
      </c>
      <c r="AB437" s="2" t="s">
        <v>267</v>
      </c>
      <c r="AC437" s="3" t="s">
        <v>2072</v>
      </c>
      <c r="AD437" s="3" t="s">
        <v>108</v>
      </c>
      <c r="AE437" s="1">
        <v>120</v>
      </c>
      <c r="AF437" s="1">
        <f t="shared" si="30"/>
        <v>2</v>
      </c>
    </row>
    <row r="438" spans="1:40" ht="30" x14ac:dyDescent="0.25">
      <c r="A438" s="3">
        <v>437</v>
      </c>
      <c r="B438" s="9" t="s">
        <v>1117</v>
      </c>
      <c r="C438" s="34" t="s">
        <v>27</v>
      </c>
      <c r="D438" s="73" t="s">
        <v>450</v>
      </c>
      <c r="E438" s="9" t="s">
        <v>996</v>
      </c>
      <c r="F438" s="3" t="s">
        <v>445</v>
      </c>
      <c r="G438" s="3" t="s">
        <v>29</v>
      </c>
      <c r="H438" s="3"/>
      <c r="I438" s="3"/>
      <c r="J438" s="32" t="s">
        <v>1993</v>
      </c>
      <c r="K438" s="20">
        <v>1</v>
      </c>
      <c r="N438" s="3" t="s">
        <v>33</v>
      </c>
      <c r="O438" s="129" t="s">
        <v>33</v>
      </c>
      <c r="P438" s="2" t="s">
        <v>472</v>
      </c>
      <c r="R438" s="3" t="s">
        <v>181</v>
      </c>
      <c r="S438" s="3" t="s">
        <v>939</v>
      </c>
      <c r="AB438" s="2" t="s">
        <v>267</v>
      </c>
      <c r="AC438" s="3" t="s">
        <v>2072</v>
      </c>
      <c r="AD438" s="3" t="s">
        <v>108</v>
      </c>
      <c r="AE438" s="1">
        <v>120</v>
      </c>
      <c r="AF438" s="1">
        <f t="shared" si="30"/>
        <v>2</v>
      </c>
    </row>
    <row r="439" spans="1:40" ht="30" x14ac:dyDescent="0.25">
      <c r="A439" s="3">
        <v>438</v>
      </c>
      <c r="B439" s="9" t="s">
        <v>1117</v>
      </c>
      <c r="C439" s="34" t="s">
        <v>27</v>
      </c>
      <c r="D439" s="73" t="s">
        <v>450</v>
      </c>
      <c r="E439" s="9" t="s">
        <v>996</v>
      </c>
      <c r="F439" s="3" t="s">
        <v>445</v>
      </c>
      <c r="G439" s="3" t="s">
        <v>29</v>
      </c>
      <c r="H439" s="3"/>
      <c r="I439" s="3"/>
      <c r="J439" s="32" t="s">
        <v>1993</v>
      </c>
      <c r="K439" s="20">
        <v>1</v>
      </c>
      <c r="N439" s="3" t="s">
        <v>33</v>
      </c>
      <c r="O439" s="129" t="s">
        <v>33</v>
      </c>
      <c r="P439" s="2" t="s">
        <v>472</v>
      </c>
      <c r="R439" s="3" t="s">
        <v>181</v>
      </c>
      <c r="S439" s="3" t="s">
        <v>939</v>
      </c>
      <c r="AB439" s="2" t="s">
        <v>267</v>
      </c>
      <c r="AC439" s="3" t="s">
        <v>2094</v>
      </c>
      <c r="AD439" s="3" t="s">
        <v>108</v>
      </c>
      <c r="AE439" s="1">
        <v>120</v>
      </c>
      <c r="AF439" s="1">
        <f t="shared" si="30"/>
        <v>2</v>
      </c>
    </row>
    <row r="440" spans="1:40" ht="30" x14ac:dyDescent="0.25">
      <c r="A440" s="3">
        <v>439</v>
      </c>
      <c r="B440" s="3" t="s">
        <v>389</v>
      </c>
      <c r="C440" s="3" t="s">
        <v>46</v>
      </c>
      <c r="D440" s="73" t="s">
        <v>450</v>
      </c>
      <c r="E440" s="9" t="s">
        <v>853</v>
      </c>
      <c r="F440" s="3" t="s">
        <v>336</v>
      </c>
      <c r="G440" s="3" t="s">
        <v>47</v>
      </c>
      <c r="H440" s="3" t="s">
        <v>677</v>
      </c>
      <c r="I440" s="3"/>
      <c r="J440" s="20" t="s">
        <v>353</v>
      </c>
      <c r="K440" s="20">
        <v>1</v>
      </c>
      <c r="N440" s="3" t="s">
        <v>33</v>
      </c>
      <c r="O440" s="129" t="s">
        <v>33</v>
      </c>
      <c r="P440" s="2" t="s">
        <v>1063</v>
      </c>
      <c r="R440" s="3" t="s">
        <v>54</v>
      </c>
      <c r="S440" s="73" t="s">
        <v>941</v>
      </c>
      <c r="AB440" s="2" t="s">
        <v>267</v>
      </c>
      <c r="AC440" s="3" t="s">
        <v>2094</v>
      </c>
      <c r="AD440" s="3" t="s">
        <v>108</v>
      </c>
      <c r="AE440" s="1">
        <v>180</v>
      </c>
      <c r="AF440" s="1">
        <f t="shared" si="30"/>
        <v>3</v>
      </c>
    </row>
    <row r="441" spans="1:40" ht="30" x14ac:dyDescent="0.25">
      <c r="A441" s="3">
        <v>440</v>
      </c>
      <c r="B441" s="9" t="s">
        <v>1513</v>
      </c>
      <c r="C441" s="9" t="s">
        <v>46</v>
      </c>
      <c r="D441" s="73" t="s">
        <v>450</v>
      </c>
      <c r="E441" s="9" t="s">
        <v>853</v>
      </c>
      <c r="F441" s="3" t="s">
        <v>336</v>
      </c>
      <c r="G441" s="3" t="s">
        <v>47</v>
      </c>
      <c r="H441" s="3" t="s">
        <v>1454</v>
      </c>
      <c r="I441" s="20"/>
      <c r="J441" s="3" t="s">
        <v>1693</v>
      </c>
      <c r="K441" s="3">
        <v>1</v>
      </c>
      <c r="N441" s="3" t="s">
        <v>33</v>
      </c>
      <c r="O441" s="129" t="s">
        <v>33</v>
      </c>
      <c r="P441" s="2" t="s">
        <v>1063</v>
      </c>
      <c r="R441" s="3" t="s">
        <v>54</v>
      </c>
      <c r="S441" s="73" t="s">
        <v>941</v>
      </c>
      <c r="AB441" s="2" t="s">
        <v>267</v>
      </c>
      <c r="AC441" s="3" t="s">
        <v>2094</v>
      </c>
      <c r="AD441" s="3" t="s">
        <v>108</v>
      </c>
      <c r="AE441" s="1">
        <v>60</v>
      </c>
      <c r="AF441" s="1">
        <f t="shared" si="30"/>
        <v>1</v>
      </c>
      <c r="AN441" s="1" t="s">
        <v>2117</v>
      </c>
    </row>
    <row r="442" spans="1:40" ht="30" x14ac:dyDescent="0.25">
      <c r="A442" s="3">
        <v>441</v>
      </c>
      <c r="B442" s="3" t="s">
        <v>1220</v>
      </c>
      <c r="C442" s="3" t="s">
        <v>46</v>
      </c>
      <c r="D442" s="3" t="s">
        <v>329</v>
      </c>
      <c r="E442" s="3" t="s">
        <v>853</v>
      </c>
      <c r="F442" s="3" t="s">
        <v>28</v>
      </c>
      <c r="G442" s="3" t="s">
        <v>881</v>
      </c>
      <c r="H442" s="3"/>
      <c r="I442" s="3"/>
      <c r="J442" s="38" t="s">
        <v>1221</v>
      </c>
      <c r="K442" s="38">
        <v>1</v>
      </c>
      <c r="N442" s="9" t="s">
        <v>48</v>
      </c>
      <c r="O442" s="9">
        <v>7502</v>
      </c>
      <c r="P442" s="3" t="s">
        <v>495</v>
      </c>
      <c r="Q442" s="3">
        <v>4</v>
      </c>
      <c r="R442" s="3" t="s">
        <v>48</v>
      </c>
      <c r="AB442" s="2" t="s">
        <v>267</v>
      </c>
      <c r="AC442" s="3" t="s">
        <v>2118</v>
      </c>
      <c r="AD442" s="3" t="s">
        <v>108</v>
      </c>
      <c r="AE442" s="1">
        <v>660</v>
      </c>
      <c r="AF442" s="1">
        <f t="shared" si="30"/>
        <v>11</v>
      </c>
    </row>
    <row r="443" spans="1:40" ht="30" x14ac:dyDescent="0.25">
      <c r="A443" s="3">
        <v>442</v>
      </c>
      <c r="B443" s="9" t="s">
        <v>2000</v>
      </c>
      <c r="C443" s="9" t="s">
        <v>27</v>
      </c>
      <c r="D443" s="3" t="s">
        <v>329</v>
      </c>
      <c r="E443" s="9" t="s">
        <v>853</v>
      </c>
      <c r="F443" s="9" t="s">
        <v>28</v>
      </c>
      <c r="G443" s="9" t="s">
        <v>29</v>
      </c>
      <c r="H443" s="9">
        <v>29889</v>
      </c>
      <c r="I443" s="9"/>
      <c r="J443" s="32" t="s">
        <v>2001</v>
      </c>
      <c r="K443" s="32">
        <v>1</v>
      </c>
      <c r="N443" s="9" t="s">
        <v>48</v>
      </c>
      <c r="O443" s="129">
        <v>7501</v>
      </c>
      <c r="P443" s="2" t="s">
        <v>2051</v>
      </c>
      <c r="R443" s="3" t="s">
        <v>48</v>
      </c>
      <c r="S443" s="73" t="s">
        <v>941</v>
      </c>
      <c r="AB443" s="2" t="s">
        <v>267</v>
      </c>
      <c r="AC443" s="3" t="s">
        <v>2118</v>
      </c>
      <c r="AD443" s="3" t="s">
        <v>108</v>
      </c>
      <c r="AE443" s="1">
        <v>480</v>
      </c>
      <c r="AF443" s="1">
        <f t="shared" si="30"/>
        <v>8</v>
      </c>
    </row>
    <row r="444" spans="1:40" ht="30" x14ac:dyDescent="0.25">
      <c r="A444" s="3">
        <v>443</v>
      </c>
      <c r="B444" s="3" t="s">
        <v>2074</v>
      </c>
      <c r="C444" s="9" t="s">
        <v>45</v>
      </c>
      <c r="D444" s="3" t="s">
        <v>329</v>
      </c>
      <c r="E444" s="9" t="s">
        <v>853</v>
      </c>
      <c r="F444" s="73" t="s">
        <v>199</v>
      </c>
      <c r="G444" s="73" t="s">
        <v>47</v>
      </c>
      <c r="H444" s="73"/>
      <c r="I444" s="73"/>
      <c r="J444" s="25" t="s">
        <v>2079</v>
      </c>
      <c r="K444" s="73">
        <v>1</v>
      </c>
      <c r="N444" s="9" t="s">
        <v>48</v>
      </c>
      <c r="O444" s="129">
        <v>7501</v>
      </c>
      <c r="P444" s="2" t="s">
        <v>2080</v>
      </c>
      <c r="R444" s="3" t="s">
        <v>48</v>
      </c>
      <c r="AB444" s="2" t="s">
        <v>267</v>
      </c>
      <c r="AC444" s="3" t="s">
        <v>2118</v>
      </c>
      <c r="AD444" s="3" t="s">
        <v>108</v>
      </c>
      <c r="AE444" s="1">
        <v>180</v>
      </c>
      <c r="AF444" s="1">
        <f t="shared" si="30"/>
        <v>3</v>
      </c>
    </row>
    <row r="445" spans="1:40" ht="30" x14ac:dyDescent="0.25">
      <c r="A445" s="3">
        <v>444</v>
      </c>
      <c r="B445" s="9" t="s">
        <v>1513</v>
      </c>
      <c r="C445" s="9" t="s">
        <v>46</v>
      </c>
      <c r="D445" s="73" t="s">
        <v>172</v>
      </c>
      <c r="E445" s="9" t="s">
        <v>853</v>
      </c>
      <c r="F445" s="3" t="s">
        <v>336</v>
      </c>
      <c r="G445" s="3" t="s">
        <v>47</v>
      </c>
      <c r="H445" s="3" t="s">
        <v>1454</v>
      </c>
      <c r="I445" s="20"/>
      <c r="J445" s="3" t="s">
        <v>1693</v>
      </c>
      <c r="K445" s="3">
        <v>1</v>
      </c>
      <c r="N445" s="3" t="s">
        <v>133</v>
      </c>
      <c r="O445" s="129">
        <v>7401</v>
      </c>
      <c r="P445" s="2" t="s">
        <v>1063</v>
      </c>
      <c r="R445" s="3" t="s">
        <v>2119</v>
      </c>
      <c r="S445" s="73" t="s">
        <v>941</v>
      </c>
      <c r="AB445" s="2" t="s">
        <v>267</v>
      </c>
      <c r="AC445" s="3" t="s">
        <v>2118</v>
      </c>
      <c r="AD445" s="3" t="s">
        <v>108</v>
      </c>
      <c r="AE445" s="1">
        <v>120</v>
      </c>
      <c r="AF445" s="1">
        <f t="shared" si="30"/>
        <v>2</v>
      </c>
    </row>
    <row r="446" spans="1:40" ht="30" x14ac:dyDescent="0.25">
      <c r="A446" s="3">
        <v>445</v>
      </c>
      <c r="B446" s="9" t="s">
        <v>1513</v>
      </c>
      <c r="C446" s="9" t="s">
        <v>46</v>
      </c>
      <c r="D446" s="73" t="s">
        <v>172</v>
      </c>
      <c r="E446" s="9" t="s">
        <v>853</v>
      </c>
      <c r="F446" s="3" t="s">
        <v>336</v>
      </c>
      <c r="G446" s="3" t="s">
        <v>47</v>
      </c>
      <c r="H446" s="3" t="s">
        <v>1454</v>
      </c>
      <c r="I446" s="20"/>
      <c r="J446" s="3" t="s">
        <v>1693</v>
      </c>
      <c r="K446" s="3">
        <v>1</v>
      </c>
      <c r="N446" s="3" t="s">
        <v>33</v>
      </c>
      <c r="O446" s="129" t="s">
        <v>33</v>
      </c>
      <c r="P446" s="2" t="s">
        <v>1063</v>
      </c>
      <c r="R446" s="3" t="s">
        <v>54</v>
      </c>
      <c r="S446" s="73"/>
      <c r="AB446" s="2" t="s">
        <v>267</v>
      </c>
      <c r="AC446" s="3" t="s">
        <v>2118</v>
      </c>
      <c r="AD446" s="3" t="s">
        <v>108</v>
      </c>
      <c r="AE446" s="1">
        <v>120</v>
      </c>
      <c r="AF446" s="1">
        <f t="shared" si="30"/>
        <v>2</v>
      </c>
    </row>
    <row r="447" spans="1:40" ht="30" x14ac:dyDescent="0.25">
      <c r="A447" s="3">
        <v>446</v>
      </c>
      <c r="B447" s="3" t="s">
        <v>2096</v>
      </c>
      <c r="C447" s="3" t="s">
        <v>46</v>
      </c>
      <c r="D447" s="73" t="s">
        <v>172</v>
      </c>
      <c r="E447" s="73" t="s">
        <v>853</v>
      </c>
      <c r="F447" s="73" t="s">
        <v>336</v>
      </c>
      <c r="G447" s="73" t="s">
        <v>47</v>
      </c>
      <c r="H447" s="73">
        <v>29847</v>
      </c>
      <c r="I447" s="73"/>
      <c r="J447" s="25" t="s">
        <v>2097</v>
      </c>
      <c r="K447" s="73">
        <v>1</v>
      </c>
      <c r="N447" s="3" t="s">
        <v>33</v>
      </c>
      <c r="O447" s="129" t="s">
        <v>33</v>
      </c>
      <c r="P447" s="2" t="s">
        <v>1063</v>
      </c>
      <c r="R447" s="3" t="s">
        <v>54</v>
      </c>
      <c r="S447" s="73" t="s">
        <v>941</v>
      </c>
      <c r="AB447" s="2" t="s">
        <v>267</v>
      </c>
      <c r="AC447" s="3" t="s">
        <v>2118</v>
      </c>
      <c r="AD447" s="3" t="s">
        <v>108</v>
      </c>
      <c r="AE447" s="1">
        <v>240</v>
      </c>
      <c r="AF447" s="1">
        <f t="shared" si="30"/>
        <v>4</v>
      </c>
      <c r="AN447" s="1" t="s">
        <v>2118</v>
      </c>
    </row>
    <row r="448" spans="1:40" ht="30" x14ac:dyDescent="0.25">
      <c r="A448" s="3">
        <v>447</v>
      </c>
      <c r="B448" s="3" t="s">
        <v>1681</v>
      </c>
      <c r="C448" s="3" t="s">
        <v>46</v>
      </c>
      <c r="D448" s="73" t="s">
        <v>172</v>
      </c>
      <c r="E448" s="3" t="s">
        <v>853</v>
      </c>
      <c r="F448" s="3" t="s">
        <v>336</v>
      </c>
      <c r="G448" s="3" t="s">
        <v>47</v>
      </c>
      <c r="H448" s="9" t="s">
        <v>1454</v>
      </c>
      <c r="I448" s="31"/>
      <c r="J448" s="3" t="s">
        <v>353</v>
      </c>
      <c r="K448" s="3">
        <v>1</v>
      </c>
      <c r="N448" s="3" t="s">
        <v>33</v>
      </c>
      <c r="O448" s="129" t="s">
        <v>33</v>
      </c>
      <c r="P448" s="2" t="s">
        <v>472</v>
      </c>
      <c r="R448" s="3" t="s">
        <v>1817</v>
      </c>
      <c r="S448" s="3" t="s">
        <v>939</v>
      </c>
      <c r="AB448" s="2" t="s">
        <v>267</v>
      </c>
      <c r="AC448" s="3" t="s">
        <v>2118</v>
      </c>
      <c r="AD448" s="3" t="s">
        <v>108</v>
      </c>
      <c r="AE448" s="1">
        <v>120</v>
      </c>
      <c r="AF448" s="1">
        <f t="shared" si="30"/>
        <v>2</v>
      </c>
      <c r="AN448" s="1" t="s">
        <v>2118</v>
      </c>
    </row>
    <row r="449" spans="1:40" ht="30" x14ac:dyDescent="0.25">
      <c r="A449" s="3">
        <v>448</v>
      </c>
      <c r="B449" s="3" t="s">
        <v>485</v>
      </c>
      <c r="C449" s="3" t="s">
        <v>62</v>
      </c>
      <c r="D449" s="73" t="s">
        <v>172</v>
      </c>
      <c r="E449" s="73" t="s">
        <v>853</v>
      </c>
      <c r="F449" s="73" t="s">
        <v>221</v>
      </c>
      <c r="G449" s="73" t="s">
        <v>47</v>
      </c>
      <c r="H449" s="73"/>
      <c r="I449" s="73"/>
      <c r="J449" s="25" t="s">
        <v>1536</v>
      </c>
      <c r="K449" s="73">
        <v>1</v>
      </c>
      <c r="L449" s="3" t="s">
        <v>139</v>
      </c>
      <c r="N449" s="3" t="s">
        <v>133</v>
      </c>
      <c r="O449" s="129">
        <v>7401</v>
      </c>
      <c r="P449" s="2" t="s">
        <v>155</v>
      </c>
      <c r="R449" s="3" t="s">
        <v>1812</v>
      </c>
      <c r="S449" s="3" t="s">
        <v>939</v>
      </c>
      <c r="AB449" s="2" t="s">
        <v>267</v>
      </c>
      <c r="AC449" s="3" t="s">
        <v>2118</v>
      </c>
      <c r="AD449" s="3" t="s">
        <v>108</v>
      </c>
      <c r="AE449" s="1">
        <v>60</v>
      </c>
      <c r="AF449" s="1">
        <f t="shared" si="30"/>
        <v>1</v>
      </c>
    </row>
    <row r="450" spans="1:40" ht="30" x14ac:dyDescent="0.25">
      <c r="A450" s="3">
        <v>449</v>
      </c>
      <c r="B450" s="9" t="s">
        <v>1513</v>
      </c>
      <c r="C450" s="9" t="s">
        <v>46</v>
      </c>
      <c r="D450" s="73" t="s">
        <v>172</v>
      </c>
      <c r="E450" s="9" t="s">
        <v>853</v>
      </c>
      <c r="F450" s="3" t="s">
        <v>336</v>
      </c>
      <c r="G450" s="3" t="s">
        <v>47</v>
      </c>
      <c r="H450" s="3" t="s">
        <v>1454</v>
      </c>
      <c r="I450" s="20"/>
      <c r="J450" s="3" t="s">
        <v>1693</v>
      </c>
      <c r="K450" s="3">
        <v>1</v>
      </c>
      <c r="N450" s="3" t="s">
        <v>33</v>
      </c>
      <c r="O450" s="129" t="s">
        <v>33</v>
      </c>
      <c r="P450" s="2" t="s">
        <v>1063</v>
      </c>
      <c r="R450" s="3" t="s">
        <v>54</v>
      </c>
      <c r="AB450" s="2" t="s">
        <v>267</v>
      </c>
      <c r="AC450" s="3" t="s">
        <v>2117</v>
      </c>
      <c r="AD450" s="3" t="s">
        <v>108</v>
      </c>
      <c r="AE450" s="1">
        <v>240</v>
      </c>
      <c r="AF450" s="1">
        <f t="shared" si="30"/>
        <v>4</v>
      </c>
    </row>
    <row r="451" spans="1:40" ht="30" x14ac:dyDescent="0.25">
      <c r="A451" s="3">
        <v>450</v>
      </c>
      <c r="B451" s="3" t="s">
        <v>2120</v>
      </c>
      <c r="C451" s="3" t="s">
        <v>46</v>
      </c>
      <c r="D451" s="19" t="s">
        <v>172</v>
      </c>
      <c r="E451" s="19" t="s">
        <v>853</v>
      </c>
      <c r="F451" s="25" t="s">
        <v>336</v>
      </c>
      <c r="G451" s="3" t="s">
        <v>47</v>
      </c>
      <c r="H451" s="19" t="s">
        <v>2121</v>
      </c>
      <c r="I451" s="19">
        <v>1002</v>
      </c>
      <c r="J451" s="25" t="s">
        <v>1843</v>
      </c>
      <c r="K451" s="19">
        <v>16</v>
      </c>
      <c r="L451" s="3" t="s">
        <v>336</v>
      </c>
      <c r="N451" s="3" t="s">
        <v>33</v>
      </c>
      <c r="O451" s="129" t="s">
        <v>137</v>
      </c>
      <c r="P451" s="2" t="s">
        <v>1063</v>
      </c>
      <c r="R451" s="3" t="s">
        <v>1153</v>
      </c>
      <c r="S451" s="3" t="s">
        <v>939</v>
      </c>
      <c r="AB451" s="2" t="s">
        <v>267</v>
      </c>
      <c r="AC451" s="3" t="s">
        <v>2117</v>
      </c>
      <c r="AD451" s="3" t="s">
        <v>108</v>
      </c>
      <c r="AE451" s="1">
        <v>180</v>
      </c>
      <c r="AF451" s="1">
        <f t="shared" si="30"/>
        <v>3</v>
      </c>
      <c r="AN451" s="1" t="s">
        <v>2122</v>
      </c>
    </row>
    <row r="452" spans="1:40" ht="30" x14ac:dyDescent="0.25">
      <c r="A452" s="3">
        <v>451</v>
      </c>
      <c r="B452" s="3" t="s">
        <v>2123</v>
      </c>
      <c r="C452" s="3" t="s">
        <v>62</v>
      </c>
      <c r="D452" s="19" t="s">
        <v>172</v>
      </c>
      <c r="E452" s="19" t="s">
        <v>853</v>
      </c>
      <c r="F452" s="25" t="s">
        <v>221</v>
      </c>
      <c r="G452" s="19" t="s">
        <v>29</v>
      </c>
      <c r="J452" s="25" t="s">
        <v>2124</v>
      </c>
      <c r="K452" s="19">
        <v>1</v>
      </c>
      <c r="L452" s="3" t="s">
        <v>139</v>
      </c>
      <c r="N452" s="3" t="s">
        <v>133</v>
      </c>
      <c r="O452" s="129">
        <v>7401</v>
      </c>
      <c r="P452" s="2" t="s">
        <v>158</v>
      </c>
      <c r="R452" s="3" t="s">
        <v>1812</v>
      </c>
      <c r="S452" s="3" t="s">
        <v>939</v>
      </c>
      <c r="AB452" s="2" t="s">
        <v>267</v>
      </c>
      <c r="AC452" s="3" t="s">
        <v>2117</v>
      </c>
      <c r="AD452" s="3" t="s">
        <v>108</v>
      </c>
      <c r="AE452" s="1">
        <v>30</v>
      </c>
      <c r="AF452" s="1">
        <f t="shared" si="30"/>
        <v>0.5</v>
      </c>
    </row>
    <row r="453" spans="1:40" ht="30" x14ac:dyDescent="0.25">
      <c r="A453" s="3">
        <v>452</v>
      </c>
      <c r="B453" s="3" t="s">
        <v>1766</v>
      </c>
      <c r="C453" s="3" t="s">
        <v>27</v>
      </c>
      <c r="D453" s="73" t="s">
        <v>172</v>
      </c>
      <c r="E453" s="3" t="s">
        <v>853</v>
      </c>
      <c r="F453" s="3" t="s">
        <v>199</v>
      </c>
      <c r="G453" s="3" t="s">
        <v>29</v>
      </c>
      <c r="H453" s="3">
        <v>29935</v>
      </c>
      <c r="I453" s="121" t="s">
        <v>1392</v>
      </c>
      <c r="J453" s="3" t="s">
        <v>1393</v>
      </c>
      <c r="K453" s="3">
        <v>1</v>
      </c>
      <c r="L453" s="9" t="s">
        <v>193</v>
      </c>
      <c r="N453" s="3" t="s">
        <v>133</v>
      </c>
      <c r="O453" s="129">
        <v>7401</v>
      </c>
      <c r="P453" s="2" t="s">
        <v>2125</v>
      </c>
      <c r="R453" s="3" t="s">
        <v>1812</v>
      </c>
      <c r="AB453" s="2" t="s">
        <v>267</v>
      </c>
      <c r="AC453" s="3" t="s">
        <v>2117</v>
      </c>
      <c r="AD453" s="3" t="s">
        <v>108</v>
      </c>
      <c r="AE453" s="1">
        <v>210</v>
      </c>
      <c r="AF453" s="1">
        <f t="shared" si="30"/>
        <v>3.5</v>
      </c>
    </row>
    <row r="454" spans="1:40" ht="30" x14ac:dyDescent="0.25">
      <c r="A454" s="3">
        <v>453</v>
      </c>
      <c r="B454" s="3" t="s">
        <v>2103</v>
      </c>
      <c r="C454" s="3" t="s">
        <v>27</v>
      </c>
      <c r="D454" s="73" t="s">
        <v>172</v>
      </c>
      <c r="E454" s="73" t="s">
        <v>853</v>
      </c>
      <c r="F454" s="73" t="s">
        <v>118</v>
      </c>
      <c r="G454" s="73" t="s">
        <v>29</v>
      </c>
      <c r="H454" s="73"/>
      <c r="J454" s="25" t="s">
        <v>2126</v>
      </c>
      <c r="K454" s="19">
        <v>1</v>
      </c>
      <c r="N454" s="3" t="s">
        <v>133</v>
      </c>
      <c r="O454" s="129">
        <v>7401</v>
      </c>
      <c r="P454" s="2" t="s">
        <v>472</v>
      </c>
      <c r="R454" s="3" t="s">
        <v>1812</v>
      </c>
      <c r="AB454" s="2" t="s">
        <v>267</v>
      </c>
      <c r="AC454" s="3" t="s">
        <v>2122</v>
      </c>
      <c r="AD454" s="3" t="s">
        <v>108</v>
      </c>
      <c r="AE454" s="1">
        <v>180</v>
      </c>
      <c r="AF454" s="1">
        <f t="shared" si="30"/>
        <v>3</v>
      </c>
    </row>
    <row r="455" spans="1:40" ht="45" x14ac:dyDescent="0.25">
      <c r="A455" s="3">
        <v>454</v>
      </c>
      <c r="B455" s="3" t="s">
        <v>1174</v>
      </c>
      <c r="C455" s="3" t="s">
        <v>46</v>
      </c>
      <c r="D455" s="73" t="s">
        <v>172</v>
      </c>
      <c r="E455" s="19" t="s">
        <v>853</v>
      </c>
      <c r="F455" s="25" t="s">
        <v>118</v>
      </c>
      <c r="G455" s="19" t="s">
        <v>29</v>
      </c>
      <c r="I455" s="19">
        <v>1718</v>
      </c>
      <c r="J455" s="25" t="s">
        <v>1980</v>
      </c>
      <c r="K455" s="19">
        <v>1</v>
      </c>
      <c r="L455" s="3" t="s">
        <v>126</v>
      </c>
      <c r="M455" s="3">
        <v>6003</v>
      </c>
      <c r="N455" s="3" t="s">
        <v>33</v>
      </c>
      <c r="O455" s="129" t="s">
        <v>137</v>
      </c>
      <c r="P455" s="2" t="s">
        <v>472</v>
      </c>
      <c r="R455" s="3" t="s">
        <v>102</v>
      </c>
      <c r="AB455" s="2" t="s">
        <v>267</v>
      </c>
      <c r="AC455" s="3" t="s">
        <v>2122</v>
      </c>
      <c r="AD455" s="3" t="s">
        <v>108</v>
      </c>
      <c r="AE455" s="1">
        <v>90</v>
      </c>
      <c r="AF455" s="1">
        <f t="shared" si="30"/>
        <v>1.5</v>
      </c>
    </row>
    <row r="456" spans="1:40" ht="30" x14ac:dyDescent="0.25">
      <c r="A456" s="3">
        <v>455</v>
      </c>
      <c r="B456" s="9" t="s">
        <v>1769</v>
      </c>
      <c r="C456" s="9" t="s">
        <v>46</v>
      </c>
      <c r="D456" s="73" t="s">
        <v>172</v>
      </c>
      <c r="E456" s="9" t="s">
        <v>853</v>
      </c>
      <c r="F456" s="9" t="s">
        <v>336</v>
      </c>
      <c r="G456" s="9" t="s">
        <v>47</v>
      </c>
      <c r="H456" s="9" t="s">
        <v>1770</v>
      </c>
      <c r="I456" s="31"/>
      <c r="J456" s="3" t="s">
        <v>1804</v>
      </c>
      <c r="K456" s="3">
        <v>1</v>
      </c>
      <c r="L456" s="3" t="s">
        <v>336</v>
      </c>
      <c r="N456" s="3" t="s">
        <v>133</v>
      </c>
      <c r="O456" s="129">
        <v>7401</v>
      </c>
      <c r="P456" s="2" t="s">
        <v>472</v>
      </c>
      <c r="R456" s="3" t="s">
        <v>1812</v>
      </c>
      <c r="AB456" s="2" t="s">
        <v>267</v>
      </c>
      <c r="AC456" s="3" t="s">
        <v>2122</v>
      </c>
      <c r="AD456" s="3" t="s">
        <v>108</v>
      </c>
      <c r="AE456" s="1">
        <v>180</v>
      </c>
      <c r="AF456" s="1">
        <f t="shared" si="30"/>
        <v>3</v>
      </c>
    </row>
    <row r="457" spans="1:40" ht="30" x14ac:dyDescent="0.25">
      <c r="A457" s="3">
        <v>456</v>
      </c>
      <c r="B457" s="3" t="s">
        <v>365</v>
      </c>
      <c r="C457" s="3" t="s">
        <v>46</v>
      </c>
      <c r="D457" s="19" t="s">
        <v>172</v>
      </c>
      <c r="E457" s="19" t="s">
        <v>853</v>
      </c>
      <c r="F457" s="25" t="s">
        <v>336</v>
      </c>
      <c r="G457" s="73" t="s">
        <v>29</v>
      </c>
      <c r="J457" s="25" t="s">
        <v>2129</v>
      </c>
      <c r="K457" s="19">
        <v>1</v>
      </c>
      <c r="N457" s="3" t="s">
        <v>33</v>
      </c>
      <c r="O457" s="129" t="s">
        <v>137</v>
      </c>
      <c r="P457" s="2" t="s">
        <v>472</v>
      </c>
      <c r="R457" s="3" t="s">
        <v>2130</v>
      </c>
      <c r="AB457" s="2" t="s">
        <v>267</v>
      </c>
      <c r="AC457" s="3" t="s">
        <v>2122</v>
      </c>
      <c r="AD457" s="3" t="s">
        <v>108</v>
      </c>
      <c r="AE457" s="1">
        <v>180</v>
      </c>
      <c r="AF457" s="1">
        <f t="shared" si="30"/>
        <v>3</v>
      </c>
    </row>
    <row r="458" spans="1:40" ht="30" x14ac:dyDescent="0.25">
      <c r="A458" s="3">
        <v>457</v>
      </c>
      <c r="B458" s="3" t="s">
        <v>1766</v>
      </c>
      <c r="C458" s="3" t="s">
        <v>27</v>
      </c>
      <c r="D458" s="73" t="s">
        <v>172</v>
      </c>
      <c r="E458" s="3" t="s">
        <v>853</v>
      </c>
      <c r="F458" s="3" t="s">
        <v>199</v>
      </c>
      <c r="G458" s="3" t="s">
        <v>29</v>
      </c>
      <c r="H458" s="3">
        <v>29935</v>
      </c>
      <c r="I458" s="121" t="s">
        <v>1392</v>
      </c>
      <c r="J458" s="3" t="s">
        <v>1393</v>
      </c>
      <c r="K458" s="3">
        <v>1</v>
      </c>
      <c r="L458" s="9" t="s">
        <v>193</v>
      </c>
      <c r="N458" s="3" t="s">
        <v>133</v>
      </c>
      <c r="O458" s="129">
        <v>7401</v>
      </c>
      <c r="P458" s="2" t="s">
        <v>2125</v>
      </c>
      <c r="R458" s="3" t="s">
        <v>1812</v>
      </c>
      <c r="S458" s="3" t="s">
        <v>939</v>
      </c>
      <c r="AB458" s="2" t="s">
        <v>267</v>
      </c>
      <c r="AC458" s="3" t="s">
        <v>2122</v>
      </c>
      <c r="AD458" s="3" t="s">
        <v>108</v>
      </c>
      <c r="AE458" s="1">
        <v>30</v>
      </c>
      <c r="AF458" s="1">
        <f t="shared" si="30"/>
        <v>0.5</v>
      </c>
    </row>
    <row r="459" spans="1:40" ht="30" x14ac:dyDescent="0.25">
      <c r="A459" s="3">
        <v>458</v>
      </c>
      <c r="B459" s="9" t="s">
        <v>2000</v>
      </c>
      <c r="C459" s="9" t="s">
        <v>27</v>
      </c>
      <c r="D459" s="3" t="s">
        <v>450</v>
      </c>
      <c r="E459" s="9" t="s">
        <v>853</v>
      </c>
      <c r="F459" s="9" t="s">
        <v>28</v>
      </c>
      <c r="G459" s="9" t="s">
        <v>29</v>
      </c>
      <c r="H459" s="9">
        <v>29889</v>
      </c>
      <c r="I459" s="9"/>
      <c r="J459" s="32" t="s">
        <v>2001</v>
      </c>
      <c r="K459" s="32">
        <v>1</v>
      </c>
      <c r="N459" s="3" t="s">
        <v>35</v>
      </c>
      <c r="O459" s="129">
        <v>7101</v>
      </c>
      <c r="P459" s="2" t="s">
        <v>1924</v>
      </c>
      <c r="R459" s="3" t="s">
        <v>36</v>
      </c>
      <c r="S459" s="3" t="s">
        <v>939</v>
      </c>
      <c r="AB459" s="2" t="s">
        <v>267</v>
      </c>
      <c r="AC459" s="3" t="s">
        <v>2118</v>
      </c>
      <c r="AD459" s="3" t="s">
        <v>108</v>
      </c>
      <c r="AE459" s="1">
        <v>660</v>
      </c>
      <c r="AF459" s="1">
        <f t="shared" si="30"/>
        <v>11</v>
      </c>
    </row>
    <row r="460" spans="1:40" ht="30" x14ac:dyDescent="0.25">
      <c r="A460" s="3">
        <v>459</v>
      </c>
      <c r="B460" s="3" t="s">
        <v>1746</v>
      </c>
      <c r="C460" s="3" t="s">
        <v>62</v>
      </c>
      <c r="D460" s="19" t="s">
        <v>450</v>
      </c>
      <c r="E460" s="19" t="s">
        <v>853</v>
      </c>
      <c r="F460" s="25" t="s">
        <v>221</v>
      </c>
      <c r="G460" s="19" t="s">
        <v>29</v>
      </c>
      <c r="J460" s="25" t="s">
        <v>2131</v>
      </c>
      <c r="K460" s="19">
        <v>1</v>
      </c>
      <c r="N460" s="3" t="s">
        <v>35</v>
      </c>
      <c r="O460" s="129">
        <v>7101</v>
      </c>
      <c r="P460" s="2" t="s">
        <v>155</v>
      </c>
      <c r="R460" s="3" t="s">
        <v>2132</v>
      </c>
      <c r="S460" s="3" t="s">
        <v>939</v>
      </c>
      <c r="AB460" s="2" t="s">
        <v>267</v>
      </c>
      <c r="AC460" s="3" t="s">
        <v>2117</v>
      </c>
      <c r="AD460" s="3" t="s">
        <v>108</v>
      </c>
      <c r="AE460" s="1">
        <v>120</v>
      </c>
      <c r="AF460" s="1">
        <f t="shared" si="30"/>
        <v>2</v>
      </c>
    </row>
    <row r="461" spans="1:40" ht="30" x14ac:dyDescent="0.25">
      <c r="A461" s="3">
        <v>460</v>
      </c>
      <c r="B461" s="3" t="s">
        <v>217</v>
      </c>
      <c r="C461" s="3" t="s">
        <v>45</v>
      </c>
      <c r="D461" s="19" t="s">
        <v>450</v>
      </c>
      <c r="E461" s="19" t="s">
        <v>996</v>
      </c>
      <c r="F461" s="25" t="s">
        <v>1782</v>
      </c>
      <c r="G461" s="19" t="s">
        <v>1782</v>
      </c>
      <c r="J461" s="25" t="s">
        <v>2133</v>
      </c>
      <c r="K461" s="19">
        <v>1</v>
      </c>
      <c r="N461" s="3" t="s">
        <v>35</v>
      </c>
      <c r="O461" s="129">
        <v>7101</v>
      </c>
      <c r="P461" s="2" t="s">
        <v>155</v>
      </c>
      <c r="R461" s="3" t="s">
        <v>105</v>
      </c>
      <c r="S461" s="3" t="s">
        <v>939</v>
      </c>
      <c r="AB461" s="2" t="s">
        <v>267</v>
      </c>
      <c r="AC461" s="3" t="s">
        <v>2117</v>
      </c>
      <c r="AD461" s="3" t="s">
        <v>108</v>
      </c>
      <c r="AE461" s="1">
        <v>120</v>
      </c>
      <c r="AF461" s="1">
        <f t="shared" si="30"/>
        <v>2</v>
      </c>
    </row>
    <row r="462" spans="1:40" ht="30" x14ac:dyDescent="0.25">
      <c r="A462" s="3">
        <v>461</v>
      </c>
      <c r="B462" s="9" t="s">
        <v>335</v>
      </c>
      <c r="C462" s="9" t="s">
        <v>46</v>
      </c>
      <c r="D462" s="73" t="s">
        <v>450</v>
      </c>
      <c r="E462" s="9" t="s">
        <v>853</v>
      </c>
      <c r="F462" s="9" t="s">
        <v>336</v>
      </c>
      <c r="G462" s="9" t="s">
        <v>47</v>
      </c>
      <c r="H462" s="9" t="s">
        <v>2134</v>
      </c>
      <c r="I462" s="9">
        <v>1001</v>
      </c>
      <c r="J462" s="32" t="s">
        <v>1843</v>
      </c>
      <c r="K462" s="3">
        <v>16</v>
      </c>
      <c r="L462" s="3" t="s">
        <v>336</v>
      </c>
      <c r="N462" s="3" t="s">
        <v>33</v>
      </c>
      <c r="O462" s="129" t="s">
        <v>137</v>
      </c>
      <c r="P462" s="2" t="s">
        <v>472</v>
      </c>
      <c r="R462" s="3" t="s">
        <v>102</v>
      </c>
      <c r="S462" s="3" t="s">
        <v>939</v>
      </c>
      <c r="AB462" s="2" t="s">
        <v>267</v>
      </c>
      <c r="AC462" s="3" t="s">
        <v>2117</v>
      </c>
      <c r="AD462" s="3" t="s">
        <v>108</v>
      </c>
      <c r="AE462" s="1">
        <v>240</v>
      </c>
      <c r="AF462" s="1">
        <f t="shared" si="30"/>
        <v>4</v>
      </c>
    </row>
    <row r="463" spans="1:40" ht="30" x14ac:dyDescent="0.25">
      <c r="A463" s="3">
        <v>462</v>
      </c>
      <c r="B463" s="3" t="s">
        <v>2120</v>
      </c>
      <c r="C463" s="3" t="s">
        <v>46</v>
      </c>
      <c r="D463" s="73" t="s">
        <v>450</v>
      </c>
      <c r="E463" s="73" t="s">
        <v>853</v>
      </c>
      <c r="F463" s="25" t="s">
        <v>336</v>
      </c>
      <c r="G463" s="3" t="s">
        <v>47</v>
      </c>
      <c r="H463" s="73" t="s">
        <v>2121</v>
      </c>
      <c r="I463" s="73">
        <v>1002</v>
      </c>
      <c r="J463" s="25" t="s">
        <v>1843</v>
      </c>
      <c r="K463" s="73">
        <v>16</v>
      </c>
      <c r="L463" s="3" t="s">
        <v>336</v>
      </c>
      <c r="N463" s="3" t="s">
        <v>33</v>
      </c>
      <c r="O463" s="129" t="s">
        <v>137</v>
      </c>
      <c r="P463" s="2" t="s">
        <v>1063</v>
      </c>
      <c r="R463" s="3" t="s">
        <v>1153</v>
      </c>
      <c r="S463" s="3" t="s">
        <v>939</v>
      </c>
      <c r="AB463" s="2" t="s">
        <v>267</v>
      </c>
      <c r="AC463" s="3" t="s">
        <v>2122</v>
      </c>
      <c r="AD463" s="3" t="s">
        <v>108</v>
      </c>
      <c r="AE463" s="1">
        <v>180</v>
      </c>
      <c r="AF463" s="1">
        <f t="shared" si="30"/>
        <v>3</v>
      </c>
    </row>
    <row r="464" spans="1:40" ht="45" x14ac:dyDescent="0.25">
      <c r="A464" s="3">
        <v>463</v>
      </c>
      <c r="B464" s="3" t="s">
        <v>365</v>
      </c>
      <c r="C464" s="3" t="s">
        <v>46</v>
      </c>
      <c r="D464" s="73" t="s">
        <v>450</v>
      </c>
      <c r="E464" s="73" t="s">
        <v>853</v>
      </c>
      <c r="F464" s="25" t="s">
        <v>336</v>
      </c>
      <c r="G464" s="73" t="s">
        <v>29</v>
      </c>
      <c r="H464" s="73"/>
      <c r="I464" s="73"/>
      <c r="J464" s="25" t="s">
        <v>2135</v>
      </c>
      <c r="K464" s="73">
        <v>1</v>
      </c>
      <c r="N464" s="3" t="s">
        <v>33</v>
      </c>
      <c r="O464" s="129" t="s">
        <v>137</v>
      </c>
      <c r="P464" s="2" t="s">
        <v>472</v>
      </c>
      <c r="R464" s="3" t="s">
        <v>2130</v>
      </c>
      <c r="AB464" s="2" t="s">
        <v>267</v>
      </c>
      <c r="AC464" s="3" t="s">
        <v>2122</v>
      </c>
      <c r="AD464" s="3" t="s">
        <v>108</v>
      </c>
      <c r="AE464" s="1">
        <v>240</v>
      </c>
      <c r="AF464" s="1">
        <f t="shared" si="30"/>
        <v>4</v>
      </c>
    </row>
    <row r="465" spans="1:40" ht="30" x14ac:dyDescent="0.25">
      <c r="A465" s="3">
        <v>464</v>
      </c>
      <c r="B465" s="9" t="s">
        <v>1888</v>
      </c>
      <c r="C465" s="34" t="s">
        <v>27</v>
      </c>
      <c r="D465" s="73" t="s">
        <v>450</v>
      </c>
      <c r="E465" s="9" t="s">
        <v>853</v>
      </c>
      <c r="F465" s="3" t="s">
        <v>28</v>
      </c>
      <c r="G465" s="3" t="s">
        <v>29</v>
      </c>
      <c r="H465" s="9"/>
      <c r="I465" s="34" t="s">
        <v>375</v>
      </c>
      <c r="J465" s="3" t="s">
        <v>2019</v>
      </c>
      <c r="K465" s="3">
        <v>1</v>
      </c>
      <c r="N465" s="3" t="s">
        <v>33</v>
      </c>
      <c r="O465" s="129" t="s">
        <v>137</v>
      </c>
      <c r="P465" s="2" t="s">
        <v>472</v>
      </c>
      <c r="R465" s="3" t="s">
        <v>102</v>
      </c>
      <c r="AB465" s="2" t="s">
        <v>267</v>
      </c>
      <c r="AC465" s="3" t="s">
        <v>2122</v>
      </c>
      <c r="AD465" s="3" t="s">
        <v>108</v>
      </c>
      <c r="AE465" s="1">
        <v>120</v>
      </c>
      <c r="AF465" s="1">
        <f t="shared" si="30"/>
        <v>2</v>
      </c>
    </row>
    <row r="466" spans="1:40" ht="30" x14ac:dyDescent="0.25">
      <c r="A466" s="3">
        <v>465</v>
      </c>
      <c r="B466" s="9" t="s">
        <v>2000</v>
      </c>
      <c r="C466" s="9" t="s">
        <v>27</v>
      </c>
      <c r="D466" s="73" t="s">
        <v>400</v>
      </c>
      <c r="E466" s="9" t="s">
        <v>853</v>
      </c>
      <c r="F466" s="9" t="s">
        <v>28</v>
      </c>
      <c r="G466" s="9" t="s">
        <v>29</v>
      </c>
      <c r="H466" s="9">
        <v>29889</v>
      </c>
      <c r="I466" s="9"/>
      <c r="J466" s="32" t="s">
        <v>2001</v>
      </c>
      <c r="K466" s="32">
        <v>1</v>
      </c>
      <c r="N466" s="3" t="s">
        <v>33</v>
      </c>
      <c r="O466" s="129" t="s">
        <v>33</v>
      </c>
      <c r="P466" s="2" t="s">
        <v>2051</v>
      </c>
      <c r="R466" s="3" t="s">
        <v>200</v>
      </c>
      <c r="S466" s="3" t="s">
        <v>939</v>
      </c>
      <c r="AB466" s="2" t="s">
        <v>267</v>
      </c>
      <c r="AC466" s="3" t="s">
        <v>2118</v>
      </c>
      <c r="AD466" s="3" t="s">
        <v>108</v>
      </c>
      <c r="AE466" s="1">
        <v>180</v>
      </c>
      <c r="AF466" s="1">
        <f t="shared" si="30"/>
        <v>3</v>
      </c>
    </row>
    <row r="467" spans="1:40" ht="30" x14ac:dyDescent="0.25">
      <c r="A467" s="3">
        <v>466</v>
      </c>
      <c r="B467" s="9" t="s">
        <v>1513</v>
      </c>
      <c r="C467" s="9" t="s">
        <v>46</v>
      </c>
      <c r="D467" s="73" t="s">
        <v>400</v>
      </c>
      <c r="E467" s="9" t="s">
        <v>853</v>
      </c>
      <c r="F467" s="3" t="s">
        <v>336</v>
      </c>
      <c r="G467" s="3" t="s">
        <v>47</v>
      </c>
      <c r="H467" s="3" t="s">
        <v>1454</v>
      </c>
      <c r="I467" s="20"/>
      <c r="J467" s="3" t="s">
        <v>1693</v>
      </c>
      <c r="K467" s="3">
        <v>1</v>
      </c>
      <c r="N467" s="3" t="s">
        <v>33</v>
      </c>
      <c r="O467" s="129" t="s">
        <v>33</v>
      </c>
      <c r="P467" s="2" t="s">
        <v>1063</v>
      </c>
      <c r="R467" s="3" t="s">
        <v>54</v>
      </c>
      <c r="AB467" s="2" t="s">
        <v>267</v>
      </c>
      <c r="AC467" s="3" t="s">
        <v>2118</v>
      </c>
      <c r="AD467" s="3" t="s">
        <v>108</v>
      </c>
      <c r="AE467" s="1">
        <v>120</v>
      </c>
      <c r="AF467" s="1">
        <f t="shared" si="30"/>
        <v>2</v>
      </c>
    </row>
    <row r="468" spans="1:40" ht="30" x14ac:dyDescent="0.25">
      <c r="A468" s="3">
        <v>467</v>
      </c>
      <c r="B468" s="3" t="s">
        <v>2096</v>
      </c>
      <c r="C468" s="3" t="s">
        <v>46</v>
      </c>
      <c r="D468" s="73" t="s">
        <v>400</v>
      </c>
      <c r="E468" s="73" t="s">
        <v>853</v>
      </c>
      <c r="F468" s="73" t="s">
        <v>336</v>
      </c>
      <c r="G468" s="73" t="s">
        <v>47</v>
      </c>
      <c r="H468" s="73">
        <v>29847</v>
      </c>
      <c r="I468" s="73"/>
      <c r="J468" s="25" t="s">
        <v>2097</v>
      </c>
      <c r="K468" s="73">
        <v>1</v>
      </c>
      <c r="N468" s="3" t="s">
        <v>33</v>
      </c>
      <c r="O468" s="129" t="s">
        <v>33</v>
      </c>
      <c r="P468" s="2" t="s">
        <v>1063</v>
      </c>
      <c r="R468" s="3" t="s">
        <v>1153</v>
      </c>
      <c r="S468" s="73" t="s">
        <v>941</v>
      </c>
      <c r="AB468" s="2" t="s">
        <v>267</v>
      </c>
      <c r="AC468" s="3" t="s">
        <v>2118</v>
      </c>
      <c r="AD468" s="3" t="s">
        <v>108</v>
      </c>
      <c r="AE468" s="1">
        <v>300</v>
      </c>
      <c r="AF468" s="1">
        <f t="shared" si="30"/>
        <v>5</v>
      </c>
      <c r="AN468" s="1" t="s">
        <v>2127</v>
      </c>
    </row>
    <row r="469" spans="1:40" ht="30" x14ac:dyDescent="0.25">
      <c r="A469" s="3">
        <v>468</v>
      </c>
      <c r="B469" s="3" t="s">
        <v>2120</v>
      </c>
      <c r="C469" s="3" t="s">
        <v>46</v>
      </c>
      <c r="D469" s="73" t="s">
        <v>400</v>
      </c>
      <c r="E469" s="73" t="s">
        <v>853</v>
      </c>
      <c r="F469" s="25" t="s">
        <v>336</v>
      </c>
      <c r="G469" s="3" t="s">
        <v>47</v>
      </c>
      <c r="H469" s="73" t="s">
        <v>2121</v>
      </c>
      <c r="I469" s="73">
        <v>1002</v>
      </c>
      <c r="J469" s="25" t="s">
        <v>1843</v>
      </c>
      <c r="K469" s="73">
        <v>16</v>
      </c>
      <c r="L469" s="3" t="s">
        <v>336</v>
      </c>
      <c r="N469" s="3" t="s">
        <v>33</v>
      </c>
      <c r="O469" s="129" t="s">
        <v>137</v>
      </c>
      <c r="P469" s="2" t="s">
        <v>1063</v>
      </c>
      <c r="R469" s="3" t="s">
        <v>1153</v>
      </c>
      <c r="S469" s="3" t="s">
        <v>939</v>
      </c>
      <c r="AB469" s="2" t="s">
        <v>267</v>
      </c>
      <c r="AC469" s="3" t="s">
        <v>2117</v>
      </c>
      <c r="AD469" s="3" t="s">
        <v>108</v>
      </c>
      <c r="AE469" s="1">
        <v>240</v>
      </c>
      <c r="AF469" s="1">
        <f t="shared" si="30"/>
        <v>4</v>
      </c>
    </row>
    <row r="470" spans="1:40" ht="30" x14ac:dyDescent="0.25">
      <c r="A470" s="3">
        <v>469</v>
      </c>
      <c r="B470" s="9" t="s">
        <v>335</v>
      </c>
      <c r="C470" s="9" t="s">
        <v>46</v>
      </c>
      <c r="D470" s="73" t="s">
        <v>400</v>
      </c>
      <c r="E470" s="9" t="s">
        <v>853</v>
      </c>
      <c r="F470" s="9" t="s">
        <v>336</v>
      </c>
      <c r="G470" s="9" t="s">
        <v>47</v>
      </c>
      <c r="H470" s="9" t="s">
        <v>2134</v>
      </c>
      <c r="I470" s="9">
        <v>1001</v>
      </c>
      <c r="J470" s="32" t="s">
        <v>1843</v>
      </c>
      <c r="K470" s="3">
        <v>16</v>
      </c>
      <c r="L470" s="3" t="s">
        <v>336</v>
      </c>
      <c r="N470" s="3" t="s">
        <v>33</v>
      </c>
      <c r="O470" s="129" t="s">
        <v>137</v>
      </c>
      <c r="P470" s="2" t="s">
        <v>472</v>
      </c>
      <c r="R470" s="3" t="s">
        <v>102</v>
      </c>
      <c r="S470" s="3" t="s">
        <v>939</v>
      </c>
      <c r="AB470" s="2" t="s">
        <v>267</v>
      </c>
      <c r="AC470" s="3" t="s">
        <v>2117</v>
      </c>
      <c r="AD470" s="3" t="s">
        <v>108</v>
      </c>
      <c r="AE470" s="1">
        <v>240</v>
      </c>
      <c r="AF470" s="1">
        <f t="shared" si="30"/>
        <v>4</v>
      </c>
    </row>
    <row r="471" spans="1:40" ht="30" x14ac:dyDescent="0.25">
      <c r="A471" s="3">
        <v>470</v>
      </c>
      <c r="B471" s="9" t="s">
        <v>2000</v>
      </c>
      <c r="C471" s="9" t="s">
        <v>27</v>
      </c>
      <c r="D471" s="73" t="s">
        <v>400</v>
      </c>
      <c r="E471" s="9" t="s">
        <v>853</v>
      </c>
      <c r="F471" s="9" t="s">
        <v>28</v>
      </c>
      <c r="G471" s="9" t="s">
        <v>29</v>
      </c>
      <c r="H471" s="9">
        <v>29889</v>
      </c>
      <c r="I471" s="9"/>
      <c r="J471" s="32" t="s">
        <v>2001</v>
      </c>
      <c r="K471" s="32">
        <v>1</v>
      </c>
      <c r="N471" s="3" t="s">
        <v>33</v>
      </c>
      <c r="O471" s="129" t="s">
        <v>33</v>
      </c>
      <c r="P471" s="2" t="s">
        <v>2051</v>
      </c>
      <c r="R471" s="3" t="s">
        <v>200</v>
      </c>
      <c r="S471" s="3" t="s">
        <v>939</v>
      </c>
      <c r="AB471" s="2" t="s">
        <v>267</v>
      </c>
      <c r="AC471" s="3" t="s">
        <v>2117</v>
      </c>
      <c r="AD471" s="3" t="s">
        <v>108</v>
      </c>
      <c r="AE471" s="1">
        <v>120</v>
      </c>
      <c r="AF471" s="1">
        <f t="shared" si="30"/>
        <v>2</v>
      </c>
    </row>
    <row r="472" spans="1:40" ht="30" x14ac:dyDescent="0.25">
      <c r="A472" s="3">
        <v>471</v>
      </c>
      <c r="B472" s="9" t="s">
        <v>1513</v>
      </c>
      <c r="C472" s="9" t="s">
        <v>46</v>
      </c>
      <c r="D472" s="73" t="s">
        <v>1806</v>
      </c>
      <c r="E472" s="9" t="s">
        <v>853</v>
      </c>
      <c r="F472" s="3" t="s">
        <v>336</v>
      </c>
      <c r="G472" s="3" t="s">
        <v>47</v>
      </c>
      <c r="H472" s="3" t="s">
        <v>1454</v>
      </c>
      <c r="I472" s="20"/>
      <c r="J472" s="3" t="s">
        <v>1693</v>
      </c>
      <c r="K472" s="3">
        <v>1</v>
      </c>
      <c r="N472" s="3" t="s">
        <v>50</v>
      </c>
      <c r="O472" s="129">
        <v>7202</v>
      </c>
      <c r="P472" s="2" t="s">
        <v>495</v>
      </c>
      <c r="R472" s="3" t="s">
        <v>79</v>
      </c>
      <c r="S472" s="3" t="s">
        <v>939</v>
      </c>
      <c r="AB472" s="2" t="s">
        <v>267</v>
      </c>
      <c r="AC472" s="3" t="s">
        <v>2118</v>
      </c>
      <c r="AD472" s="3" t="s">
        <v>115</v>
      </c>
      <c r="AE472" s="1">
        <v>390</v>
      </c>
      <c r="AF472" s="1">
        <f t="shared" si="30"/>
        <v>6.5</v>
      </c>
    </row>
    <row r="473" spans="1:40" ht="30" x14ac:dyDescent="0.25">
      <c r="A473" s="3">
        <v>472</v>
      </c>
      <c r="B473" s="3" t="s">
        <v>2096</v>
      </c>
      <c r="C473" s="3" t="s">
        <v>46</v>
      </c>
      <c r="D473" s="73" t="s">
        <v>1806</v>
      </c>
      <c r="E473" s="73" t="s">
        <v>853</v>
      </c>
      <c r="F473" s="73" t="s">
        <v>336</v>
      </c>
      <c r="G473" s="73" t="s">
        <v>47</v>
      </c>
      <c r="H473" s="73">
        <v>29847</v>
      </c>
      <c r="I473" s="73"/>
      <c r="J473" s="25" t="s">
        <v>2097</v>
      </c>
      <c r="K473" s="73">
        <v>1</v>
      </c>
      <c r="N473" s="3" t="s">
        <v>50</v>
      </c>
      <c r="O473" s="129">
        <v>7202</v>
      </c>
      <c r="P473" s="2" t="s">
        <v>495</v>
      </c>
      <c r="R473" s="3" t="s">
        <v>79</v>
      </c>
      <c r="S473" s="3" t="s">
        <v>939</v>
      </c>
      <c r="AB473" s="2" t="s">
        <v>267</v>
      </c>
      <c r="AC473" s="3" t="s">
        <v>2118</v>
      </c>
      <c r="AD473" s="3" t="s">
        <v>73</v>
      </c>
      <c r="AE473" s="1">
        <v>270</v>
      </c>
      <c r="AF473" s="1">
        <f t="shared" si="30"/>
        <v>4.5</v>
      </c>
    </row>
    <row r="474" spans="1:40" ht="30" x14ac:dyDescent="0.25">
      <c r="A474" s="3">
        <v>473</v>
      </c>
      <c r="B474" s="3" t="s">
        <v>1106</v>
      </c>
      <c r="C474" s="3" t="s">
        <v>27</v>
      </c>
      <c r="D474" s="73" t="s">
        <v>1806</v>
      </c>
      <c r="E474" s="3" t="s">
        <v>853</v>
      </c>
      <c r="F474" s="3" t="s">
        <v>28</v>
      </c>
      <c r="G474" s="3" t="s">
        <v>47</v>
      </c>
      <c r="H474" s="3"/>
      <c r="I474" s="20"/>
      <c r="J474" s="3" t="s">
        <v>1763</v>
      </c>
      <c r="K474" s="3">
        <v>1</v>
      </c>
      <c r="N474" s="3" t="s">
        <v>50</v>
      </c>
      <c r="O474" s="129">
        <v>7203</v>
      </c>
      <c r="P474" s="73" t="s">
        <v>495</v>
      </c>
      <c r="Q474" s="73"/>
      <c r="R474" s="73" t="s">
        <v>1810</v>
      </c>
      <c r="S474" s="3" t="s">
        <v>939</v>
      </c>
      <c r="T474" s="3" t="s">
        <v>1978</v>
      </c>
      <c r="U474" s="3" t="s">
        <v>2136</v>
      </c>
      <c r="W474" s="3" t="s">
        <v>2072</v>
      </c>
      <c r="AB474" s="2" t="s">
        <v>267</v>
      </c>
      <c r="AC474" s="3" t="s">
        <v>2117</v>
      </c>
      <c r="AD474" s="3" t="s">
        <v>108</v>
      </c>
      <c r="AE474" s="1">
        <v>660</v>
      </c>
      <c r="AF474" s="1">
        <f t="shared" si="30"/>
        <v>11</v>
      </c>
    </row>
    <row r="475" spans="1:40" ht="30" x14ac:dyDescent="0.25">
      <c r="A475" s="3">
        <v>474</v>
      </c>
      <c r="B475" s="3" t="s">
        <v>1749</v>
      </c>
      <c r="C475" s="3" t="s">
        <v>27</v>
      </c>
      <c r="D475" s="73" t="s">
        <v>1806</v>
      </c>
      <c r="E475" s="3" t="s">
        <v>853</v>
      </c>
      <c r="F475" s="3" t="s">
        <v>28</v>
      </c>
      <c r="G475" s="3" t="s">
        <v>47</v>
      </c>
      <c r="H475" s="3">
        <v>30274</v>
      </c>
      <c r="I475" s="20"/>
      <c r="J475" s="3" t="s">
        <v>1570</v>
      </c>
      <c r="K475" s="3">
        <v>1</v>
      </c>
      <c r="L475" s="3" t="s">
        <v>336</v>
      </c>
      <c r="N475" s="3" t="s">
        <v>50</v>
      </c>
      <c r="O475" s="129">
        <v>7203</v>
      </c>
      <c r="P475" s="73" t="s">
        <v>495</v>
      </c>
      <c r="R475" s="73" t="s">
        <v>1810</v>
      </c>
      <c r="S475" s="3" t="s">
        <v>939</v>
      </c>
      <c r="T475" s="3" t="s">
        <v>1890</v>
      </c>
      <c r="U475" s="3" t="s">
        <v>2136</v>
      </c>
      <c r="W475" s="3" t="s">
        <v>2072</v>
      </c>
      <c r="AB475" s="2" t="s">
        <v>267</v>
      </c>
      <c r="AC475" s="3" t="s">
        <v>2122</v>
      </c>
      <c r="AD475" s="3" t="s">
        <v>73</v>
      </c>
      <c r="AE475" s="1">
        <v>270</v>
      </c>
      <c r="AF475" s="1">
        <f t="shared" si="30"/>
        <v>4.5</v>
      </c>
    </row>
    <row r="476" spans="1:40" ht="30" x14ac:dyDescent="0.25">
      <c r="A476" s="3">
        <v>475</v>
      </c>
      <c r="B476" s="3" t="s">
        <v>217</v>
      </c>
      <c r="C476" s="3" t="s">
        <v>45</v>
      </c>
      <c r="D476" s="73" t="s">
        <v>1806</v>
      </c>
      <c r="E476" s="73" t="s">
        <v>996</v>
      </c>
      <c r="F476" s="25" t="s">
        <v>1782</v>
      </c>
      <c r="G476" s="73" t="s">
        <v>1782</v>
      </c>
      <c r="H476" s="73"/>
      <c r="I476" s="73"/>
      <c r="J476" s="25" t="s">
        <v>2133</v>
      </c>
      <c r="K476" s="73">
        <v>1</v>
      </c>
      <c r="N476" s="3" t="s">
        <v>50</v>
      </c>
      <c r="O476" s="129">
        <v>7203</v>
      </c>
      <c r="P476" s="2" t="s">
        <v>229</v>
      </c>
      <c r="R476" s="73" t="s">
        <v>1810</v>
      </c>
      <c r="S476" s="3" t="s">
        <v>939</v>
      </c>
      <c r="AB476" s="2" t="s">
        <v>267</v>
      </c>
      <c r="AC476" s="3" t="s">
        <v>2122</v>
      </c>
      <c r="AD476" s="3" t="s">
        <v>115</v>
      </c>
      <c r="AE476" s="1">
        <v>390</v>
      </c>
      <c r="AF476" s="1">
        <f t="shared" si="30"/>
        <v>6.5</v>
      </c>
      <c r="AN476" s="1" t="s">
        <v>2137</v>
      </c>
    </row>
    <row r="477" spans="1:40" ht="30" x14ac:dyDescent="0.25">
      <c r="A477" s="3">
        <v>476</v>
      </c>
      <c r="B477" s="3" t="s">
        <v>2035</v>
      </c>
      <c r="C477" s="3" t="s">
        <v>45</v>
      </c>
      <c r="D477" s="9" t="s">
        <v>1964</v>
      </c>
      <c r="E477" s="73" t="s">
        <v>853</v>
      </c>
      <c r="F477" s="73" t="s">
        <v>199</v>
      </c>
      <c r="G477" s="73" t="s">
        <v>29</v>
      </c>
      <c r="H477" s="73"/>
      <c r="I477" s="73"/>
      <c r="J477" s="25" t="s">
        <v>2036</v>
      </c>
      <c r="K477" s="73">
        <v>1</v>
      </c>
      <c r="N477" s="3" t="s">
        <v>50</v>
      </c>
      <c r="O477" s="129">
        <v>7203</v>
      </c>
      <c r="P477" s="2" t="s">
        <v>146</v>
      </c>
      <c r="R477" s="73" t="s">
        <v>1810</v>
      </c>
      <c r="AB477" s="2" t="s">
        <v>267</v>
      </c>
      <c r="AC477" s="3" t="s">
        <v>2118</v>
      </c>
      <c r="AD477" s="3" t="s">
        <v>108</v>
      </c>
      <c r="AE477" s="1">
        <v>660</v>
      </c>
      <c r="AF477" s="1">
        <f t="shared" si="30"/>
        <v>11</v>
      </c>
    </row>
    <row r="478" spans="1:40" ht="30" x14ac:dyDescent="0.25">
      <c r="A478" s="3">
        <v>477</v>
      </c>
      <c r="B478" s="3" t="s">
        <v>2035</v>
      </c>
      <c r="C478" s="3" t="s">
        <v>45</v>
      </c>
      <c r="D478" s="9" t="s">
        <v>1964</v>
      </c>
      <c r="E478" s="73" t="s">
        <v>853</v>
      </c>
      <c r="F478" s="73" t="s">
        <v>199</v>
      </c>
      <c r="G478" s="73" t="s">
        <v>29</v>
      </c>
      <c r="H478" s="73"/>
      <c r="I478" s="73"/>
      <c r="J478" s="25" t="s">
        <v>2036</v>
      </c>
      <c r="K478" s="73">
        <v>1</v>
      </c>
      <c r="N478" s="3" t="s">
        <v>50</v>
      </c>
      <c r="O478" s="129">
        <v>7203</v>
      </c>
      <c r="P478" s="2" t="s">
        <v>146</v>
      </c>
      <c r="R478" s="73" t="s">
        <v>1810</v>
      </c>
      <c r="AB478" s="2" t="s">
        <v>267</v>
      </c>
      <c r="AC478" s="3" t="s">
        <v>2117</v>
      </c>
      <c r="AD478" s="3" t="s">
        <v>108</v>
      </c>
      <c r="AE478" s="1">
        <v>660</v>
      </c>
      <c r="AF478" s="1">
        <f t="shared" si="30"/>
        <v>11</v>
      </c>
    </row>
    <row r="479" spans="1:40" ht="30" x14ac:dyDescent="0.25">
      <c r="A479" s="3">
        <v>478</v>
      </c>
      <c r="B479" s="3" t="s">
        <v>2035</v>
      </c>
      <c r="C479" s="3" t="s">
        <v>45</v>
      </c>
      <c r="D479" s="9" t="s">
        <v>1964</v>
      </c>
      <c r="E479" s="73" t="s">
        <v>853</v>
      </c>
      <c r="F479" s="73" t="s">
        <v>199</v>
      </c>
      <c r="G479" s="73" t="s">
        <v>29</v>
      </c>
      <c r="H479" s="73"/>
      <c r="I479" s="73"/>
      <c r="J479" s="25" t="s">
        <v>2036</v>
      </c>
      <c r="K479" s="73">
        <v>1</v>
      </c>
      <c r="N479" s="3" t="s">
        <v>50</v>
      </c>
      <c r="O479" s="129">
        <v>7203</v>
      </c>
      <c r="P479" s="2" t="s">
        <v>146</v>
      </c>
      <c r="R479" s="73" t="s">
        <v>1810</v>
      </c>
      <c r="AB479" s="2" t="s">
        <v>267</v>
      </c>
      <c r="AC479" s="3" t="s">
        <v>2122</v>
      </c>
      <c r="AD479" s="3" t="s">
        <v>108</v>
      </c>
      <c r="AE479" s="1">
        <v>660</v>
      </c>
      <c r="AF479" s="1">
        <f t="shared" si="30"/>
        <v>11</v>
      </c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76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31" zoomScale="70" zoomScaleNormal="70" workbookViewId="0">
      <selection activeCell="R55" sqref="R55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2072</v>
      </c>
      <c r="S18" s="104" t="s">
        <v>2094</v>
      </c>
      <c r="T18" s="104" t="s">
        <v>2118</v>
      </c>
      <c r="U18" s="104" t="s">
        <v>2117</v>
      </c>
      <c r="V18" s="104" t="s">
        <v>2122</v>
      </c>
      <c r="W18" s="104" t="s">
        <v>2127</v>
      </c>
      <c r="X18" s="104" t="s">
        <v>2128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1</v>
      </c>
      <c r="T19" s="80">
        <f>SUMIFS(شهریور!$AF$2:$AF$800,شهریور!$C$2:$C$800,P19,شهریور!$AC$2:$AC$800,$T$18)</f>
        <v>0</v>
      </c>
      <c r="U19" s="80">
        <f>SUMIFS(شهریور!$AF$2:$AF$800,شهریور!$C$2:$C$800,P19,شهریور!$AC$2:$AC$800,$U$18)</f>
        <v>0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1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50.5</v>
      </c>
      <c r="S21" s="80">
        <f>SUMIFS(شهریور!$AF$2:$AF$800,شهریور!$C$2:$C$800,P21,شهریور!$AC$2:$AC$800,$S$18)</f>
        <v>66</v>
      </c>
      <c r="T21" s="80">
        <f>SUMIFS(شهریور!$AF$2:$AF$800,شهریور!$C$2:$C$800,P21,شهریور!$AC$2:$AC$800,$T$18)</f>
        <v>22</v>
      </c>
      <c r="U21" s="80">
        <f>SUMIFS(شهریور!$AF$2:$AF$800,شهریور!$C$2:$C$800,P21,شهریور!$AC$2:$AC$800,$U$18)</f>
        <v>16.5</v>
      </c>
      <c r="V21" s="80">
        <f>SUMIFS(شهریور!$AF$2:$AF$800,شهریور!$C$2:$C$800,P21,شهریور!$AC$2:$AC$800,$V$18)</f>
        <v>10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165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53.5</v>
      </c>
      <c r="S22" s="80">
        <f>SUMIFS(شهریور!$AF$2:$AF$800,شهریور!$C$2:$C$800,P22,شهریور!$AC$2:$AC$800,$S$18)</f>
        <v>33</v>
      </c>
      <c r="T22" s="80">
        <f>SUMIFS(شهریور!$AF$2:$AF$800,شهریور!$C$2:$C$800,P22,شهریور!$AC$2:$AC$800,$T$18)</f>
        <v>14</v>
      </c>
      <c r="U22" s="80">
        <f>SUMIFS(شهریور!$AF$2:$AF$800,شهریور!$C$2:$C$800,P22,شهریور!$AC$2:$AC$800,$U$18)</f>
        <v>13</v>
      </c>
      <c r="V22" s="80">
        <f>SUMIFS(شهریور!$AF$2:$AF$800,شهریور!$C$2:$C$800,P22,شهریور!$AC$2:$AC$800,$V$18)</f>
        <v>17.5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131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0</v>
      </c>
      <c r="T23" s="80">
        <f>SUMIFS(شهریور!$AF$2:$AF$800,شهریور!$C$2:$C$800,P23,شهریور!$AC$2:$AC$800,$T$18)</f>
        <v>0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0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39.5</v>
      </c>
      <c r="S24" s="80">
        <f>SUMIFS(شهریور!$AF$2:$AF$800,شهریور!$C$2:$C$800,P24,شهریور!$AC$2:$AC$800,$S$18)</f>
        <v>33.5</v>
      </c>
      <c r="T24" s="80">
        <f>SUMIFS(شهریور!$AF$2:$AF$800,شهریور!$C$2:$C$800,P24,شهریور!$AC$2:$AC$800,$T$18)</f>
        <v>39</v>
      </c>
      <c r="U24" s="80">
        <f>SUMIFS(شهریور!$AF$2:$AF$800,شهریور!$C$2:$C$800,P24,شهریور!$AC$2:$AC$800,$U$18)</f>
        <v>19</v>
      </c>
      <c r="V24" s="80">
        <f>SUMIFS(شهریور!$AF$2:$AF$800,شهریور!$C$2:$C$800,P24,شهریور!$AC$2:$AC$800,$V$18)</f>
        <v>14.5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145.5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16</v>
      </c>
      <c r="S25" s="80">
        <f>SUMIFS(شهریور!$AF$2:$AF$800,شهریور!$C$2:$C$800,P25,شهریور!$AC$2:$AC$800,$S$18)</f>
        <v>15</v>
      </c>
      <c r="T25" s="80">
        <f>SUMIFS(شهریور!$AF$2:$AF$800,شهریور!$C$2:$C$800,P25,شهریور!$AC$2:$AC$800,$T$18)</f>
        <v>1</v>
      </c>
      <c r="U25" s="80">
        <f>SUMIFS(شهریور!$AF$2:$AF$800,شهریور!$C$2:$C$800,P25,شهریور!$AC$2:$AC$800,$U$18)</f>
        <v>2.5</v>
      </c>
      <c r="V25" s="80">
        <f>SUMIFS(شهریور!$AF$2:$AF$800,شهریور!$C$2:$C$800,P25,شهریور!$AC$2:$AC$800,$V$18)</f>
        <v>0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34.5</v>
      </c>
      <c r="Z25" s="83">
        <f>SUM(Y19:Y25)</f>
        <v>477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17250000</v>
      </c>
      <c r="S26" s="80">
        <f>SUMIFS(شهریور!$AQ$2:$AQ$800,شهریور!$C$2:$C$800,"* نو",شهریور!$AC$2:$AC$800,S18)</f>
        <v>0</v>
      </c>
      <c r="T26" s="80">
        <f>SUMIFS(شهریور!$AQ$2:$AQ$800,شهریور!$C$2:$C$800,"* نو",شهریور!$AC$2:$AC$800,T18)</f>
        <v>0</v>
      </c>
      <c r="U26" s="80">
        <f>SUMIFS(شهریور!$AQ$2:$AQ$800,شهریور!$C$2:$C$800,"* نو",شهریور!$AC$2:$AC$800,U18)</f>
        <v>0</v>
      </c>
      <c r="V26" s="80">
        <f>SUMIFS(شهریور!$AQ$2:$AQ$800,شهریور!$C$2:$C$800,"* نو",شهریور!$AC$2:$AC$800,V18)</f>
        <v>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17250000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13500000</v>
      </c>
      <c r="S27" s="80">
        <f>SUMIFS(شهریور!$AQ$2:$AQ$800,شهریور!$C$2:$C$800,"* تعمیری",شهریور!$AC$2:$AC$800,S18)</f>
        <v>0</v>
      </c>
      <c r="T27" s="80">
        <f>SUMIFS(شهریور!$AQ$2:$AQ$800,شهریور!$C$2:$C$800,"* تعمیری",شهریور!$AC$2:$AC$800,T18)</f>
        <v>0</v>
      </c>
      <c r="U27" s="80">
        <f>SUMIFS(شهریور!$AQ$2:$AQ$800,شهریور!$C$2:$C$800,"* تعمیری",شهریور!$AC$2:$AC$800,U18)</f>
        <v>0</v>
      </c>
      <c r="V27" s="80">
        <f>SUMIFS(شهریور!$AQ$2:$AQ$800,شهریور!$C$2:$C$800,"* تعمیری",شهریور!$AC$2:$AC$800,V18)</f>
        <v>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13500000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30750000</v>
      </c>
      <c r="S29" s="107">
        <f t="shared" ref="S29:X29" si="4">SUM(S26:S27)</f>
        <v>0</v>
      </c>
      <c r="T29" s="107">
        <f t="shared" si="4"/>
        <v>0</v>
      </c>
      <c r="U29" s="107">
        <f t="shared" si="4"/>
        <v>0</v>
      </c>
      <c r="V29" s="107">
        <f t="shared" si="4"/>
        <v>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159.5</v>
      </c>
      <c r="S30" s="105">
        <f t="shared" ref="S30:X30" si="5">SUM(S19:S25)</f>
        <v>148.5</v>
      </c>
      <c r="T30" s="105">
        <f t="shared" si="5"/>
        <v>76</v>
      </c>
      <c r="U30" s="105">
        <f t="shared" si="5"/>
        <v>51</v>
      </c>
      <c r="V30" s="105">
        <f t="shared" si="5"/>
        <v>42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2072</v>
      </c>
      <c r="S32" s="104" t="s">
        <v>2094</v>
      </c>
      <c r="T32" s="104" t="s">
        <v>2118</v>
      </c>
      <c r="U32" s="104" t="s">
        <v>2117</v>
      </c>
      <c r="V32" s="104" t="s">
        <v>2122</v>
      </c>
      <c r="W32" s="104" t="s">
        <v>2127</v>
      </c>
      <c r="X32" s="104" t="s">
        <v>2128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3</v>
      </c>
      <c r="S34" s="114">
        <f>SUMIFS(شهریور!$AF$2:$AF$800,شهریور!$AC$2:$AC$800,$S$32,شهریور!$O$2:$O$800,J34)</f>
        <v>0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4</v>
      </c>
      <c r="V34" s="114">
        <f>SUMIFS(شهریور!$AF$2:$AF$800,شهریور!$AC$2:$AC$800,$V$32,شهریور!$O$2:$O$800,J34)</f>
        <v>0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18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0</v>
      </c>
      <c r="U35" s="114">
        <f>SUMIFS(شهریور!$AF$2:$AF$800,شهریور!$AC$2:$AC$800,$U$32,شهریور!$O$2:$O$800,J35)</f>
        <v>0</v>
      </c>
      <c r="V35" s="114">
        <f>SUMIFS(شهریور!$AF$2:$AF$800,شهریور!$AC$2:$AC$800,$V$32,شهریور!$O$2:$O$800,J35)</f>
        <v>0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22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0</v>
      </c>
      <c r="U36" s="114">
        <f>SUMIFS(شهریور!$AF$2:$AF$800,شهریور!$AC$2:$AC$800,$U$32,شهریور!$O$2:$O$800,J36)</f>
        <v>0</v>
      </c>
      <c r="V36" s="114">
        <f>SUMIFS(شهریور!$AF$2:$AF$800,شهریور!$AC$2:$AC$800,$V$32,شهریور!$O$2:$O$800,J36)</f>
        <v>0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13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0</v>
      </c>
      <c r="V38" s="114">
        <f>SUMIFS(شهریور!$AF$2:$AF$800,شهریور!$AC$2:$AC$800,$V$32,شهریور!$O$2:$O$800,J38)</f>
        <v>0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33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22</v>
      </c>
      <c r="V39" s="114">
        <f>SUMIFS(شهریور!$AF$2:$AF$800,شهریور!$AC$2:$AC$800,$V$32,شهریور!$O$2:$O$800,J39)</f>
        <v>22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77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11</v>
      </c>
      <c r="T40" s="114">
        <f>SUMIFS(شهریور!$AF$2:$AF$800,شهریور!$AC$2:$AC$800,$T$32,شهریور!$O$2:$O$800,J40)</f>
        <v>0</v>
      </c>
      <c r="U40" s="114">
        <f>SUMIFS(شهریور!$AF$2:$AF$800,شهریور!$AC$2:$AC$800,$U$32,شهریور!$O$2:$O$800,J40)</f>
        <v>0</v>
      </c>
      <c r="V40" s="114">
        <f>SUMIFS(شهریور!$AF$2:$AF$800,شهریور!$AC$2:$AC$800,$V$32,شهریور!$O$2:$O$800,J40)</f>
        <v>0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22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12</v>
      </c>
      <c r="S41" s="114">
        <f>SUMIFS(شهریور!$AF$2:$AF$800,شهریور!$AC$2:$AC$800,$S$32,شهریور!$O$2:$O$800,J41)</f>
        <v>11</v>
      </c>
      <c r="T41" s="114">
        <f>SUMIFS(شهریور!$AF$2:$AF$800,شهریور!$AC$2:$AC$800,$T$32,شهریور!$O$2:$O$800,J41)</f>
        <v>0</v>
      </c>
      <c r="U41" s="114">
        <f>SUMIFS(شهریور!$AF$2:$AF$800,شهریور!$AC$2:$AC$800,$U$32,شهریور!$O$2:$O$800,J41)</f>
        <v>0</v>
      </c>
      <c r="V41" s="114">
        <f>SUMIFS(شهریور!$AF$2:$AF$800,شهریور!$AC$2:$AC$800,$V$32,شهریور!$O$2:$O$800,J41)</f>
        <v>0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23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11</v>
      </c>
      <c r="S42" s="114">
        <f>SUMIFS(شهریور!$AF$2:$AF$800,شهریور!$AC$2:$AC$800,$S$32,شهریور!$O$2:$O$800,J42)</f>
        <v>3</v>
      </c>
      <c r="T42" s="114">
        <f>SUMIFS(شهریور!$AF$2:$AF$800,شهریور!$AC$2:$AC$800,$T$32,شهریور!$O$2:$O$800,J42)</f>
        <v>0</v>
      </c>
      <c r="U42" s="114">
        <f>SUMIFS(شهریور!$AF$2:$AF$800,شهریور!$AC$2:$AC$800,$U$32,شهریور!$O$2:$O$800,J42)</f>
        <v>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14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4</v>
      </c>
      <c r="T43" s="114">
        <f>SUMIFS(شهریور!$AF$2:$AF$800,شهریور!$AC$2:$AC$800,$T$32,شهریور!$O$2:$O$800,J43)</f>
        <v>0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0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4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4</v>
      </c>
      <c r="S44" s="114">
        <f>SUMIFS(شهریور!$AF$2:$AF$800,شهریور!$AC$2:$AC$800,$S$32,شهریور!$O$2:$O$800,J44)</f>
        <v>3.5</v>
      </c>
      <c r="T44" s="114">
        <f>SUMIFS(شهریور!$AF$2:$AF$800,شهریور!$AC$2:$AC$800,$T$32,شهریور!$O$2:$O$800,J44)</f>
        <v>3</v>
      </c>
      <c r="U44" s="114">
        <f>SUMIFS(شهریور!$AF$2:$AF$800,شهریور!$AC$2:$AC$800,$U$32,شهریور!$O$2:$O$800,J44)</f>
        <v>4</v>
      </c>
      <c r="V44" s="114">
        <f>SUMIFS(شهریور!$AF$2:$AF$800,شهریور!$AC$2:$AC$800,$V$32,شهریور!$O$2:$O$800,J44)</f>
        <v>6.5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21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8</v>
      </c>
      <c r="S45" s="114">
        <f>SUMIFS(شهریور!$AF$2:$AF$800,شهریور!$AC$2:$AC$800,$S$32,شهریور!$O$2:$O$800,J45)</f>
        <v>4</v>
      </c>
      <c r="T45" s="114">
        <f>SUMIFS(شهریور!$AF$2:$AF$800,شهریور!$AC$2:$AC$800,$T$32,شهریور!$O$2:$O$800,J45)</f>
        <v>11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0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23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0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33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12</v>
      </c>
      <c r="S47" s="114">
        <f>SUMIFS(شهریور!$AF$2:$AF$800,شهریور!$AC$2:$AC$800,$S$32,شهریور!$O$2:$O$800,J47)</f>
        <v>12</v>
      </c>
      <c r="T47" s="114">
        <f>SUMIFS(شهریور!$AF$2:$AF$800,شهریور!$AC$2:$AC$800,$T$32,شهریور!$O$2:$O$800,J47)</f>
        <v>0</v>
      </c>
      <c r="U47" s="114">
        <f>SUMIFS(شهریور!$AF$2:$AF$800,شهریور!$AC$2:$AC$800,$U$32,شهریور!$O$2:$O$800,J47)</f>
        <v>0</v>
      </c>
      <c r="V47" s="114">
        <f>SUMIFS(شهریور!$AF$2:$AF$800,شهریور!$AC$2:$AC$800,$V$32,شهریور!$O$2:$O$800,J47)</f>
        <v>0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24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9</v>
      </c>
      <c r="S48" s="114">
        <f>SUMIFS(شهریور!$AF$2:$AF$800,شهریور!$AC$2:$AC$800,$S$32,شهریور!$O$2:$O$800,J48)</f>
        <v>9</v>
      </c>
      <c r="T48" s="114">
        <f>SUMIFS(شهریور!$AF$2:$AF$800,شهریور!$AC$2:$AC$800,$T$32,شهریور!$O$2:$O$800,J48)</f>
        <v>0</v>
      </c>
      <c r="U48" s="114">
        <f>SUMIFS(شهریور!$AF$2:$AF$800,شهریور!$AC$2:$AC$800,$U$32,شهریور!$O$2:$O$800,J48)</f>
        <v>0</v>
      </c>
      <c r="V48" s="114">
        <f>SUMIFS(شهریور!$AF$2:$AF$800,شهریور!$AC$2:$AC$800,$V$32,شهریور!$O$2:$O$800,J48)</f>
        <v>0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18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6</v>
      </c>
      <c r="S50" s="114">
        <f>SUMIFS(شهریور!$AF$2:$AF$800,شهریور!$AC$2:$AC$800,$S$32,شهریور!$O$2:$O$800,J50)</f>
        <v>15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0</v>
      </c>
      <c r="V50" s="114">
        <f>SUMIFS(شهریور!$AF$2:$AF$800,شهریور!$AC$2:$AC$800,$V$32,شهریور!$O$2:$O$800,J50)</f>
        <v>0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21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12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0</v>
      </c>
      <c r="U51" s="114">
        <f>SUMIFS(شهریور!$AF$2:$AF$800,شهریور!$AC$2:$AC$800,$U$32,شهریور!$O$2:$O$800,J51)</f>
        <v>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12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0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0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0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0</v>
      </c>
      <c r="U53" s="114">
        <f>SUMIFS(شهریور!$AF$2:$AF$800,شهریور!$AC$2:$AC$800,$U$32,شهریور!$O$2:$O$800,J53)</f>
        <v>0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0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18</v>
      </c>
      <c r="S55" s="114">
        <f>SUMIFS(شهریور!$AF$2:$AF$800,شهریور!$AC$2:$AC$800,$S$32,شهریور!$O$2:$O$800,J55)</f>
        <v>24.5</v>
      </c>
      <c r="T55" s="114">
        <f>SUMIFS(شهریور!$AF$2:$AF$800,شهریور!$AC$2:$AC$800,$T$32,شهریور!$O$2:$O$800,J55)</f>
        <v>18</v>
      </c>
      <c r="U55" s="114">
        <f>SUMIFS(شهریور!$AF$2:$AF$800,شهریور!$AC$2:$AC$800,$U$32,شهریور!$O$2:$O$800,J55)</f>
        <v>6</v>
      </c>
      <c r="V55" s="114">
        <f>SUMIFS(شهریور!$AF$2:$AF$800,شهریور!$AC$2:$AC$800,$V$32,شهریور!$O$2:$O$800,J55)</f>
        <v>0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66.5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3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15</v>
      </c>
      <c r="V56" s="114">
        <f>SUMIFS(شهریور!$AF$2:$AF$800,شهریور!$AC$2:$AC$800,$V$32,شهریور!$O$2:$O$800,J56)</f>
        <v>13.5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31.5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159.5</v>
      </c>
      <c r="S58" s="101">
        <f t="shared" ref="S58:X58" si="7">SUM(S34:S57)</f>
        <v>147.5</v>
      </c>
      <c r="T58" s="101">
        <f t="shared" si="7"/>
        <v>76</v>
      </c>
      <c r="U58" s="101">
        <f t="shared" si="7"/>
        <v>51</v>
      </c>
      <c r="V58" s="101">
        <f t="shared" si="7"/>
        <v>42</v>
      </c>
      <c r="W58" s="101">
        <f t="shared" si="7"/>
        <v>0</v>
      </c>
      <c r="X58" s="101">
        <f t="shared" si="7"/>
        <v>0</v>
      </c>
      <c r="Y58" s="102">
        <f>SUM(Y34:Y57)</f>
        <v>476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2026-09-22T04:47:20Z</dcterms:modified>
</cp:coreProperties>
</file>