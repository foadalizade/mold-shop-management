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4D3CE11C-13C1-42A1-A50C-9DEC66FA5442}" xr6:coauthVersionLast="47" xr6:coauthVersionMax="47" xr10:uidLastSave="{00000000-0000-0000-0000-000000000000}"/>
  <bookViews>
    <workbookView xWindow="-120" yWindow="-120" windowWidth="24240" windowHeight="13020" activeTab="12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شهریور!$A$1:$AU$402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S27" i="26" l="1"/>
  <c r="T27" i="26"/>
  <c r="U27" i="26"/>
  <c r="V27" i="26"/>
  <c r="W27" i="26"/>
  <c r="X27" i="26"/>
  <c r="S26" i="26"/>
  <c r="T26" i="26"/>
  <c r="U26" i="26"/>
  <c r="V26" i="26"/>
  <c r="W26" i="26"/>
  <c r="X26" i="26"/>
  <c r="X20" i="26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R27" i="26" l="1"/>
  <c r="R26" i="26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<sst xmlns="http://schemas.openxmlformats.org/spreadsheetml/2006/main" count="52563" uniqueCount="2095">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</sst>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zoomScale="85" zoomScaleNormal="85" workbookViewId="0">
      <pane ySplit="1" topLeftCell="A391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zoomScale="85" zoomScaleNormal="85" workbookViewId="0">
      <pane ySplit="1" topLeftCell="A390" activePane="bottomLeft" state="frozen"/>
      <selection activeCell="Y1" sqref="Y1"/>
      <selection pane="bottomLeft" activeCell="B402" sqref="B40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2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x14ac:dyDescent="0.25">
      <c r="D402" s="73"/>
      <c r="E402" s="73"/>
      <c r="F402" s="73"/>
      <c r="G402" s="73"/>
      <c r="H402" s="73"/>
      <c r="I402" s="73"/>
      <c r="K402" s="73"/>
      <c r="AF402" s="1">
        <f t="shared" si="25"/>
        <v>0</v>
      </c>
    </row>
    <row r="403" spans="1:44" x14ac:dyDescent="0.25">
      <c r="F403" s="19"/>
    </row>
    <row r="404" spans="1:44" x14ac:dyDescent="0.25">
      <c r="F404" s="19"/>
    </row>
    <row r="405" spans="1:44" x14ac:dyDescent="0.25">
      <c r="F405" s="19"/>
    </row>
    <row r="406" spans="1:44" x14ac:dyDescent="0.25">
      <c r="F406" s="19"/>
    </row>
    <row r="407" spans="1:44" x14ac:dyDescent="0.25">
      <c r="F407" s="19"/>
    </row>
    <row r="408" spans="1:44" x14ac:dyDescent="0.25">
      <c r="F408" s="19"/>
    </row>
    <row r="409" spans="1:44" x14ac:dyDescent="0.25">
      <c r="F409" s="19"/>
    </row>
    <row r="410" spans="1:44" x14ac:dyDescent="0.25">
      <c r="F410" s="19"/>
    </row>
    <row r="411" spans="1:44" x14ac:dyDescent="0.25">
      <c r="F411" s="19"/>
    </row>
    <row r="412" spans="1:44" x14ac:dyDescent="0.25">
      <c r="F412" s="19"/>
    </row>
    <row r="413" spans="1:44" x14ac:dyDescent="0.25">
      <c r="F413" s="19"/>
    </row>
    <row r="414" spans="1:44" x14ac:dyDescent="0.25">
      <c r="F414" s="19"/>
    </row>
    <row r="415" spans="1:44" x14ac:dyDescent="0.25">
      <c r="F415" s="19"/>
    </row>
    <row r="416" spans="1:44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2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abSelected="1" topLeftCell="D10" zoomScale="70" zoomScaleNormal="70" workbookViewId="0">
      <selection activeCell="Y25" sqref="Y2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SUMIFS(مرداد!$AQ$2:$AQ$800,مرداد!$C$2:$C$800,"* نو",مرداد!$AC$2:$AC$800,R18)</f>
        <v>0</v>
      </c>
      <c r="S26" s="80">
        <f>SUMIFS(مرداد!$AQ$2:$AQ$800,مرداد!$C$2:$C$800,"* نو",مرداد!$AC$2:$AC$800,S18)</f>
        <v>0</v>
      </c>
      <c r="T26" s="80">
        <f>SUMIFS(مرداد!$AQ$2:$AQ$800,مرداد!$C$2:$C$800,"* نو",مرداد!$AC$2:$AC$800,T18)</f>
        <v>0</v>
      </c>
      <c r="U26" s="80">
        <f>SUMIFS(مرداد!$AQ$2:$AQ$800,مرداد!$C$2:$C$800,"* نو",مرداد!$AC$2:$AC$800,U18)</f>
        <v>0</v>
      </c>
      <c r="V26" s="80">
        <f>SUMIFS(مرداد!$AQ$2:$AQ$800,مرداد!$C$2:$C$800,"* نو",مرداد!$AC$2:$AC$800,V18)</f>
        <v>0</v>
      </c>
      <c r="W26" s="80">
        <f>SUMIFS(مرداد!$AQ$2:$AQ$800,مرداد!$C$2:$C$800,"* نو",مرداد!$AC$2:$AC$800,W18)</f>
        <v>0</v>
      </c>
      <c r="X26" s="80">
        <f>SUMIFS(مرداد!$AQ$2:$AQ$800,مرداد!$C$2:$C$800,"* نو",مرداد!$AC$2:$AC$800,X18)</f>
        <v>0</v>
      </c>
      <c r="Y26" s="80">
        <f>SUM(R26:X26)</f>
        <v>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SUMIFS(مرداد!$AQ$2:$AQ$800,مرداد!$C$2:$C$800,"* تعمیری",مرداد!$AC$2:$AC$800,R18)</f>
        <v>0</v>
      </c>
      <c r="S27" s="80">
        <f>SUMIFS(مرداد!$AQ$2:$AQ$800,مرداد!$C$2:$C$800,"* تعمیری",مرداد!$AC$2:$AC$800,S18)</f>
        <v>0</v>
      </c>
      <c r="T27" s="80">
        <f>SUMIFS(مرداد!$AQ$2:$AQ$800,مرداد!$C$2:$C$800,"* تعمیری",مرداد!$AC$2:$AC$800,T18)</f>
        <v>0</v>
      </c>
      <c r="U27" s="80">
        <f>SUMIFS(مرداد!$AQ$2:$AQ$800,مرداد!$C$2:$C$800,"* تعمیری",مرداد!$AC$2:$AC$800,U18)</f>
        <v>0</v>
      </c>
      <c r="V27" s="80">
        <f>SUMIFS(مرداد!$AQ$2:$AQ$800,مرداد!$C$2:$C$800,"* تعمیری",مرداد!$AC$2:$AC$800,V18)</f>
        <v>0</v>
      </c>
      <c r="W27" s="80">
        <f>SUMIFS(مرداد!$AQ$2:$AQ$800,مرداد!$C$2:$C$800,"* تعمیری",مرداد!$AC$2:$AC$800,W18)</f>
        <v>0</v>
      </c>
      <c r="X27" s="80">
        <f>SUMIFS(مرداد!$AQ$2:$AQ$800,مرداد!$C$2:$C$800,"* تعمیری",مرداد!$AC$2:$AC$800,X18)</f>
        <v>0</v>
      </c>
      <c r="Y27" s="80">
        <f>SUM(R27:X27)</f>
        <v>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2026-09-20T04:32:43Z</dcterms:modified>
</cp:coreProperties>
</file>