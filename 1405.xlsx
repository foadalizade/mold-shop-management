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977BC473-80EA-47E3-B878-FF57ECF5CA19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شهریور!$A$1:$AU$425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26" i="19" l="1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<sst xmlns="http://schemas.openxmlformats.org/spreadsheetml/2006/main" count="52921" uniqueCount="2117">
  <si>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</si>
  <si>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</si>
  <si>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</si>
  <si>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</si>
  <si>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</si>
  <si>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</si>
  <si>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</si>
  <si>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</si>
  <si>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</si>
  <si>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</si>
  <si>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</si>
  <si>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</si>
  <si>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</si>
  <si>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</si>
  <si>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</si>
  <si>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</si>
  <si>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</si>
  <si>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</si>
  <si>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</si>
  <si>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</si>
  <si>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</si>
  <si>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</si>
  <si>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</si>
  <si>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</si>
  <si>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</si>
  <si>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</si>
  <si>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</si>
  <si>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</si>
  <si>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</si>
  <si>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</si>
  <si>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</si>
  <si>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</si>
  <si>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</si>
  <si>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</si>
  <si>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</si>
  <si>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</si>
  <si>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</si>
  <si>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</si>
  <si>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</si>
  <si>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</si>
  <si>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</si>
  <si>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</si>
  <si>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</si>
  <si>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</si>
  <si>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</si>
  <si>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</si>
  <si>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</si>
  <si>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</si>
  <si>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</si>
  <si>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</si>
  <si>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</si>
  <si>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</si>
  <si>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</si>
  <si>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</si>
  <si>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</si>
  <si>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</si>
  <si>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</si>
  <si>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</si>
  <si>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</si>
  <si>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</si>
  <si>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</si>
  <si>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</si>
  <si>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</si>
  <si>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</si>
  <si>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</si>
  <si>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</si>
  <si>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</si>
  <si>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</si>
  <si>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</si>
  <si>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</si>
  <si>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</si>
  <si>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</si>
  <si>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</si>
  <si>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</si>
  <si>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</si>
  <si>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</si>
  <si>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</si>
  <si>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</si>
  <si>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</si>
  <si>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</si>
  <si>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</si>
  <si>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</si>
  <si>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</si>
  <si>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</si>
  <si>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</si>
  <si>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</si>
  <si>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</si>
  <si>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</si>
  <si>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</si>
  <si>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</si>
  <si>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</si>
  <si>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</si>
  <si>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</si>
  <si>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</si>
  <si>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</si>
  <si>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</si>
  <si>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</si>
  <si>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</si>
  <si>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</si>
  <si>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</si>
  <si>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</si>
  <si>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</si>
  <si>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</si>
  <si>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</si>
  <si>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</si>
  <si>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</si>
  <si>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</si>
  <si>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</si>
  <si>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</si>
  <si>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</si>
  <si>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</si>
  <si>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</si>
  <si>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</si>
  <si>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</si>
  <si>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</si>
  <si>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</si>
  <si>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</si>
  <si>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</si>
  <si>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</si>
  <si>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</si>
  <si>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</si>
  <si>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</si>
  <si>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</si>
  <si>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</si>
  <si>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</si>
  <si>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</si>
  <si>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</si>
  <si>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</si>
  <si>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</si>
  <si>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</si>
  <si>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</si>
  <si>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</si>
  <si>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</si>
  <si>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</si>
  <si>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</si>
  <si>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</si>
  <si>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</si>
  <si>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</si>
  <si>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</si>
  <si>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</si>
  <si>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</si>
  <si>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</si>
  <si>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</si>
  <si>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</si>
  <si>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</si>
  <si>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</si>
  <si>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</si>
  <si>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</si>
  <si>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</si>
  <si>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</si>
  <si>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</si>
  <si>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</si>
  <si>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</si>
  <si>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</si>
  <si>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</si>
  <si>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</si>
  <si>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</si>
  <si>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</si>
  <si>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</si>
  <si>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</si>
  <si>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</si>
  <si>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</si>
  <si>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</si>
  <si>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</si>
  <si>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</si>
  <si>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</si>
  <si>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</si>
  <si>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</si>
  <si>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</si>
  <si>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</si>
  <si>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</si>
  <si>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</si>
  <si>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</si>
  <si>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</si>
  <si>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</si>
  <si>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</si>
  <si>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</si>
  <si>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</si>
  <si>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</si>
  <si>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</si>
  <si>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</si>
  <si>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</si>
  <si>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</si>
  <si>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</si>
  <si>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</si>
  <si>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</si>
  <si>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</si>
  <si>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</si>
  <si>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</si>
  <si>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</si>
  <si>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</si>
  <si>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</si>
  <si>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</si>
  <si>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</si>
  <si>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</si>
  <si>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</si>
  <si>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</si>
  <si>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</si>
  <si>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</si>
  <si>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</si>
  <si>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</si>
  <si>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</si>
  <si>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</si>
  <si>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</si>
  <si>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</si>
  <si>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</si>
  <si>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</si>
  <si>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</si>
  <si>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</si>
  <si>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</si>
  <si>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</si>
  <si>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</si>
  <si>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</si>
  <si>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</si>
  <si>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</si>
  <si>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</si>
  <si>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</si>
  <si>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</si>
  <si>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</si>
  <si>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</si>
  <si>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</si>
  <si>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</si>
  <si>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</si>
  <si>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</si>
  <si>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</si>
  <si>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</si>
  <si>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</si>
  <si>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</si>
  <si>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</si>
  <si>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</si>
  <si>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</si>
  <si>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</si>
  <si>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</si>
  <si>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</si>
  <si>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</si>
  <si>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</si>
  <si>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</si>
  <si>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</si>
  <si>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</si>
  <si>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</si>
  <si>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</si>
  <si>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</si>
  <si>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</si>
  <si>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</si>
  <si>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</si>
  <si>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</si>
  <si>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</si>
  <si>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</si>
  <si>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</si>
  <si>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</si>
  <si>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</si>
  <si>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</si>
  <si>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</si>
  <si>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</si>
  <si>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</si>
  <si>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</si>
  <si>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</si>
  <si>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</si>
  <si>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</si>
  <si>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</si>
  <si>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</si>
  <si>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</si>
  <si>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</si>
  <si>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</si>
  <si>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</si>
  <si>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</si>
  <si>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</si>
  <si>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</si>
  <si>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</si>
  <si>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</si>
  <si>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</si>
  <si>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</si>
  <si>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</si>
  <si>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</si>
  <si>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</si>
  <si>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</si>
  <si>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</si>
  <si>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</si>
  <si>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</si>
  <si>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</si>
  <si>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</si>
  <si>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</si>
  <si>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</si>
  <si>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</si>
  <si>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</si>
  <si>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</si>
  <si>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</si>
  <si>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</si>
  <si>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</si>
  <si>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</si>
  <si>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</si>
  <si>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</si>
  <si>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</si>
  <si>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</si>
  <si>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</si>
  <si>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</si>
  <si>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</si>
  <si>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</si>
  <si>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</si>
  <si>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</si>
  <si>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</si>
  <si>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</si>
  <si>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</si>
  <si>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</si>
  <si>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</si>
  <si>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</si>
  <si>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</si>
  <si>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</si>
  <si>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</si>
  <si>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</si>
  <si>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</si>
  <si>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</si>
  <si>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</si>
  <si>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</si>
  <si>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</si>
  <si>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</si>
  <si>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</si>
  <si>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</si>
  <si>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</si>
  <si>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</si>
  <si>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</si>
  <si>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</si>
  <si>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</si>
  <si>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</si>
  <si>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</si>
  <si>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</si>
  <si>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</si>
  <si>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</si>
  <si>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</si>
  <si>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</si>
  <si>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</si>
  <si>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</si>
  <si>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</si>
  <si>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</si>
  <si>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</si>
  <si>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</si>
  <si>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</si>
  <si>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</si>
  <si>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</si>
  <si>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</si>
  <si>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</si>
  <si>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</si>
  <si>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</si>
  <si>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</si>
  <si>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</si>
  <si>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</si>
  <si>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</si>
  <si>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</si>
  <si>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</si>
  <si>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</si>
  <si>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</si>
  <si>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</si>
  <si>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</si>
  <si>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</si>
  <si>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</si>
  <si>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</si>
  <si>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</si>
  <si>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</si>
  <si>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</si>
  <si>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</si>
  <si>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</si>
  <si>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</si>
  <si>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</si>
  <si>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</si>
  <si>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</si>
  <si>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</si>
  <si>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</si>
  <si>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</si>
  <si>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</si>
  <si>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</si>
  <si>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</si>
  <si>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</si>
  <si>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</si>
  <si>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</si>
  <si>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</si>
  <si>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</si>
  <si>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</si>
  <si>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</si>
  <si>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</si>
  <si>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</si>
  <si>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</si>
  <si>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</si>
  <si>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</si>
  <si>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</si>
  <si>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</si>
  <si>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</si>
  <si>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</si>
  <si>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</si>
  <si>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</si>
  <si>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</si>
  <si>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</si>
  <si>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</si>
  <si>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</si>
  <si>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</si>
  <si>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</si>
  <si>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</si>
  <si>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</si>
  <si>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</si>
  <si>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</si>
  <si>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</si>
  <si>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</si>
  <si>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</si>
  <si>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</si>
  <si>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</si>
  <si>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</si>
  <si>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</si>
  <si>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</si>
  <si>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</si>
  <si>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</si>
  <si>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</si>
  <si>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</si>
  <si>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</si>
  <si>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</si>
  <si>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</si>
  <si>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</si>
  <si>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</si>
  <si>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</si>
  <si>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</si>
  <si>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</si>
  <si>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</si>
  <si>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</si>
  <si>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</si>
  <si>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</si>
  <si>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</si>
  <si>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</si>
  <si>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</si>
  <si>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</si>
  <si>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</si>
  <si>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</si>
  <si>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</si>
  <si>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</si>
  <si>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</si>
  <si>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</si>
  <si>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</si>
  <si>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</si>
  <si>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</si>
  <si>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</si>
  <si>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</si>
  <si>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</si>
  <si>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</si>
  <si>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</si>
  <si>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</si>
  <si>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</si>
  <si>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</si>
  <si>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</si>
  <si>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</si>
  <si>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</si>
  <si>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</si>
  <si>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</si>
  <si>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</si>
  <si>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</si>
  <si>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</si>
  <si>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</si>
  <si>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</si>
  <si>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</si>
  <si>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</si>
  <si>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</si>
  <si>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</si>
  <si>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</si>
  <si>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</si>
  <si>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</si>
  <si>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</si>
  <si>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</si>
  <si>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</si>
  <si>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</si>
  <si>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</si>
  <si>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</si>
  <si>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</si>
  <si>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</si>
  <si>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</si>
  <si>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</si>
  <si>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</si>
  <si>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</si>
  <si>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</si>
  <si>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</si>
  <si>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</si>
  <si>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</si>
  <si>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</si>
  <si>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</si>
  <si>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</si>
  <si>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</si>
  <si>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</si>
  <si>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</si>
  <si>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</si>
  <si>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</si>
  <si>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</si>
  <si>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</si>
  <si>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</si>
  <si>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</si>
  <si>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</si>
  <si>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</si>
  <si>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</si>
  <si>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</si>
  <si>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</si>
  <si>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</si>
  <si>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</si>
  <si>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</si>
  <si>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</si>
  <si>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</si>
  <si>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</si>
  <si>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</si>
  <si>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</si>
  <si>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</si>
  <si>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</si>
  <si>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</si>
  <si>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</si>
  <si>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</si>
  <si>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</si>
  <si>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</si>
  <si>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</si>
  <si>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</si>
  <si>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</si>
  <si>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</si>
  <si>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</si>
  <si>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</si>
  <si>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</si>
  <si>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</si>
  <si>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</si>
  <si>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</si>
  <si>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</si>
  <si>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</si>
  <si>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</si>
  <si>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</si>
  <si>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</si>
  <si>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</si>
  <si>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</si>
  <si>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</si>
  <si>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</si>
  <si>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</si>
  <si>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</si>
  <si>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</si>
  <si>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</si>
  <si>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</si>
  <si>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</si>
  <si>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</si>
  <si>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</si>
  <si>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</si>
  <si>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</si>
  <si>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</si>
  <si>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</si>
  <si>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</si>
  <si>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</si>
  <si>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</si>
  <si>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</si>
  <si>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</si>
  <si>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</si>
  <si>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</si>
  <si>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</si>
  <si>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</si>
  <si>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</si>
  <si>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</si>
  <si>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</si>
  <si>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</si>
  <si>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</si>
  <si>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</si>
  <si>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</si>
  <si>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</si>
  <si>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</si>
  <si>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</si>
  <si>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</si>
  <si>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</si>
  <si>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</si>
  <si>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</si>
  <si>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</si>
  <si>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</si>
  <si>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</si>
  <si>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</si>
  <si>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</si>
  <si>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</si>
  <si>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</si>
  <si>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</si>
  <si>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</si>
  <si>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</si>
  <si>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</si>
  <si>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</si>
  <si>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</si>
  <si>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</si>
  <si>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</si>
  <si>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</si>
  <si>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</si>
  <si>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</si>
  <si>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</si>
  <si>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</si>
  <si>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</si>
  <si>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</si>
  <si>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</si>
  <si>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</si>
  <si>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</si>
  <si>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</si>
  <si>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</si>
  <si>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</si>
  <si>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</si>
  <si>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</si>
  <si>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</si>
  <si>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</si>
  <si>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</si>
  <si>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</si>
  <si>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</si>
  <si>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</si>
  <si>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</si>
  <si>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</si>
  <si>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</si>
  <si>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</si>
  <si>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</si>
  <si>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</si>
  <si>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</si>
  <si>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</si>
  <si>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</si>
  <si>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</si>
  <si>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</si>
  <si>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</si>
  <si>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</si>
  <si>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</si>
  <si>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</si>
  <si>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</si>
  <si>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</si>
  <si>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</si>
  <si>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</si>
  <si>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</si>
  <si>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</si>
  <si>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</si>
  <si>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</si>
  <si>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</si>
  <si>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</si>
  <si>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</si>
  <si>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</si>
  <si>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</si>
  <si>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</si>
  <si>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</si>
  <si>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</si>
  <si>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</si>
  <si>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</si>
  <si>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</si>
  <si>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</si>
  <si>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</si>
  <si>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</si>
  <si>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</si>
  <si>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</si>
  <si>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</si>
  <si>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</si>
  <si>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</si>
  <si>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</si>
  <si>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</si>
  <si>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</si>
  <si>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</si>
  <si>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</si>
  <si>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</si>
  <si>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</si>
  <si>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</si>
  <si>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</si>
  <si>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</si>
  <si>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</si>
  <si>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</si>
  <si>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</si>
  <si>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</si>
  <si>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</si>
  <si>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</si>
  <si>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</si>
  <si>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</si>
  <si>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</si>
  <si>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</si>
  <si>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</si>
  <si>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</si>
  <si>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</si>
  <si>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</si>
  <si>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</si>
  <si>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</si>
  <si>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</si>
  <si>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</si>
  <si>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</si>
  <si>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</si>
  <si>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</si>
  <si>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</si>
  <si>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</si>
  <si>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</si>
  <si>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</si>
  <si>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</si>
  <si>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</si>
  <si>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</si>
  <si>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</si>
  <si>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</si>
  <si>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</si>
  <si>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</si>
  <si>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</si>
  <si>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</si>
  <si>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</si>
  <si>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</si>
  <si>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</si>
  <si>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</si>
  <si>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</si>
  <si>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</si>
  <si>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</si>
  <si>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</si>
  <si>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</si>
  <si>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</si>
  <si>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</si>
  <si>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</si>
  <si>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</si>
  <si>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</si>
  <si>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</si>
  <si>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</si>
  <si>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</si>
  <si>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</si>
  <si>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</si>
  <si>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</si>
  <si>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</si>
  <si>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</si>
  <si>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</si>
  <si>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</si>
  <si>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</si>
  <si>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</si>
  <si>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</si>
  <si>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</si>
  <si>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</si>
  <si>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</si>
  <si>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</si>
  <si>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</si>
  <si>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</si>
  <si>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</si>
  <si>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</si>
  <si>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</si>
  <si>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</si>
  <si>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</si>
  <si>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</si>
  <si>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</si>
  <si>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</si>
  <si>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</si>
  <si>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</si>
  <si>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</si>
  <si>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</si>
  <si>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</si>
  <si>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</si>
  <si>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</si>
  <si>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</si>
  <si>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</si>
  <si>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</si>
  <si>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</si>
  <si>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</si>
  <si>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</si>
  <si>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</si>
  <si>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</si>
  <si>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</si>
  <si>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</si>
  <si>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</si>
  <si>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</si>
  <si>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</si>
  <si>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</si>
  <si>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</si>
  <si>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</si>
  <si>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</si>
  <si>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</si>
  <si>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</si>
  <si>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</si>
  <si>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</si>
  <si>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</si>
  <si>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</si>
  <si>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</si>
  <si>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</si>
  <si>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</si>
  <si>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</si>
  <si>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</si>
  <si>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</si>
  <si>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</si>
  <si>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</si>
  <si>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</si>
  <si>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</si>
  <si>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</si>
  <si>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</si>
  <si>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</si>
  <si>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</si>
  <si>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</si>
  <si>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</si>
  <si>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</si>
  <si>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</si>
  <si>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</si>
  <si>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</si>
  <si>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</si>
  <si>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</si>
  <si>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</si>
  <si>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</si>
  <si>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</si>
  <si>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</si>
  <si>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</si>
  <si>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</si>
  <si>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</si>
  <si>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</si>
  <si>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</si>
  <si>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</si>
  <si>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</si>
  <si>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</si>
  <si>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</si>
  <si>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</si>
  <si>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</si>
  <si>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</si>
  <si>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</si>
  <si>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</si>
  <si>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</si>
  <si>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</si>
  <si>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</si>
  <si>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</si>
  <si>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</si>
  <si>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</si>
  <si>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</si>
  <si>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</si>
  <si>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</si>
  <si>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</si>
  <si>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</si>
  <si>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</si>
  <si>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</si>
  <si>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</si>
  <si>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</si>
  <si>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</si>
  <si>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</si>
  <si>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</si>
  <si>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</si>
  <si>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</si>
  <si>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</si>
  <si>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</si>
  <si>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</si>
  <si>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</si>
  <si>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</si>
  <si>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</si>
  <si>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</si>
  <si>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</si>
  <si>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</si>
  <si>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</si>
  <si>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</si>
  <si>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</si>
  <si>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</si>
  <si>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</si>
  <si>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</si>
  <si>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</si>
  <si>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</si>
  <si>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</si>
  <si>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</si>
  <si>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</si>
  <si>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</si>
  <si>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</si>
  <si>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</si>
  <si>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</si>
  <si>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</si>
  <si>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</si>
  <si>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</si>
  <si>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</si>
  <si>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</si>
  <si>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</si>
  <si>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</si>
  <si>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</si>
  <si>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</si>
  <si>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</si>
  <si>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</si>
  <si>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</si>
  <si>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</si>
  <si>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</si>
  <si>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</si>
  <si>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</si>
  <si>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</si>
  <si>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</si>
  <si>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</si>
  <si>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</si>
  <si>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</si>
  <si>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</si>
  <si>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</si>
  <si>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</si>
  <si>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</si>
  <si>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</si>
  <si>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</si>
  <si>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</si>
  <si>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</si>
  <si>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</si>
  <si>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</si>
  <si>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</si>
  <si>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</si>
  <si>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</si>
  <si>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</si>
  <si>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</si>
  <si>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</si>
  <si>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</si>
  <si>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</si>
  <si>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</si>
  <si>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</si>
  <si>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</si>
  <si>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</si>
  <si>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</si>
  <si>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</si>
  <si>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</si>
  <si>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</si>
  <si>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</si>
  <si>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</si>
  <si>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</si>
  <si>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</si>
  <si>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</si>
  <si>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</si>
  <si>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</si>
  <si>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</si>
  <si>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</si>
  <si>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</si>
  <si>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</si>
  <si>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</si>
  <si>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</si>
  <si>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</si>
  <si>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</si>
  <si>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</si>
  <si>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</si>
  <si>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</si>
  <si>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</si>
  <si>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</si>
  <si>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</si>
  <si>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</si>
  <si>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</si>
  <si>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</si>
  <si>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</si>
  <si>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</si>
  <si>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</si>
  <si>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</si>
  <si>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</si>
  <si>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</si>
  <si>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</si>
  <si>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</si>
  <si>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</si>
  <si>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</si>
  <si>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</si>
  <si>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</si>
  <si>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</si>
  <si>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</si>
  <si>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</si>
  <si>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</si>
  <si>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</si>
  <si>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</si>
  <si>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</si>
  <si>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</si>
  <si>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</si>
  <si>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</si>
  <si>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</si>
  <si>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</si>
  <si>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</si>
  <si>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</si>
  <si>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</si>
  <si>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</si>
  <si>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</si>
  <si>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</si>
  <si>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</si>
  <si>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</si>
  <si>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</si>
  <si>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</si>
  <si>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</si>
  <si>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</si>
  <si>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</si>
  <si>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</si>
  <si>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</si>
  <si>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</si>
  <si>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</si>
  <si>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</si>
  <si>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</si>
  <si>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</si>
  <si>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</si>
  <si>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</si>
  <si>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</si>
  <si>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</si>
  <si>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</si>
  <si>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</si>
  <si>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</si>
  <si>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</si>
  <si>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</si>
  <si>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</si>
  <si>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</si>
  <si>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</si>
  <si>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</si>
  <si>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</si>
  <si>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</si>
  <si>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</si>
  <si>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</si>
  <si>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</si>
  <si>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</si>
  <si>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</si>
  <si>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</si>
  <si>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</si>
  <si>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</si>
  <si>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</si>
  <si>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</si>
  <si>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</si>
  <si>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</si>
  <si>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</si>
  <si>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</si>
  <si>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</si>
  <si>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</si>
  <si>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</si>
  <si>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</si>
  <si>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</si>
  <si>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</si>
  <si>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</si>
  <si>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</si>
  <si>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</si>
  <si>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</si>
  <si>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</si>
  <si>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</si>
  <si>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</si>
  <si>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</si>
  <si>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</si>
  <si>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</si>
  <si>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</si>
  <si>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</si>
  <si>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</si>
  <si>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</si>
  <si>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</si>
  <si>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</si>
  <si>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</si>
  <si>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</si>
  <si>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</si>
  <si>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</si>
  <si>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</si>
  <si>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</si>
  <si>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</si>
  <si>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</si>
  <si>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</si>
  <si>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</si>
  <si>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</si>
  <si>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</si>
  <si>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</si>
  <si>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</si>
  <si>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</si>
  <si>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</si>
  <si>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</si>
  <si>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</si>
  <si>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</si>
  <si>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</si>
  <si>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</si>
  <si>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</si>
  <si>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</si>
  <si>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</si>
  <si>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</si>
  <si>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</si>
  <si>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</si>
  <si>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</si>
  <si>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</si>
  <si>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</si>
  <si>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</si>
  <si>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</si>
  <si>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</si>
  <si>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</si>
  <si>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</si>
  <si>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</si>
  <si>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</si>
  <si>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</si>
  <si>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</si>
  <si>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</si>
  <si>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</si>
  <si>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</si>
  <si>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</si>
  <si>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</si>
  <si>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</si>
  <si>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</si>
  <si>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</si>
  <si>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</si>
  <si>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</si>
  <si>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</si>
  <si>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</si>
  <si>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</si>
  <si>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</si>
  <si>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</si>
  <si>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</si>
  <si>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</si>
  <si>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</si>
  <si>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</si>
  <si>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</si>
  <si>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</si>
  <si>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</si>
  <si>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</si>
  <si>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</si>
  <si>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</si>
  <si>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</si>
  <si>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</si>
  <si>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</si>
  <si>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</si>
  <si>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</si>
  <si>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</si>
  <si>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</si>
  <si>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</si>
  <si>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</si>
  <si>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</si>
  <si>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</si>
  <si>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</si>
  <si>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</si>
  <si>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</si>
  <si>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</si>
  <si>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</si>
  <si>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</si>
  <si>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</si>
  <si>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</si>
  <si>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</si>
  <si>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</si>
  <si>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</si>
  <si>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</si>
  <si>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</si>
  <si>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</si>
  <si>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</si>
  <si>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</si>
  <si>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</si>
  <si>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</si>
  <si>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</si>
  <si>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</si>
  <si>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</si>
  <si>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</si>
  <si>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</si>
  <si>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</si>
  <si>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</si>
  <si>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</si>
  <si>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</si>
  <si>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</si>
  <si>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</si>
  <si>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</si>
  <si>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</si>
  <si>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</si>
  <si>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</si>
  <si>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</si>
  <si>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</si>
  <si>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</si>
  <si>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</si>
  <si>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</si>
  <si>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</si>
  <si>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</si>
  <si>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</si>
  <si>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</si>
  <si>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</si>
  <si>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</si>
  <si>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</si>
  <si>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</si>
  <si>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</si>
  <si>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</si>
  <si>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</si>
  <si>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</si>
  <si>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</si>
  <si>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</si>
  <si>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</si>
  <si>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</si>
  <si>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</si>
  <si>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</si>
  <si>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</si>
  <si>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</si>
  <si>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</si>
  <si>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</si>
  <si>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</si>
  <si>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</si>
  <si>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</si>
  <si>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</si>
  <si>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</si>
  <si>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</si>
  <si>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</si>
  <si>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</si>
  <si>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</si>
  <si>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</si>
  <si>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</si>
  <si>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</si>
  <si>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</si>
  <si>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</si>
  <si>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</si>
  <si>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</si>
  <si>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</si>
  <si>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</si>
  <si>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</si>
  <si>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</si>
  <si>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</si>
  <si>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</si>
  <si>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</si>
  <si>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</si>
  <si>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</si>
  <si>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</si>
  <si>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</si>
  <si>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</si>
  <si>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</si>
  <si>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</si>
  <si>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</si>
  <si>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</si>
  <si>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</si>
  <si>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</si>
  <si>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</si>
  <si>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</si>
  <si>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</si>
  <si>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</si>
  <si>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</si>
  <si>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</si>
  <si>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</si>
  <si>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</si>
  <si>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</si>
  <si>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</si>
  <si>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</si>
  <si>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</si>
  <si>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</si>
  <si>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</si>
  <si>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</si>
  <si>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</si>
  <si>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</si>
  <si>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</si>
  <si>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</si>
  <si>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</si>
  <si>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</si>
  <si>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</si>
  <si>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</si>
  <si>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</si>
  <si>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</si>
  <si>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</si>
  <si>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</si>
  <si>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</si>
  <si>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</si>
  <si>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</si>
  <si>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</si>
  <si>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</si>
  <si>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</si>
  <si>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</si>
  <si>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</si>
  <si>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</si>
  <si>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</si>
  <si>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</si>
  <si>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</si>
  <si>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</si>
  <si>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</si>
  <si>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</si>
  <si>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</si>
  <si>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</si>
  <si>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</si>
  <si>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</si>
  <si>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</si>
  <si>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</si>
  <si>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</si>
  <si>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</si>
  <si>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</si>
  <si>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</si>
  <si>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</si>
  <si>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</si>
  <si>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</si>
  <si>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</si>
  <si>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</si>
  <si>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</si>
  <si>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</si>
  <si>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</si>
  <si>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</si>
  <si>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</si>
  <si>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</si>
  <si>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</si>
  <si>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</si>
  <si>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</si>
  <si>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</si>
  <si>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</si>
  <si>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</si>
  <si>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</si>
  <si>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</si>
  <si>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</si>
  <si>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</si>
  <si>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</si>
  <si>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</si>
  <si>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</si>
  <si>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</si>
  <si>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</si>
  <si>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</si>
  <si>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</si>
  <si>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</si>
  <si>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</si>
  <si>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</si>
  <si>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</si>
  <si>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</si>
  <si>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</si>
  <si>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</si>
  <si>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</si>
  <si>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</si>
  <si>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</si>
  <si>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</si>
  <si>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</si>
  <si>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</si>
  <si>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</si>
  <si>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</si>
  <si>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</si>
  <si>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</si>
  <si>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</si>
  <si>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</si>
  <si>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</si>
  <si>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</si>
  <si>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</si>
  <si>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</si>
  <si>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</si>
  <si>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</si>
  <si>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</si>
  <si>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</si>
  <si>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</si>
  <si>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</si>
  <si>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</si>
  <si>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</si>
  <si>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</si>
  <si>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</si>
  <si>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</si>
  <si>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</si>
  <si>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</si>
  <si>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</si>
  <si>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</si>
  <si>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</si>
  <si>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</si>
  <si>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</si>
  <si>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</si>
  <si>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</si>
  <si>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</si>
  <si>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</si>
  <si>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</si>
  <si>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</si>
  <si>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</si>
  <si>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</si>
  <si>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</si>
  <si>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</si>
  <si>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</si>
  <si>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</si>
  <si>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</si>
  <si>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</si>
  <si>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</si>
  <si>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</si>
  <si>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</si>
  <si>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</si>
  <si>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</si>
  <si>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</si>
  <si>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</si>
  <si>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</si>
  <si>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</si>
  <si>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</si>
  <si>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</si>
  <si>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</si>
  <si>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</si>
  <si>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</si>
  <si>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</si>
  <si>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</si>
  <si>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</si>
  <si>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</si>
  <si>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</si>
  <si>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</si>
  <si>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</si>
  <si>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</si>
  <si>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</si>
  <si>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</si>
  <si>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</si>
  <si>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</si>
  <si>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</si>
  <si>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</si>
  <si>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</si>
  <si>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</si>
  <si>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</si>
  <si>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</si>
  <si>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</si>
  <si>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</si>
  <si>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</si>
  <si>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</si>
  <si>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</si>
  <si>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</si>
  <si>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</si>
  <si>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</si>
  <si>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</si>
  <si>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</si>
  <si>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</si>
  <si>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</si>
  <si>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</si>
  <si>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</si>
  <si>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</si>
  <si>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</si>
  <si>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</si>
  <si>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</si>
  <si>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</si>
  <si>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</si>
  <si>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</si>
  <si>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</si>
  <si>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</si>
  <si>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</si>
  <si>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</si>
  <si>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</si>
  <si>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</si>
  <si>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</si>
  <si>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</si>
  <si>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</si>
  <si>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</si>
  <si>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</si>
  <si>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</si>
  <si>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</si>
  <si>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</si>
  <si>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</si>
  <si>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</si>
  <si>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</si>
  <si>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</si>
  <si>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</si>
  <si>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</si>
  <si>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</si>
  <si>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</si>
  <si>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</si>
  <si>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</si>
  <si>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</si>
  <si>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</si>
  <si>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</si>
  <si>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</si>
  <si>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</si>
  <si>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</si>
  <si>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</si>
  <si>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</si>
  <si>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</si>
  <si>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</si>
  <si>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</si>
  <si>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</si>
  <si>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</si>
  <si>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</si>
  <si>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</si>
  <si>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</si>
  <si>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</si>
  <si>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</si>
  <si>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</si>
  <si>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</si>
  <si>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</si>
  <si>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</si>
  <si>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</si>
  <si>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</si>
  <si>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</si>
  <si>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</si>
  <si>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</si>
  <si>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</si>
  <si>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</si>
  <si>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</si>
  <si>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</si>
  <si>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</si>
  <si>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</si>
  <si>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</si>
  <si>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</si>
  <si>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</si>
  <si>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</si>
  <si>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</si>
  <si>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</si>
  <si>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</si>
  <si>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</si>
  <si>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</si>
  <si>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</si>
  <si>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</si>
  <si>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</si>
  <si>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</si>
  <si>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</si>
  <si>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</si>
  <si>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</si>
  <si>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</si>
  <si>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</si>
  <si>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</si>
  <si>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</si>
  <si>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</si>
  <si>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</si>
  <si>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</si>
  <si>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</si>
  <si>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</si>
  <si>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</si>
  <si>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</si>
  <si>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</si>
  <si>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</si>
  <si>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</si>
  <si>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</si>
  <si>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</si>
  <si>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</si>
  <si>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</si>
  <si>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</si>
  <si>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</si>
  <si>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</si>
  <si>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</si>
  <si>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</si>
  <si>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</si>
  <si>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</si>
  <si>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</si>
  <si>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</si>
  <si>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</si>
  <si>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</si>
  <si>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</si>
  <si>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</si>
  <si>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</si>
  <si>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</si>
  <si>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</si>
  <si>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</si>
  <si>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</si>
  <si>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</si>
  <si>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</si>
  <si>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</si>
  <si>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</si>
  <si>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</si>
  <si>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</si>
  <si>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</si>
  <si>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</si>
  <si>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</si>
  <si>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</si>
  <si>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</si>
  <si>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</si>
  <si>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</si>
  <si>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</si>
  <si>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</si>
  <si>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</si>
  <si>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</si>
  <si>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</si>
  <si>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</si>
  <si>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</si>
  <si>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</si>
  <si>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</si>
  <si>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</si>
  <si>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</si>
  <si>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</si>
  <si>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</si>
  <si>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</si>
  <si>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</si>
  <si>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</si>
  <si>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</si>
  <si>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</si>
  <si>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</si>
  <si>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</si>
  <si>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</si>
  <si>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</si>
  <si>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</si>
  <si>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</si>
  <si>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</si>
  <si>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</si>
  <si>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</si>
  <si>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</si>
  <si>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</si>
  <si>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</si>
  <si>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</si>
  <si>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</si>
  <si>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</si>
  <si>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</si>
  <si>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</si>
  <si>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</si>
  <si>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</si>
  <si>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</si>
  <si>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</si>
  <si>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</si>
  <si>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</si>
  <si>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</si>
  <si>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</si>
  <si>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</si>
  <si>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</si>
  <si>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</si>
  <si>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</si>
  <si>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</si>
  <si>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</si>
  <si>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</si>
  <si>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</si>
  <si>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</si>
  <si>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</si>
  <si>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</si>
  <si>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</si>
  <si>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</si>
  <si>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</si>
  <si>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</si>
  <si>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</si>
  <si>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</si>
  <si>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</si>
  <si>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</si>
  <si>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</si>
  <si>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</si>
  <si>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</si>
  <si>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</si>
  <si>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</si>
  <si>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</si>
  <si>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</si>
  <si>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</si>
  <si>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</si>
  <si>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</si>
  <si>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</si>
  <si>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</si>
  <si>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</si>
  <si>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</si>
  <si>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</si>
  <si>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</si>
  <si>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</si>
  <si>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</si>
  <si>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</si>
  <si>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</si>
  <si>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</si>
  <si>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</si>
  <si>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</si>
  <si>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</si>
  <si>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</si>
  <si>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</si>
  <si>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</si>
  <si>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</si>
  <si>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</si>
  <si>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</si>
  <si>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</si>
  <si>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</si>
  <si>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</si>
  <si>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</si>
  <si>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</si>
  <si>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</si>
  <si>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</si>
  <si>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</si>
  <si>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</si>
  <si>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</si>
  <si>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</si>
  <si>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</si>
  <si>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</si>
  <si>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</si>
  <si>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</si>
  <si>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</si>
  <si>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</si>
  <si>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</si>
  <si>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</si>
  <si>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</si>
  <si>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</si>
  <si>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</si>
  <si>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</si>
  <si>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</si>
  <si>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</si>
  <si>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</si>
  <si>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</si>
  <si>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</si>
  <si>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</si>
  <si>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</si>
  <si>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</si>
  <si>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</si>
  <si>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</si>
  <si>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</si>
  <si>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</si>
  <si>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</si>
  <si>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</si>
  <si>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</si>
  <si>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</si>
  <si>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</si>
  <si>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</si>
  <si>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</si>
  <si>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</si>
  <si>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</si>
  <si>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</si>
  <si>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</si>
  <si>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</si>
  <si>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</si>
  <si>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</si>
  <si>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</si>
  <si>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</si>
  <si>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</si>
  <si>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</si>
  <si>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</si>
  <si>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</si>
  <si>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</si>
  <si>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</si>
  <si>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</si>
  <si>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</si>
  <si>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</si>
  <si>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</si>
  <si>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</si>
  <si>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</si>
  <si>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</si>
  <si>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</si>
  <si>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</si>
  <si>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</si>
  <si>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</si>
  <si>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</si>
  <si>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</si>
  <si>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</si>
  <si>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</si>
  <si>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</si>
  <si>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</si>
  <si>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</si>
  <si>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</si>
  <si>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</si>
  <si>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</si>
  <si>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</si>
  <si>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</si>
  <si>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</si>
  <si>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</si>
  <si>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</si>
  <si>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</si>
  <si>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</si>
  <si>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</si>
  <si>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</si>
  <si>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</si>
  <si>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</si>
  <si>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</si>
  <si>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</si>
  <si>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</si>
  <si>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</si>
  <si>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</si>
  <si>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</si>
  <si>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</si>
  <si>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</si>
  <si>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</si>
  <si>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</si>
  <si>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</si>
  <si>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</si>
  <si>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</si>
  <si>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</si>
  <si>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</si>
  <si>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</si>
  <si>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</si>
  <si>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</si>
  <si>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</si>
  <si>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</si>
  <si>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</si>
  <si>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</si>
  <si>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</si>
  <si>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</si>
  <si>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</si>
  <si>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</si>
  <si>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</si>
  <si>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</si>
  <si>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</si>
  <si>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</si>
  <si>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</si>
  <si>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</si>
  <si>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</si>
  <si>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</si>
  <si>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</si>
  <si>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</si>
  <si>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</si>
  <si>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</si>
  <si>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</si>
  <si>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</si>
  <si>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</si>
  <si>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</si>
  <si>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</si>
  <si>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</si>
  <si>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</si>
  <si>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</si>
  <si>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</si>
  <si>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</si>
  <si>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</si>
  <si>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</si>
  <si>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</si>
  <si>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</si>
  <si>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</si>
  <si>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</si>
  <si>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</si>
  <si>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</si>
  <si>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</si>
  <si>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</si>
  <si>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</si>
  <si>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</si>
  <si>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</si>
  <si>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</si>
  <si>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</si>
  <si>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</si>
  <si>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</si>
  <si>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</si>
  <si>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</si>
  <si>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</si>
  <si>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</si>
  <si>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</si>
  <si>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</si>
  <si>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</si>
  <si>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</si>
  <si>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</si>
  <si>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</si>
  <si>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</si>
  <si>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</si>
  <si>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</si>
  <si>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</si>
  <si>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</si>
  <si>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</si>
  <si>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</si>
  <si>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</si>
  <si>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</si>
  <si>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</si>
  <si>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</si>
  <si>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</si>
  <si>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</si>
  <si>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</si>
  <si>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</si>
  <si>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</si>
  <si>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</si>
  <si>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</si>
  <si>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</si>
  <si>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</si>
  <si>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</si>
  <si>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</si>
  <si>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</si>
  <si>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</si>
  <si>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</si>
  <si>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</si>
  <si>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</si>
  <si>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</si>
  <si>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</si>
  <si>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</si>
  <si>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</si>
  <si>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</si>
  <si>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</si>
  <si>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</si>
  <si>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</si>
  <si>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</si>
  <si>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</si>
  <si>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</si>
  <si>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</si>
  <si>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</si>
  <si>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</si>
  <si>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</si>
  <si>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</si>
  <si>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</si>
  <si>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</si>
  <si>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</si>
  <si>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</si>
  <si>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</si>
  <si>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</si>
  <si>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</si>
  <si>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</si>
  <si>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</si>
  <si>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</si>
  <si>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</si>
  <si>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</si>
  <si>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</si>
  <si>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</si>
  <si>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</si>
  <si>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</si>
  <si>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</si>
  <si>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</si>
  <si>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</si>
  <si>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</si>
  <si>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</si>
  <si>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</si>
  <si>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</si>
  <si>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</si>
  <si>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</si>
  <si>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</si>
  <si>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</si>
  <si>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</si>
  <si>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</si>
  <si>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</si>
  <si>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</si>
  <si>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</si>
  <si>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</si>
  <si>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</si>
  <si>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</si>
  <si>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</si>
  <si>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</si>
  <si>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</si>
  <si>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</si>
  <si>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</si>
  <si>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</si>
  <si>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</si>
  <si>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</si>
  <si>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</si>
  <si>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</si>
  <si>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</si>
  <si>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</si>
  <si>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</si>
  <si>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</si>
  <si>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</si>
  <si>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</si>
  <si>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</si>
  <si>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</si>
  <si>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</si>
  <si>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</si>
  <si>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</si>
  <si>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</si>
  <si>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</si>
  <si>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</si>
  <si>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</si>
  <si>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</si>
  <si>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</si>
  <si>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</si>
  <si>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</si>
  <si>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</si>
  <si>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</si>
  <si>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</si>
  <si>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</si>
  <si>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</si>
  <si>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</si>
  <si>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</si>
  <si>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</si>
  <si>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</si>
  <si>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</si>
  <si>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</si>
  <si>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</si>
  <si>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</si>
  <si>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</si>
  <si>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</si>
  <si>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</si>
  <si>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</si>
  <si>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</si>
  <si>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</si>
  <si>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</si>
  <si>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</si>
  <si>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</si>
  <si>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</si>
  <si>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</si>
  <si>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</si>
  <si>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</si>
  <si>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</si>
  <si>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</si>
  <si>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</si>
  <si>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</si>
  <si>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</si>
  <si>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</si>
  <si>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</si>
  <si>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</si>
  <si>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</si>
  <si>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</si>
  <si>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</si>
  <si>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</si>
  <si>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</si>
  <si>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</si>
  <si>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</si>
  <si>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</si>
  <si>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</si>
  <si>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</si>
  <si>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</si>
  <si>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</si>
  <si>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</si>
  <si>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</si>
  <si>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</si>
  <si>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</si>
  <si>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</si>
  <si>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</si>
  <si>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</si>
  <si>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</si>
  <si>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</si>
  <si>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</si>
  <si>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</si>
  <si>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</si>
  <si>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</si>
  <si>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</si>
  <si>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</si>
  <si>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</si>
  <si>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</si>
  <si>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</si>
  <si>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</si>
  <si>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</si>
  <si>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</si>
  <si>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</si>
  <si>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</si>
  <si>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</si>
  <si>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</si>
  <si>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</si>
  <si>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</si>
  <si>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</si>
  <si>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</si>
  <si>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</si>
  <si>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</si>
  <si>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</si>
  <si>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</si>
  <si>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</si>
  <si>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</si>
  <si>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</si>
  <si>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</si>
  <si>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</si>
  <si>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</si>
  <si>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</si>
  <si>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</si>
  <si>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</si>
  <si>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</si>
  <si>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</si>
  <si>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</si>
  <si>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</si>
  <si>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</si>
  <si>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</si>
  <si>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</si>
  <si>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</si>
  <si>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</si>
  <si>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</si>
  <si>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</si>
  <si>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</si>
  <si>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</si>
  <si>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</si>
  <si>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</si>
  <si>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</si>
  <si>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</si>
  <si>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</si>
  <si>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</si>
  <si>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</si>
  <si>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</si>
  <si>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</si>
  <si>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</si>
  <si>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</si>
  <si>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</si>
  <si>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</si>
  <si>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</si>
  <si>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</si>
  <si>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</si>
  <si>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</si>
  <si>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</si>
  <si>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</si>
  <si>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</si>
  <si>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</si>
  <si>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</si>
  <si>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</si>
  <si>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</si>
  <si>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</si>
  <si>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</si>
  <si>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</si>
  <si>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</si>
  <si>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</si>
  <si>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</si>
  <si>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</si>
  <si>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</si>
  <si>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</si>
  <si>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</si>
  <si>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</si>
  <si>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</si>
  <si>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</si>
  <si>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</si>
  <si>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</si>
  <si>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</si>
  <si>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</si>
  <si>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</si>
  <si>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</si>
  <si>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</si>
  <si>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</si>
  <si>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</si>
  <si>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</si>
  <si>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</si>
  <si>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</si>
  <si>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</si>
  <si>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</si>
  <si>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</si>
  <si>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</si>
  <si>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</si>
  <si>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</si>
  <si>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</si>
  <si>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</si>
  <si>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</si>
  <si>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</si>
  <si>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</si>
  <si>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</si>
  <si>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</si>
  <si>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</si>
  <si>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</si>
  <si>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</si>
  <si>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</si>
  <si>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</si>
  <si>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</si>
  <si>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</si>
  <si>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</si>
  <si>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</si>
  <si>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</si>
  <si>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</si>
  <si>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</si>
  <si>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</si>
  <si>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</si>
  <si>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</si>
  <si>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</si>
  <si>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</si>
  <si>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</si>
  <si>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</si>
  <si>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</si>
  <si>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</si>
  <si>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</si>
  <si>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</si>
  <si>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</si>
  <si>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</si>
  <si>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</si>
  <si>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</si>
  <si>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</si>
  <si>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</si>
  <si>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</si>
  <si>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</si>
  <si>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</si>
  <si>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</si>
  <si>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</si>
  <si>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</si>
  <si>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</si>
  <si>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</si>
  <si>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</si>
  <si>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</si>
  <si>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</si>
  <si>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</si>
  <si>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</si>
  <si>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</si>
  <si>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</si>
  <si>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</si>
  <si>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</si>
  <si>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</si>
  <si>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</si>
  <si>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</si>
  <si>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</si>
  <si>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</si>
  <si>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</si>
  <si>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</si>
  <si>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</si>
  <si>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</si>
  <si>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</si>
  <si>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</si>
  <si>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</si>
  <si>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</si>
  <si>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</si>
  <si>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1405/06/19</t>
  </si>
  <si>
    <t>1405/06/20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</si>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</sst>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675.5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93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zoomScaleNormal="100" workbookViewId="0">
      <pane ySplit="1" topLeftCell="A674" activePane="bottomLeft" state="frozen"/>
      <selection pane="bottomLeft" activeCell="A681" sqref="A68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zoomScaleNormal="100" workbookViewId="0">
      <pane ySplit="1" topLeftCell="A785" activePane="bottomLeft" state="frozen"/>
      <selection activeCell="D1" sqref="D1"/>
      <selection pane="bottomLeft" activeCell="AH789" sqref="AH78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 filterMode="1">
    <tabColor rgb="FFFF0000"/>
  </sheetPr>
  <dimension ref="A1:BI1048576"/>
  <sheetViews>
    <sheetView rightToLeft="1" zoomScale="85" zoomScaleNormal="85" workbookViewId="0">
      <pane ySplit="1" topLeftCell="A496" activePane="bottomLeft" state="frozen"/>
      <selection activeCell="AH1" sqref="AH1"/>
      <selection pane="bottomLeft" activeCell="AG599" sqref="AG59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hidden="1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hidden="1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hidden="1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hidden="1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hidden="1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hidden="1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hidden="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hidden="1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hidden="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hidden="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hidden="1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hidden="1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hidden="1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hidden="1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hidden="1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hidden="1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hidden="1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hidden="1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hidden="1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hidden="1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hidden="1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hidden="1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hidden="1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hidden="1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hidden="1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hidden="1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hidden="1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hidden="1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hidden="1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hidden="1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hidden="1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hidden="1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hidden="1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hidden="1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hidden="1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hidden="1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hidden="1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hidden="1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hidden="1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hidden="1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idden="1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hidden="1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hidden="1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hidden="1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idden="1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idden="1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hidden="1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hidden="1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hidden="1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hidden="1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hidden="1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hidden="1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hidden="1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hidden="1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hidden="1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hidden="1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hidden="1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hidden="1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hidden="1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hidden="1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hidden="1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hidden="1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hidden="1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hidden="1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hidden="1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hidden="1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hidden="1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hidden="1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hidden="1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hidden="1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hidden="1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hidden="1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hidden="1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hidden="1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hidden="1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hidden="1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hidden="1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hidden="1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hidden="1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hidden="1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hidden="1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hidden="1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hidden="1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hidden="1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hidden="1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hidden="1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hidden="1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hidden="1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hidden="1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hidden="1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hidden="1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hidden="1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hidden="1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hidden="1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hidden="1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hidden="1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hidden="1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hidden="1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hidden="1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hidden="1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hidden="1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hidden="1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hidden="1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hidden="1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hidden="1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hidden="1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hidden="1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hidden="1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hidden="1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hidden="1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hidden="1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hidden="1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hidden="1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hidden="1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hidden="1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hidden="1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hidden="1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hidden="1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hidden="1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hidden="1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hidden="1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hidden="1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hidden="1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hidden="1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hidden="1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hidden="1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hidden="1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hidden="1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hidden="1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hidden="1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hidden="1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hidden="1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hidden="1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hidden="1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hidden="1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hidden="1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hidden="1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hidden="1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hidden="1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hidden="1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hidden="1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hidden="1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hidden="1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hidden="1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hidden="1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hidden="1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hidden="1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hidden="1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hidden="1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hidden="1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hidden="1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hidden="1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hidden="1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hidden="1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hidden="1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hidden="1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hidden="1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hidden="1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hidden="1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hidden="1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hidden="1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hidden="1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hidden="1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hidden="1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hidden="1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hidden="1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hidden="1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hidden="1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hidden="1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hidden="1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hidden="1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hidden="1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hidden="1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hidden="1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hidden="1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hidden="1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hidden="1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hidden="1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hidden="1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hidden="1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hidden="1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hidden="1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hidden="1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hidden="1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hidden="1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hidden="1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hidden="1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hidden="1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hidden="1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hidden="1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hidden="1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hidden="1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hidden="1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hidden="1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hidden="1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hidden="1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hidden="1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hidden="1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hidden="1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hidden="1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hidden="1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hidden="1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hidden="1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hidden="1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hidden="1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hidden="1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hidden="1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hidden="1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hidden="1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hidden="1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hidden="1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hidden="1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hidden="1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hidden="1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hidden="1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hidden="1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hidden="1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hidden="1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hidden="1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hidden="1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hidden="1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hidden="1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hidden="1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hidden="1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hidden="1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hidden="1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hidden="1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hidden="1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hidden="1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hidden="1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hidden="1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hidden="1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hidden="1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hidden="1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hidden="1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hidden="1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hidden="1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hidden="1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hidden="1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hidden="1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hidden="1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hidden="1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hidden="1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hidden="1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hidden="1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hidden="1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hidden="1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hidden="1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hidden="1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hidden="1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hidden="1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hidden="1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hidden="1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hidden="1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hidden="1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hidden="1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hidden="1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hidden="1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hidden="1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hidden="1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hidden="1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hidden="1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hidden="1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hidden="1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hidden="1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hidden="1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hidden="1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hidden="1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hidden="1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hidden="1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hidden="1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hidden="1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hidden="1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hidden="1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hidden="1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hidden="1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hidden="1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hidden="1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hidden="1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hidden="1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hidden="1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hidden="1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hidden="1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hidden="1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hidden="1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hidden="1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hidden="1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hidden="1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hidden="1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hidden="1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hidden="1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hidden="1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hidden="1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hidden="1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hidden="1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hidden="1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hidden="1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hidden="1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hidden="1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hidden="1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hidden="1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hidden="1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hidden="1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hidden="1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hidden="1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hidden="1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hidden="1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hidden="1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hidden="1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hidden="1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hidden="1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hidden="1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hidden="1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hidden="1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hidden="1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hidden="1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hidden="1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hidden="1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hidden="1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hidden="1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hidden="1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hidden="1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hidden="1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hidden="1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hidden="1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hidden="1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hidden="1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hidden="1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hidden="1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hidden="1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hidden="1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hidden="1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hidden="1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hidden="1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hidden="1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hidden="1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hidden="1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hidden="1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hidden="1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hidden="1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hidden="1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hidden="1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hidden="1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hidden="1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hidden="1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hidden="1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hidden="1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hidden="1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hidden="1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hidden="1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hidden="1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hidden="1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hidden="1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hidden="1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hidden="1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hidden="1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hidden="1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hidden="1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hidden="1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hidden="1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hidden="1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hidden="1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hidden="1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hidden="1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hidden="1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hidden="1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hidden="1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hidden="1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hidden="1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hidden="1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hidden="1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hidden="1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hidden="1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hidden="1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hidden="1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hidden="1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hidden="1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hidden="1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hidden="1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hidden="1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hidden="1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hidden="1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hidden="1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hidden="1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hidden="1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hidden="1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hidden="1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hidden="1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hidden="1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hidden="1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hidden="1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hidden="1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hidden="1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hidden="1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hidden="1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hidden="1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hidden="1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hidden="1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hidden="1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hidden="1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hidden="1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hidden="1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hidden="1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hidden="1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hidden="1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hidden="1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hidden="1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hidden="1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hidden="1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hidden="1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hidden="1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hidden="1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hidden="1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hidden="1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hidden="1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hidden="1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hidden="1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hidden="1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hidden="1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hidden="1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hidden="1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hidden="1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hidden="1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hidden="1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hidden="1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hidden="1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hidden="1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hidden="1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hidden="1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hidden="1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hidden="1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hidden="1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hidden="1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hidden="1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hidden="1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hidden="1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hidden="1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hidden="1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hidden="1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hidden="1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hidden="1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hidden="1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hidden="1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hidden="1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hidden="1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hidden="1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hidden="1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hidden="1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hidden="1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hidden="1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hidden="1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hidden="1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hidden="1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hidden="1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hidden="1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hidden="1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hidden="1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hidden="1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hidden="1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hidden="1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hidden="1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hidden="1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hidden="1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hidden="1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hidden="1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hidden="1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hidden="1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hidden="1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hidden="1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hidden="1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hidden="1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hidden="1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hidden="1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hidden="1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hidden="1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hidden="1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hidden="1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hidden="1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hidden="1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hidden="1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hidden="1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hidden="1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hidden="1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hidden="1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hidden="1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hidden="1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hidden="1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hidden="1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hidden="1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hidden="1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hidden="1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hidden="1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hidden="1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hidden="1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hidden="1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hidden="1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hidden="1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hidden="1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hidden="1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hidden="1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hidden="1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hidden="1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hidden="1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hidden="1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hidden="1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hidden="1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hidden="1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hidden="1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hidden="1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hidden="1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hidden="1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hidden="1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hidden="1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hidden="1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hidden="1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hidden="1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hidden="1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hidden="1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hidden="1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hidden="1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hidden="1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hidden="1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hidden="1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hidden="1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hidden="1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hidden="1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hidden="1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hidden="1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hidden="1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hidden="1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hidden="1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hidden="1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hidden="1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hidden="1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hidden="1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hidden="1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hidden="1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hidden="1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hidden="1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hidden="1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hidden="1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hidden="1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hidden="1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hidden="1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hidden="1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hidden="1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hidden="1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hidden="1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hidden="1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hidden="1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hidden="1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hidden="1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>
        <v>8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hidden="1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hidden="1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hidden="1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hidden="1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hidden="1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hidden="1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hidden="1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hidden="1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hidden="1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hidden="1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hidden="1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hidden="1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hidden="1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hidden="1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hidden="1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hidden="1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hidden="1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hidden="1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hidden="1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hidden="1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hidden="1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hidden="1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hidden="1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hidden="1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hidden="1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hidden="1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hidden="1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hidden="1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hidden="1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hidden="1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hidden="1" x14ac:dyDescent="0.25">
      <c r="V626" s="19"/>
      <c r="AF626" s="3">
        <f t="shared" si="47"/>
        <v>0</v>
      </c>
      <c r="AH626" s="3">
        <f t="shared" si="48"/>
        <v>0</v>
      </c>
    </row>
    <row r="627" spans="1:44" hidden="1" x14ac:dyDescent="0.25">
      <c r="V627" s="19"/>
      <c r="AF627" s="3">
        <f t="shared" si="47"/>
        <v>0</v>
      </c>
      <c r="AH627" s="3">
        <f t="shared" si="48"/>
        <v>0</v>
      </c>
    </row>
    <row r="628" spans="1:44" hidden="1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hidden="1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hidden="1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hidden="1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hidden="1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hidden="1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hidden="1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hidden="1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hidden="1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hidden="1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hidden="1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hidden="1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hidden="1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hidden="1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hidden="1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hidden="1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hidden="1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hidden="1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hidden="1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hidden="1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hidden="1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hidden="1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hidden="1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hidden="1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hidden="1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hidden="1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hidden="1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hidden="1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hidden="1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hidden="1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hidden="1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hidden="1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hidden="1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hidden="1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hidden="1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hidden="1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hidden="1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hidden="1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hidden="1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hidden="1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hidden="1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hidden="1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hidden="1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hidden="1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hidden="1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hidden="1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hidden="1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hidden="1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hidden="1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hidden="1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hidden="1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hidden="1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hidden="1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hidden="1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hidden="1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hidden="1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hidden="1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hidden="1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hidden="1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hidden="1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hidden="1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hidden="1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hidden="1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hidden="1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hidden="1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hidden="1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hidden="1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hidden="1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hidden="1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hidden="1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hidden="1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hidden="1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hidden="1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hidden="1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hidden="1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hidden="1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hidden="1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hidden="1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hidden="1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hidden="1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hidden="1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hidden="1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hidden="1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hidden="1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hidden="1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hidden="1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hidden="1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hidden="1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hidden="1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hidden="1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hidden="1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hidden="1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hidden="1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hidden="1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hidden="1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hidden="1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hidden="1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hidden="1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hidden="1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hidden="1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hidden="1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hidden="1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hidden="1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hidden="1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hidden="1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hidden="1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hidden="1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hidden="1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hidden="1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hidden="1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hidden="1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hidden="1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hidden="1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hidden="1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hidden="1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hidden="1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hidden="1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hidden="1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hidden="1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hidden="1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hidden="1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hidden="1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hidden="1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hidden="1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hidden="1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hidden="1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hidden="1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hidden="1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hidden="1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hidden="1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hidden="1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hidden="1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hidden="1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hidden="1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hidden="1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hidden="1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hidden="1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hidden="1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hidden="1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hidden="1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hidden="1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hidden="1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hidden="1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hidden="1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hidden="1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hidden="1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hidden="1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hidden="1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hidden="1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hidden="1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hidden="1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hidden="1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hidden="1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hidden="1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hidden="1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hidden="1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hidden="1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hidden="1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hidden="1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hidden="1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hidden="1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hidden="1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hidden="1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hidden="1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hidden="1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hidden="1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hidden="1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hidden="1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hidden="1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hidden="1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hidden="1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hidden="1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hidden="1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hidden="1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hidden="1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hidden="1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hidden="1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hidden="1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hidden="1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hidden="1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hidden="1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hidden="1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hidden="1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hidden="1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hidden="1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hidden="1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hidden="1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hidden="1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hidden="1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hidden="1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hidden="1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hidden="1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hidden="1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hidden="1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hidden="1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hidden="1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hidden="1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hidden="1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hidden="1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hidden="1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hidden="1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hidden="1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hidden="1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hidden="1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hidden="1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hidden="1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hidden="1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hidden="1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hidden="1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hidden="1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hidden="1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hidden="1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hidden="1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hidden="1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hidden="1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hidden="1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hidden="1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hidden="1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hidden="1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hidden="1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hidden="1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hidden="1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hidden="1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hidden="1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hidden="1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hidden="1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hidden="1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hidden="1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hidden="1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hidden="1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hidden="1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hidden="1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hidden="1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hidden="1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hidden="1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hidden="1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hidden="1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hidden="1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hidden="1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hidden="1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hidden="1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hidden="1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hidden="1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hidden="1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hidden="1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hidden="1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hidden="1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hidden="1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hidden="1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hidden="1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hidden="1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hidden="1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hidden="1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hidden="1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hidden="1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hidden="1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hidden="1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hidden="1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hidden="1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hidden="1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hidden="1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hidden="1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hidden="1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hidden="1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hidden="1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hidden="1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hidden="1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hidden="1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hidden="1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hidden="1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hidden="1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hidden="1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hidden="1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hidden="1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hidden="1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hidden="1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hidden="1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hidden="1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hidden="1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hidden="1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hidden="1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hidden="1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hidden="1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hidden="1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hidden="1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hidden="1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hidden="1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hidden="1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hidden="1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hidden="1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hidden="1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hidden="1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hidden="1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hidden="1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hidden="1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hidden="1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hidden="1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hidden="1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hidden="1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hidden="1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hidden="1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hidden="1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hidden="1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hidden="1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hidden="1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hidden="1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hidden="1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hidden="1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hidden="1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hidden="1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hidden="1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hidden="1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hidden="1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hidden="1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hidden="1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hidden="1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hidden="1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hidden="1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hidden="1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hidden="1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hidden="1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hidden="1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hidden="1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hidden="1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hidden="1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hidden="1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hidden="1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hidden="1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hidden="1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hidden="1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hidden="1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hidden="1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hidden="1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hidden="1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hidden="1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hidden="1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hidden="1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hidden="1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hidden="1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hidden="1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hidden="1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hidden="1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hidden="1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hidden="1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hidden="1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hidden="1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hidden="1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hidden="1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hidden="1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hidden="1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hidden="1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hidden="1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hidden="1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hidden="1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hidden="1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hidden="1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hidden="1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hidden="1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hidden="1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hidden="1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hidden="1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hidden="1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hidden="1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hidden="1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hidden="1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hidden="1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hidden="1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hidden="1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hidden="1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hidden="1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hidden="1" x14ac:dyDescent="0.25">
      <c r="I998" s="31"/>
      <c r="AF998" s="3">
        <f t="shared" si="61"/>
        <v>0</v>
      </c>
      <c r="AH998" s="3">
        <f t="shared" si="62"/>
        <v>0</v>
      </c>
    </row>
    <row r="999" spans="9:34" hidden="1" x14ac:dyDescent="0.25"/>
    <row r="1048576" spans="18:19" x14ac:dyDescent="0.25">
      <c r="R1048576" s="73"/>
      <c r="S1048576" s="73"/>
    </row>
  </sheetData>
  <autoFilter ref="A1:AQ999" xr:uid="{EBD16A14-FAF8-4694-A392-66F9E737703D}">
    <filterColumn colId="3">
      <filters>
        <filter val="باقری اصل"/>
      </filters>
    </filterColumn>
  </autoFilter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416" activePane="bottomLeft" state="frozen"/>
      <selection activeCell="Y1" sqref="Y1"/>
      <selection pane="bottomLeft" activeCell="B427" sqref="B427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26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2097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2097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2073</v>
      </c>
      <c r="S366" s="3" t="s">
        <v>939</v>
      </c>
      <c r="AB366" s="2" t="s">
        <v>267</v>
      </c>
      <c r="AC366" s="3" t="s">
        <v>2074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2074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2074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2074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2074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2074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2074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2074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2074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2074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2074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2074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2075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2074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2074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2074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2074</v>
      </c>
      <c r="AD381" s="3" t="s">
        <v>108</v>
      </c>
      <c r="AE381" s="1">
        <v>90</v>
      </c>
      <c r="AF381" s="1">
        <f t="shared" si="25"/>
        <v>1.5</v>
      </c>
      <c r="AO381" s="1" t="s">
        <v>2074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2074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2074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2074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2076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2081</v>
      </c>
      <c r="K385" s="19">
        <v>1</v>
      </c>
      <c r="N385" s="3" t="s">
        <v>38</v>
      </c>
      <c r="O385" s="129">
        <v>7605</v>
      </c>
      <c r="P385" s="2" t="s">
        <v>2082</v>
      </c>
      <c r="R385" s="73" t="s">
        <v>38</v>
      </c>
      <c r="AB385" s="2" t="s">
        <v>267</v>
      </c>
      <c r="AC385" s="3" t="s">
        <v>2074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2077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2081</v>
      </c>
      <c r="K386" s="19">
        <v>1</v>
      </c>
      <c r="N386" s="3" t="s">
        <v>38</v>
      </c>
      <c r="O386" s="129">
        <v>7605</v>
      </c>
      <c r="P386" s="2" t="s">
        <v>2084</v>
      </c>
      <c r="R386" s="73" t="s">
        <v>38</v>
      </c>
      <c r="AB386" s="2" t="s">
        <v>267</v>
      </c>
      <c r="AC386" s="3" t="s">
        <v>2074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2078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2081</v>
      </c>
      <c r="K387" s="19">
        <v>1</v>
      </c>
      <c r="N387" s="3" t="s">
        <v>38</v>
      </c>
      <c r="O387" s="129">
        <v>7605</v>
      </c>
      <c r="P387" s="2" t="s">
        <v>2083</v>
      </c>
      <c r="R387" s="73" t="s">
        <v>38</v>
      </c>
      <c r="AB387" s="2" t="s">
        <v>267</v>
      </c>
      <c r="AC387" s="3" t="s">
        <v>2074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2079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2081</v>
      </c>
      <c r="K388" s="19">
        <v>1</v>
      </c>
      <c r="N388" s="3" t="s">
        <v>38</v>
      </c>
      <c r="O388" s="129">
        <v>7604</v>
      </c>
      <c r="P388" s="2" t="s">
        <v>2085</v>
      </c>
      <c r="R388" s="73" t="s">
        <v>38</v>
      </c>
      <c r="AB388" s="2" t="s">
        <v>267</v>
      </c>
      <c r="AC388" s="3" t="s">
        <v>2074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2080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2081</v>
      </c>
      <c r="K389" s="19">
        <v>1</v>
      </c>
      <c r="N389" s="3" t="s">
        <v>38</v>
      </c>
      <c r="O389" s="129">
        <v>7604</v>
      </c>
      <c r="P389" s="2" t="s">
        <v>2080</v>
      </c>
      <c r="R389" s="73" t="s">
        <v>38</v>
      </c>
      <c r="AB389" s="2" t="s">
        <v>267</v>
      </c>
      <c r="AC389" s="3" t="s">
        <v>2074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2074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2074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2086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2074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2086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2074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2074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2087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2088</v>
      </c>
      <c r="K395" s="19">
        <v>2</v>
      </c>
      <c r="L395" s="3" t="s">
        <v>2089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2074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2090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2091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2074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2076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2081</v>
      </c>
      <c r="K397" s="73">
        <v>1</v>
      </c>
      <c r="N397" s="3" t="s">
        <v>57</v>
      </c>
      <c r="O397" s="129">
        <v>7302</v>
      </c>
      <c r="P397" s="2" t="s">
        <v>2082</v>
      </c>
      <c r="R397" s="3" t="s">
        <v>79</v>
      </c>
      <c r="AB397" s="2" t="s">
        <v>267</v>
      </c>
      <c r="AC397" s="3" t="s">
        <v>2074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2090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2092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2074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2093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2074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2094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2074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2074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2096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2095</v>
      </c>
      <c r="R403" s="73" t="s">
        <v>1810</v>
      </c>
      <c r="S403" s="3" t="s">
        <v>939</v>
      </c>
      <c r="AB403" s="2" t="s">
        <v>267</v>
      </c>
      <c r="AC403" s="3" t="s">
        <v>2096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2096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2096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2098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2099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2096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2096</v>
      </c>
      <c r="AD407" s="3" t="s">
        <v>108</v>
      </c>
      <c r="AE407" s="1">
        <v>720</v>
      </c>
      <c r="AF407" s="1">
        <f t="shared" si="25"/>
        <v>12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2101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2100</v>
      </c>
      <c r="R408" s="3" t="s">
        <v>38</v>
      </c>
      <c r="S408" s="3" t="s">
        <v>939</v>
      </c>
      <c r="AB408" s="2" t="s">
        <v>267</v>
      </c>
      <c r="AC408" s="3" t="s">
        <v>2096</v>
      </c>
      <c r="AD408" s="3" t="s">
        <v>75</v>
      </c>
      <c r="AE408" s="1">
        <v>180</v>
      </c>
      <c r="AF408" s="1">
        <f t="shared" si="25"/>
        <v>3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2096</v>
      </c>
      <c r="AD409" s="3" t="s">
        <v>1138</v>
      </c>
      <c r="AE409" s="1">
        <v>360</v>
      </c>
      <c r="AF409" s="1">
        <f t="shared" si="25"/>
        <v>6</v>
      </c>
    </row>
    <row r="410" spans="1:44" ht="30" x14ac:dyDescent="0.25">
      <c r="A410" s="3">
        <v>409</v>
      </c>
      <c r="B410" s="3" t="s">
        <v>2076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2081</v>
      </c>
      <c r="K410" s="73">
        <v>1</v>
      </c>
      <c r="N410" s="3" t="s">
        <v>38</v>
      </c>
      <c r="O410" s="129">
        <v>7604</v>
      </c>
      <c r="P410" s="2" t="s">
        <v>2082</v>
      </c>
      <c r="R410" s="73" t="s">
        <v>38</v>
      </c>
      <c r="AB410" s="2" t="s">
        <v>267</v>
      </c>
      <c r="AC410" s="3" t="s">
        <v>2096</v>
      </c>
      <c r="AD410" s="3" t="s">
        <v>88</v>
      </c>
      <c r="AE410" s="1">
        <v>180</v>
      </c>
      <c r="AF410" s="1">
        <f t="shared" si="25"/>
        <v>3</v>
      </c>
    </row>
    <row r="411" spans="1:44" ht="30" x14ac:dyDescent="0.25">
      <c r="A411" s="3">
        <v>410</v>
      </c>
      <c r="B411" s="3" t="s">
        <v>2079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2081</v>
      </c>
      <c r="K411" s="73">
        <v>1</v>
      </c>
      <c r="N411" s="3" t="s">
        <v>38</v>
      </c>
      <c r="O411" s="129">
        <v>7604</v>
      </c>
      <c r="P411" s="2" t="s">
        <v>2085</v>
      </c>
      <c r="R411" s="73" t="s">
        <v>38</v>
      </c>
      <c r="AB411" s="2" t="s">
        <v>267</v>
      </c>
      <c r="AC411" s="3" t="s">
        <v>2096</v>
      </c>
      <c r="AD411" s="3" t="s">
        <v>108</v>
      </c>
      <c r="AE411" s="1">
        <v>360</v>
      </c>
      <c r="AF411" s="1">
        <f t="shared" si="25"/>
        <v>6</v>
      </c>
    </row>
    <row r="412" spans="1:44" ht="30" x14ac:dyDescent="0.25">
      <c r="A412" s="3">
        <v>411</v>
      </c>
      <c r="B412" s="3" t="s">
        <v>2080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2081</v>
      </c>
      <c r="K412" s="73">
        <v>1</v>
      </c>
      <c r="N412" s="3" t="s">
        <v>38</v>
      </c>
      <c r="O412" s="129">
        <v>7604</v>
      </c>
      <c r="P412" s="2" t="s">
        <v>2080</v>
      </c>
      <c r="R412" s="73" t="s">
        <v>38</v>
      </c>
      <c r="AB412" s="2" t="s">
        <v>267</v>
      </c>
      <c r="AC412" s="3" t="s">
        <v>2096</v>
      </c>
      <c r="AD412" s="3" t="s">
        <v>108</v>
      </c>
      <c r="AE412" s="1">
        <v>360</v>
      </c>
      <c r="AF412" s="1">
        <f t="shared" ref="AF412:AF426" si="30">AE412/60</f>
        <v>6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2096</v>
      </c>
      <c r="AD413" s="3" t="s">
        <v>31</v>
      </c>
      <c r="AE413" s="1">
        <v>390</v>
      </c>
      <c r="AF413" s="1">
        <f t="shared" si="30"/>
        <v>6.5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2095</v>
      </c>
      <c r="R414" s="73" t="s">
        <v>36</v>
      </c>
      <c r="AB414" s="2" t="s">
        <v>267</v>
      </c>
      <c r="AC414" s="3" t="s">
        <v>2096</v>
      </c>
      <c r="AD414" s="3" t="s">
        <v>108</v>
      </c>
      <c r="AE414" s="1">
        <v>660</v>
      </c>
      <c r="AF414" s="1">
        <f t="shared" si="30"/>
        <v>11</v>
      </c>
    </row>
    <row r="415" spans="1:44" ht="45" x14ac:dyDescent="0.25">
      <c r="A415" s="3">
        <v>414</v>
      </c>
      <c r="B415" s="3" t="s">
        <v>2109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2110</v>
      </c>
      <c r="K415" s="19">
        <v>10</v>
      </c>
      <c r="L415" s="3" t="s">
        <v>139</v>
      </c>
      <c r="N415" s="3" t="s">
        <v>57</v>
      </c>
      <c r="O415" s="129">
        <v>7301</v>
      </c>
      <c r="P415" s="2" t="s">
        <v>2102</v>
      </c>
      <c r="Q415" s="3" t="s">
        <v>2111</v>
      </c>
      <c r="R415" s="3" t="s">
        <v>79</v>
      </c>
      <c r="S415" s="3" t="s">
        <v>939</v>
      </c>
      <c r="AB415" s="2" t="s">
        <v>267</v>
      </c>
      <c r="AC415" s="3" t="s">
        <v>2096</v>
      </c>
      <c r="AD415" s="3" t="s">
        <v>108</v>
      </c>
      <c r="AE415" s="1">
        <v>600</v>
      </c>
      <c r="AF415" s="1">
        <f t="shared" si="30"/>
        <v>10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2096</v>
      </c>
      <c r="AD416" s="3" t="s">
        <v>108</v>
      </c>
      <c r="AE416" s="1">
        <v>60</v>
      </c>
      <c r="AF416" s="1">
        <f t="shared" si="30"/>
        <v>1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2096</v>
      </c>
      <c r="AD417" s="3" t="s">
        <v>108</v>
      </c>
      <c r="AE417" s="1">
        <v>300</v>
      </c>
      <c r="AF417" s="1">
        <f t="shared" si="30"/>
        <v>5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2103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2104</v>
      </c>
      <c r="R418" s="3" t="s">
        <v>48</v>
      </c>
      <c r="S418" s="3" t="s">
        <v>939</v>
      </c>
      <c r="AB418" s="2" t="s">
        <v>267</v>
      </c>
      <c r="AC418" s="3" t="s">
        <v>2096</v>
      </c>
      <c r="AD418" s="3" t="s">
        <v>108</v>
      </c>
      <c r="AE418" s="1">
        <v>120</v>
      </c>
      <c r="AF418" s="1">
        <f t="shared" si="30"/>
        <v>2</v>
      </c>
    </row>
    <row r="419" spans="1:40" ht="30" x14ac:dyDescent="0.25">
      <c r="A419" s="3">
        <v>418</v>
      </c>
      <c r="B419" s="3" t="s">
        <v>2105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2106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2107</v>
      </c>
      <c r="S419" s="3" t="s">
        <v>939</v>
      </c>
      <c r="AB419" s="2" t="s">
        <v>267</v>
      </c>
      <c r="AC419" s="3" t="s">
        <v>2096</v>
      </c>
      <c r="AD419" s="3" t="s">
        <v>108</v>
      </c>
      <c r="AE419" s="1">
        <v>120</v>
      </c>
      <c r="AF419" s="1">
        <f t="shared" si="30"/>
        <v>2</v>
      </c>
    </row>
    <row r="420" spans="1:40" ht="30" x14ac:dyDescent="0.25">
      <c r="A420" s="3">
        <v>419</v>
      </c>
      <c r="B420" s="3" t="s">
        <v>2105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2106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2108</v>
      </c>
      <c r="AB420" s="2" t="s">
        <v>267</v>
      </c>
      <c r="AC420" s="3" t="s">
        <v>2096</v>
      </c>
      <c r="AD420" s="3" t="s">
        <v>108</v>
      </c>
      <c r="AE420" s="1">
        <v>360</v>
      </c>
      <c r="AF420" s="1">
        <f t="shared" si="30"/>
        <v>6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2112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2096</v>
      </c>
      <c r="AD421" s="3" t="s">
        <v>108</v>
      </c>
      <c r="AE421" s="1">
        <v>60</v>
      </c>
      <c r="AF421" s="1">
        <f t="shared" si="30"/>
        <v>1</v>
      </c>
      <c r="AN421" s="1" t="s">
        <v>2096</v>
      </c>
    </row>
    <row r="422" spans="1:40" ht="30" x14ac:dyDescent="0.25">
      <c r="A422" s="3">
        <v>421</v>
      </c>
      <c r="B422" s="3" t="s">
        <v>2113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2114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2096</v>
      </c>
      <c r="AD422" s="3" t="s">
        <v>108</v>
      </c>
      <c r="AE422" s="1">
        <v>30</v>
      </c>
      <c r="AF422" s="1">
        <f t="shared" si="30"/>
        <v>0.5</v>
      </c>
    </row>
    <row r="423" spans="1:40" ht="30" x14ac:dyDescent="0.25">
      <c r="A423" s="3">
        <v>422</v>
      </c>
      <c r="B423" s="3" t="s">
        <v>2113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2114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2096</v>
      </c>
      <c r="AD423" s="3" t="s">
        <v>108</v>
      </c>
      <c r="AE423" s="1">
        <v>30</v>
      </c>
      <c r="AF423" s="1">
        <f t="shared" si="30"/>
        <v>0.5</v>
      </c>
      <c r="AN423" s="1" t="s">
        <v>2096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2115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2116</v>
      </c>
      <c r="R424" s="3" t="s">
        <v>1812</v>
      </c>
      <c r="S424" s="3" t="s">
        <v>939</v>
      </c>
      <c r="AB424" s="2" t="s">
        <v>267</v>
      </c>
      <c r="AC424" s="3" t="s">
        <v>2096</v>
      </c>
      <c r="AD424" s="3" t="s">
        <v>108</v>
      </c>
      <c r="AE424" s="1">
        <v>120</v>
      </c>
      <c r="AF424" s="1">
        <f t="shared" si="30"/>
        <v>2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2096</v>
      </c>
      <c r="AD425" s="3" t="s">
        <v>108</v>
      </c>
      <c r="AE425" s="1">
        <v>120</v>
      </c>
      <c r="AF425" s="1">
        <f t="shared" si="30"/>
        <v>2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2096</v>
      </c>
      <c r="AD426" s="3" t="s">
        <v>108</v>
      </c>
      <c r="AE426" s="1">
        <v>300</v>
      </c>
      <c r="AF426" s="1">
        <f t="shared" si="30"/>
        <v>5</v>
      </c>
      <c r="AN426" s="1" t="s">
        <v>2096</v>
      </c>
    </row>
    <row r="427" spans="1:40" x14ac:dyDescent="0.25">
      <c r="F427" s="19"/>
    </row>
    <row r="428" spans="1:40" x14ac:dyDescent="0.25">
      <c r="F428" s="19"/>
    </row>
    <row r="429" spans="1:40" x14ac:dyDescent="0.25">
      <c r="F429" s="19"/>
    </row>
    <row r="430" spans="1:40" x14ac:dyDescent="0.25">
      <c r="F430" s="19"/>
    </row>
    <row r="431" spans="1:40" x14ac:dyDescent="0.25">
      <c r="F431" s="19"/>
    </row>
    <row r="432" spans="1:40" x14ac:dyDescent="0.25">
      <c r="F432" s="19"/>
    </row>
    <row r="433" spans="6:6" x14ac:dyDescent="0.25">
      <c r="F433" s="19"/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25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16" zoomScale="70" zoomScaleNormal="70" workbookViewId="0">
      <selection activeCell="R27" sqref="R27:X27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2002</v>
      </c>
      <c r="S18" s="104" t="s">
        <v>2013</v>
      </c>
      <c r="T18" s="104" t="s">
        <v>2028</v>
      </c>
      <c r="U18" s="104" t="s">
        <v>2044</v>
      </c>
      <c r="V18" s="104" t="s">
        <v>2041</v>
      </c>
      <c r="W18" s="104" t="s">
        <v>2071</v>
      </c>
      <c r="X18" s="104" t="s">
        <v>2072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0</v>
      </c>
      <c r="T19" s="80">
        <f>SUMIFS(شهریور!$AF$2:$AF$800,شهریور!$C$2:$C$800,P19,شهریور!$AC$2:$AC$800,$T$18)</f>
        <v>1</v>
      </c>
      <c r="U19" s="80">
        <f>SUMIFS(شهریور!$AF$2:$AF$800,شهریور!$C$2:$C$800,P19,شهریور!$AC$2:$AC$800,$U$18)</f>
        <v>4.5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5.5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63.5</v>
      </c>
      <c r="S21" s="80">
        <f>SUMIFS(شهریور!$AF$2:$AF$800,شهریور!$C$2:$C$800,P21,شهریور!$AC$2:$AC$800,$S$18)</f>
        <v>47.5</v>
      </c>
      <c r="T21" s="80">
        <f>SUMIFS(شهریور!$AF$2:$AF$800,شهریور!$C$2:$C$800,P21,شهریور!$AC$2:$AC$800,$T$18)</f>
        <v>54.833333333333329</v>
      </c>
      <c r="U21" s="80">
        <f>SUMIFS(شهریور!$AF$2:$AF$800,شهریور!$C$2:$C$800,P21,شهریور!$AC$2:$AC$800,$U$18)</f>
        <v>42.5</v>
      </c>
      <c r="V21" s="80">
        <f>SUMIFS(شهریور!$AF$2:$AF$800,شهریور!$C$2:$C$800,P21,شهریور!$AC$2:$AC$800,$V$18)</f>
        <v>82.5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290.83333333333331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14.5</v>
      </c>
      <c r="S22" s="80">
        <f>SUMIFS(شهریور!$AF$2:$AF$800,شهریور!$C$2:$C$800,P22,شهریور!$AC$2:$AC$800,$S$18)</f>
        <v>21.5</v>
      </c>
      <c r="T22" s="80">
        <f>SUMIFS(شهریور!$AF$2:$AF$800,شهریور!$C$2:$C$800,P22,شهریور!$AC$2:$AC$800,$T$18)</f>
        <v>33</v>
      </c>
      <c r="U22" s="80">
        <f>SUMIFS(شهریور!$AF$2:$AF$800,شهریور!$C$2:$C$800,P22,شهریور!$AC$2:$AC$800,$U$18)</f>
        <v>32</v>
      </c>
      <c r="V22" s="80">
        <f>SUMIFS(شهریور!$AF$2:$AF$800,شهریور!$C$2:$C$800,P22,شهریور!$AC$2:$AC$800,$V$18)</f>
        <v>35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136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7.5</v>
      </c>
      <c r="T23" s="80">
        <f>SUMIFS(شهریور!$AF$2:$AF$800,شهریور!$C$2:$C$800,P23,شهریور!$AC$2:$AC$800,$T$18)</f>
        <v>7.5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15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43.5</v>
      </c>
      <c r="S24" s="80">
        <f>SUMIFS(شهریور!$AF$2:$AF$800,شهریور!$C$2:$C$800,P24,شهریور!$AC$2:$AC$800,$S$18)</f>
        <v>40.5</v>
      </c>
      <c r="T24" s="80">
        <f>SUMIFS(شهریور!$AF$2:$AF$800,شهریور!$C$2:$C$800,P24,شهریور!$AC$2:$AC$800,$T$18)</f>
        <v>37.833333333333329</v>
      </c>
      <c r="U24" s="80">
        <f>SUMIFS(شهریور!$AF$2:$AF$800,شهریور!$C$2:$C$800,P24,شهریور!$AC$2:$AC$800,$U$18)</f>
        <v>31</v>
      </c>
      <c r="V24" s="80">
        <f>SUMIFS(شهریور!$AF$2:$AF$800,شهریور!$C$2:$C$800,P24,شهریور!$AC$2:$AC$800,$V$18)</f>
        <v>33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185.83333333333331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18</v>
      </c>
      <c r="S25" s="80">
        <f>SUMIFS(شهریور!$AF$2:$AF$800,شهریور!$C$2:$C$800,P25,شهریور!$AC$2:$AC$800,$S$18)</f>
        <v>7</v>
      </c>
      <c r="T25" s="80">
        <f>SUMIFS(شهریور!$AF$2:$AF$800,شهریور!$C$2:$C$800,P25,شهریور!$AC$2:$AC$800,$T$18)</f>
        <v>5.3333333333333339</v>
      </c>
      <c r="U25" s="80">
        <f>SUMIFS(شهریور!$AF$2:$AF$800,شهریور!$C$2:$C$800,P25,شهریور!$AC$2:$AC$800,$U$18)</f>
        <v>8</v>
      </c>
      <c r="V25" s="80">
        <f>SUMIFS(شهریور!$AF$2:$AF$800,شهریور!$C$2:$C$800,P25,شهریور!$AC$2:$AC$800,$V$18)</f>
        <v>4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42.333333333333336</v>
      </c>
      <c r="Z25" s="83">
        <f>SUM(Y19:Y25)</f>
        <v>675.5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18000000</v>
      </c>
      <c r="S26" s="80">
        <f>SUMIFS(شهریور!$AQ$2:$AQ$800,شهریور!$C$2:$C$800,"* نو",شهریور!$AC$2:$AC$800,S18)</f>
        <v>12000000</v>
      </c>
      <c r="T26" s="80">
        <f>SUMIFS(شهریور!$AQ$2:$AQ$800,شهریور!$C$2:$C$800,"* نو",شهریور!$AC$2:$AC$800,T18)</f>
        <v>16500000</v>
      </c>
      <c r="U26" s="80">
        <f>SUMIFS(شهریور!$AQ$2:$AQ$800,شهریور!$C$2:$C$800,"* نو",شهریور!$AC$2:$AC$800,U18)</f>
        <v>20250000</v>
      </c>
      <c r="V26" s="80">
        <f>SUMIFS(شهریور!$AQ$2:$AQ$800,شهریور!$C$2:$C$800,"* نو",شهریور!$AC$2:$AC$800,V18)</f>
        <v>18000000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84750000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7500000</v>
      </c>
      <c r="S27" s="80">
        <f>SUMIFS(شهریور!$AQ$2:$AQ$800,شهریور!$C$2:$C$800,"* تعمیری",شهریور!$AC$2:$AC$800,S18)</f>
        <v>12000000</v>
      </c>
      <c r="T27" s="80">
        <f>SUMIFS(شهریور!$AQ$2:$AQ$800,شهریور!$C$2:$C$800,"* تعمیری",شهریور!$AC$2:$AC$800,T18)</f>
        <v>11250000</v>
      </c>
      <c r="U27" s="80">
        <f>SUMIFS(شهریور!$AQ$2:$AQ$800,شهریور!$C$2:$C$800,"* تعمیری",شهریور!$AC$2:$AC$800,U18)</f>
        <v>11250000</v>
      </c>
      <c r="V27" s="80">
        <f>SUMIFS(شهریور!$AQ$2:$AQ$800,شهریور!$C$2:$C$800,"* تعمیری",شهریور!$AC$2:$AC$800,V18)</f>
        <v>8250000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50250000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25500000</v>
      </c>
      <c r="S29" s="107">
        <f t="shared" ref="S29:X29" si="4">SUM(S26:S27)</f>
        <v>24000000</v>
      </c>
      <c r="T29" s="107">
        <f t="shared" si="4"/>
        <v>27750000</v>
      </c>
      <c r="U29" s="107">
        <f t="shared" si="4"/>
        <v>31500000</v>
      </c>
      <c r="V29" s="107">
        <f t="shared" si="4"/>
        <v>26250000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139.5</v>
      </c>
      <c r="S30" s="105">
        <f t="shared" ref="S30:X30" si="5">SUM(S19:S25)</f>
        <v>124</v>
      </c>
      <c r="T30" s="105">
        <f t="shared" si="5"/>
        <v>139.5</v>
      </c>
      <c r="U30" s="105">
        <f t="shared" si="5"/>
        <v>118</v>
      </c>
      <c r="V30" s="105">
        <f t="shared" si="5"/>
        <v>154.5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2002</v>
      </c>
      <c r="S32" s="104" t="s">
        <v>2013</v>
      </c>
      <c r="T32" s="104" t="s">
        <v>2028</v>
      </c>
      <c r="U32" s="104" t="s">
        <v>2044</v>
      </c>
      <c r="V32" s="104" t="s">
        <v>2041</v>
      </c>
      <c r="W32" s="104" t="s">
        <v>2071</v>
      </c>
      <c r="X32" s="104" t="s">
        <v>2072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11</v>
      </c>
      <c r="S34" s="114">
        <f>SUMIFS(شهریور!$AF$2:$AF$800,شهریور!$AC$2:$AC$800,$S$32,شهریور!$O$2:$O$800,J34)</f>
        <v>11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6</v>
      </c>
      <c r="V34" s="114">
        <f>SUMIFS(شهریور!$AF$2:$AF$800,شهریور!$AC$2:$AC$800,$V$32,شهریور!$O$2:$O$800,J34)</f>
        <v>8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47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6.5</v>
      </c>
      <c r="U36" s="114">
        <f>SUMIFS(شهریور!$AF$2:$AF$800,شهریور!$AC$2:$AC$800,$U$32,شهریور!$O$2:$O$800,J36)</f>
        <v>6.5</v>
      </c>
      <c r="V36" s="114">
        <f>SUMIFS(شهریور!$AF$2:$AF$800,شهریور!$AC$2:$AC$800,$V$32,شهریور!$O$2:$O$800,J36)</f>
        <v>6.5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32.5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9.5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53.5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9.5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53.5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6.5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7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46.5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11</v>
      </c>
      <c r="S41" s="114">
        <f>SUMIFS(شهریور!$AF$2:$AF$800,شهریور!$AC$2:$AC$800,$S$32,شهریور!$O$2:$O$800,J41)</f>
        <v>8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52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9</v>
      </c>
      <c r="S42" s="114">
        <f>SUMIFS(شهریور!$AF$2:$AF$800,شهریور!$AC$2:$AC$800,$S$32,شهریور!$O$2:$O$800,J42)</f>
        <v>6</v>
      </c>
      <c r="T42" s="114">
        <f>SUMIFS(شهریور!$AF$2:$AF$800,شهریور!$AC$2:$AC$800,$T$32,شهریور!$O$2:$O$800,J42)</f>
        <v>7</v>
      </c>
      <c r="U42" s="114">
        <f>SUMIFS(شهریور!$AF$2:$AF$800,شهریور!$AC$2:$AC$800,$U$32,شهریور!$O$2:$O$800,J42)</f>
        <v>10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32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3</v>
      </c>
      <c r="T43" s="114">
        <f>SUMIFS(شهریور!$AF$2:$AF$800,شهریور!$AC$2:$AC$800,$T$32,شهریور!$O$2:$O$800,J43)</f>
        <v>3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11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17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0</v>
      </c>
      <c r="S44" s="114">
        <f>SUMIFS(شهریور!$AF$2:$AF$800,شهریور!$AC$2:$AC$800,$S$32,شهریور!$O$2:$O$800,J44)</f>
        <v>8</v>
      </c>
      <c r="T44" s="114">
        <f>SUMIFS(شهریور!$AF$2:$AF$800,شهریور!$AC$2:$AC$800,$T$32,شهریور!$O$2:$O$800,J44)</f>
        <v>4</v>
      </c>
      <c r="U44" s="114">
        <f>SUMIFS(شهریور!$AF$2:$AF$800,شهریور!$AC$2:$AC$800,$U$32,شهریور!$O$2:$O$800,J44)</f>
        <v>2</v>
      </c>
      <c r="V44" s="114">
        <f>SUMIFS(شهریور!$AF$2:$AF$800,شهریور!$AC$2:$AC$800,$V$32,شهریور!$O$2:$O$800,J44)</f>
        <v>0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14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0</v>
      </c>
      <c r="S45" s="114">
        <f>SUMIFS(شهریور!$AF$2:$AF$800,شهریور!$AC$2:$AC$800,$S$32,شهریور!$O$2:$O$800,J45)</f>
        <v>0</v>
      </c>
      <c r="T45" s="114">
        <f>SUMIFS(شهریور!$AF$2:$AF$800,شهریور!$AC$2:$AC$800,$T$32,شهریور!$O$2:$O$800,J45)</f>
        <v>0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11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11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11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44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0</v>
      </c>
      <c r="S47" s="114">
        <f>SUMIFS(شهریور!$AF$2:$AF$800,شهریور!$AC$2:$AC$800,$S$32,شهریور!$O$2:$O$800,J47)</f>
        <v>9</v>
      </c>
      <c r="T47" s="114">
        <f>SUMIFS(شهریور!$AF$2:$AF$800,شهریور!$AC$2:$AC$800,$T$32,شهریور!$O$2:$O$800,J47)</f>
        <v>12</v>
      </c>
      <c r="U47" s="114">
        <f>SUMIFS(شهریور!$AF$2:$AF$800,شهریور!$AC$2:$AC$800,$U$32,شهریور!$O$2:$O$800,J47)</f>
        <v>3</v>
      </c>
      <c r="V47" s="114">
        <f>SUMIFS(شهریور!$AF$2:$AF$800,شهریور!$AC$2:$AC$800,$V$32,شهریور!$O$2:$O$800,J47)</f>
        <v>12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36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12</v>
      </c>
      <c r="S48" s="114">
        <f>SUMIFS(شهریور!$AF$2:$AF$800,شهریور!$AC$2:$AC$800,$S$32,شهریور!$O$2:$O$800,J48)</f>
        <v>3</v>
      </c>
      <c r="T48" s="114">
        <f>SUMIFS(شهریور!$AF$2:$AF$800,شهریور!$AC$2:$AC$800,$T$32,شهریور!$O$2:$O$800,J48)</f>
        <v>7</v>
      </c>
      <c r="U48" s="114">
        <f>SUMIFS(شهریور!$AF$2:$AF$800,شهریور!$AC$2:$AC$800,$U$32,شهریور!$O$2:$O$800,J48)</f>
        <v>3</v>
      </c>
      <c r="V48" s="114">
        <f>SUMIFS(شهریور!$AF$2:$AF$800,شهریور!$AC$2:$AC$800,$V$32,شهریور!$O$2:$O$800,J48)</f>
        <v>9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34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12</v>
      </c>
      <c r="S50" s="114">
        <f>SUMIFS(شهریور!$AF$2:$AF$800,شهریور!$AC$2:$AC$800,$S$32,شهریور!$O$2:$O$800,J50)</f>
        <v>9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3</v>
      </c>
      <c r="V50" s="114">
        <f>SUMIFS(شهریور!$AF$2:$AF$800,شهریور!$AC$2:$AC$800,$V$32,شهریور!$O$2:$O$800,J50)</f>
        <v>9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33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0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4</v>
      </c>
      <c r="U51" s="114">
        <f>SUMIFS(شهریور!$AF$2:$AF$800,شهریور!$AC$2:$AC$800,$U$32,شهریور!$O$2:$O$800,J51)</f>
        <v>10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14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12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12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2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5</v>
      </c>
      <c r="U53" s="114">
        <f>SUMIFS(شهریور!$AF$2:$AF$800,شهریور!$AC$2:$AC$800,$U$32,شهریور!$O$2:$O$800,J53)</f>
        <v>2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9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5</v>
      </c>
      <c r="S55" s="114">
        <f>SUMIFS(شهریور!$AF$2:$AF$800,شهریور!$AC$2:$AC$800,$S$32,شهریور!$O$2:$O$800,J55)</f>
        <v>10</v>
      </c>
      <c r="T55" s="114">
        <f>SUMIFS(شهریور!$AF$2:$AF$800,شهریور!$AC$2:$AC$800,$T$32,شهریور!$O$2:$O$800,J55)</f>
        <v>14</v>
      </c>
      <c r="U55" s="114">
        <f>SUMIFS(شهریور!$AF$2:$AF$800,شهریور!$AC$2:$AC$800,$U$32,شهریور!$O$2:$O$800,J55)</f>
        <v>22.5</v>
      </c>
      <c r="V55" s="114">
        <f>SUMIFS(شهریور!$AF$2:$AF$800,شهریور!$AC$2:$AC$800,$V$32,شهریور!$O$2:$O$800,J55)</f>
        <v>16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67.5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4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2</v>
      </c>
      <c r="V56" s="114">
        <f>SUMIFS(شهریور!$AF$2:$AF$800,شهریور!$AC$2:$AC$800,$V$32,شهریور!$O$2:$O$800,J56)</f>
        <v>6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12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139.5</v>
      </c>
      <c r="S58" s="101">
        <f t="shared" ref="S58:X58" si="7">SUM(S34:S57)</f>
        <v>124</v>
      </c>
      <c r="T58" s="101">
        <f t="shared" si="7"/>
        <v>139.5</v>
      </c>
      <c r="U58" s="101">
        <f t="shared" si="7"/>
        <v>118</v>
      </c>
      <c r="V58" s="101">
        <f t="shared" si="7"/>
        <v>154.5</v>
      </c>
      <c r="W58" s="101">
        <f t="shared" si="7"/>
        <v>0</v>
      </c>
      <c r="X58" s="101">
        <f t="shared" si="7"/>
        <v>0</v>
      </c>
      <c r="Y58" s="102">
        <f>SUM(Y34:Y57)</f>
        <v>675.5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2026-09-21T04:34:09Z</dcterms:modified>
</cp:coreProperties>
</file>