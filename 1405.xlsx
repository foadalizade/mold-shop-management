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CCE78DF3-5CEF-4858-B054-E7C270C8238A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شهریور!$A$1:$AU$464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65" i="19" l="1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<sst xmlns="http://schemas.openxmlformats.org/spreadsheetml/2006/main" count="53518" uniqueCount="2136">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</sst>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390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23.5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 filterMode="1">
    <tabColor theme="9" tint="0.39997558519241921"/>
    <pageSetUpPr fitToPage="1"/>
  </sheetPr>
  <dimension ref="A1:AU1048576"/>
  <sheetViews>
    <sheetView rightToLeft="1" topLeftCell="C1" zoomScaleNormal="100" workbookViewId="0">
      <pane ySplit="1" topLeftCell="A9" activePane="bottomLeft" state="frozen"/>
      <selection activeCell="D1" sqref="D1"/>
      <selection pane="bottomLeft" activeCell="B9" sqref="B9:R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hidden="1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hidden="1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hidden="1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hidden="1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hidden="1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hidden="1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hidden="1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hidden="1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hidden="1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hidden="1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hidden="1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hidden="1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hidden="1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hidden="1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hidden="1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hidden="1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hidden="1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hidden="1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hidden="1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hidden="1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hidden="1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hidden="1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hidden="1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hidden="1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hidden="1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hidden="1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hidden="1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hidden="1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hidden="1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hidden="1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hidden="1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hidden="1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hidden="1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hidden="1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hidden="1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hidden="1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hidden="1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hidden="1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hidden="1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hidden="1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hidden="1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hidden="1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hidden="1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hidden="1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hidden="1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hidden="1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hidden="1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hidden="1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hidden="1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hidden="1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hidden="1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hidden="1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hidden="1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hidden="1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hidden="1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hidden="1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hidden="1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hidden="1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hidden="1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hidden="1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hidden="1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hidden="1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hidden="1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hidden="1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hidden="1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hidden="1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hidden="1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hidden="1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hidden="1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hidden="1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hidden="1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hidden="1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hidden="1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hidden="1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hidden="1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hidden="1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hidden="1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hidden="1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hidden="1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hidden="1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hidden="1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hidden="1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hidden="1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hidden="1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hidden="1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hidden="1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hidden="1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hidden="1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hidden="1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hidden="1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hidden="1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hidden="1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hidden="1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hidden="1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hidden="1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hidden="1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hidden="1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hidden="1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hidden="1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hidden="1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hidden="1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hidden="1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hidden="1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hidden="1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hidden="1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hidden="1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hidden="1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hidden="1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hidden="1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hidden="1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hidden="1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hidden="1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hidden="1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hidden="1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hidden="1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hidden="1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hidden="1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hidden="1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hidden="1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hidden="1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hidden="1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hidden="1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hidden="1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hidden="1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hidden="1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hidden="1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hidden="1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hidden="1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hidden="1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hidden="1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hidden="1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hidden="1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hidden="1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hidden="1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hidden="1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hidden="1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hidden="1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hidden="1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hidden="1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hidden="1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hidden="1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hidden="1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hidden="1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hidden="1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hidden="1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hidden="1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hidden="1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hidden="1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hidden="1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hidden="1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hidden="1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hidden="1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hidden="1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hidden="1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hidden="1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hidden="1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hidden="1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hidden="1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hidden="1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hidden="1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hidden="1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hidden="1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hidden="1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hidden="1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hidden="1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hidden="1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hidden="1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hidden="1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hidden="1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hidden="1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hidden="1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hidden="1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hidden="1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hidden="1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hidden="1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hidden="1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hidden="1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hidden="1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hidden="1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hidden="1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hidden="1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hidden="1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hidden="1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hidden="1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hidden="1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hidden="1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hidden="1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hidden="1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hidden="1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hidden="1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hidden="1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hidden="1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hidden="1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hidden="1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hidden="1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hidden="1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hidden="1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hidden="1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hidden="1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hidden="1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hidden="1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hidden="1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hidden="1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hidden="1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hidden="1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hidden="1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hidden="1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hidden="1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hidden="1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hidden="1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hidden="1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hidden="1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hidden="1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hidden="1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hidden="1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hidden="1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hidden="1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hidden="1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hidden="1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hidden="1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hidden="1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hidden="1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hidden="1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hidden="1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hidden="1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hidden="1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hidden="1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hidden="1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hidden="1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hidden="1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hidden="1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hidden="1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hidden="1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hidden="1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hidden="1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hidden="1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hidden="1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hidden="1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hidden="1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hidden="1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hidden="1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hidden="1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hidden="1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hidden="1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hidden="1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hidden="1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hidden="1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hidden="1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hidden="1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hidden="1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hidden="1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hidden="1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hidden="1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hidden="1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hidden="1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hidden="1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hidden="1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hidden="1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hidden="1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hidden="1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hidden="1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hidden="1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hidden="1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hidden="1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hidden="1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hidden="1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hidden="1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hidden="1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hidden="1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hidden="1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hidden="1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hidden="1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hidden="1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hidden="1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hidden="1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hidden="1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hidden="1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hidden="1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hidden="1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hidden="1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hidden="1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hidden="1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hidden="1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hidden="1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hidden="1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hidden="1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hidden="1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hidden="1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hidden="1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hidden="1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hidden="1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hidden="1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hidden="1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hidden="1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hidden="1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hidden="1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hidden="1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hidden="1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hidden="1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hidden="1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hidden="1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hidden="1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hidden="1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hidden="1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hidden="1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hidden="1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hidden="1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hidden="1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hidden="1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hidden="1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hidden="1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hidden="1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hidden="1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hidden="1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hidden="1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hidden="1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hidden="1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hidden="1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hidden="1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hidden="1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hidden="1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hidden="1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hidden="1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hidden="1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hidden="1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hidden="1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hidden="1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hidden="1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hidden="1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hidden="1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hidden="1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hidden="1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hidden="1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hidden="1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hidden="1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hidden="1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hidden="1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hidden="1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hidden="1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hidden="1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hidden="1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hidden="1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hidden="1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hidden="1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hidden="1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hidden="1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hidden="1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hidden="1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hidden="1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hidden="1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hidden="1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hidden="1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hidden="1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hidden="1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hidden="1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hidden="1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hidden="1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hidden="1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hidden="1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hidden="1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hidden="1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hidden="1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hidden="1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hidden="1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hidden="1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hidden="1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hidden="1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hidden="1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hidden="1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hidden="1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hidden="1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hidden="1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hidden="1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hidden="1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hidden="1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hidden="1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hidden="1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hidden="1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hidden="1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hidden="1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hidden="1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hidden="1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hidden="1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hidden="1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hidden="1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hidden="1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hidden="1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hidden="1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hidden="1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hidden="1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hidden="1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hidden="1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hidden="1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hidden="1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hidden="1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hidden="1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hidden="1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hidden="1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hidden="1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hidden="1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hidden="1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hidden="1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hidden="1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hidden="1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hidden="1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hidden="1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hidden="1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hidden="1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hidden="1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hidden="1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hidden="1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hidden="1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hidden="1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hidden="1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hidden="1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hidden="1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hidden="1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hidden="1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hidden="1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hidden="1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hidden="1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hidden="1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hidden="1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hidden="1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hidden="1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hidden="1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hidden="1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hidden="1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hidden="1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hidden="1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hidden="1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hidden="1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hidden="1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hidden="1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hidden="1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hidden="1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hidden="1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hidden="1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hidden="1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hidden="1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hidden="1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hidden="1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hidden="1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hidden="1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hidden="1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hidden="1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hidden="1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hidden="1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hidden="1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hidden="1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hidden="1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hidden="1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hidden="1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hidden="1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hidden="1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hidden="1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hidden="1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hidden="1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hidden="1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hidden="1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hidden="1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hidden="1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hidden="1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hidden="1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hidden="1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hidden="1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hidden="1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hidden="1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hidden="1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hidden="1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hidden="1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hidden="1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hidden="1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hidden="1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hidden="1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hidden="1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hidden="1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hidden="1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hidden="1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hidden="1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hidden="1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hidden="1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hidden="1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hidden="1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hidden="1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hidden="1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hidden="1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hidden="1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hidden="1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hidden="1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hidden="1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hidden="1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hidden="1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hidden="1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hidden="1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hidden="1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hidden="1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hidden="1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hidden="1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hidden="1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hidden="1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hidden="1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hidden="1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hidden="1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hidden="1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hidden="1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hidden="1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hidden="1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hidden="1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hidden="1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hidden="1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hidden="1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hidden="1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hidden="1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hidden="1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hidden="1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hidden="1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hidden="1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hidden="1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hidden="1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hidden="1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hidden="1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hidden="1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hidden="1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hidden="1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hidden="1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hidden="1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hidden="1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hidden="1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hidden="1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hidden="1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hidden="1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hidden="1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hidden="1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hidden="1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hidden="1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hidden="1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hidden="1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hidden="1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hidden="1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hidden="1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hidden="1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hidden="1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hidden="1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hidden="1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hidden="1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hidden="1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hidden="1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hidden="1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hidden="1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hidden="1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hidden="1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hidden="1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hidden="1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hidden="1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hidden="1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hidden="1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hidden="1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hidden="1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hidden="1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hidden="1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hidden="1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hidden="1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hidden="1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hidden="1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hidden="1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hidden="1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hidden="1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hidden="1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hidden="1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hidden="1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hidden="1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hidden="1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hidden="1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hidden="1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hidden="1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hidden="1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hidden="1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hidden="1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hidden="1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hidden="1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hidden="1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hidden="1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hidden="1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hidden="1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hidden="1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hidden="1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hidden="1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hidden="1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hidden="1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hidden="1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hidden="1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hidden="1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hidden="1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hidden="1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hidden="1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hidden="1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hidden="1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hidden="1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hidden="1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hidden="1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hidden="1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hidden="1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hidden="1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hidden="1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hidden="1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hidden="1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hidden="1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hidden="1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hidden="1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hidden="1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hidden="1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hidden="1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hidden="1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hidden="1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hidden="1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hidden="1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hidden="1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hidden="1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hidden="1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hidden="1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hidden="1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hidden="1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hidden="1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hidden="1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hidden="1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hidden="1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hidden="1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hidden="1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hidden="1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hidden="1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hidden="1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hidden="1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hidden="1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hidden="1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hidden="1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hidden="1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hidden="1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hidden="1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hidden="1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hidden="1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hidden="1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hidden="1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hidden="1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hidden="1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hidden="1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hidden="1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hidden="1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hidden="1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hidden="1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hidden="1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hidden="1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hidden="1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hidden="1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hidden="1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hidden="1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hidden="1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hidden="1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hidden="1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hidden="1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hidden="1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hidden="1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hidden="1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hidden="1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hidden="1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hidden="1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hidden="1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hidden="1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hidden="1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hidden="1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hidden="1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hidden="1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hidden="1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hidden="1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hidden="1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hidden="1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hidden="1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hidden="1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hidden="1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hidden="1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hidden="1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hidden="1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hidden="1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hidden="1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hidden="1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hidden="1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hidden="1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hidden="1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hidden="1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hidden="1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hidden="1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hidden="1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hidden="1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hidden="1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hidden="1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hidden="1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hidden="1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hidden="1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hidden="1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hidden="1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hidden="1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hidden="1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hidden="1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hidden="1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hidden="1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hidden="1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hidden="1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hidden="1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hidden="1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hidden="1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hidden="1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hidden="1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hidden="1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hidden="1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hidden="1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hidden="1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hidden="1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hidden="1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hidden="1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hidden="1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hidden="1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hidden="1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hidden="1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hidden="1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hidden="1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hidden="1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hidden="1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hidden="1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hidden="1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hidden="1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hidden="1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hidden="1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hidden="1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hidden="1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hidden="1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hidden="1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hidden="1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hidden="1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hidden="1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hidden="1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hidden="1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hidden="1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hidden="1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hidden="1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hidden="1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hidden="1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hidden="1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hidden="1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hidden="1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hidden="1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hidden="1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hidden="1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hidden="1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hidden="1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hidden="1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hidden="1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hidden="1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hidden="1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hidden="1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hidden="1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hidden="1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hidden="1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hidden="1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hidden="1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hidden="1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hidden="1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hidden="1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hidden="1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hidden="1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hidden="1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hidden="1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hidden="1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>
    <filterColumn colId="1">
      <filters>
        <filter val="صفحات 50*50 پخت کلاچ"/>
      </filters>
    </filterColumn>
  </autoFilter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4" activePane="bottomLeft" state="frozen"/>
      <selection activeCell="AH1" sqref="AH1"/>
      <selection pane="bottomLeft" activeCell="B594" sqref="B594:K59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idden="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hidden="1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hidden="1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hidden="1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hidden="1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hidden="1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hidden="1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hidden="1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hidden="1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hidden="1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hidden="1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hidden="1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hidden="1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hidden="1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hidden="1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hidden="1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hidden="1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hidden="1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hidden="1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hidden="1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hidden="1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hidden="1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hidden="1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hidden="1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hidden="1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hidden="1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hidden="1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hidden="1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hidden="1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hidden="1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hidden="1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hidden="1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hidden="1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hidden="1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hidden="1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hidden="1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hidden="1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hidden="1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hidden="1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hidden="1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hidden="1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hidden="1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1">
      <filters>
        <filter val="پخت کلاچ پراید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56" activePane="bottomLeft" state="frozen"/>
      <selection activeCell="Y1" sqref="Y1"/>
      <selection pane="bottomLeft" activeCell="B467" sqref="B467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6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65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2100</v>
      </c>
      <c r="Q415" s="3" t="s">
        <v>2109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0"/>
        <v>1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0"/>
        <v>0.5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0"/>
        <v>5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0"/>
        <v>1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0"/>
        <v>4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0"/>
        <v>2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0"/>
        <v>3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0"/>
        <v>3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0"/>
        <v>1.5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0"/>
        <v>3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0"/>
        <v>3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0"/>
        <v>0.5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0"/>
        <v>11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0"/>
        <v>2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0"/>
        <v>2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0"/>
        <v>4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0"/>
        <v>3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0"/>
        <v>4</v>
      </c>
    </row>
    <row r="465" spans="1:32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0"/>
        <v>2</v>
      </c>
    </row>
    <row r="466" spans="1:32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64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R55" sqref="R5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19</v>
      </c>
      <c r="U21" s="80">
        <f>SUMIFS(شهریور!$AF$2:$AF$800,شهریور!$C$2:$C$800,P21,شهریور!$AC$2:$AC$800,$U$18)</f>
        <v>3.5</v>
      </c>
      <c r="V21" s="80">
        <f>SUMIFS(شهریور!$AF$2:$AF$800,شهریور!$C$2:$C$800,P21,شهریور!$AC$2:$AC$800,$V$18)</f>
        <v>5.5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144.5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</v>
      </c>
      <c r="U22" s="80">
        <f>SUMIFS(شهریور!$AF$2:$AF$800,شهریور!$C$2:$C$800,P22,شهریور!$AC$2:$AC$800,$U$18)</f>
        <v>2</v>
      </c>
      <c r="V22" s="80">
        <f>SUMIFS(شهریور!$AF$2:$AF$800,شهریور!$C$2:$C$800,P22,شهریور!$AC$2:$AC$800,$V$18)</f>
        <v>0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91.5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21</v>
      </c>
      <c r="U24" s="80">
        <f>SUMIFS(شهریور!$AF$2:$AF$800,شهریور!$C$2:$C$800,P24,شهریور!$AC$2:$AC$800,$U$18)</f>
        <v>11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119.5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</v>
      </c>
      <c r="U25" s="80">
        <f>SUMIFS(شهریور!$AF$2:$AF$800,شهریور!$C$2:$C$800,P25,شهریور!$AC$2:$AC$800,$U$18)</f>
        <v>2.5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34.5</v>
      </c>
      <c r="Z25" s="83">
        <f>SUM(Y19:Y25)</f>
        <v>391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44</v>
      </c>
      <c r="U30" s="105">
        <f t="shared" si="5"/>
        <v>19</v>
      </c>
      <c r="V30" s="105">
        <f t="shared" si="5"/>
        <v>20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0</v>
      </c>
      <c r="U38" s="114">
        <f>SUMIFS(شهریور!$AF$2:$AF$800,شهریور!$AC$2:$AC$800,$U$32,شهریور!$O$2:$O$800,J38)</f>
        <v>0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22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0</v>
      </c>
      <c r="U39" s="114">
        <f>SUMIFS(شهریور!$AF$2:$AF$800,شهریور!$AC$2:$AC$800,$U$32,شهریور!$O$2:$O$800,J39)</f>
        <v>0</v>
      </c>
      <c r="V39" s="114">
        <f>SUMIFS(شهریور!$AF$2:$AF$800,شهریور!$AC$2:$AC$800,$V$32,شهریور!$O$2:$O$800,J39)</f>
        <v>0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22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0</v>
      </c>
      <c r="U40" s="114">
        <f>SUMIFS(شهریور!$AF$2:$AF$800,شهریور!$AC$2:$AC$800,$U$32,شهریور!$O$2:$O$800,J40)</f>
        <v>0</v>
      </c>
      <c r="V40" s="114">
        <f>SUMIFS(شهریور!$AF$2:$AF$800,شهریور!$AC$2:$AC$800,$V$32,شهریور!$O$2:$O$800,J40)</f>
        <v>0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22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0</v>
      </c>
      <c r="U41" s="114">
        <f>SUMIFS(شهریور!$AF$2:$AF$800,شهریور!$AC$2:$AC$800,$U$32,شهریور!$O$2:$O$800,J41)</f>
        <v>0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23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8</v>
      </c>
      <c r="U55" s="114">
        <f>SUMIFS(شهریور!$AF$2:$AF$800,شهریور!$AC$2:$AC$800,$U$32,شهریور!$O$2:$O$800,J55)</f>
        <v>4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54.5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7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23.5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44</v>
      </c>
      <c r="U58" s="101">
        <f t="shared" si="7"/>
        <v>19</v>
      </c>
      <c r="V58" s="101">
        <f t="shared" si="7"/>
        <v>20</v>
      </c>
      <c r="W58" s="101">
        <f t="shared" si="7"/>
        <v>0</v>
      </c>
      <c r="X58" s="101">
        <f t="shared" si="7"/>
        <v>0</v>
      </c>
      <c r="Y58" s="102">
        <f>SUM(Y34:Y57)</f>
        <v>390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2026-09-21T09:28:49Z</dcterms:modified>
</cp:coreProperties>
</file>