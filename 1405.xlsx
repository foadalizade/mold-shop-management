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D38CFE4A-C1F4-4BD0-BBBC-73302B2A5ADC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شهریور!$A$1:$AU$514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16" i="19" l="1"/>
  <c r="AF515" i="19"/>
  <c r="AF514" i="19"/>
  <c r="AF513" i="19"/>
  <c r="AH512" i="19"/>
  <c r="AF512" i="19"/>
  <c r="AH486" i="19"/>
  <c r="AH487" i="19"/>
  <c r="AH488" i="19"/>
  <c r="AH489" i="19"/>
  <c r="AH490" i="19"/>
  <c r="AH491" i="19"/>
  <c r="AH492" i="19"/>
  <c r="AH493" i="19"/>
  <c r="AH494" i="19"/>
  <c r="AH495" i="19"/>
  <c r="AH496" i="19"/>
  <c r="AH497" i="19"/>
  <c r="AH498" i="19"/>
  <c r="AH499" i="19"/>
  <c r="AH500" i="19"/>
  <c r="AH501" i="19"/>
  <c r="AH502" i="19"/>
  <c r="AH503" i="19"/>
  <c r="AH504" i="19"/>
  <c r="AH505" i="19"/>
  <c r="AH506" i="19"/>
  <c r="AH507" i="19"/>
  <c r="AH508" i="19"/>
  <c r="AH509" i="19"/>
  <c r="AH510" i="19"/>
  <c r="AH511" i="19"/>
  <c r="AF511" i="19"/>
  <c r="AF510" i="19"/>
  <c r="AF509" i="19"/>
  <c r="AF508" i="19"/>
  <c r="AF507" i="19"/>
  <c r="AF506" i="19"/>
  <c r="AF505" i="19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<sst xmlns="http://schemas.openxmlformats.org/spreadsheetml/2006/main" count="54259" uniqueCount="2163">
  <si>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</si>
  <si>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</si>
  <si>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</si>
  <si>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</si>
  <si>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</si>
  <si>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</si>
  <si>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</si>
  <si>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</si>
  <si>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</si>
  <si>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</si>
  <si>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</si>
  <si>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</si>
  <si>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</si>
  <si>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</si>
  <si>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</si>
  <si>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</si>
  <si>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</si>
  <si>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</si>
  <si>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</si>
  <si>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</si>
  <si>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</si>
  <si>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</si>
  <si>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</si>
  <si>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</si>
  <si>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</si>
  <si>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</si>
  <si>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</si>
  <si>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</si>
  <si>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</si>
  <si>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</si>
  <si>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</si>
  <si>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</si>
  <si>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</si>
  <si>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</si>
  <si>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</si>
  <si>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</si>
  <si>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</si>
  <si>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</si>
  <si>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</si>
  <si>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</si>
  <si>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</si>
  <si>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</si>
  <si>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</si>
  <si>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</si>
  <si>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</si>
  <si>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</si>
  <si>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</si>
  <si>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</si>
  <si>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</si>
  <si>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</si>
  <si>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</si>
  <si>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</si>
  <si>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</si>
  <si>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</si>
  <si>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</si>
  <si>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</si>
  <si>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</si>
  <si>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</si>
  <si>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</si>
  <si>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</si>
  <si>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</si>
  <si>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</si>
  <si>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</si>
  <si>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</si>
  <si>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</si>
  <si>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</si>
  <si>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</si>
  <si>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</si>
  <si>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</si>
  <si>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</si>
  <si>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</si>
  <si>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</si>
  <si>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</si>
  <si>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</si>
  <si>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</si>
  <si>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</si>
  <si>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</si>
  <si>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</si>
  <si>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</si>
  <si>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</si>
  <si>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</si>
  <si>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</si>
  <si>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</si>
  <si>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</si>
  <si>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</si>
  <si>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</si>
  <si>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</si>
  <si>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</si>
  <si>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</si>
  <si>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</si>
  <si>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</si>
  <si>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</si>
  <si>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</si>
  <si>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</si>
  <si>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</si>
  <si>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</si>
  <si>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</si>
  <si>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</si>
  <si>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</si>
  <si>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</si>
  <si>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</si>
  <si>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</si>
  <si>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</si>
  <si>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</si>
  <si>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</si>
  <si>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</si>
  <si>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</si>
  <si>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</si>
  <si>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</si>
  <si>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</si>
  <si>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</si>
  <si>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</si>
  <si>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</si>
  <si>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</si>
  <si>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</si>
  <si>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</si>
  <si>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</si>
  <si>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</si>
  <si>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</si>
  <si>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</si>
  <si>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</si>
  <si>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</si>
  <si>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</si>
  <si>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</si>
  <si>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</si>
  <si>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</si>
  <si>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</si>
  <si>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</si>
  <si>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</si>
  <si>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</si>
  <si>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</si>
  <si>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</si>
  <si>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</si>
  <si>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</si>
  <si>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</si>
  <si>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</si>
  <si>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</si>
  <si>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</si>
  <si>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</si>
  <si>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</si>
  <si>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</si>
  <si>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</si>
  <si>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</si>
  <si>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</si>
  <si>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</si>
  <si>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</si>
  <si>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</si>
  <si>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</si>
  <si>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</si>
  <si>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</si>
  <si>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</si>
  <si>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</si>
  <si>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</si>
  <si>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</si>
  <si>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</si>
  <si>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</si>
  <si>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</si>
  <si>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</si>
  <si>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</si>
  <si>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</si>
  <si>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</si>
  <si>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</si>
  <si>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</si>
  <si>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</si>
  <si>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</si>
  <si>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</si>
  <si>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</si>
  <si>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</si>
  <si>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</si>
  <si>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</si>
  <si>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</si>
  <si>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</si>
  <si>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</si>
  <si>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</si>
  <si>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</si>
  <si>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</si>
  <si>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</si>
  <si>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</si>
  <si>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</si>
  <si>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</si>
  <si>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</si>
  <si>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</si>
  <si>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</si>
  <si>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</si>
  <si>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</si>
  <si>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</si>
  <si>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</si>
  <si>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</si>
  <si>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</si>
  <si>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</si>
  <si>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</si>
  <si>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</si>
  <si>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</si>
  <si>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</si>
  <si>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</si>
  <si>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</si>
  <si>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</si>
  <si>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</si>
  <si>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</si>
  <si>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</si>
  <si>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</si>
  <si>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</si>
  <si>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</si>
  <si>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</si>
  <si>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</si>
  <si>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</si>
  <si>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</si>
  <si>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</si>
  <si>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</si>
  <si>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</si>
  <si>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</si>
  <si>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</si>
  <si>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</si>
  <si>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</si>
  <si>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</si>
  <si>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</si>
  <si>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</si>
  <si>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</si>
  <si>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</si>
  <si>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</si>
  <si>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</si>
  <si>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</si>
  <si>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</si>
  <si>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</si>
  <si>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</si>
  <si>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</si>
  <si>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</si>
  <si>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</si>
  <si>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</si>
  <si>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</si>
  <si>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</si>
  <si>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</si>
  <si>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</si>
  <si>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</si>
  <si>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</si>
  <si>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</si>
  <si>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</si>
  <si>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</si>
  <si>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</si>
  <si>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</si>
  <si>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</si>
  <si>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</si>
  <si>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</si>
  <si>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</si>
  <si>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</si>
  <si>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</si>
  <si>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</si>
  <si>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</si>
  <si>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</si>
  <si>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</si>
  <si>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</si>
  <si>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</si>
  <si>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</si>
  <si>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</si>
  <si>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</si>
  <si>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</si>
  <si>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</si>
  <si>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</si>
  <si>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</si>
  <si>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</si>
  <si>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</si>
  <si>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</si>
  <si>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</si>
  <si>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</si>
  <si>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</si>
  <si>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</si>
  <si>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</si>
  <si>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</si>
  <si>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</si>
  <si>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</si>
  <si>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</si>
  <si>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</si>
  <si>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</si>
  <si>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</si>
  <si>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</si>
  <si>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</si>
  <si>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</si>
  <si>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</si>
  <si>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</si>
  <si>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</si>
  <si>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</si>
  <si>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</si>
  <si>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</si>
  <si>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</si>
  <si>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</si>
  <si>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</si>
  <si>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</si>
  <si>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</si>
  <si>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</si>
  <si>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</si>
  <si>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</si>
  <si>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</si>
  <si>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</si>
  <si>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</si>
  <si>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</si>
  <si>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</si>
  <si>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</si>
  <si>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</si>
  <si>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</si>
  <si>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</si>
  <si>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</si>
  <si>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</si>
  <si>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</si>
  <si>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</si>
  <si>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</si>
  <si>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</si>
  <si>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</si>
  <si>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</si>
  <si>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</si>
  <si>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</si>
  <si>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</si>
  <si>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</si>
  <si>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</si>
  <si>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</si>
  <si>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</si>
  <si>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</si>
  <si>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</si>
  <si>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</si>
  <si>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</si>
  <si>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</si>
  <si>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</si>
  <si>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</si>
  <si>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</si>
  <si>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</si>
  <si>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</si>
  <si>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</si>
  <si>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</si>
  <si>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</si>
  <si>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</si>
  <si>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</si>
  <si>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</si>
  <si>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</si>
  <si>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</si>
  <si>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</si>
  <si>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</si>
  <si>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</si>
  <si>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</si>
  <si>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</si>
  <si>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</si>
  <si>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</si>
  <si>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</si>
  <si>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</si>
  <si>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</si>
  <si>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</si>
  <si>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</si>
  <si>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</si>
  <si>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</si>
  <si>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</si>
  <si>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</si>
  <si>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</si>
  <si>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</si>
  <si>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</si>
  <si>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</si>
  <si>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</si>
  <si>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</si>
  <si>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</si>
  <si>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</si>
  <si>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</si>
  <si>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</si>
  <si>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</si>
  <si>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</si>
  <si>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</si>
  <si>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</si>
  <si>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</si>
  <si>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</si>
  <si>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</si>
  <si>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</si>
  <si>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</si>
  <si>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</si>
  <si>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</si>
  <si>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</si>
  <si>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</si>
  <si>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</si>
  <si>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</si>
  <si>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</si>
  <si>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</si>
  <si>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</si>
  <si>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</si>
  <si>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</si>
  <si>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</si>
  <si>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</si>
  <si>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</si>
  <si>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</si>
  <si>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</si>
  <si>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</si>
  <si>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</si>
  <si>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</si>
  <si>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</si>
  <si>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</si>
  <si>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</si>
  <si>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</si>
  <si>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</si>
  <si>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</si>
  <si>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</si>
  <si>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</si>
  <si>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</si>
  <si>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</si>
  <si>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</si>
  <si>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</si>
  <si>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</si>
  <si>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</si>
  <si>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</si>
  <si>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</si>
  <si>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</si>
  <si>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</si>
  <si>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</si>
  <si>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</si>
  <si>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</si>
  <si>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</si>
  <si>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</si>
  <si>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</si>
  <si>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</si>
  <si>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</si>
  <si>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</si>
  <si>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</si>
  <si>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</si>
  <si>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</si>
  <si>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</si>
  <si>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</si>
  <si>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</si>
  <si>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</si>
  <si>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</si>
  <si>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</si>
  <si>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</si>
  <si>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</si>
  <si>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</si>
  <si>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</si>
  <si>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</si>
  <si>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</si>
  <si>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</si>
  <si>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</si>
  <si>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</si>
  <si>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</si>
  <si>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</si>
  <si>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</si>
  <si>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</si>
  <si>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</si>
  <si>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</si>
  <si>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</si>
  <si>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</si>
  <si>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</si>
  <si>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</si>
  <si>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</si>
  <si>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</si>
  <si>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</si>
  <si>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</si>
  <si>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</si>
  <si>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</si>
  <si>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</si>
  <si>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</si>
  <si>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</si>
  <si>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</si>
  <si>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</si>
  <si>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</si>
  <si>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</si>
  <si>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</si>
  <si>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</si>
  <si>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</si>
  <si>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</si>
  <si>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</si>
  <si>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</si>
  <si>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</si>
  <si>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</si>
  <si>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</si>
  <si>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</si>
  <si>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</si>
  <si>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</si>
  <si>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</si>
  <si>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</si>
  <si>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</si>
  <si>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</si>
  <si>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</si>
  <si>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</si>
  <si>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</si>
  <si>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</si>
  <si>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</si>
  <si>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</si>
  <si>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</si>
  <si>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</si>
  <si>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</si>
  <si>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</si>
  <si>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</si>
  <si>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</si>
  <si>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</si>
  <si>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</si>
  <si>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</si>
  <si>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</si>
  <si>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</si>
  <si>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</si>
  <si>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</si>
  <si>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</si>
  <si>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</si>
  <si>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</si>
  <si>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</si>
  <si>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</si>
  <si>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</si>
  <si>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</si>
  <si>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</si>
  <si>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</si>
  <si>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</si>
  <si>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</si>
  <si>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</si>
  <si>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</si>
  <si>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</si>
  <si>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</si>
  <si>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</si>
  <si>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</si>
  <si>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</si>
  <si>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</si>
  <si>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</si>
  <si>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</si>
  <si>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</si>
  <si>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</si>
  <si>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</si>
  <si>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</si>
  <si>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</si>
  <si>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</si>
  <si>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</si>
  <si>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</si>
  <si>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</si>
  <si>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</si>
  <si>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</si>
  <si>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</si>
  <si>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</si>
  <si>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</si>
  <si>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</si>
  <si>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</si>
  <si>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</si>
  <si>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</si>
  <si>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</si>
  <si>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</si>
  <si>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</si>
  <si>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</si>
  <si>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</si>
  <si>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</si>
  <si>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</si>
  <si>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</si>
  <si>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</si>
  <si>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</si>
  <si>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</si>
  <si>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</si>
  <si>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</si>
  <si>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</si>
  <si>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</si>
  <si>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</si>
  <si>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</si>
  <si>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</si>
  <si>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</si>
  <si>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</si>
  <si>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</si>
  <si>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</si>
  <si>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</si>
  <si>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</si>
  <si>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</si>
  <si>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</si>
  <si>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</si>
  <si>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</si>
  <si>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</si>
  <si>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</si>
  <si>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</si>
  <si>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</si>
  <si>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</si>
  <si>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</si>
  <si>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</si>
  <si>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</si>
  <si>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</si>
  <si>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</si>
  <si>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</si>
  <si>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</si>
  <si>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</si>
  <si>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</si>
  <si>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</si>
  <si>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</si>
  <si>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</si>
  <si>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</si>
  <si>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</si>
  <si>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</si>
  <si>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</si>
  <si>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</si>
  <si>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</si>
  <si>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</si>
  <si>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</si>
  <si>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</si>
  <si>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</si>
  <si>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</si>
  <si>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</si>
  <si>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</si>
  <si>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</si>
  <si>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</si>
  <si>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</si>
  <si>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</si>
  <si>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</si>
  <si>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</si>
  <si>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</si>
  <si>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</si>
  <si>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</si>
  <si>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</si>
  <si>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</si>
  <si>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</si>
  <si>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</si>
  <si>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</si>
  <si>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</si>
  <si>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</si>
  <si>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</si>
  <si>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</si>
  <si>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</si>
  <si>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</si>
  <si>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</si>
  <si>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</si>
  <si>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</si>
  <si>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</si>
  <si>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</si>
  <si>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</si>
  <si>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</si>
  <si>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</si>
  <si>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</si>
  <si>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</si>
  <si>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</si>
  <si>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</si>
  <si>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</si>
  <si>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</si>
  <si>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</si>
  <si>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</si>
  <si>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</si>
  <si>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</si>
  <si>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</si>
  <si>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</si>
  <si>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</si>
  <si>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</si>
  <si>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</si>
  <si>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</si>
  <si>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</si>
  <si>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</si>
  <si>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</si>
  <si>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</si>
  <si>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</si>
  <si>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</si>
  <si>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</si>
  <si>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</si>
  <si>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</si>
  <si>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</si>
  <si>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</si>
  <si>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</si>
  <si>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</si>
  <si>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</si>
  <si>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</si>
  <si>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</si>
  <si>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</si>
  <si>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</si>
  <si>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</si>
  <si>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</si>
  <si>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</si>
  <si>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</si>
  <si>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</si>
  <si>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</si>
  <si>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</si>
  <si>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</si>
  <si>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</si>
  <si>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</si>
  <si>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</si>
  <si>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</si>
  <si>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</si>
  <si>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</si>
  <si>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</si>
  <si>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</si>
  <si>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</si>
  <si>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</si>
  <si>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</si>
  <si>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</si>
  <si>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</si>
  <si>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</si>
  <si>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</si>
  <si>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</si>
  <si>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</si>
  <si>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</si>
  <si>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</si>
  <si>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</si>
  <si>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</si>
  <si>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</si>
  <si>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</si>
  <si>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</si>
  <si>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</si>
  <si>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</si>
  <si>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</si>
  <si>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</si>
  <si>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</si>
  <si>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</si>
  <si>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</si>
  <si>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</si>
  <si>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</si>
  <si>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</si>
  <si>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</si>
  <si>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</si>
  <si>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</si>
  <si>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</si>
  <si>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</si>
  <si>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</si>
  <si>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</si>
  <si>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</si>
  <si>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</si>
  <si>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</si>
  <si>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</si>
  <si>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</si>
  <si>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</si>
  <si>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</si>
  <si>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</si>
  <si>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</si>
  <si>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</si>
  <si>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</si>
  <si>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</si>
  <si>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</si>
  <si>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</si>
  <si>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</si>
  <si>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</si>
  <si>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</si>
  <si>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</si>
  <si>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</si>
  <si>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</si>
  <si>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</si>
  <si>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</si>
  <si>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</si>
  <si>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</si>
  <si>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</si>
  <si>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</si>
  <si>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</si>
  <si>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</si>
  <si>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</si>
  <si>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</si>
  <si>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</si>
  <si>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</si>
  <si>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</si>
  <si>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</si>
  <si>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</si>
  <si>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</si>
  <si>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</si>
  <si>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</si>
  <si>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</si>
  <si>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</si>
  <si>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</si>
  <si>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</si>
  <si>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</si>
  <si>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</si>
  <si>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</si>
  <si>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</si>
  <si>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</si>
  <si>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</si>
  <si>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</si>
  <si>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</si>
  <si>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</si>
  <si>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</si>
  <si>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</si>
  <si>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</si>
  <si>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</si>
  <si>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</si>
  <si>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</si>
  <si>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</si>
  <si>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</si>
  <si>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</si>
  <si>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</si>
  <si>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</si>
  <si>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</si>
  <si>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</si>
  <si>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</si>
  <si>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</si>
  <si>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</si>
  <si>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</si>
  <si>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</si>
  <si>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</si>
  <si>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</si>
  <si>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</si>
  <si>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</si>
  <si>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</si>
  <si>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</si>
  <si>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</si>
  <si>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</si>
  <si>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</si>
  <si>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</si>
  <si>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</si>
  <si>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</si>
  <si>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</si>
  <si>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</si>
  <si>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</si>
  <si>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</si>
  <si>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</si>
  <si>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</si>
  <si>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</si>
  <si>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</si>
  <si>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</si>
  <si>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</si>
  <si>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</si>
  <si>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</si>
  <si>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</si>
  <si>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</si>
  <si>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</si>
  <si>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</si>
  <si>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</si>
  <si>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</si>
  <si>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</si>
  <si>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</si>
  <si>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</si>
  <si>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</si>
  <si>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</si>
  <si>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</si>
  <si>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</si>
  <si>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</si>
  <si>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</si>
  <si>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</si>
  <si>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</si>
  <si>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</si>
  <si>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</si>
  <si>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</si>
  <si>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</si>
  <si>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</si>
  <si>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</si>
  <si>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</si>
  <si>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</si>
  <si>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</si>
  <si>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</si>
  <si>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</si>
  <si>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</si>
  <si>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</si>
  <si>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</si>
  <si>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</si>
  <si>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</si>
  <si>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</si>
  <si>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</si>
  <si>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</si>
  <si>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</si>
  <si>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</si>
  <si>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</si>
  <si>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</si>
  <si>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</si>
  <si>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</si>
  <si>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</si>
  <si>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</si>
  <si>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</si>
  <si>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</si>
  <si>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</si>
  <si>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</si>
  <si>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</si>
  <si>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</si>
  <si>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</si>
  <si>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</si>
  <si>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</si>
  <si>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</si>
  <si>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</si>
  <si>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</si>
  <si>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</si>
  <si>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</si>
  <si>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</si>
  <si>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</si>
  <si>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</si>
  <si>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</si>
  <si>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</si>
  <si>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</si>
  <si>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</si>
  <si>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</si>
  <si>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</si>
  <si>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</si>
  <si>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</si>
  <si>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</si>
  <si>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</si>
  <si>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</si>
  <si>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</si>
  <si>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</si>
  <si>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</si>
  <si>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</si>
  <si>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</si>
  <si>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</si>
  <si>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</si>
  <si>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</si>
  <si>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</si>
  <si>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</si>
  <si>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</si>
  <si>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</si>
  <si>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</si>
  <si>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</si>
  <si>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</si>
  <si>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</si>
  <si>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</si>
  <si>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</si>
  <si>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</si>
  <si>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</si>
  <si>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</si>
  <si>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</si>
  <si>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</si>
  <si>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</si>
  <si>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</si>
  <si>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</si>
  <si>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</si>
  <si>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</si>
  <si>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</si>
  <si>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</si>
  <si>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</si>
  <si>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</si>
  <si>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</si>
  <si>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</si>
  <si>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</si>
  <si>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</si>
  <si>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</si>
  <si>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</si>
  <si>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</si>
  <si>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</si>
  <si>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</si>
  <si>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</si>
  <si>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</si>
  <si>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</si>
  <si>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</si>
  <si>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</si>
  <si>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</si>
  <si>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</si>
  <si>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</si>
  <si>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</si>
  <si>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</si>
  <si>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</si>
  <si>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</si>
  <si>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</si>
  <si>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</si>
  <si>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</si>
  <si>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</si>
  <si>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</si>
  <si>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</si>
  <si>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</si>
  <si>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</si>
  <si>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</si>
  <si>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</si>
  <si>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</si>
  <si>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</si>
  <si>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</si>
  <si>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</si>
  <si>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</si>
  <si>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</si>
  <si>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</si>
  <si>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</si>
  <si>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</si>
  <si>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</si>
  <si>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</si>
  <si>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</si>
  <si>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</si>
  <si>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</si>
  <si>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</si>
  <si>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</si>
  <si>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</si>
  <si>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</si>
  <si>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</si>
  <si>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</si>
  <si>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</si>
  <si>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</si>
  <si>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</si>
  <si>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</si>
  <si>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</si>
  <si>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</si>
  <si>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</si>
  <si>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</si>
  <si>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</si>
  <si>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</si>
  <si>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</si>
  <si>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</si>
  <si>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</si>
  <si>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</si>
  <si>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</si>
  <si>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</si>
  <si>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</si>
  <si>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</si>
  <si>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</si>
  <si>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</si>
  <si>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</si>
  <si>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</si>
  <si>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</si>
  <si>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</si>
  <si>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</si>
  <si>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</si>
  <si>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</si>
  <si>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</si>
  <si>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</si>
  <si>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</si>
  <si>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</si>
  <si>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</si>
  <si>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</si>
  <si>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</si>
  <si>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</si>
  <si>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</si>
  <si>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</si>
  <si>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</si>
  <si>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</si>
  <si>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</si>
  <si>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</si>
  <si>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</si>
  <si>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</si>
  <si>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</si>
  <si>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</si>
  <si>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</si>
  <si>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</si>
  <si>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</si>
  <si>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</si>
  <si>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</si>
  <si>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</si>
  <si>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</si>
  <si>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</si>
  <si>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</si>
  <si>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</si>
  <si>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</si>
  <si>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</si>
  <si>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</si>
  <si>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</si>
  <si>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</si>
  <si>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</si>
  <si>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</si>
  <si>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</si>
  <si>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</si>
  <si>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</si>
  <si>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</si>
  <si>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</si>
  <si>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</si>
  <si>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</si>
  <si>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</si>
  <si>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</si>
  <si>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</si>
  <si>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</si>
  <si>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</si>
  <si>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</si>
  <si>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</si>
  <si>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</si>
  <si>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</si>
  <si>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</si>
  <si>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</si>
  <si>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</si>
  <si>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</si>
  <si>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</si>
  <si>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</si>
  <si>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</si>
  <si>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</si>
  <si>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</si>
  <si>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</si>
  <si>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</si>
  <si>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</si>
  <si>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</si>
  <si>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</si>
  <si>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</si>
  <si>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</si>
  <si>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</si>
  <si>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</si>
  <si>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</si>
  <si>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</si>
  <si>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</si>
  <si>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</si>
  <si>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</si>
  <si>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</si>
  <si>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</si>
  <si>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</si>
  <si>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</si>
  <si>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</si>
  <si>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</si>
  <si>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</si>
  <si>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</si>
  <si>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</si>
  <si>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</si>
  <si>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</si>
  <si>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</si>
  <si>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</si>
  <si>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</si>
  <si>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</si>
  <si>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</si>
  <si>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</si>
  <si>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</si>
  <si>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</si>
  <si>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</si>
  <si>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</si>
  <si>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</si>
  <si>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</si>
  <si>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</si>
  <si>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</si>
  <si>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</si>
  <si>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</si>
  <si>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</si>
  <si>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</si>
  <si>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</si>
  <si>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</si>
  <si>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</si>
  <si>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</si>
  <si>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</si>
  <si>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</si>
  <si>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</si>
  <si>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</si>
  <si>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</si>
  <si>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</si>
  <si>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</si>
  <si>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</si>
  <si>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</si>
  <si>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</si>
  <si>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</si>
  <si>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</si>
  <si>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</si>
  <si>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</si>
  <si>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</si>
  <si>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</si>
  <si>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</si>
  <si>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</si>
  <si>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</si>
  <si>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</si>
  <si>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</si>
  <si>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</si>
  <si>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</si>
  <si>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</si>
  <si>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</si>
  <si>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</si>
  <si>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</si>
  <si>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</si>
  <si>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</si>
  <si>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</si>
  <si>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</si>
  <si>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</si>
  <si>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</si>
  <si>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</si>
  <si>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</si>
  <si>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</si>
  <si>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</si>
  <si>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</si>
  <si>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</si>
  <si>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</si>
  <si>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</si>
  <si>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</si>
  <si>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</si>
  <si>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</si>
  <si>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</si>
  <si>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</si>
  <si>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</si>
  <si>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</si>
  <si>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</si>
  <si>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</si>
  <si>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</si>
  <si>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</si>
  <si>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</si>
  <si>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</si>
  <si>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</si>
  <si>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</si>
  <si>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</si>
  <si>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</si>
  <si>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</si>
  <si>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</si>
  <si>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</si>
  <si>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</si>
  <si>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</si>
  <si>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</si>
  <si>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</si>
  <si>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</si>
  <si>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</si>
  <si>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</si>
  <si>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</si>
  <si>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</si>
  <si>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</si>
  <si>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</si>
  <si>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</si>
  <si>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</si>
  <si>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</si>
  <si>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</si>
  <si>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</si>
  <si>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</si>
  <si>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</si>
  <si>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</si>
  <si>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</si>
  <si>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</si>
  <si>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</si>
  <si>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</si>
  <si>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</si>
  <si>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</si>
  <si>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</si>
  <si>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</si>
  <si>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</si>
  <si>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</si>
  <si>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</si>
  <si>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</si>
  <si>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</si>
  <si>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</si>
  <si>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</si>
  <si>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</si>
  <si>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</si>
  <si>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</si>
  <si>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</si>
  <si>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</si>
  <si>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</si>
  <si>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</si>
  <si>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</si>
  <si>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</si>
  <si>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</si>
  <si>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</si>
  <si>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</si>
  <si>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</si>
  <si>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</si>
  <si>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</si>
  <si>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</si>
  <si>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</si>
  <si>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</si>
  <si>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</si>
  <si>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</si>
  <si>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</si>
  <si>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</si>
  <si>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</si>
  <si>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</si>
  <si>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</si>
  <si>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</si>
  <si>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</si>
  <si>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</si>
  <si>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</si>
  <si>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</si>
  <si>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</si>
  <si>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</si>
  <si>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</si>
  <si>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</si>
  <si>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</si>
  <si>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</si>
  <si>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</si>
  <si>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</si>
  <si>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</si>
  <si>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</si>
  <si>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</si>
  <si>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</si>
  <si>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</si>
  <si>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</si>
  <si>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</si>
  <si>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</si>
  <si>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</si>
  <si>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</si>
  <si>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</si>
  <si>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</si>
  <si>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</si>
  <si>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</si>
  <si>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</si>
  <si>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</si>
  <si>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</si>
  <si>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</si>
  <si>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</si>
  <si>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</si>
  <si>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</si>
  <si>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</si>
  <si>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</si>
  <si>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</si>
  <si>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</si>
  <si>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</si>
  <si>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</si>
  <si>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</si>
  <si>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</si>
  <si>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</si>
  <si>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</si>
  <si>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</si>
  <si>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</si>
  <si>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</si>
  <si>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</si>
  <si>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</si>
  <si>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</si>
  <si>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</si>
  <si>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</si>
  <si>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</si>
  <si>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</si>
  <si>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</si>
  <si>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</si>
  <si>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</si>
  <si>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</si>
  <si>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</si>
  <si>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</si>
  <si>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</si>
  <si>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</si>
  <si>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</si>
  <si>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</si>
  <si>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</si>
  <si>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</si>
  <si>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</si>
  <si>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</si>
  <si>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</si>
  <si>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</si>
  <si>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</si>
  <si>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</si>
  <si>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</si>
  <si>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</si>
  <si>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</si>
  <si>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</si>
  <si>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</si>
  <si>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</si>
  <si>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</si>
  <si>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</si>
  <si>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</si>
  <si>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</si>
  <si>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</si>
  <si>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</si>
  <si>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</si>
  <si>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</si>
  <si>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</si>
  <si>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</si>
  <si>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</si>
  <si>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</si>
  <si>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</si>
  <si>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</si>
  <si>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</si>
  <si>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</si>
  <si>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</si>
  <si>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</si>
  <si>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</si>
  <si>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</si>
  <si>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</si>
  <si>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</si>
  <si>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</si>
  <si>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</si>
  <si>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</si>
  <si>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</si>
  <si>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</si>
  <si>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</si>
  <si>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</si>
  <si>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</si>
  <si>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</si>
  <si>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</si>
  <si>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</si>
  <si>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</si>
  <si>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</si>
  <si>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</si>
  <si>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</si>
  <si>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</si>
  <si>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</si>
  <si>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</si>
  <si>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</si>
  <si>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</si>
  <si>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</si>
  <si>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</si>
  <si>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</si>
  <si>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</si>
  <si>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</si>
  <si>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</si>
  <si>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</si>
  <si>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</si>
  <si>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</si>
  <si>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</si>
  <si>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</si>
  <si>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</si>
  <si>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</si>
  <si>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</si>
  <si>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</si>
  <si>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</si>
  <si>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</si>
  <si>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</si>
  <si>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</si>
  <si>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</si>
  <si>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</si>
  <si>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</si>
  <si>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</si>
  <si>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</si>
  <si>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</si>
  <si>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</si>
  <si>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</si>
  <si>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</si>
  <si>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</si>
  <si>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</si>
  <si>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</si>
  <si>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</si>
  <si>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</si>
  <si>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</si>
  <si>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</si>
  <si>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</si>
  <si>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</si>
  <si>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</si>
  <si>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</si>
  <si>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</si>
  <si>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</si>
  <si>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</si>
  <si>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</si>
  <si>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</si>
  <si>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</si>
  <si>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</si>
  <si>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</si>
  <si>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</si>
  <si>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</si>
  <si>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</si>
  <si>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</si>
  <si>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</si>
  <si>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</si>
  <si>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</si>
  <si>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</si>
  <si>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</si>
  <si>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</si>
  <si>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</si>
  <si>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</si>
  <si>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</si>
  <si>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</si>
  <si>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</si>
  <si>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</si>
  <si>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</si>
  <si>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</si>
  <si>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</si>
  <si>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</si>
  <si>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</si>
  <si>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</si>
  <si>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</si>
  <si>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</si>
  <si>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</si>
  <si>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</si>
  <si>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</si>
  <si>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</si>
  <si>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</si>
  <si>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</si>
  <si>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</si>
  <si>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</si>
  <si>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</si>
  <si>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</si>
  <si>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</si>
  <si>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</si>
  <si>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</si>
  <si>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</si>
  <si>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</si>
  <si>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</si>
  <si>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</si>
  <si>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</si>
  <si>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</si>
  <si>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</si>
  <si>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</si>
  <si>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</si>
  <si>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</si>
  <si>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</si>
  <si>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</si>
  <si>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</si>
  <si>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</si>
  <si>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</si>
  <si>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</si>
  <si>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</si>
  <si>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</si>
  <si>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</si>
  <si>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</si>
  <si>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</si>
  <si>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</si>
  <si>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</si>
  <si>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</si>
  <si>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</si>
  <si>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</si>
  <si>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</si>
  <si>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</si>
  <si>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</si>
  <si>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</si>
  <si>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</si>
  <si>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</si>
  <si>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</si>
  <si>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</si>
  <si>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</si>
  <si>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</si>
  <si>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</si>
  <si>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</si>
  <si>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</si>
  <si>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</si>
  <si>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</si>
  <si>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</si>
  <si>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</si>
  <si>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</si>
  <si>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</si>
  <si>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</si>
  <si>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</si>
  <si>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</si>
  <si>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</si>
  <si>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</si>
  <si>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</si>
  <si>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</si>
  <si>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</si>
  <si>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</si>
  <si>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</si>
  <si>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</si>
  <si>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</si>
  <si>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</si>
  <si>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</si>
  <si>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</si>
  <si>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</si>
  <si>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</si>
  <si>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</si>
  <si>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</si>
  <si>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</si>
  <si>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</si>
  <si>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</si>
  <si>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</si>
  <si>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</si>
  <si>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</si>
  <si>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</si>
  <si>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</si>
  <si>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</si>
  <si>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</si>
  <si>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</si>
  <si>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</si>
  <si>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</si>
  <si>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</si>
  <si>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</si>
  <si>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</si>
  <si>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</si>
  <si>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</si>
  <si>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</si>
  <si>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</si>
  <si>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</si>
  <si>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</si>
  <si>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</si>
  <si>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</si>
  <si>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</si>
  <si>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</si>
  <si>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</si>
  <si>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</si>
  <si>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</si>
  <si>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</si>
  <si>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</si>
  <si>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</si>
  <si>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</si>
  <si>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</si>
  <si>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</si>
  <si>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</si>
  <si>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</si>
  <si>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</si>
  <si>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</si>
  <si>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</si>
  <si>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</si>
  <si>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</si>
  <si>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</si>
  <si>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</si>
  <si>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</si>
  <si>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</si>
  <si>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</si>
  <si>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</si>
  <si>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</si>
  <si>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</si>
  <si>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</si>
  <si>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</si>
  <si>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</si>
  <si>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</si>
  <si>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</si>
  <si>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</si>
  <si>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</si>
  <si>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</si>
  <si>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</si>
  <si>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</si>
  <si>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</si>
  <si>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</si>
  <si>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</si>
  <si>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</si>
  <si>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</si>
  <si>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</si>
  <si>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</si>
  <si>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</si>
  <si>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</si>
  <si>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</si>
  <si>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</si>
  <si>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</si>
  <si>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</si>
  <si>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</si>
  <si>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</si>
  <si>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</si>
  <si>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</si>
  <si>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</si>
  <si>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</si>
  <si>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</si>
  <si>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</si>
  <si>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</si>
  <si>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</si>
  <si>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</si>
  <si>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</si>
  <si>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</si>
  <si>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</si>
  <si>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</si>
  <si>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</si>
  <si>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</si>
  <si>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</si>
  <si>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</si>
  <si>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</si>
  <si>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</si>
  <si>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</si>
  <si>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</si>
  <si>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</si>
  <si>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</si>
  <si>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</si>
  <si>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</si>
  <si>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</si>
  <si>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</si>
  <si>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</si>
  <si>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</si>
  <si>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</si>
  <si>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</si>
  <si>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</si>
  <si>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</si>
  <si>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</si>
  <si>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</si>
  <si>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</si>
  <si>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</si>
  <si>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</si>
  <si>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</si>
  <si>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</si>
  <si>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</si>
  <si>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</si>
  <si>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</si>
  <si>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</si>
  <si>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</si>
  <si>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</si>
  <si>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</si>
  <si>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</si>
  <si>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</si>
  <si>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</si>
  <si>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</si>
  <si>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</si>
  <si>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</si>
  <si>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</si>
  <si>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</si>
  <si>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</si>
  <si>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</si>
  <si>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</si>
  <si>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</si>
  <si>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</si>
  <si>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</si>
  <si>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</si>
  <si>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</si>
  <si>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</si>
  <si>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</si>
  <si>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</si>
  <si>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</si>
  <si>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</si>
  <si>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</si>
  <si>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</si>
  <si>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</si>
  <si>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</si>
  <si>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</si>
  <si>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</si>
  <si>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</si>
  <si>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</si>
  <si>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</si>
  <si>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</si>
  <si>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</si>
  <si>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</si>
  <si>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</si>
  <si>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</si>
  <si>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</si>
  <si>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</si>
  <si>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</si>
  <si>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</si>
  <si>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</si>
  <si>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</si>
  <si>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</si>
  <si>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</si>
  <si>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</si>
  <si>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</si>
  <si>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</si>
  <si>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</si>
  <si>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</si>
  <si>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</si>
  <si>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</si>
  <si>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</si>
  <si>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</si>
  <si>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</si>
  <si>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</si>
  <si>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</si>
  <si>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</si>
  <si>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</si>
  <si>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</si>
  <si>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</si>
  <si>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</si>
  <si>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</si>
  <si>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</si>
  <si>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</si>
  <si>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</si>
  <si>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</si>
  <si>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</si>
  <si>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</si>
  <si>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</si>
  <si>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</si>
  <si>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</si>
  <si>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</si>
  <si>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</si>
  <si>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</si>
  <si>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</si>
  <si>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</si>
  <si>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</si>
  <si>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</si>
  <si>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</si>
  <si>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</si>
  <si>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</si>
  <si>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</si>
  <si>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</si>
  <si>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</si>
  <si>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</si>
  <si>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</si>
  <si>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</si>
  <si>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</si>
  <si>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</si>
  <si>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</si>
  <si>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</si>
  <si>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</si>
  <si>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</si>
  <si>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</si>
  <si>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</si>
  <si>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</si>
  <si>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</si>
  <si>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</si>
  <si>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</si>
  <si>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</si>
  <si>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</si>
  <si>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</si>
  <si>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</si>
  <si>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</si>
  <si>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</si>
  <si>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</si>
  <si>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</si>
  <si>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</si>
  <si>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</si>
  <si>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</si>
  <si>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</si>
  <si>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</si>
  <si>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</si>
  <si>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</si>
  <si>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</si>
  <si>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</si>
  <si>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</si>
  <si>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</si>
  <si>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</si>
  <si>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</si>
  <si>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</si>
  <si>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</si>
  <si>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</si>
  <si>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</si>
  <si>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</si>
  <si>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</si>
  <si>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</si>
  <si>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</si>
  <si>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</si>
  <si>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</si>
  <si>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</si>
  <si>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</si>
  <si>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</si>
  <si>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</si>
  <si>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</si>
  <si>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</si>
  <si>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</si>
  <si>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</si>
  <si>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</si>
  <si>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</si>
  <si>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</si>
  <si>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</si>
  <si>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</si>
  <si>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</si>
  <si>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</si>
  <si>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</si>
  <si>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</si>
  <si>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</si>
  <si>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</si>
  <si>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</si>
  <si>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</si>
  <si>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</si>
  <si>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</si>
  <si>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</si>
  <si>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</si>
  <si>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</si>
  <si>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</si>
  <si>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</si>
  <si>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</si>
  <si>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</si>
  <si>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</si>
  <si>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</si>
  <si>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</si>
  <si>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</si>
  <si>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</si>
  <si>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</si>
  <si>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</si>
  <si>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</si>
  <si>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</si>
  <si>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</si>
  <si>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</si>
  <si>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</si>
  <si>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</si>
  <si>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</si>
  <si>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</si>
  <si>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</si>
  <si>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</si>
  <si>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</si>
  <si>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</si>
  <si>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</si>
  <si>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</si>
  <si>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</si>
  <si>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</si>
  <si>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</si>
  <si>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</si>
  <si>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</si>
  <si>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</si>
  <si>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</si>
  <si>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</si>
  <si>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</si>
  <si>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</si>
  <si>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</si>
  <si>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</si>
  <si>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</si>
  <si>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</si>
  <si>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</si>
  <si>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</si>
  <si>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</si>
  <si>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</si>
  <si>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</si>
  <si>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</si>
  <si>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</si>
  <si>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</si>
  <si>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</si>
  <si>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</si>
  <si>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</si>
  <si>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</si>
  <si>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</si>
  <si>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</si>
  <si>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</si>
  <si>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</si>
  <si>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</si>
  <si>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</si>
  <si>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</si>
  <si>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</si>
  <si>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</si>
  <si>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</si>
  <si>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</si>
  <si>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</si>
  <si>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</si>
  <si>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</si>
  <si>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</si>
  <si>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</si>
  <si>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</si>
  <si>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</si>
  <si>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</si>
  <si>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</si>
  <si>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</si>
  <si>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</si>
  <si>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</si>
  <si>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</si>
  <si>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</si>
  <si>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</si>
  <si>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</si>
  <si>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</si>
  <si>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</si>
  <si>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</si>
  <si>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</si>
  <si>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</si>
  <si>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</si>
  <si>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</si>
  <si>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</si>
  <si>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</si>
  <si>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</si>
  <si>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</si>
  <si>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</si>
  <si>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</si>
  <si>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</si>
  <si>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</si>
  <si>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</si>
  <si>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</si>
  <si>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</si>
  <si>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</si>
  <si>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</si>
  <si>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</si>
  <si>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</si>
  <si>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</si>
  <si>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</si>
  <si>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</si>
  <si>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</si>
  <si>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</si>
  <si>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</si>
  <si>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</si>
  <si>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</si>
  <si>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</si>
  <si>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</si>
  <si>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</si>
  <si>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</si>
  <si>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</si>
  <si>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</si>
  <si>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</si>
  <si>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</si>
  <si>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</si>
  <si>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</si>
  <si>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</si>
  <si>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</si>
  <si>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</si>
  <si>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</si>
  <si>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</si>
  <si>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</si>
  <si>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</si>
  <si>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</si>
  <si>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</si>
  <si>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</si>
  <si>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</si>
  <si>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</si>
  <si>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</si>
  <si>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</si>
  <si>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</si>
  <si>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</si>
  <si>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</si>
  <si>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</si>
  <si>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</si>
  <si>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</si>
  <si>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</si>
  <si>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</si>
  <si>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</si>
  <si>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</si>
  <si>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</si>
  <si>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</si>
  <si>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</si>
  <si>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</si>
  <si>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</si>
  <si>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</si>
  <si>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</si>
  <si>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</si>
  <si>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</si>
  <si>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</si>
  <si>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</si>
  <si>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</si>
  <si>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</si>
  <si>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</si>
  <si>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</si>
  <si>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</si>
  <si>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</si>
  <si>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</si>
  <si>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</si>
  <si>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</si>
  <si>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</si>
  <si>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</si>
  <si>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</si>
  <si>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</si>
  <si>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</si>
  <si>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</si>
  <si>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</si>
  <si>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</si>
  <si>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</si>
  <si>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</si>
  <si>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</si>
  <si>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</si>
  <si>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</si>
  <si>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</si>
  <si>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</si>
  <si>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</si>
  <si>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</si>
  <si>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</si>
  <si>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</si>
  <si>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</si>
  <si>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</si>
  <si>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</si>
  <si>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</si>
  <si>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</si>
  <si>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</si>
  <si>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</si>
  <si>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</si>
  <si>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</si>
  <si>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</si>
  <si>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</si>
  <si>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</si>
  <si>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</si>
  <si>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</si>
  <si>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</si>
  <si>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</si>
  <si>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</si>
  <si>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</si>
  <si>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</si>
  <si>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</si>
  <si>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</si>
  <si>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</si>
  <si>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</si>
  <si>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</si>
  <si>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</si>
  <si>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</si>
  <si>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</si>
  <si>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</si>
  <si>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</si>
  <si>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</si>
  <si>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</si>
  <si>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</si>
  <si>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</si>
  <si>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</si>
  <si>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</si>
  <si>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</si>
  <si>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</si>
  <si>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</si>
  <si>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</si>
  <si>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</si>
  <si>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</si>
  <si>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</si>
  <si>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</si>
  <si>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</si>
  <si>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</si>
  <si>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</si>
  <si>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</si>
  <si>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</si>
  <si>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</si>
  <si>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</si>
  <si>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</si>
  <si>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</si>
  <si>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</si>
  <si>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</si>
  <si>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</si>
  <si>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</si>
  <si>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</si>
  <si>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</si>
  <si>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</si>
  <si>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</si>
  <si>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</si>
  <si>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</si>
  <si>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</si>
  <si>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</si>
  <si>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</si>
  <si>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</si>
  <si>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</si>
  <si>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</si>
  <si>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</si>
  <si>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</si>
  <si>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</si>
  <si>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</si>
  <si>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</si>
  <si>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</si>
  <si>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</si>
  <si>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</si>
  <si>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</si>
  <si>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</si>
  <si>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</si>
  <si>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</si>
  <si>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</si>
  <si>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</si>
  <si>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</si>
  <si>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</si>
  <si>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</si>
  <si>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</si>
  <si>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</si>
  <si>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</si>
  <si>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</si>
  <si>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</si>
  <si>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</si>
  <si>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</si>
  <si>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</si>
  <si>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</si>
  <si>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</si>
  <si>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</si>
  <si>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</si>
  <si>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</si>
  <si>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</si>
  <si>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</si>
  <si>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</si>
  <si>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</si>
  <si>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</si>
  <si>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</si>
  <si>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</si>
  <si>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</si>
  <si>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</si>
  <si>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</si>
  <si>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</si>
  <si>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</si>
  <si>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</si>
  <si>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</si>
  <si>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</si>
  <si>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</si>
  <si>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</si>
  <si>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</si>
  <si>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</si>
  <si>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</si>
  <si>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</si>
  <si>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</si>
  <si>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</si>
  <si>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</si>
  <si>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</si>
  <si>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</si>
  <si>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</si>
  <si>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</si>
  <si>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</si>
  <si>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</si>
  <si>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</si>
  <si>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</si>
  <si>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</si>
  <si>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</si>
  <si>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</si>
  <si>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</si>
  <si>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</si>
  <si>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</si>
  <si>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</si>
  <si>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</si>
  <si>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</si>
  <si>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</si>
  <si>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</si>
  <si>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</si>
  <si>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</si>
  <si>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</si>
  <si>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</si>
  <si>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</si>
  <si>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</si>
  <si>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</si>
  <si>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</si>
  <si>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</si>
  <si>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</si>
  <si>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</si>
  <si>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</si>
  <si>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</si>
  <si>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</si>
  <si>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</si>
  <si>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</si>
  <si>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</si>
  <si>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</si>
  <si>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</si>
  <si>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</si>
  <si>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</si>
  <si>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</si>
  <si>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</si>
  <si>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</si>
  <si>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</si>
  <si>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</si>
  <si>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</si>
  <si>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</si>
  <si>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</si>
  <si>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</si>
  <si>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</si>
  <si>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</si>
  <si>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</si>
  <si>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</si>
  <si>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</si>
  <si>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</si>
  <si>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</si>
  <si>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</si>
  <si>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</si>
  <si>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</si>
  <si>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</si>
  <si>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</si>
  <si>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</si>
  <si>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</si>
  <si>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</si>
  <si>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</si>
  <si>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</si>
  <si>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</si>
  <si>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</si>
  <si>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</si>
  <si>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</si>
  <si>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</si>
  <si>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</si>
  <si>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</si>
  <si>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</si>
  <si>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</si>
  <si>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</si>
  <si>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</si>
  <si>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</si>
  <si>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</si>
  <si>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</si>
  <si>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</si>
  <si>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</si>
  <si>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</si>
  <si>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</si>
  <si>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</si>
  <si>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</si>
  <si>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</si>
  <si>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</si>
  <si>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</si>
  <si>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1405/06/28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</si>
  <si>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</si>
  <si>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</si>
  <si>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</si>
  <si>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</si>
  <si>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</si>
  <si>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</si>
  <si>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</si>
  <si>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</si>
  <si>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</si>
  <si>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</si>
  <si>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</si>
  <si>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</si>
  <si>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</si>
  <si>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</si>
  <si>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</si>
  <si>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</si>
  <si>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</si>
  <si>
    <t>پین راهنما</t>
  </si>
  <si>
    <t>دستگاه ساب جلو دیسکی</t>
  </si>
  <si>
    <t>خرابی چرخ دنده نوار نقاله</t>
  </si>
  <si>
    <t>3 ساعت مرخص</t>
  </si>
  <si>
    <t>خرابی درام ترابوزا</t>
  </si>
  <si>
    <t>درام توپی</t>
  </si>
  <si>
    <t>تراش کاسه ویوینگ</t>
  </si>
  <si>
    <t>توری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</si>
</sst>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71.5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601.33333333333326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506" activePane="bottomLeft" state="frozen"/>
      <selection activeCell="Y1" sqref="Y1"/>
      <selection pane="bottomLeft" activeCell="G510" sqref="G510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1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16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512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7203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7203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7203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2138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7202</v>
      </c>
      <c r="P481" s="2" t="s">
        <v>495</v>
      </c>
      <c r="R481" s="73" t="s">
        <v>2139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7202</v>
      </c>
      <c r="P482" s="2" t="s">
        <v>503</v>
      </c>
      <c r="R482" s="3" t="s">
        <v>2140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7202</v>
      </c>
      <c r="P483" s="2" t="s">
        <v>503</v>
      </c>
      <c r="R483" s="3" t="s">
        <v>2140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  <c r="AH486" s="1">
        <f t="shared" si="32"/>
        <v>0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2141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  <c r="AH487" s="1">
        <f t="shared" si="32"/>
        <v>0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  <c r="AH488" s="1">
        <f t="shared" si="32"/>
        <v>0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H489" s="1">
        <f t="shared" si="32"/>
        <v>0</v>
      </c>
      <c r="AN489" s="1" t="s">
        <v>2138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2142</v>
      </c>
      <c r="K490" s="20">
        <v>3</v>
      </c>
      <c r="N490" s="3" t="s">
        <v>57</v>
      </c>
      <c r="O490" s="129">
        <v>7301</v>
      </c>
      <c r="P490" s="2" t="s">
        <v>2143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  <c r="AH490" s="1">
        <f t="shared" si="32"/>
        <v>0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  <c r="AH491" s="1">
        <f t="shared" si="32"/>
        <v>0</v>
      </c>
    </row>
    <row r="492" spans="1:40" ht="30" x14ac:dyDescent="0.25">
      <c r="A492" s="3">
        <v>491</v>
      </c>
      <c r="B492" s="3" t="s">
        <v>2144</v>
      </c>
      <c r="C492" s="3" t="s">
        <v>62</v>
      </c>
      <c r="D492" s="19" t="s">
        <v>78</v>
      </c>
      <c r="E492" s="19" t="s">
        <v>853</v>
      </c>
      <c r="F492" s="25" t="s">
        <v>2145</v>
      </c>
      <c r="G492" s="19" t="s">
        <v>221</v>
      </c>
      <c r="J492" s="25" t="s">
        <v>2146</v>
      </c>
      <c r="N492" s="3" t="s">
        <v>57</v>
      </c>
      <c r="O492" s="129">
        <v>7301</v>
      </c>
      <c r="P492" s="2" t="s">
        <v>2147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  <c r="AH492" s="1">
        <f t="shared" si="32"/>
        <v>0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2122</v>
      </c>
      <c r="AD493" s="3" t="s">
        <v>108</v>
      </c>
      <c r="AE493" s="1">
        <v>360</v>
      </c>
      <c r="AF493" s="1">
        <f t="shared" si="31"/>
        <v>6</v>
      </c>
      <c r="AH493" s="1">
        <f t="shared" si="32"/>
        <v>0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2122</v>
      </c>
      <c r="AD494" s="3" t="s">
        <v>108</v>
      </c>
      <c r="AE494" s="1">
        <v>300</v>
      </c>
      <c r="AF494" s="1">
        <f t="shared" si="31"/>
        <v>5</v>
      </c>
      <c r="AH494" s="1">
        <f t="shared" si="32"/>
        <v>0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  <c r="AH495" s="1">
        <f t="shared" si="32"/>
        <v>0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2133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  <c r="AH496" s="1">
        <f t="shared" si="32"/>
        <v>0</v>
      </c>
    </row>
    <row r="497" spans="1:35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  <c r="AH497" s="1">
        <f t="shared" si="32"/>
        <v>0</v>
      </c>
    </row>
    <row r="498" spans="1:35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  <c r="AH498" s="1">
        <f t="shared" si="32"/>
        <v>0</v>
      </c>
    </row>
    <row r="499" spans="1:35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2122</v>
      </c>
      <c r="AD499" s="3" t="s">
        <v>108</v>
      </c>
      <c r="AE499" s="1">
        <v>660</v>
      </c>
      <c r="AF499" s="1">
        <f t="shared" si="31"/>
        <v>11</v>
      </c>
      <c r="AH499" s="1">
        <f t="shared" si="32"/>
        <v>0</v>
      </c>
    </row>
    <row r="500" spans="1:35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  <c r="AH500" s="1">
        <f t="shared" si="32"/>
        <v>0</v>
      </c>
    </row>
    <row r="501" spans="1:35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2148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  <c r="AH501" s="1">
        <f t="shared" si="32"/>
        <v>0</v>
      </c>
    </row>
    <row r="502" spans="1:35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2149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  <c r="AH502" s="1">
        <f t="shared" si="32"/>
        <v>0</v>
      </c>
    </row>
    <row r="503" spans="1:35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I503" s="19">
        <v>17063</v>
      </c>
      <c r="J503" s="25" t="s">
        <v>2150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  <c r="AH503" s="1">
        <f t="shared" si="32"/>
        <v>0</v>
      </c>
    </row>
    <row r="504" spans="1:35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  <c r="AH504" s="1">
        <f t="shared" si="32"/>
        <v>0</v>
      </c>
    </row>
    <row r="505" spans="1:35" ht="30" x14ac:dyDescent="0.25">
      <c r="A505" s="3">
        <v>504</v>
      </c>
      <c r="B505" s="3" t="s">
        <v>2151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2152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  <c r="AH505" s="1">
        <f t="shared" si="32"/>
        <v>0</v>
      </c>
    </row>
    <row r="506" spans="1:35" ht="30" x14ac:dyDescent="0.25">
      <c r="A506" s="3">
        <v>505</v>
      </c>
      <c r="B506" s="3" t="s">
        <v>2153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2154</v>
      </c>
      <c r="K506" s="19">
        <v>2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  <c r="AB506" s="2" t="s">
        <v>267</v>
      </c>
      <c r="AC506" s="3" t="s">
        <v>2117</v>
      </c>
      <c r="AD506" s="3" t="s">
        <v>108</v>
      </c>
      <c r="AE506" s="1">
        <v>240</v>
      </c>
      <c r="AF506" s="1">
        <f t="shared" si="31"/>
        <v>4</v>
      </c>
      <c r="AH506" s="1">
        <f t="shared" si="32"/>
        <v>0</v>
      </c>
    </row>
    <row r="507" spans="1:35" ht="30" x14ac:dyDescent="0.25">
      <c r="A507" s="3">
        <v>506</v>
      </c>
      <c r="B507" s="9" t="s">
        <v>1513</v>
      </c>
      <c r="C507" s="9" t="s">
        <v>46</v>
      </c>
      <c r="D507" s="73" t="s">
        <v>39</v>
      </c>
      <c r="E507" s="9" t="s">
        <v>853</v>
      </c>
      <c r="F507" s="3" t="s">
        <v>336</v>
      </c>
      <c r="G507" s="3" t="s">
        <v>47</v>
      </c>
      <c r="H507" s="3" t="s">
        <v>1454</v>
      </c>
      <c r="I507" s="20"/>
      <c r="J507" s="3" t="s">
        <v>1693</v>
      </c>
      <c r="K507" s="3">
        <v>2</v>
      </c>
      <c r="N507" s="3" t="s">
        <v>57</v>
      </c>
      <c r="O507" s="129">
        <v>7302</v>
      </c>
      <c r="P507" s="2" t="s">
        <v>2155</v>
      </c>
      <c r="R507" s="3" t="s">
        <v>79</v>
      </c>
      <c r="AB507" s="2" t="s">
        <v>267</v>
      </c>
      <c r="AC507" s="3" t="s">
        <v>2117</v>
      </c>
      <c r="AD507" s="3" t="s">
        <v>108</v>
      </c>
      <c r="AE507" s="1">
        <v>120</v>
      </c>
      <c r="AF507" s="1">
        <f t="shared" si="31"/>
        <v>2</v>
      </c>
      <c r="AH507" s="1">
        <f t="shared" si="32"/>
        <v>0</v>
      </c>
    </row>
    <row r="508" spans="1:35" ht="30" x14ac:dyDescent="0.25">
      <c r="A508" s="3">
        <v>507</v>
      </c>
      <c r="B508" s="3" t="s">
        <v>2151</v>
      </c>
      <c r="C508" s="9" t="s">
        <v>46</v>
      </c>
      <c r="D508" s="73" t="s">
        <v>39</v>
      </c>
      <c r="E508" s="9" t="s">
        <v>853</v>
      </c>
      <c r="F508" s="3" t="s">
        <v>221</v>
      </c>
      <c r="G508" s="3" t="s">
        <v>47</v>
      </c>
      <c r="H508" s="73"/>
      <c r="I508" s="73">
        <v>17464</v>
      </c>
      <c r="J508" s="25" t="s">
        <v>2152</v>
      </c>
      <c r="K508" s="73">
        <v>1</v>
      </c>
      <c r="L508" s="3" t="s">
        <v>139</v>
      </c>
      <c r="N508" s="3" t="s">
        <v>57</v>
      </c>
      <c r="O508" s="129">
        <v>7302</v>
      </c>
      <c r="P508" s="2" t="s">
        <v>425</v>
      </c>
      <c r="R508" s="3" t="s">
        <v>79</v>
      </c>
      <c r="S508" s="3" t="s">
        <v>939</v>
      </c>
      <c r="AB508" s="2" t="s">
        <v>267</v>
      </c>
      <c r="AC508" s="3" t="s">
        <v>2117</v>
      </c>
      <c r="AD508" s="3" t="s">
        <v>108</v>
      </c>
      <c r="AE508" s="1">
        <v>180</v>
      </c>
      <c r="AF508" s="1">
        <f t="shared" si="31"/>
        <v>3</v>
      </c>
      <c r="AH508" s="1">
        <f t="shared" si="32"/>
        <v>0</v>
      </c>
    </row>
    <row r="509" spans="1:35" ht="30" x14ac:dyDescent="0.25">
      <c r="A509" s="3">
        <v>508</v>
      </c>
      <c r="B509" s="3" t="s">
        <v>2153</v>
      </c>
      <c r="C509" s="3" t="s">
        <v>62</v>
      </c>
      <c r="D509" s="73" t="s">
        <v>39</v>
      </c>
      <c r="E509" s="73" t="s">
        <v>853</v>
      </c>
      <c r="F509" s="25" t="s">
        <v>221</v>
      </c>
      <c r="G509" s="73" t="s">
        <v>29</v>
      </c>
      <c r="H509" s="73"/>
      <c r="I509" s="73">
        <v>17064</v>
      </c>
      <c r="J509" s="25" t="s">
        <v>2154</v>
      </c>
      <c r="K509" s="73">
        <v>1</v>
      </c>
      <c r="L509" s="3" t="s">
        <v>139</v>
      </c>
      <c r="N509" s="3" t="s">
        <v>33</v>
      </c>
      <c r="O509" s="129" t="s">
        <v>33</v>
      </c>
      <c r="P509" s="2" t="s">
        <v>425</v>
      </c>
      <c r="R509" s="3" t="s">
        <v>142</v>
      </c>
      <c r="S509" s="3" t="s">
        <v>939</v>
      </c>
      <c r="AB509" s="2" t="s">
        <v>267</v>
      </c>
      <c r="AC509" s="3" t="s">
        <v>2117</v>
      </c>
      <c r="AD509" s="3" t="s">
        <v>108</v>
      </c>
      <c r="AE509" s="1">
        <v>120</v>
      </c>
      <c r="AF509" s="1">
        <f t="shared" si="31"/>
        <v>2</v>
      </c>
      <c r="AH509" s="1">
        <f t="shared" si="32"/>
        <v>0</v>
      </c>
    </row>
    <row r="510" spans="1:35" ht="30" x14ac:dyDescent="0.25">
      <c r="A510" s="3">
        <v>509</v>
      </c>
      <c r="B510" s="3" t="s">
        <v>2156</v>
      </c>
      <c r="C510" s="3" t="s">
        <v>62</v>
      </c>
      <c r="D510" s="19" t="s">
        <v>39</v>
      </c>
      <c r="E510" s="19" t="s">
        <v>853</v>
      </c>
      <c r="F510" s="25" t="s">
        <v>221</v>
      </c>
      <c r="G510" s="19" t="s">
        <v>29</v>
      </c>
      <c r="I510" s="19">
        <v>17463</v>
      </c>
      <c r="J510" s="25" t="s">
        <v>2157</v>
      </c>
      <c r="K510" s="19">
        <v>1</v>
      </c>
      <c r="L510" s="3" t="s">
        <v>139</v>
      </c>
      <c r="N510" s="3" t="s">
        <v>57</v>
      </c>
      <c r="O510" s="129">
        <v>7302</v>
      </c>
      <c r="P510" s="2" t="s">
        <v>1103</v>
      </c>
      <c r="R510" s="3" t="s">
        <v>79</v>
      </c>
      <c r="S510" s="3" t="s">
        <v>939</v>
      </c>
      <c r="AB510" s="2" t="s">
        <v>267</v>
      </c>
      <c r="AC510" s="3" t="s">
        <v>2122</v>
      </c>
      <c r="AD510" s="3" t="s">
        <v>108</v>
      </c>
      <c r="AE510" s="1">
        <v>180</v>
      </c>
      <c r="AF510" s="1">
        <f t="shared" si="31"/>
        <v>3</v>
      </c>
      <c r="AH510" s="1">
        <f t="shared" si="32"/>
        <v>0</v>
      </c>
    </row>
    <row r="511" spans="1:35" ht="30" x14ac:dyDescent="0.25">
      <c r="A511" s="3">
        <v>510</v>
      </c>
      <c r="B511" s="3" t="s">
        <v>2156</v>
      </c>
      <c r="C511" s="3" t="s">
        <v>62</v>
      </c>
      <c r="D511" s="73" t="s">
        <v>39</v>
      </c>
      <c r="E511" s="73" t="s">
        <v>853</v>
      </c>
      <c r="F511" s="25" t="s">
        <v>221</v>
      </c>
      <c r="G511" s="73" t="s">
        <v>29</v>
      </c>
      <c r="H511" s="73"/>
      <c r="I511" s="73">
        <v>17463</v>
      </c>
      <c r="J511" s="25" t="s">
        <v>2157</v>
      </c>
      <c r="K511" s="73">
        <v>1</v>
      </c>
      <c r="L511" s="3" t="s">
        <v>139</v>
      </c>
      <c r="N511" s="3" t="s">
        <v>33</v>
      </c>
      <c r="O511" s="129" t="s">
        <v>33</v>
      </c>
      <c r="P511" s="2" t="s">
        <v>1103</v>
      </c>
      <c r="R511" s="3" t="s">
        <v>142</v>
      </c>
      <c r="S511" s="3" t="s">
        <v>939</v>
      </c>
      <c r="AB511" s="2" t="s">
        <v>267</v>
      </c>
      <c r="AC511" s="3" t="s">
        <v>2122</v>
      </c>
      <c r="AD511" s="3" t="s">
        <v>108</v>
      </c>
      <c r="AE511" s="1">
        <v>180</v>
      </c>
      <c r="AF511" s="1">
        <f t="shared" si="31"/>
        <v>3</v>
      </c>
      <c r="AG511" s="1">
        <v>180</v>
      </c>
      <c r="AH511" s="1">
        <f t="shared" si="32"/>
        <v>3</v>
      </c>
      <c r="AI511" s="1" t="s">
        <v>2158</v>
      </c>
    </row>
    <row r="512" spans="1:35" ht="30" x14ac:dyDescent="0.25">
      <c r="A512" s="3">
        <v>511</v>
      </c>
      <c r="B512" s="3" t="s">
        <v>1746</v>
      </c>
      <c r="C512" s="3" t="s">
        <v>62</v>
      </c>
      <c r="D512" s="73" t="s">
        <v>39</v>
      </c>
      <c r="E512" s="73" t="s">
        <v>853</v>
      </c>
      <c r="F512" s="25" t="s">
        <v>221</v>
      </c>
      <c r="G512" s="73" t="s">
        <v>29</v>
      </c>
      <c r="H512" s="73"/>
      <c r="I512" s="73"/>
      <c r="J512" s="25" t="s">
        <v>2159</v>
      </c>
      <c r="K512" s="73">
        <v>1</v>
      </c>
      <c r="N512" s="3" t="s">
        <v>57</v>
      </c>
      <c r="O512" s="129">
        <v>7303</v>
      </c>
      <c r="P512" s="2" t="s">
        <v>2160</v>
      </c>
      <c r="R512" s="3" t="s">
        <v>79</v>
      </c>
      <c r="S512" s="3" t="s">
        <v>939</v>
      </c>
      <c r="AB512" s="2" t="s">
        <v>267</v>
      </c>
      <c r="AC512" s="3" t="s">
        <v>2137</v>
      </c>
      <c r="AD512" s="3" t="s">
        <v>108</v>
      </c>
      <c r="AE512" s="1">
        <v>240</v>
      </c>
      <c r="AF512" s="1">
        <f t="shared" si="31"/>
        <v>4</v>
      </c>
      <c r="AG512" s="1">
        <v>180</v>
      </c>
      <c r="AH512" s="1">
        <f t="shared" si="32"/>
        <v>3</v>
      </c>
      <c r="AI512" s="1" t="s">
        <v>2158</v>
      </c>
    </row>
    <row r="513" spans="1:32" ht="30" x14ac:dyDescent="0.25">
      <c r="A513" s="3">
        <v>512</v>
      </c>
      <c r="B513" s="9" t="s">
        <v>2000</v>
      </c>
      <c r="C513" s="9" t="s">
        <v>27</v>
      </c>
      <c r="D513" s="73" t="s">
        <v>49</v>
      </c>
      <c r="E513" s="9" t="s">
        <v>853</v>
      </c>
      <c r="F513" s="9" t="s">
        <v>28</v>
      </c>
      <c r="G513" s="9" t="s">
        <v>29</v>
      </c>
      <c r="H513" s="9">
        <v>29889</v>
      </c>
      <c r="I513" s="9"/>
      <c r="J513" s="32" t="s">
        <v>2001</v>
      </c>
      <c r="K513" s="32">
        <v>1</v>
      </c>
      <c r="N513" s="3" t="s">
        <v>35</v>
      </c>
      <c r="O513" s="129">
        <v>7102</v>
      </c>
      <c r="P513" s="2" t="s">
        <v>1624</v>
      </c>
      <c r="R513" s="3" t="s">
        <v>36</v>
      </c>
      <c r="S513" s="3" t="s">
        <v>939</v>
      </c>
      <c r="AB513" s="2" t="s">
        <v>267</v>
      </c>
      <c r="AC513" s="3" t="s">
        <v>2137</v>
      </c>
      <c r="AD513" s="3" t="s">
        <v>1303</v>
      </c>
      <c r="AE513" s="1">
        <v>150</v>
      </c>
      <c r="AF513" s="1">
        <f t="shared" si="31"/>
        <v>2.5</v>
      </c>
    </row>
    <row r="514" spans="1:32" ht="30" x14ac:dyDescent="0.25">
      <c r="A514" s="3">
        <v>513</v>
      </c>
      <c r="B514" s="3" t="s">
        <v>485</v>
      </c>
      <c r="C514" s="3" t="s">
        <v>45</v>
      </c>
      <c r="D514" s="73" t="s">
        <v>49</v>
      </c>
      <c r="E514" s="73" t="s">
        <v>853</v>
      </c>
      <c r="F514" s="73" t="s">
        <v>221</v>
      </c>
      <c r="G514" s="73" t="s">
        <v>47</v>
      </c>
      <c r="H514" s="73"/>
      <c r="I514" s="73">
        <v>17218</v>
      </c>
      <c r="J514" s="25" t="s">
        <v>2161</v>
      </c>
      <c r="K514" s="73">
        <v>1</v>
      </c>
      <c r="L514" s="3" t="s">
        <v>139</v>
      </c>
      <c r="N514" s="3" t="s">
        <v>57</v>
      </c>
      <c r="O514" s="129">
        <v>7303</v>
      </c>
      <c r="P514" s="2" t="s">
        <v>2162</v>
      </c>
      <c r="R514" s="3" t="s">
        <v>79</v>
      </c>
      <c r="AB514" s="2" t="s">
        <v>267</v>
      </c>
      <c r="AC514" s="3" t="s">
        <v>2137</v>
      </c>
      <c r="AD514" s="3" t="s">
        <v>130</v>
      </c>
      <c r="AE514" s="1">
        <v>510</v>
      </c>
      <c r="AF514" s="1">
        <f t="shared" si="31"/>
        <v>8.5</v>
      </c>
    </row>
    <row r="515" spans="1:32" ht="30" x14ac:dyDescent="0.25">
      <c r="A515" s="3">
        <v>514</v>
      </c>
      <c r="B515" s="3" t="s">
        <v>178</v>
      </c>
      <c r="C515" s="3" t="s">
        <v>62</v>
      </c>
      <c r="D515" s="9" t="s">
        <v>78</v>
      </c>
      <c r="E515" s="9" t="s">
        <v>853</v>
      </c>
      <c r="F515" s="3" t="s">
        <v>118</v>
      </c>
      <c r="G515" s="3" t="s">
        <v>29</v>
      </c>
      <c r="H515" s="3"/>
      <c r="I515" s="3"/>
      <c r="J515" s="20" t="s">
        <v>212</v>
      </c>
      <c r="K515" s="3">
        <v>6</v>
      </c>
      <c r="L515" s="3" t="s">
        <v>126</v>
      </c>
      <c r="N515" s="3" t="s">
        <v>57</v>
      </c>
      <c r="O515" s="3">
        <v>7301</v>
      </c>
      <c r="P515" s="3" t="s">
        <v>235</v>
      </c>
      <c r="R515" s="73" t="s">
        <v>1810</v>
      </c>
      <c r="S515" s="3" t="s">
        <v>939</v>
      </c>
      <c r="AB515" s="2" t="s">
        <v>267</v>
      </c>
      <c r="AC515" s="3" t="s">
        <v>2137</v>
      </c>
      <c r="AD515" s="3" t="s">
        <v>108</v>
      </c>
      <c r="AE515" s="1">
        <v>200</v>
      </c>
      <c r="AF515" s="1">
        <f t="shared" si="31"/>
        <v>3.3333333333333335</v>
      </c>
    </row>
    <row r="516" spans="1:32" ht="45" x14ac:dyDescent="0.25">
      <c r="A516" s="3">
        <v>515</v>
      </c>
      <c r="B516" s="3" t="s">
        <v>2107</v>
      </c>
      <c r="C516" s="3" t="s">
        <v>62</v>
      </c>
      <c r="D516" s="73" t="s">
        <v>78</v>
      </c>
      <c r="E516" s="73" t="s">
        <v>853</v>
      </c>
      <c r="F516" s="73" t="s">
        <v>221</v>
      </c>
      <c r="G516" s="73" t="s">
        <v>29</v>
      </c>
      <c r="H516" s="73"/>
      <c r="I516" s="73">
        <v>17233</v>
      </c>
      <c r="J516" s="25" t="s">
        <v>2108</v>
      </c>
      <c r="K516" s="73">
        <v>2</v>
      </c>
      <c r="L516" s="3" t="s">
        <v>139</v>
      </c>
      <c r="M516" s="3" t="s">
        <v>2109</v>
      </c>
      <c r="N516" s="3" t="s">
        <v>57</v>
      </c>
      <c r="O516" s="129">
        <v>7301</v>
      </c>
      <c r="P516" s="2" t="s">
        <v>2100</v>
      </c>
      <c r="R516" s="3" t="s">
        <v>79</v>
      </c>
      <c r="S516" s="3" t="s">
        <v>939</v>
      </c>
      <c r="AB516" s="2" t="s">
        <v>267</v>
      </c>
      <c r="AC516" s="3" t="s">
        <v>2137</v>
      </c>
      <c r="AD516" s="3" t="s">
        <v>108</v>
      </c>
      <c r="AE516" s="1">
        <v>420</v>
      </c>
      <c r="AF516" s="1">
        <f t="shared" si="31"/>
        <v>7</v>
      </c>
    </row>
    <row r="523" spans="1:32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514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T38" sqref="T38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38.5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213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24.833333333333332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156.33333333333331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24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158.5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10</v>
      </c>
      <c r="U25" s="80">
        <f>SUMIFS(شهریور!$AF$2:$AF$800,شهریور!$C$2:$C$800,P25,شهریور!$AC$2:$AC$800,$U$18)</f>
        <v>15.5</v>
      </c>
      <c r="V25" s="80">
        <f>SUMIFS(شهریور!$AF$2:$AF$800,شهریور!$C$2:$C$800,P25,شهریور!$AC$2:$AC$800,$V$18)</f>
        <v>17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73.5</v>
      </c>
      <c r="Z25" s="83">
        <f>SUM(Y19:Y25)</f>
        <v>602.33333333333326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120.33333333333333</v>
      </c>
      <c r="U30" s="105">
        <f t="shared" si="5"/>
        <v>93</v>
      </c>
      <c r="V30" s="105">
        <f t="shared" si="5"/>
        <v>81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19.5</v>
      </c>
      <c r="U38" s="114">
        <f>SUMIFS(شهریور!$AF$2:$AF$800,شهریور!$AC$2:$AC$800,$U$32,شهریور!$O$2:$O$800,J38)</f>
        <v>2.5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44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22</v>
      </c>
      <c r="V39" s="114">
        <f>SUMIFS(شهریور!$AF$2:$AF$800,شهریور!$AC$2:$AC$800,$V$32,شهریور!$O$2:$O$800,J39)</f>
        <v>22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77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2.5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9</v>
      </c>
      <c r="V42" s="114">
        <f>SUMIFS(شهریور!$AF$2:$AF$800,شهریور!$AC$2:$AC$800,$V$32,شهریور!$O$2:$O$800,J42)</f>
        <v>3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8</v>
      </c>
      <c r="V55" s="114">
        <f>SUMIFS(شهریور!$AF$2:$AF$800,شهریور!$AC$2:$AC$800,$V$32,شهریور!$O$2:$O$800,J55)</f>
        <v>3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71.5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120.33333333333333</v>
      </c>
      <c r="U58" s="101">
        <f t="shared" si="7"/>
        <v>93</v>
      </c>
      <c r="V58" s="101">
        <f t="shared" si="7"/>
        <v>81</v>
      </c>
      <c r="W58" s="101">
        <f t="shared" si="7"/>
        <v>0</v>
      </c>
      <c r="X58" s="101">
        <f t="shared" si="7"/>
        <v>0</v>
      </c>
      <c r="Y58" s="102">
        <f>SUM(Y34:Y57)</f>
        <v>601.33333333333326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2026-09-22T06:15:11Z</dcterms:modified>
</cp:coreProperties>
</file>