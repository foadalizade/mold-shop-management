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7467EF82-1B46-4A74-BF62-B0ABFF6879C8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شهریور!$A$1:$AU$492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98" i="19" l="1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<sst xmlns="http://schemas.openxmlformats.org/spreadsheetml/2006/main" count="54003" uniqueCount="2147">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</sst>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topLeftCell="Q1" zoomScale="85" zoomScaleNormal="85" workbookViewId="0">
      <pane ySplit="1" topLeftCell="A489" activePane="bottomLeft" state="frozen"/>
      <selection activeCell="Y1" sqref="Y1"/>
      <selection pane="bottomLeft" activeCell="S499" sqref="S499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99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98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485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7203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7203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7203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2137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7202</v>
      </c>
      <c r="P481" s="2" t="s">
        <v>495</v>
      </c>
      <c r="R481" s="73" t="s">
        <v>2138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7202</v>
      </c>
      <c r="P482" s="2" t="s">
        <v>503</v>
      </c>
      <c r="R482" s="3" t="s">
        <v>2139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7202</v>
      </c>
      <c r="P483" s="2" t="s">
        <v>503</v>
      </c>
      <c r="R483" s="3" t="s">
        <v>2139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2140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N489" s="1" t="s">
        <v>2137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2141</v>
      </c>
      <c r="K490" s="20">
        <v>3</v>
      </c>
      <c r="N490" s="3" t="s">
        <v>57</v>
      </c>
      <c r="O490" s="129">
        <v>7301</v>
      </c>
      <c r="P490" s="2" t="s">
        <v>2142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</row>
    <row r="492" spans="1:40" ht="30" x14ac:dyDescent="0.25">
      <c r="A492" s="3">
        <v>491</v>
      </c>
      <c r="B492" s="3" t="s">
        <v>2143</v>
      </c>
      <c r="C492" s="3" t="s">
        <v>62</v>
      </c>
      <c r="D492" s="19" t="s">
        <v>78</v>
      </c>
      <c r="E492" s="19" t="s">
        <v>853</v>
      </c>
      <c r="F492" s="25" t="s">
        <v>2144</v>
      </c>
      <c r="G492" s="19" t="s">
        <v>221</v>
      </c>
      <c r="J492" s="25" t="s">
        <v>2145</v>
      </c>
      <c r="N492" s="3" t="s">
        <v>57</v>
      </c>
      <c r="O492" s="129">
        <v>7301</v>
      </c>
      <c r="P492" s="2" t="s">
        <v>2146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2122</v>
      </c>
      <c r="AD493" s="3" t="s">
        <v>108</v>
      </c>
      <c r="AE493" s="1">
        <v>360</v>
      </c>
      <c r="AF493" s="1">
        <f t="shared" si="31"/>
        <v>6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2122</v>
      </c>
      <c r="AD494" s="3" t="s">
        <v>108</v>
      </c>
      <c r="AE494" s="1">
        <v>300</v>
      </c>
      <c r="AF494" s="1">
        <f t="shared" si="31"/>
        <v>5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2133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</row>
    <row r="497" spans="1:32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</row>
    <row r="498" spans="1:32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</row>
    <row r="499" spans="1:32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</row>
    <row r="502" spans="1:32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92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V58" sqref="V58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38.5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10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202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19.5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151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43</v>
      </c>
      <c r="U24" s="80">
        <f>SUMIFS(شهریور!$AF$2:$AF$800,شهریور!$C$2:$C$800,P24,شهریور!$AC$2:$AC$800,$U$18)</f>
        <v>19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149.5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8</v>
      </c>
      <c r="U25" s="80">
        <f>SUMIFS(شهریور!$AF$2:$AF$800,شهریور!$C$2:$C$800,P25,شهریور!$AC$2:$AC$800,$U$18)</f>
        <v>9.5</v>
      </c>
      <c r="V25" s="80">
        <f>SUMIFS(شهریور!$AF$2:$AF$800,شهریور!$C$2:$C$800,P25,شهریور!$AC$2:$AC$800,$V$18)</f>
        <v>11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59.5</v>
      </c>
      <c r="Z25" s="83">
        <f>SUM(Y19:Y25)</f>
        <v>563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109</v>
      </c>
      <c r="U30" s="105">
        <f t="shared" si="5"/>
        <v>82</v>
      </c>
      <c r="V30" s="105">
        <f t="shared" si="5"/>
        <v>64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44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19.5</v>
      </c>
      <c r="U38" s="114">
        <f>SUMIFS(شهریور!$AF$2:$AF$800,شهریور!$AC$2:$AC$800,$U$32,شهریور!$O$2:$O$800,J38)</f>
        <v>2.5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44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22</v>
      </c>
      <c r="V39" s="114">
        <f>SUMIFS(شهریور!$AF$2:$AF$800,شهریور!$AC$2:$AC$800,$V$32,شهریور!$O$2:$O$800,J39)</f>
        <v>22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77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2.5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6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66.5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109</v>
      </c>
      <c r="U58" s="101">
        <f t="shared" si="7"/>
        <v>82</v>
      </c>
      <c r="V58" s="101">
        <f t="shared" si="7"/>
        <v>64</v>
      </c>
      <c r="W58" s="101">
        <f t="shared" si="7"/>
        <v>0</v>
      </c>
      <c r="X58" s="101">
        <f t="shared" si="7"/>
        <v>0</v>
      </c>
      <c r="Y58" s="102">
        <f>SUM(Y34:Y57)</f>
        <v>562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2026-09-22T05:21:59Z</dcterms:modified>
</cp:coreProperties>
</file>