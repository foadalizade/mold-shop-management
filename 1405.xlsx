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2D52E3B6-733B-4DC4-874B-ECBA285DC8A5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شهریور!$A$1:$AU$511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512" i="19" l="1"/>
  <c r="AF512" i="19"/>
  <c r="AH486" i="19"/>
  <c r="AH487" i="19"/>
  <c r="AH488" i="19"/>
  <c r="AH489" i="19"/>
  <c r="AH490" i="19"/>
  <c r="AH491" i="19"/>
  <c r="AH492" i="19"/>
  <c r="AH493" i="19"/>
  <c r="AH494" i="19"/>
  <c r="AH495" i="19"/>
  <c r="AH496" i="19"/>
  <c r="AH497" i="19"/>
  <c r="AH498" i="19"/>
  <c r="AH499" i="19"/>
  <c r="AH500" i="19"/>
  <c r="AH501" i="19"/>
  <c r="AH502" i="19"/>
  <c r="AH503" i="19"/>
  <c r="AH504" i="19"/>
  <c r="AH505" i="19"/>
  <c r="AH506" i="19"/>
  <c r="AH507" i="19"/>
  <c r="AH508" i="19"/>
  <c r="AH509" i="19"/>
  <c r="AH510" i="19"/>
  <c r="AH511" i="19"/>
  <c r="AF511" i="19"/>
  <c r="AF510" i="19"/>
  <c r="AF509" i="19"/>
  <c r="AF508" i="19"/>
  <c r="AF507" i="19"/>
  <c r="AF506" i="19"/>
  <c r="AF505" i="19"/>
  <c r="AF504" i="19"/>
  <c r="AF503" i="19"/>
  <c r="AF502" i="19"/>
  <c r="AF501" i="19"/>
  <c r="AF500" i="19"/>
  <c r="AF499" i="19"/>
  <c r="AF498" i="19"/>
  <c r="AF497" i="19"/>
  <c r="AF496" i="19"/>
  <c r="AF495" i="19"/>
  <c r="AF494" i="19"/>
  <c r="AF493" i="19"/>
  <c r="AF492" i="19"/>
  <c r="AF491" i="19"/>
  <c r="AF490" i="19"/>
  <c r="AF489" i="19"/>
  <c r="AF488" i="19"/>
  <c r="AF487" i="19"/>
  <c r="AF486" i="19"/>
  <c r="AH378" i="19"/>
  <c r="AH379" i="19"/>
  <c r="AH380" i="19"/>
  <c r="AH381" i="19"/>
  <c r="AH382" i="19"/>
  <c r="AH383" i="19"/>
  <c r="AH384" i="19"/>
  <c r="AH385" i="19"/>
  <c r="AH386" i="19"/>
  <c r="AH387" i="19"/>
  <c r="AH388" i="19"/>
  <c r="AH389" i="19"/>
  <c r="AH390" i="19"/>
  <c r="AH391" i="19"/>
  <c r="AH392" i="19"/>
  <c r="AH393" i="19"/>
  <c r="AH394" i="19"/>
  <c r="AH395" i="19"/>
  <c r="AH396" i="19"/>
  <c r="AH397" i="19"/>
  <c r="AH398" i="19"/>
  <c r="AH399" i="19"/>
  <c r="AH400" i="19"/>
  <c r="AH401" i="19"/>
  <c r="AH402" i="19"/>
  <c r="AH403" i="19"/>
  <c r="AH404" i="19"/>
  <c r="AH405" i="19"/>
  <c r="AH406" i="19"/>
  <c r="AH407" i="19"/>
  <c r="AH408" i="19"/>
  <c r="AH409" i="19"/>
  <c r="AH410" i="19"/>
  <c r="AH411" i="19"/>
  <c r="AH412" i="19"/>
  <c r="AH413" i="19"/>
  <c r="AH414" i="19"/>
  <c r="AH415" i="19"/>
  <c r="AH416" i="19"/>
  <c r="AH417" i="19"/>
  <c r="AH418" i="19"/>
  <c r="AH419" i="19"/>
  <c r="AH420" i="19"/>
  <c r="AH421" i="19"/>
  <c r="AH422" i="19"/>
  <c r="AH423" i="19"/>
  <c r="AH424" i="19"/>
  <c r="AH425" i="19"/>
  <c r="AH426" i="19"/>
  <c r="AH427" i="19"/>
  <c r="AH428" i="19"/>
  <c r="AH429" i="19"/>
  <c r="AH430" i="19"/>
  <c r="AH431" i="19"/>
  <c r="AH432" i="19"/>
  <c r="AH433" i="19"/>
  <c r="AH434" i="19"/>
  <c r="AH435" i="19"/>
  <c r="AH436" i="19"/>
  <c r="AH437" i="19"/>
  <c r="AH438" i="19"/>
  <c r="AH439" i="19"/>
  <c r="AH440" i="19"/>
  <c r="AH441" i="19"/>
  <c r="AH442" i="19"/>
  <c r="AH443" i="19"/>
  <c r="AH444" i="19"/>
  <c r="AH445" i="19"/>
  <c r="AH446" i="19"/>
  <c r="AH447" i="19"/>
  <c r="AH448" i="19"/>
  <c r="AH449" i="19"/>
  <c r="AH450" i="19"/>
  <c r="AH451" i="19"/>
  <c r="AH452" i="19"/>
  <c r="AH453" i="19"/>
  <c r="AH454" i="19"/>
  <c r="AH455" i="19"/>
  <c r="AH456" i="19"/>
  <c r="AH457" i="19"/>
  <c r="AH458" i="19"/>
  <c r="AH459" i="19"/>
  <c r="AH460" i="19"/>
  <c r="AH461" i="19"/>
  <c r="AH462" i="19"/>
  <c r="AH463" i="19"/>
  <c r="AH464" i="19"/>
  <c r="AH465" i="19"/>
  <c r="AH466" i="19"/>
  <c r="AH467" i="19"/>
  <c r="AH468" i="19"/>
  <c r="AH469" i="19"/>
  <c r="AH470" i="19"/>
  <c r="AH471" i="19"/>
  <c r="AH472" i="19"/>
  <c r="AH473" i="19"/>
  <c r="AH474" i="19"/>
  <c r="AH475" i="19"/>
  <c r="AH476" i="19"/>
  <c r="AH477" i="19"/>
  <c r="AH478" i="19"/>
  <c r="AH479" i="19"/>
  <c r="AH480" i="19"/>
  <c r="AH481" i="19"/>
  <c r="AH482" i="19"/>
  <c r="AH483" i="19"/>
  <c r="AH484" i="19"/>
  <c r="AH485" i="19"/>
  <c r="AF485" i="19"/>
  <c r="AF484" i="19"/>
  <c r="AF483" i="19"/>
  <c r="AF482" i="19"/>
  <c r="AF481" i="19"/>
  <c r="AF480" i="19"/>
  <c r="AF479" i="19"/>
  <c r="AF478" i="19"/>
  <c r="AF477" i="19"/>
  <c r="AF476" i="19"/>
  <c r="AF475" i="19"/>
  <c r="AF474" i="19"/>
  <c r="AF473" i="19"/>
  <c r="AF472" i="19"/>
  <c r="AF471" i="19"/>
  <c r="AF470" i="19"/>
  <c r="AF469" i="19"/>
  <c r="AF468" i="19"/>
  <c r="AF467" i="19"/>
  <c r="AF466" i="19"/>
  <c r="AF465" i="19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<sst xmlns="http://schemas.openxmlformats.org/spreadsheetml/2006/main" count="54200" uniqueCount="2161">
  <si>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</si>
  <si>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</si>
  <si>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</si>
  <si>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</si>
  <si>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</si>
  <si>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</si>
  <si>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</si>
  <si>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</si>
  <si>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</si>
  <si>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</si>
  <si>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</si>
  <si>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</si>
  <si>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</si>
  <si>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</si>
  <si>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</si>
  <si>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</si>
  <si>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</si>
  <si>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</si>
  <si>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</si>
  <si>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</si>
  <si>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</si>
  <si>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</si>
  <si>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</si>
  <si>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</si>
  <si>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</si>
  <si>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</si>
  <si>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</si>
  <si>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</si>
  <si>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</si>
  <si>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</si>
  <si>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</si>
  <si>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</si>
  <si>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</si>
  <si>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</si>
  <si>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</si>
  <si>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</si>
  <si>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</si>
  <si>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</si>
  <si>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</si>
  <si>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</si>
  <si>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</si>
  <si>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</si>
  <si>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</si>
  <si>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</si>
  <si>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</si>
  <si>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</si>
  <si>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</si>
  <si>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</si>
  <si>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</si>
  <si>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</si>
  <si>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</si>
  <si>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</si>
  <si>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</si>
  <si>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</si>
  <si>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</si>
  <si>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</si>
  <si>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</si>
  <si>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</si>
  <si>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</si>
  <si>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</si>
  <si>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</si>
  <si>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</si>
  <si>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</si>
  <si>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</si>
  <si>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</si>
  <si>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</si>
  <si>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</si>
  <si>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</si>
  <si>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</si>
  <si>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</si>
  <si>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</si>
  <si>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</si>
  <si>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</si>
  <si>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</si>
  <si>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</si>
  <si>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</si>
  <si>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</si>
  <si>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</si>
  <si>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</si>
  <si>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</si>
  <si>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</si>
  <si>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</si>
  <si>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</si>
  <si>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</si>
  <si>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</si>
  <si>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</si>
  <si>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</si>
  <si>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</si>
  <si>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</si>
  <si>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</si>
  <si>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</si>
  <si>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</si>
  <si>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</si>
  <si>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</si>
  <si>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</si>
  <si>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</si>
  <si>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</si>
  <si>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</si>
  <si>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</si>
  <si>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</si>
  <si>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</si>
  <si>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</si>
  <si>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</si>
  <si>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</si>
  <si>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</si>
  <si>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</si>
  <si>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</si>
  <si>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</si>
  <si>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</si>
  <si>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</si>
  <si>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</si>
  <si>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</si>
  <si>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</si>
  <si>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</si>
  <si>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</si>
  <si>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</si>
  <si>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</si>
  <si>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</si>
  <si>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</si>
  <si>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</si>
  <si>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</si>
  <si>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</si>
  <si>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</si>
  <si>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</si>
  <si>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</si>
  <si>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</si>
  <si>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</si>
  <si>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</si>
  <si>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</si>
  <si>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</si>
  <si>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</si>
  <si>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</si>
  <si>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</si>
  <si>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</si>
  <si>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</si>
  <si>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</si>
  <si>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</si>
  <si>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</si>
  <si>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</si>
  <si>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</si>
  <si>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</si>
  <si>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</si>
  <si>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</si>
  <si>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</si>
  <si>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</si>
  <si>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</si>
  <si>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</si>
  <si>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</si>
  <si>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</si>
  <si>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</si>
  <si>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</si>
  <si>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</si>
  <si>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</si>
  <si>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</si>
  <si>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</si>
  <si>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</si>
  <si>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</si>
  <si>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</si>
  <si>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</si>
  <si>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</si>
  <si>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</si>
  <si>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</si>
  <si>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</si>
  <si>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</si>
  <si>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</si>
  <si>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</si>
  <si>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</si>
  <si>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</si>
  <si>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</si>
  <si>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</si>
  <si>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</si>
  <si>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</si>
  <si>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</si>
  <si>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</si>
  <si>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</si>
  <si>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</si>
  <si>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</si>
  <si>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</si>
  <si>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</si>
  <si>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</si>
  <si>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</si>
  <si>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</si>
  <si>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</si>
  <si>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</si>
  <si>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</si>
  <si>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</si>
  <si>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</si>
  <si>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</si>
  <si>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</si>
  <si>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</si>
  <si>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</si>
  <si>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</si>
  <si>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</si>
  <si>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</si>
  <si>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</si>
  <si>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</si>
  <si>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</si>
  <si>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</si>
  <si>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</si>
  <si>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</si>
  <si>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</si>
  <si>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</si>
  <si>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</si>
  <si>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</si>
  <si>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</si>
  <si>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</si>
  <si>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</si>
  <si>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</si>
  <si>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</si>
  <si>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</si>
  <si>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</si>
  <si>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</si>
  <si>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</si>
  <si>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</si>
  <si>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</si>
  <si>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</si>
  <si>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</si>
  <si>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</si>
  <si>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</si>
  <si>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</si>
  <si>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</si>
  <si>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</si>
  <si>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</si>
  <si>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</si>
  <si>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</si>
  <si>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</si>
  <si>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</si>
  <si>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</si>
  <si>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</si>
  <si>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</si>
  <si>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</si>
  <si>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</si>
  <si>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</si>
  <si>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</si>
  <si>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</si>
  <si>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</si>
  <si>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</si>
  <si>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</si>
  <si>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</si>
  <si>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</si>
  <si>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</si>
  <si>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</si>
  <si>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</si>
  <si>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</si>
  <si>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</si>
  <si>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</si>
  <si>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</si>
  <si>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</si>
  <si>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</si>
  <si>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</si>
  <si>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</si>
  <si>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</si>
  <si>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</si>
  <si>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</si>
  <si>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</si>
  <si>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</si>
  <si>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</si>
  <si>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</si>
  <si>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</si>
  <si>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</si>
  <si>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</si>
  <si>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</si>
  <si>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</si>
  <si>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</si>
  <si>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</si>
  <si>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</si>
  <si>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</si>
  <si>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</si>
  <si>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</si>
  <si>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</si>
  <si>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</si>
  <si>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</si>
  <si>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</si>
  <si>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</si>
  <si>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</si>
  <si>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</si>
  <si>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</si>
  <si>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</si>
  <si>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</si>
  <si>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</si>
  <si>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</si>
  <si>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</si>
  <si>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</si>
  <si>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</si>
  <si>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</si>
  <si>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</si>
  <si>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</si>
  <si>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</si>
  <si>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</si>
  <si>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</si>
  <si>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</si>
  <si>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</si>
  <si>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</si>
  <si>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</si>
  <si>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</si>
  <si>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</si>
  <si>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</si>
  <si>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</si>
  <si>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</si>
  <si>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</si>
  <si>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</si>
  <si>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</si>
  <si>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</si>
  <si>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</si>
  <si>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</si>
  <si>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</si>
  <si>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</si>
  <si>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</si>
  <si>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</si>
  <si>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</si>
  <si>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</si>
  <si>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</si>
  <si>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</si>
  <si>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</si>
  <si>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</si>
  <si>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</si>
  <si>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</si>
  <si>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</si>
  <si>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</si>
  <si>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</si>
  <si>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</si>
  <si>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</si>
  <si>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</si>
  <si>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</si>
  <si>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</si>
  <si>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</si>
  <si>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</si>
  <si>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</si>
  <si>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</si>
  <si>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</si>
  <si>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</si>
  <si>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</si>
  <si>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</si>
  <si>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</si>
  <si>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</si>
  <si>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</si>
  <si>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</si>
  <si>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</si>
  <si>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</si>
  <si>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</si>
  <si>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</si>
  <si>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</si>
  <si>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</si>
  <si>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</si>
  <si>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</si>
  <si>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</si>
  <si>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</si>
  <si>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</si>
  <si>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</si>
  <si>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</si>
  <si>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</si>
  <si>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</si>
  <si>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</si>
  <si>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</si>
  <si>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</si>
  <si>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</si>
  <si>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</si>
  <si>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</si>
  <si>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</si>
  <si>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</si>
  <si>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</si>
  <si>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</si>
  <si>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</si>
  <si>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</si>
  <si>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</si>
  <si>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</si>
  <si>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</si>
  <si>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</si>
  <si>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</si>
  <si>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</si>
  <si>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</si>
  <si>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</si>
  <si>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</si>
  <si>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</si>
  <si>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</si>
  <si>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</si>
  <si>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</si>
  <si>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</si>
  <si>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</si>
  <si>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</si>
  <si>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</si>
  <si>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</si>
  <si>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</si>
  <si>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</si>
  <si>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</si>
  <si>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</si>
  <si>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</si>
  <si>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</si>
  <si>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</si>
  <si>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</si>
  <si>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</si>
  <si>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</si>
  <si>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</si>
  <si>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</si>
  <si>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</si>
  <si>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</si>
  <si>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</si>
  <si>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</si>
  <si>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</si>
  <si>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</si>
  <si>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</si>
  <si>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</si>
  <si>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</si>
  <si>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</si>
  <si>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</si>
  <si>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</si>
  <si>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</si>
  <si>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</si>
  <si>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</si>
  <si>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</si>
  <si>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</si>
  <si>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</si>
  <si>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</si>
  <si>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</si>
  <si>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</si>
  <si>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</si>
  <si>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</si>
  <si>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</si>
  <si>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</si>
  <si>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</si>
  <si>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</si>
  <si>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</si>
  <si>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</si>
  <si>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</si>
  <si>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</si>
  <si>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</si>
  <si>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</si>
  <si>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</si>
  <si>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</si>
  <si>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</si>
  <si>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</si>
  <si>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</si>
  <si>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</si>
  <si>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</si>
  <si>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</si>
  <si>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</si>
  <si>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</si>
  <si>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</si>
  <si>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</si>
  <si>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</si>
  <si>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</si>
  <si>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</si>
  <si>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</si>
  <si>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</si>
  <si>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</si>
  <si>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</si>
  <si>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</si>
  <si>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</si>
  <si>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</si>
  <si>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</si>
  <si>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</si>
  <si>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</si>
  <si>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</si>
  <si>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</si>
  <si>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</si>
  <si>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</si>
  <si>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</si>
  <si>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</si>
  <si>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</si>
  <si>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</si>
  <si>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</si>
  <si>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</si>
  <si>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</si>
  <si>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</si>
  <si>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</si>
  <si>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</si>
  <si>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</si>
  <si>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</si>
  <si>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</si>
  <si>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</si>
  <si>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</si>
  <si>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</si>
  <si>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</si>
  <si>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</si>
  <si>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</si>
  <si>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</si>
  <si>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</si>
  <si>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</si>
  <si>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</si>
  <si>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</si>
  <si>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</si>
  <si>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</si>
  <si>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</si>
  <si>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</si>
  <si>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</si>
  <si>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</si>
  <si>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</si>
  <si>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</si>
  <si>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</si>
  <si>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</si>
  <si>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</si>
  <si>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</si>
  <si>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</si>
  <si>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</si>
  <si>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</si>
  <si>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</si>
  <si>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</si>
  <si>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</si>
  <si>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</si>
  <si>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</si>
  <si>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</si>
  <si>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</si>
  <si>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</si>
  <si>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</si>
  <si>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</si>
  <si>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</si>
  <si>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</si>
  <si>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</si>
  <si>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</si>
  <si>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</si>
  <si>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</si>
  <si>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</si>
  <si>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</si>
  <si>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</si>
  <si>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</si>
  <si>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</si>
  <si>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</si>
  <si>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</si>
  <si>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</si>
  <si>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</si>
  <si>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</si>
  <si>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</si>
  <si>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</si>
  <si>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</si>
  <si>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</si>
  <si>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</si>
  <si>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</si>
  <si>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</si>
  <si>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</si>
  <si>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</si>
  <si>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</si>
  <si>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</si>
  <si>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</si>
  <si>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</si>
  <si>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</si>
  <si>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</si>
  <si>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</si>
  <si>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</si>
  <si>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</si>
  <si>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</si>
  <si>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</si>
  <si>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</si>
  <si>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</si>
  <si>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</si>
  <si>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</si>
  <si>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</si>
  <si>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</si>
  <si>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</si>
  <si>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</si>
  <si>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</si>
  <si>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</si>
  <si>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</si>
  <si>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</si>
  <si>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</si>
  <si>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</si>
  <si>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</si>
  <si>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</si>
  <si>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</si>
  <si>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</si>
  <si>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</si>
  <si>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</si>
  <si>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</si>
  <si>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</si>
  <si>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</si>
  <si>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</si>
  <si>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</si>
  <si>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</si>
  <si>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</si>
  <si>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</si>
  <si>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</si>
  <si>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</si>
  <si>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</si>
  <si>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</si>
  <si>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</si>
  <si>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</si>
  <si>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</si>
  <si>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</si>
  <si>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</si>
  <si>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</si>
  <si>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</si>
  <si>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</si>
  <si>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</si>
  <si>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</si>
  <si>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</si>
  <si>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</si>
  <si>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</si>
  <si>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</si>
  <si>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</si>
  <si>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</si>
  <si>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</si>
  <si>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</si>
  <si>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</si>
  <si>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</si>
  <si>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</si>
  <si>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</si>
  <si>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</si>
  <si>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</si>
  <si>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</si>
  <si>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</si>
  <si>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</si>
  <si>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</si>
  <si>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</si>
  <si>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</si>
  <si>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</si>
  <si>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</si>
  <si>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</si>
  <si>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</si>
  <si>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</si>
  <si>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</si>
  <si>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</si>
  <si>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</si>
  <si>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</si>
  <si>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</si>
  <si>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</si>
  <si>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</si>
  <si>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</si>
  <si>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</si>
  <si>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</si>
  <si>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</si>
  <si>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</si>
  <si>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</si>
  <si>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</si>
  <si>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</si>
  <si>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</si>
  <si>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</si>
  <si>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</si>
  <si>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</si>
  <si>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</si>
  <si>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</si>
  <si>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</si>
  <si>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</si>
  <si>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</si>
  <si>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</si>
  <si>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</si>
  <si>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</si>
  <si>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</si>
  <si>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</si>
  <si>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</si>
  <si>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</si>
  <si>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</si>
  <si>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</si>
  <si>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</si>
  <si>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</si>
  <si>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</si>
  <si>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</si>
  <si>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</si>
  <si>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</si>
  <si>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</si>
  <si>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</si>
  <si>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</si>
  <si>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</si>
  <si>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</si>
  <si>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</si>
  <si>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</si>
  <si>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</si>
  <si>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</si>
  <si>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</si>
  <si>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</si>
  <si>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</si>
  <si>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</si>
  <si>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</si>
  <si>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</si>
  <si>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</si>
  <si>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</si>
  <si>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</si>
  <si>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</si>
  <si>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</si>
  <si>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</si>
  <si>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</si>
  <si>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</si>
  <si>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</si>
  <si>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</si>
  <si>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</si>
  <si>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</si>
  <si>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</si>
  <si>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</si>
  <si>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</si>
  <si>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</si>
  <si>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</si>
  <si>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</si>
  <si>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</si>
  <si>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</si>
  <si>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</si>
  <si>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</si>
  <si>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</si>
  <si>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</si>
  <si>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</si>
  <si>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</si>
  <si>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</si>
  <si>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</si>
  <si>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</si>
  <si>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</si>
  <si>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</si>
  <si>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</si>
  <si>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</si>
  <si>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</si>
  <si>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</si>
  <si>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</si>
  <si>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</si>
  <si>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</si>
  <si>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</si>
  <si>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</si>
  <si>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</si>
  <si>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</si>
  <si>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</si>
  <si>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</si>
  <si>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</si>
  <si>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</si>
  <si>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</si>
  <si>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</si>
  <si>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</si>
  <si>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</si>
  <si>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</si>
  <si>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</si>
  <si>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</si>
  <si>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</si>
  <si>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</si>
  <si>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</si>
  <si>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</si>
  <si>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</si>
  <si>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</si>
  <si>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</si>
  <si>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</si>
  <si>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</si>
  <si>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</si>
  <si>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</si>
  <si>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</si>
  <si>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</si>
  <si>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</si>
  <si>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</si>
  <si>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</si>
  <si>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</si>
  <si>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</si>
  <si>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</si>
  <si>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</si>
  <si>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</si>
  <si>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</si>
  <si>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</si>
  <si>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</si>
  <si>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</si>
  <si>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</si>
  <si>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</si>
  <si>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</si>
  <si>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</si>
  <si>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</si>
  <si>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</si>
  <si>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</si>
  <si>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</si>
  <si>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</si>
  <si>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</si>
  <si>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</si>
  <si>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</si>
  <si>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</si>
  <si>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</si>
  <si>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</si>
  <si>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</si>
  <si>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</si>
  <si>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</si>
  <si>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</si>
  <si>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</si>
  <si>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</si>
  <si>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</si>
  <si>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</si>
  <si>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</si>
  <si>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</si>
  <si>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</si>
  <si>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</si>
  <si>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</si>
  <si>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</si>
  <si>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</si>
  <si>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</si>
  <si>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</si>
  <si>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</si>
  <si>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</si>
  <si>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</si>
  <si>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</si>
  <si>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</si>
  <si>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</si>
  <si>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</si>
  <si>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</si>
  <si>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</si>
  <si>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</si>
  <si>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</si>
  <si>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</si>
  <si>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</si>
  <si>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</si>
  <si>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</si>
  <si>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</si>
  <si>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</si>
  <si>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</si>
  <si>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</si>
  <si>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</si>
  <si>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</si>
  <si>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</si>
  <si>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</si>
  <si>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</si>
  <si>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</si>
  <si>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</si>
  <si>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</si>
  <si>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</si>
  <si>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</si>
  <si>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</si>
  <si>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</si>
  <si>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</si>
  <si>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</si>
  <si>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</si>
  <si>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</si>
  <si>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</si>
  <si>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</si>
  <si>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</si>
  <si>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</si>
  <si>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</si>
  <si>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</si>
  <si>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</si>
  <si>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</si>
  <si>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</si>
  <si>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</si>
  <si>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</si>
  <si>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</si>
  <si>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</si>
  <si>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</si>
  <si>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</si>
  <si>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</si>
  <si>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</si>
  <si>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</si>
  <si>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</si>
  <si>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</si>
  <si>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</si>
  <si>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</si>
  <si>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</si>
  <si>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</si>
  <si>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</si>
  <si>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</si>
  <si>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</si>
  <si>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</si>
  <si>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</si>
  <si>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</si>
  <si>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</si>
  <si>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</si>
  <si>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</si>
  <si>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</si>
  <si>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</si>
  <si>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</si>
  <si>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</si>
  <si>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</si>
  <si>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</si>
  <si>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</si>
  <si>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</si>
  <si>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</si>
  <si>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</si>
  <si>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</si>
  <si>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</si>
  <si>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</si>
  <si>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</si>
  <si>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</si>
  <si>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</si>
  <si>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</si>
  <si>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</si>
  <si>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</si>
  <si>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</si>
  <si>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</si>
  <si>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</si>
  <si>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</si>
  <si>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</si>
  <si>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</si>
  <si>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</si>
  <si>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</si>
  <si>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</si>
  <si>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</si>
  <si>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</si>
  <si>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</si>
  <si>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</si>
  <si>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</si>
  <si>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</si>
  <si>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</si>
  <si>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</si>
  <si>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</si>
  <si>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</si>
  <si>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</si>
  <si>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</si>
  <si>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</si>
  <si>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</si>
  <si>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</si>
  <si>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</si>
  <si>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</si>
  <si>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</si>
  <si>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</si>
  <si>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</si>
  <si>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</si>
  <si>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</si>
  <si>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</si>
  <si>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</si>
  <si>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</si>
  <si>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</si>
  <si>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</si>
  <si>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</si>
  <si>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</si>
  <si>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</si>
  <si>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</si>
  <si>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</si>
  <si>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</si>
  <si>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</si>
  <si>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</si>
  <si>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</si>
  <si>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</si>
  <si>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</si>
  <si>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</si>
  <si>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</si>
  <si>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</si>
  <si>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</si>
  <si>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</si>
  <si>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</si>
  <si>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</si>
  <si>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</si>
  <si>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</si>
  <si>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</si>
  <si>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</si>
  <si>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</si>
  <si>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</si>
  <si>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</si>
  <si>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</si>
  <si>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</si>
  <si>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</si>
  <si>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</si>
  <si>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</si>
  <si>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</si>
  <si>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</si>
  <si>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</si>
  <si>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</si>
  <si>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</si>
  <si>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</si>
  <si>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</si>
  <si>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</si>
  <si>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</si>
  <si>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</si>
  <si>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</si>
  <si>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</si>
  <si>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</si>
  <si>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</si>
  <si>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</si>
  <si>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</si>
  <si>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</si>
  <si>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</si>
  <si>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</si>
  <si>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</si>
  <si>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</si>
  <si>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</si>
  <si>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</si>
  <si>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</si>
  <si>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</si>
  <si>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</si>
  <si>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</si>
  <si>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</si>
  <si>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</si>
  <si>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</si>
  <si>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</si>
  <si>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</si>
  <si>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</si>
  <si>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</si>
  <si>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</si>
  <si>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</si>
  <si>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</si>
  <si>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</si>
  <si>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</si>
  <si>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</si>
  <si>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</si>
  <si>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</si>
  <si>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</si>
  <si>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</si>
  <si>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</si>
  <si>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</si>
  <si>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</si>
  <si>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</si>
  <si>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</si>
  <si>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</si>
  <si>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</si>
  <si>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</si>
  <si>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</si>
  <si>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</si>
  <si>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</si>
  <si>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</si>
  <si>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</si>
  <si>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</si>
  <si>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</si>
  <si>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</si>
  <si>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</si>
  <si>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</si>
  <si>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</si>
  <si>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</si>
  <si>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</si>
  <si>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</si>
  <si>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</si>
  <si>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</si>
  <si>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</si>
  <si>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</si>
  <si>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</si>
  <si>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</si>
  <si>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</si>
  <si>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</si>
  <si>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</si>
  <si>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</si>
  <si>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</si>
  <si>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</si>
  <si>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</si>
  <si>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</si>
  <si>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</si>
  <si>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</si>
  <si>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</si>
  <si>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</si>
  <si>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</si>
  <si>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</si>
  <si>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</si>
  <si>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</si>
  <si>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</si>
  <si>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</si>
  <si>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</si>
  <si>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</si>
  <si>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</si>
  <si>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</si>
  <si>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</si>
  <si>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</si>
  <si>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</si>
  <si>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</si>
  <si>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</si>
  <si>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</si>
  <si>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</si>
  <si>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</si>
  <si>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</si>
  <si>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</si>
  <si>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</si>
  <si>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</si>
  <si>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</si>
  <si>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</si>
  <si>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</si>
  <si>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</si>
  <si>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</si>
  <si>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</si>
  <si>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</si>
  <si>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</si>
  <si>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</si>
  <si>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</si>
  <si>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</si>
  <si>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</si>
  <si>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</si>
  <si>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</si>
  <si>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</si>
  <si>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</si>
  <si>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</si>
  <si>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</si>
  <si>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</si>
  <si>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</si>
  <si>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</si>
  <si>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</si>
  <si>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</si>
  <si>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</si>
  <si>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</si>
  <si>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</si>
  <si>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</si>
  <si>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</si>
  <si>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</si>
  <si>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</si>
  <si>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</si>
  <si>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</si>
  <si>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</si>
  <si>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</si>
  <si>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</si>
  <si>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</si>
  <si>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</si>
  <si>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</si>
  <si>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</si>
  <si>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</si>
  <si>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</si>
  <si>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</si>
  <si>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</si>
  <si>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</si>
  <si>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</si>
  <si>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</si>
  <si>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</si>
  <si>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</si>
  <si>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</si>
  <si>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</si>
  <si>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</si>
  <si>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</si>
  <si>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</si>
  <si>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</si>
  <si>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</si>
  <si>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</si>
  <si>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</si>
  <si>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</si>
  <si>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</si>
  <si>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</si>
  <si>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</si>
  <si>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</si>
  <si>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</si>
  <si>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</si>
  <si>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</si>
  <si>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</si>
  <si>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</si>
  <si>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</si>
  <si>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</si>
  <si>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</si>
  <si>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</si>
  <si>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</si>
  <si>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</si>
  <si>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</si>
  <si>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</si>
  <si>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</si>
  <si>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</si>
  <si>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</si>
  <si>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</si>
  <si>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</si>
  <si>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</si>
  <si>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</si>
  <si>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</si>
  <si>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</si>
  <si>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</si>
  <si>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</si>
  <si>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</si>
  <si>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</si>
  <si>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</si>
  <si>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</si>
  <si>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</si>
  <si>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</si>
  <si>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</si>
  <si>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</si>
  <si>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</si>
  <si>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</si>
  <si>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</si>
  <si>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</si>
  <si>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</si>
  <si>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</si>
  <si>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</si>
  <si>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</si>
  <si>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</si>
  <si>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</si>
  <si>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</si>
  <si>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</si>
  <si>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</si>
  <si>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</si>
  <si>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</si>
  <si>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</si>
  <si>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</si>
  <si>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</si>
  <si>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</si>
  <si>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</si>
  <si>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</si>
  <si>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</si>
  <si>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</si>
  <si>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</si>
  <si>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</si>
  <si>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</si>
  <si>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</si>
  <si>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</si>
  <si>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</si>
  <si>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</si>
  <si>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</si>
  <si>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</si>
  <si>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</si>
  <si>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</si>
  <si>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</si>
  <si>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</si>
  <si>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</si>
  <si>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</si>
  <si>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</si>
  <si>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</si>
  <si>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</si>
  <si>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</si>
  <si>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</si>
  <si>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</si>
  <si>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</si>
  <si>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</si>
  <si>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</si>
  <si>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</si>
  <si>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</si>
  <si>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</si>
  <si>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</si>
  <si>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</si>
  <si>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</si>
  <si>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</si>
  <si>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</si>
  <si>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</si>
  <si>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</si>
  <si>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</si>
  <si>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</si>
  <si>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</si>
  <si>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</si>
  <si>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</si>
  <si>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</si>
  <si>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</si>
  <si>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</si>
  <si>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</si>
  <si>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</si>
  <si>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</si>
  <si>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</si>
  <si>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</si>
  <si>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</si>
  <si>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</si>
  <si>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</si>
  <si>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</si>
  <si>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</si>
  <si>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</si>
  <si>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</si>
  <si>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</si>
  <si>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</si>
  <si>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</si>
  <si>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</si>
  <si>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</si>
  <si>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</si>
  <si>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</si>
  <si>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</si>
  <si>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</si>
  <si>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</si>
  <si>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</si>
  <si>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</si>
  <si>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</si>
  <si>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</si>
  <si>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</si>
  <si>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</si>
  <si>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</si>
  <si>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</si>
  <si>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</si>
  <si>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</si>
  <si>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</si>
  <si>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</si>
  <si>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</si>
  <si>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</si>
  <si>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</si>
  <si>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</si>
  <si>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</si>
  <si>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</si>
  <si>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</si>
  <si>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</si>
  <si>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</si>
  <si>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</si>
  <si>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</si>
  <si>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</si>
  <si>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</si>
  <si>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</si>
  <si>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</si>
  <si>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</si>
  <si>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</si>
  <si>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</si>
  <si>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</si>
  <si>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</si>
  <si>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</si>
  <si>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</si>
  <si>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</si>
  <si>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</si>
  <si>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</si>
  <si>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</si>
  <si>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</si>
  <si>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</si>
  <si>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</si>
  <si>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</si>
  <si>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</si>
  <si>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</si>
  <si>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</si>
  <si>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</si>
  <si>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</si>
  <si>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</si>
  <si>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</si>
  <si>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</si>
  <si>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</si>
  <si>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</si>
  <si>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</si>
  <si>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</si>
  <si>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</si>
  <si>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</si>
  <si>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</si>
  <si>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</si>
  <si>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</si>
  <si>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</si>
  <si>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</si>
  <si>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</si>
  <si>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</si>
  <si>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</si>
  <si>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</si>
  <si>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</si>
  <si>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</si>
  <si>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</si>
  <si>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</si>
  <si>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</si>
  <si>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</si>
  <si>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</si>
  <si>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</si>
  <si>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</si>
  <si>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</si>
  <si>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</si>
  <si>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</si>
  <si>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</si>
  <si>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</si>
  <si>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</si>
  <si>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</si>
  <si>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</si>
  <si>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</si>
  <si>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</si>
  <si>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</si>
  <si>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</si>
  <si>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</si>
  <si>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</si>
  <si>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</si>
  <si>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</si>
  <si>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</si>
  <si>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</si>
  <si>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</si>
  <si>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</si>
  <si>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</si>
  <si>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</si>
  <si>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</si>
  <si>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</si>
  <si>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</si>
  <si>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</si>
  <si>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</si>
  <si>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</si>
  <si>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</si>
  <si>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</si>
  <si>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</si>
  <si>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</si>
  <si>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</si>
  <si>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</si>
  <si>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</si>
  <si>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</si>
  <si>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</si>
  <si>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</si>
  <si>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</si>
  <si>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</si>
  <si>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</si>
  <si>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</si>
  <si>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</si>
  <si>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</si>
  <si>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</si>
  <si>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</si>
  <si>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</si>
  <si>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</si>
  <si>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</si>
  <si>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</si>
  <si>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</si>
  <si>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</si>
  <si>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</si>
  <si>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</si>
  <si>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</si>
  <si>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</si>
  <si>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</si>
  <si>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</si>
  <si>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</si>
  <si>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</si>
  <si>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</si>
  <si>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</si>
  <si>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</si>
  <si>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</si>
  <si>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</si>
  <si>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</si>
  <si>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</si>
  <si>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</si>
  <si>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</si>
  <si>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</si>
  <si>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</si>
  <si>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</si>
  <si>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</si>
  <si>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</si>
  <si>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</si>
  <si>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</si>
  <si>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</si>
  <si>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</si>
  <si>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</si>
  <si>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</si>
  <si>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</si>
  <si>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</si>
  <si>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</si>
  <si>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</si>
  <si>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</si>
  <si>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</si>
  <si>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</si>
  <si>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</si>
  <si>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</si>
  <si>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</si>
  <si>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</si>
  <si>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</si>
  <si>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</si>
  <si>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</si>
  <si>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</si>
  <si>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</si>
  <si>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</si>
  <si>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</si>
  <si>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</si>
  <si>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</si>
  <si>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</si>
  <si>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</si>
  <si>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</si>
  <si>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</si>
  <si>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</si>
  <si>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</si>
  <si>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</si>
  <si>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</si>
  <si>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</si>
  <si>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</si>
  <si>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</si>
  <si>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</si>
  <si>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</si>
  <si>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</si>
  <si>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</si>
  <si>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</si>
  <si>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</si>
  <si>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</si>
  <si>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</si>
  <si>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</si>
  <si>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</si>
  <si>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</si>
  <si>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</si>
  <si>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</si>
  <si>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</si>
  <si>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</si>
  <si>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</si>
  <si>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</si>
  <si>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</si>
  <si>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</si>
  <si>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</si>
  <si>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</si>
  <si>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</si>
  <si>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</si>
  <si>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</si>
  <si>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</si>
  <si>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</si>
  <si>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</si>
  <si>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</si>
  <si>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</si>
  <si>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</si>
  <si>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</si>
  <si>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</si>
  <si>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</si>
  <si>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</si>
  <si>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</si>
  <si>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</si>
  <si>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</si>
  <si>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</si>
  <si>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</si>
  <si>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</si>
  <si>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</si>
  <si>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</si>
  <si>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</si>
  <si>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</si>
  <si>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</si>
  <si>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</si>
  <si>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</si>
  <si>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</si>
  <si>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</si>
  <si>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</si>
  <si>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</si>
  <si>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</si>
  <si>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</si>
  <si>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</si>
  <si>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</si>
  <si>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</si>
  <si>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</si>
  <si>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</si>
  <si>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</si>
  <si>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</si>
  <si>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</si>
  <si>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</si>
  <si>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</si>
  <si>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</si>
  <si>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</si>
  <si>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</si>
  <si>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</si>
  <si>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</si>
  <si>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</si>
  <si>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</si>
  <si>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</si>
  <si>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</si>
  <si>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</si>
  <si>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</si>
  <si>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</si>
  <si>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</si>
  <si>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</si>
  <si>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</si>
  <si>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</si>
  <si>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</si>
  <si>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</si>
  <si>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</si>
  <si>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</si>
  <si>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</si>
  <si>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</si>
  <si>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</si>
  <si>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</si>
  <si>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</si>
  <si>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</si>
  <si>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</si>
  <si>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</si>
  <si>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</si>
  <si>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</si>
  <si>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</si>
  <si>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</si>
  <si>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</si>
  <si>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</si>
  <si>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</si>
  <si>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</si>
  <si>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</si>
  <si>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</si>
  <si>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</si>
  <si>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</si>
  <si>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</si>
  <si>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</si>
  <si>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</si>
  <si>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</si>
  <si>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</si>
  <si>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</si>
  <si>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</si>
  <si>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</si>
  <si>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</si>
  <si>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</si>
  <si>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</si>
  <si>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</si>
  <si>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</si>
  <si>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</si>
  <si>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</si>
  <si>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</si>
  <si>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</si>
  <si>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</si>
  <si>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</si>
  <si>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</si>
  <si>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</si>
  <si>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</si>
  <si>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</si>
  <si>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</si>
  <si>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</si>
  <si>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</si>
  <si>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</si>
  <si>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</si>
  <si>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</si>
  <si>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</si>
  <si>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</si>
  <si>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</si>
  <si>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</si>
  <si>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</si>
  <si>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</si>
  <si>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</si>
  <si>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</si>
  <si>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</si>
  <si>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</si>
  <si>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</si>
  <si>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</si>
  <si>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</si>
  <si>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</si>
  <si>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</si>
  <si>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</si>
  <si>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</si>
  <si>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</si>
  <si>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</si>
  <si>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</si>
  <si>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</si>
  <si>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</si>
  <si>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</si>
  <si>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</si>
  <si>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</si>
  <si>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</si>
  <si>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</si>
  <si>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</si>
  <si>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</si>
  <si>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</si>
  <si>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</si>
  <si>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</si>
  <si>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</si>
  <si>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</si>
  <si>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</si>
  <si>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</si>
  <si>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</si>
  <si>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</si>
  <si>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</si>
  <si>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</si>
  <si>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</si>
  <si>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</si>
  <si>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</si>
  <si>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</si>
  <si>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</si>
  <si>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</si>
  <si>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</si>
  <si>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</si>
  <si>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</si>
  <si>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</si>
  <si>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</si>
  <si>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</si>
  <si>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</si>
  <si>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</si>
  <si>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</si>
  <si>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</si>
  <si>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</si>
  <si>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</si>
  <si>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</si>
  <si>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</si>
  <si>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</si>
  <si>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</si>
  <si>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</si>
  <si>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</si>
  <si>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</si>
  <si>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</si>
  <si>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</si>
  <si>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</si>
  <si>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</si>
  <si>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</si>
  <si>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</si>
  <si>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</si>
  <si>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</si>
  <si>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</si>
  <si>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</si>
  <si>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</si>
  <si>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</si>
  <si>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</si>
  <si>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</si>
  <si>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</si>
  <si>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</si>
  <si>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</si>
  <si>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</si>
  <si>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</si>
  <si>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</si>
  <si>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</si>
  <si>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</si>
  <si>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</si>
  <si>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</si>
  <si>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</si>
  <si>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</si>
  <si>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</si>
  <si>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</si>
  <si>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</si>
  <si>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</si>
  <si>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</si>
  <si>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</si>
  <si>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</si>
  <si>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</si>
  <si>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</si>
  <si>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</si>
  <si>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</si>
  <si>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</si>
  <si>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</si>
  <si>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</si>
  <si>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</si>
  <si>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</si>
  <si>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</si>
  <si>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</si>
  <si>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</si>
  <si>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</si>
  <si>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</si>
  <si>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</si>
  <si>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</si>
  <si>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</si>
  <si>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</si>
  <si>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</si>
  <si>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</si>
  <si>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</si>
  <si>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</si>
  <si>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</si>
  <si>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</si>
  <si>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</si>
  <si>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</si>
  <si>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</si>
  <si>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</si>
  <si>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</si>
  <si>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</si>
  <si>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</si>
  <si>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</si>
  <si>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</si>
  <si>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</si>
  <si>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</si>
  <si>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</si>
  <si>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</si>
  <si>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</si>
  <si>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</si>
  <si>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</si>
  <si>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</si>
  <si>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</si>
  <si>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</si>
  <si>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</si>
  <si>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</si>
  <si>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</si>
  <si>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</si>
  <si>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</si>
  <si>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</si>
  <si>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</si>
  <si>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</si>
  <si>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</si>
  <si>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</si>
  <si>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</si>
  <si>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</si>
  <si>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</si>
  <si>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</si>
  <si>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</si>
  <si>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</si>
  <si>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</si>
  <si>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</si>
  <si>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</si>
  <si>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</si>
  <si>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</si>
  <si>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</si>
  <si>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</si>
  <si>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</si>
  <si>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</si>
  <si>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</si>
  <si>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</si>
  <si>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</si>
  <si>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</si>
  <si>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</si>
  <si>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</si>
  <si>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</si>
  <si>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</si>
  <si>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</si>
  <si>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</si>
  <si>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</si>
  <si>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</si>
  <si>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</si>
  <si>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</si>
  <si>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</si>
  <si>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</si>
  <si>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</si>
  <si>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</si>
  <si>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</si>
  <si>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</si>
  <si>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</si>
  <si>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</si>
  <si>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</si>
  <si>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</si>
  <si>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</si>
  <si>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</si>
  <si>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</si>
  <si>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</si>
  <si>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</si>
  <si>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</si>
  <si>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</si>
  <si>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</si>
  <si>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</si>
  <si>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</si>
  <si>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</si>
  <si>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</si>
  <si>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</si>
  <si>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</si>
  <si>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</si>
  <si>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</si>
  <si>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</si>
  <si>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</si>
  <si>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</si>
  <si>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</si>
  <si>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</si>
  <si>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</si>
  <si>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</si>
  <si>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</si>
  <si>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</si>
  <si>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</si>
  <si>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</si>
  <si>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</si>
  <si>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</si>
  <si>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</si>
  <si>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</si>
  <si>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</si>
  <si>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</si>
  <si>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</si>
  <si>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</si>
  <si>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</si>
  <si>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</si>
  <si>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</si>
  <si>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</si>
  <si>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</si>
  <si>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</si>
  <si>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</si>
  <si>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</si>
  <si>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</si>
  <si>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</si>
  <si>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</si>
  <si>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</si>
  <si>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</si>
  <si>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</si>
  <si>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</si>
  <si>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</si>
  <si>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</si>
  <si>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</si>
  <si>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</si>
  <si>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</si>
  <si>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</si>
  <si>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</si>
  <si>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</si>
  <si>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</si>
  <si>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</si>
  <si>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</si>
  <si>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</si>
  <si>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</si>
  <si>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</si>
  <si>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</si>
  <si>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</si>
  <si>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</si>
  <si>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</si>
  <si>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</si>
  <si>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</si>
  <si>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</si>
  <si>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</si>
  <si>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</si>
  <si>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</si>
  <si>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</si>
  <si>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</si>
  <si>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</si>
  <si>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</si>
  <si>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</si>
  <si>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</si>
  <si>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</si>
  <si>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</si>
  <si>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</si>
  <si>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</si>
  <si>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</si>
  <si>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</si>
  <si>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</si>
  <si>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</si>
  <si>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</si>
  <si>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</si>
  <si>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</si>
  <si>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</si>
  <si>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</si>
  <si>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</si>
  <si>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</si>
  <si>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</si>
  <si>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</si>
  <si>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</si>
  <si>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</si>
  <si>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</si>
  <si>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</si>
  <si>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</si>
  <si>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</si>
  <si>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</si>
  <si>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</si>
  <si>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</si>
  <si>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</si>
  <si>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</si>
  <si>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</si>
  <si>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</si>
  <si>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</si>
  <si>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</si>
  <si>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</si>
  <si>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</si>
  <si>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</si>
  <si>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</si>
  <si>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</si>
  <si>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</si>
  <si>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</si>
  <si>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</si>
  <si>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</si>
  <si>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</si>
  <si>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</si>
  <si>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</si>
  <si>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</si>
  <si>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</si>
  <si>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</si>
  <si>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</si>
  <si>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</si>
  <si>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</si>
  <si>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</si>
  <si>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</si>
  <si>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</si>
  <si>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</si>
  <si>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</si>
  <si>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</si>
  <si>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</si>
  <si>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</si>
  <si>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</si>
  <si>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</si>
  <si>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</si>
  <si>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</si>
  <si>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</si>
  <si>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</si>
  <si>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</si>
  <si>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</si>
  <si>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</si>
  <si>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</si>
  <si>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</si>
  <si>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</si>
  <si>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</si>
  <si>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</si>
  <si>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</si>
  <si>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</si>
  <si>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</si>
  <si>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</si>
  <si>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</si>
  <si>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</si>
  <si>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</si>
  <si>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</si>
  <si>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</si>
  <si>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</si>
  <si>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</si>
  <si>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</si>
  <si>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</si>
  <si>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</si>
  <si>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</si>
  <si>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</si>
  <si>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</si>
  <si>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</si>
  <si>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</si>
  <si>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</si>
  <si>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</si>
  <si>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</si>
  <si>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</si>
  <si>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</si>
  <si>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</si>
  <si>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</si>
  <si>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</si>
  <si>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</si>
  <si>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</si>
  <si>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</si>
  <si>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</si>
  <si>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</si>
  <si>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</si>
  <si>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</si>
  <si>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</si>
  <si>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</si>
  <si>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</si>
  <si>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</si>
  <si>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</si>
  <si>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</si>
  <si>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</si>
  <si>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</si>
  <si>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</si>
  <si>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</si>
  <si>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</si>
  <si>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</si>
  <si>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</si>
  <si>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</si>
  <si>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</si>
  <si>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</si>
  <si>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</si>
  <si>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</si>
  <si>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</si>
  <si>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</si>
  <si>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</si>
  <si>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</si>
  <si>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</si>
  <si>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</si>
  <si>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</si>
  <si>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</si>
  <si>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</si>
  <si>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</si>
  <si>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</si>
  <si>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</si>
  <si>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</si>
  <si>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</si>
  <si>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</si>
  <si>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</si>
  <si>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</si>
  <si>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</si>
  <si>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</si>
  <si>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</si>
  <si>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</si>
  <si>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</si>
  <si>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</si>
  <si>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</si>
  <si>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</si>
  <si>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</si>
  <si>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</si>
  <si>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</si>
  <si>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</si>
  <si>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</si>
  <si>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</si>
  <si>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</si>
  <si>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</si>
  <si>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</si>
  <si>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</si>
  <si>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</si>
  <si>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</si>
  <si>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</si>
  <si>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</si>
  <si>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</si>
  <si>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</si>
  <si>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</si>
  <si>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</si>
  <si>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</si>
  <si>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</si>
  <si>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</si>
  <si>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</si>
  <si>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</si>
  <si>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</si>
  <si>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</si>
  <si>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</si>
  <si>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</si>
  <si>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</si>
  <si>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</si>
  <si>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</si>
  <si>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</si>
  <si>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</si>
  <si>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</si>
  <si>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</si>
  <si>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</si>
  <si>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</si>
  <si>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</si>
  <si>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</si>
  <si>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</si>
  <si>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</si>
  <si>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</si>
  <si>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</si>
  <si>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</si>
  <si>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</si>
  <si>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</si>
  <si>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</si>
  <si>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</si>
  <si>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</si>
  <si>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</si>
  <si>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</si>
  <si>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</si>
  <si>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</si>
  <si>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</si>
  <si>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</si>
  <si>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</si>
  <si>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</si>
  <si>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</si>
  <si>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</si>
  <si>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</si>
  <si>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</si>
  <si>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</si>
  <si>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</si>
  <si>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</si>
  <si>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</si>
  <si>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</si>
  <si>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</si>
  <si>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</si>
  <si>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</si>
  <si>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</si>
  <si>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</si>
  <si>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</si>
  <si>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</si>
  <si>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</si>
  <si>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</si>
  <si>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</si>
  <si>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</si>
  <si>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</si>
  <si>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</si>
  <si>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</si>
  <si>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</si>
  <si>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</si>
  <si>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</si>
  <si>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</si>
  <si>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</si>
  <si>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</si>
  <si>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</si>
  <si>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</si>
  <si>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</si>
  <si>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</si>
  <si>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</si>
  <si>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</si>
  <si>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</si>
  <si>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</si>
  <si>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</si>
  <si>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</si>
  <si>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</si>
  <si>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</si>
  <si>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</si>
  <si>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</si>
  <si>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</si>
  <si>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</si>
  <si>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</si>
  <si>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</si>
  <si>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</si>
  <si>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</si>
  <si>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</si>
  <si>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</si>
  <si>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</si>
  <si>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</si>
  <si>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</si>
  <si>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</si>
  <si>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</si>
  <si>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</si>
  <si>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</si>
  <si>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</si>
  <si>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</si>
  <si>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</si>
  <si>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</si>
  <si>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</si>
  <si>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</si>
  <si>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</si>
  <si>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</si>
  <si>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</si>
  <si>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</si>
  <si>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</si>
  <si>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</si>
  <si>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</si>
  <si>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</si>
  <si>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</si>
  <si>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</si>
  <si>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</si>
  <si>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</si>
  <si>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</si>
  <si>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</si>
  <si>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</si>
  <si>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</si>
  <si>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</si>
  <si>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</si>
  <si>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</si>
  <si>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</si>
  <si>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</si>
  <si>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</si>
  <si>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</si>
  <si>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</si>
  <si>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</si>
  <si>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</si>
  <si>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</si>
  <si>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</si>
  <si>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</si>
  <si>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</si>
  <si>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</si>
  <si>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</si>
  <si>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</si>
  <si>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</si>
  <si>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</si>
  <si>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</si>
  <si>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</si>
  <si>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</si>
  <si>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</si>
  <si>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</si>
  <si>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</si>
  <si>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</si>
  <si>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</si>
  <si>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</si>
  <si>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</si>
  <si>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</si>
  <si>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</si>
  <si>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</si>
  <si>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</si>
  <si>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</si>
  <si>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</si>
  <si>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</si>
  <si>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</si>
  <si>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</si>
  <si>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</si>
  <si>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</si>
  <si>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</si>
  <si>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</si>
  <si>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</si>
  <si>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</si>
  <si>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</si>
  <si>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</si>
  <si>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</si>
  <si>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</si>
  <si>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</si>
  <si>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</si>
  <si>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</si>
  <si>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</si>
  <si>
    <t>شیرازی</t>
  </si>
  <si>
    <t>1405/06/28</t>
  </si>
  <si>
    <t>1405/06/29</t>
  </si>
  <si>
    <t>اصلاح سنبه جهت زدن صافی کفشک (قالب تحویل و تست میباشد)</t>
  </si>
  <si>
    <t>فرم دهی</t>
  </si>
  <si>
    <t>Turningسری دوم</t>
  </si>
  <si>
    <t xml:space="preserve">قالب جدید(ساخت لوله رزوه دار </t>
  </si>
  <si>
    <t>لوله رزوه دار</t>
  </si>
  <si>
    <t xml:space="preserve">لوله آب </t>
  </si>
  <si>
    <t>تاسیسات</t>
  </si>
  <si>
    <t>اصلاح لوله دو سر رزوه دار</t>
  </si>
  <si>
    <t xml:space="preserve">لوله </t>
  </si>
  <si>
    <t>اصلاح سر شافت جک کلمپ زنی</t>
  </si>
  <si>
    <t>ساخت بوش برای سرجک کلاچ</t>
  </si>
  <si>
    <t>اصلاح توپی ساب</t>
  </si>
  <si>
    <t>دستگاه ساب تکمیل</t>
  </si>
  <si>
    <t>خرابی جای بلبرینگ</t>
  </si>
  <si>
    <t>دستگاه ساب کفگرگی</t>
  </si>
  <si>
    <t>خزابی شفت توپی جلو</t>
  </si>
  <si>
    <t>پین راهنما</t>
  </si>
  <si>
    <t>دستگاه ساب جلو دیسکی</t>
  </si>
  <si>
    <t>خرابی چرخ دنده نوار نقاله</t>
  </si>
  <si>
    <t>3 ساعت مرخص</t>
  </si>
  <si>
    <t>خرابی درام ترابوزا</t>
  </si>
  <si>
    <t>درام توپی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</si>
</sst>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7.3333333333333339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71.5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601.33333333333326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31.5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topLeftCell="Y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57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topLeftCell="R1" zoomScaleNormal="100" workbookViewId="0">
      <pane ySplit="1" topLeftCell="A624" activePane="bottomLeft" state="frozen"/>
      <selection pane="bottomLeft" activeCell="AF679" sqref="AF67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topLeftCell="Q1" zoomScaleNormal="100" workbookViewId="0">
      <pane ySplit="1" topLeftCell="A9" activePane="bottomLeft" state="frozen"/>
      <selection activeCell="D1" sqref="D1"/>
      <selection pane="bottomLeft" activeCell="K13" sqref="K1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topLeftCell="Q1" zoomScale="85" zoomScaleNormal="85" workbookViewId="0">
      <pane ySplit="1" topLeftCell="A2" activePane="bottomLeft" state="frozen"/>
      <selection activeCell="AH1" sqref="AH1"/>
      <selection pane="bottomLeft" activeCell="AE133" sqref="AE13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501" activePane="bottomLeft" state="frozen"/>
      <selection activeCell="Y1" sqref="Y1"/>
      <selection pane="bottomLeft" activeCell="B513" sqref="B513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39" width="9.140625" style="1"/>
    <col min="40" max="40" width="15" style="1" bestFit="1" customWidth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512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86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H378" s="1">
        <f t="shared" si="26"/>
        <v>0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H379" s="1">
        <f t="shared" si="26"/>
        <v>0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H380" s="1">
        <f t="shared" si="26"/>
        <v>0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H381" s="1">
        <f t="shared" si="26"/>
        <v>0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H382" s="1">
        <f t="shared" si="26"/>
        <v>0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H383" s="1">
        <f t="shared" si="26"/>
        <v>0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H384" s="1">
        <f t="shared" si="26"/>
        <v>0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H385" s="1">
        <f t="shared" si="26"/>
        <v>0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H386" s="1">
        <f t="shared" si="26"/>
        <v>0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H387" s="1">
        <f t="shared" ref="AH387:AH450" si="30">AG387/60</f>
        <v>0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H388" s="1">
        <f t="shared" si="30"/>
        <v>0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H389" s="1">
        <f t="shared" si="30"/>
        <v>0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H390" s="1">
        <f t="shared" si="30"/>
        <v>0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H391" s="1">
        <f t="shared" si="30"/>
        <v>0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H392" s="1">
        <f t="shared" si="30"/>
        <v>0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H393" s="1">
        <f t="shared" si="30"/>
        <v>0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H394" s="1">
        <f t="shared" si="30"/>
        <v>0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H395" s="1">
        <f t="shared" si="30"/>
        <v>0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H396" s="1">
        <f t="shared" si="30"/>
        <v>0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H397" s="1">
        <f t="shared" si="30"/>
        <v>0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H398" s="1">
        <f t="shared" si="30"/>
        <v>0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H399" s="1">
        <f t="shared" si="30"/>
        <v>0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H400" s="1">
        <f t="shared" si="30"/>
        <v>0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H401" s="1">
        <f t="shared" si="30"/>
        <v>0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  <c r="AH402" s="1">
        <f t="shared" si="30"/>
        <v>0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  <c r="AH403" s="1">
        <f t="shared" si="30"/>
        <v>0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  <c r="AH404" s="1">
        <f t="shared" si="30"/>
        <v>0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  <c r="AH405" s="1">
        <f t="shared" si="30"/>
        <v>0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  <c r="AH406" s="1">
        <f t="shared" si="30"/>
        <v>0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  <c r="AH407" s="1">
        <f t="shared" si="30"/>
        <v>0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  <c r="AH408" s="1">
        <f t="shared" si="30"/>
        <v>0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  <c r="AH409" s="1">
        <f t="shared" si="30"/>
        <v>0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  <c r="AH410" s="1">
        <f t="shared" si="30"/>
        <v>0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  <c r="AH411" s="1">
        <f t="shared" si="30"/>
        <v>0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512" si="31">AE412/60</f>
        <v>6</v>
      </c>
      <c r="AH412" s="1">
        <f t="shared" si="30"/>
        <v>0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1"/>
        <v>6.5</v>
      </c>
      <c r="AH413" s="1">
        <f t="shared" si="30"/>
        <v>0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1"/>
        <v>11</v>
      </c>
      <c r="AH414" s="1">
        <f t="shared" si="30"/>
        <v>0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M415" s="3" t="s">
        <v>2109</v>
      </c>
      <c r="N415" s="3" t="s">
        <v>57</v>
      </c>
      <c r="O415" s="129">
        <v>7301</v>
      </c>
      <c r="P415" s="2" t="s">
        <v>2100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1"/>
        <v>10</v>
      </c>
      <c r="AH415" s="1">
        <f t="shared" si="30"/>
        <v>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1"/>
        <v>1</v>
      </c>
      <c r="AH416" s="1">
        <f t="shared" si="30"/>
        <v>0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1"/>
        <v>5</v>
      </c>
      <c r="AH417" s="1">
        <f t="shared" si="30"/>
        <v>0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1"/>
        <v>2</v>
      </c>
      <c r="AH418" s="1">
        <f t="shared" si="30"/>
        <v>0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1"/>
        <v>2</v>
      </c>
      <c r="AH419" s="1">
        <f t="shared" si="30"/>
        <v>0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1"/>
        <v>6</v>
      </c>
      <c r="AH420" s="1">
        <f t="shared" si="30"/>
        <v>0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1"/>
        <v>1</v>
      </c>
      <c r="AH421" s="1">
        <f t="shared" si="30"/>
        <v>0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1"/>
        <v>0.5</v>
      </c>
      <c r="AH422" s="1">
        <f t="shared" si="30"/>
        <v>0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1"/>
        <v>0.5</v>
      </c>
      <c r="AH423" s="1">
        <f t="shared" si="30"/>
        <v>0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1"/>
        <v>2</v>
      </c>
      <c r="AH424" s="1">
        <f t="shared" si="30"/>
        <v>0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1"/>
        <v>2</v>
      </c>
      <c r="AH425" s="1">
        <f t="shared" si="30"/>
        <v>0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1"/>
        <v>5</v>
      </c>
      <c r="AH426" s="1">
        <f t="shared" si="30"/>
        <v>0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1"/>
        <v>4</v>
      </c>
      <c r="AH427" s="1">
        <f t="shared" si="30"/>
        <v>0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1"/>
        <v>3</v>
      </c>
      <c r="AH428" s="1">
        <f t="shared" si="30"/>
        <v>0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1"/>
        <v>1</v>
      </c>
      <c r="AH429" s="1">
        <f t="shared" si="30"/>
        <v>0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1"/>
        <v>3</v>
      </c>
      <c r="AH430" s="1">
        <f t="shared" si="30"/>
        <v>0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1"/>
        <v>3</v>
      </c>
      <c r="AH431" s="1">
        <f t="shared" si="30"/>
        <v>0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1"/>
        <v>2</v>
      </c>
      <c r="AH432" s="1">
        <f t="shared" si="30"/>
        <v>0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1"/>
        <v>3</v>
      </c>
      <c r="AH433" s="1">
        <f t="shared" si="30"/>
        <v>0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1"/>
        <v>1</v>
      </c>
      <c r="AH434" s="1">
        <f t="shared" si="30"/>
        <v>0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1"/>
        <v>1</v>
      </c>
      <c r="AH435" s="1">
        <f t="shared" si="30"/>
        <v>0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1"/>
        <v>1</v>
      </c>
      <c r="AH436" s="1">
        <f t="shared" si="30"/>
        <v>0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1"/>
        <v>2</v>
      </c>
      <c r="AH437" s="1">
        <f t="shared" si="30"/>
        <v>0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1"/>
        <v>2</v>
      </c>
      <c r="AH438" s="1">
        <f t="shared" si="30"/>
        <v>0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1"/>
        <v>2</v>
      </c>
      <c r="AH439" s="1">
        <f t="shared" si="30"/>
        <v>0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1"/>
        <v>3</v>
      </c>
      <c r="AH440" s="1">
        <f t="shared" si="30"/>
        <v>0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1"/>
        <v>1</v>
      </c>
      <c r="AH441" s="1">
        <f t="shared" si="30"/>
        <v>0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1"/>
        <v>11</v>
      </c>
      <c r="AH442" s="1">
        <f t="shared" si="30"/>
        <v>0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1"/>
        <v>8</v>
      </c>
      <c r="AH443" s="1">
        <f t="shared" si="30"/>
        <v>0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1"/>
        <v>3</v>
      </c>
      <c r="AH444" s="1">
        <f t="shared" si="30"/>
        <v>0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1"/>
        <v>2</v>
      </c>
      <c r="AH445" s="1">
        <f t="shared" si="30"/>
        <v>0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1"/>
        <v>2</v>
      </c>
      <c r="AH446" s="1">
        <f t="shared" si="30"/>
        <v>0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1"/>
        <v>4</v>
      </c>
      <c r="AH447" s="1">
        <f t="shared" si="30"/>
        <v>0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1"/>
        <v>2</v>
      </c>
      <c r="AH448" s="1">
        <f t="shared" si="30"/>
        <v>0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1"/>
        <v>1</v>
      </c>
      <c r="AH449" s="1">
        <f t="shared" si="30"/>
        <v>0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1"/>
        <v>4</v>
      </c>
      <c r="AH450" s="1">
        <f t="shared" si="30"/>
        <v>0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1"/>
        <v>3</v>
      </c>
      <c r="AH451" s="1">
        <f t="shared" ref="AH451:AH512" si="32">AG451/60</f>
        <v>0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1"/>
        <v>0.5</v>
      </c>
      <c r="AH452" s="1">
        <f t="shared" si="32"/>
        <v>0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1"/>
        <v>3.5</v>
      </c>
      <c r="AH453" s="1">
        <f t="shared" si="32"/>
        <v>0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1"/>
        <v>3</v>
      </c>
      <c r="AH454" s="1">
        <f t="shared" si="32"/>
        <v>0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1"/>
        <v>1.5</v>
      </c>
      <c r="AH455" s="1">
        <f t="shared" si="32"/>
        <v>0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1"/>
        <v>3</v>
      </c>
      <c r="AH456" s="1">
        <f t="shared" si="32"/>
        <v>0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1"/>
        <v>3</v>
      </c>
      <c r="AH457" s="1">
        <f t="shared" si="32"/>
        <v>0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1"/>
        <v>0.5</v>
      </c>
      <c r="AH458" s="1">
        <f t="shared" si="32"/>
        <v>0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1"/>
        <v>11</v>
      </c>
      <c r="AH459" s="1">
        <f t="shared" si="32"/>
        <v>0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1"/>
        <v>2</v>
      </c>
      <c r="AH460" s="1">
        <f t="shared" si="32"/>
        <v>0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1"/>
        <v>2</v>
      </c>
      <c r="AH461" s="1">
        <f t="shared" si="32"/>
        <v>0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1"/>
        <v>4</v>
      </c>
      <c r="AH462" s="1">
        <f t="shared" si="32"/>
        <v>0</v>
      </c>
    </row>
    <row r="463" spans="1:40" ht="30" x14ac:dyDescent="0.25">
      <c r="A463" s="3">
        <v>462</v>
      </c>
      <c r="B463" s="3" t="s">
        <v>2120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2121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2122</v>
      </c>
      <c r="AD463" s="3" t="s">
        <v>108</v>
      </c>
      <c r="AE463" s="1">
        <v>180</v>
      </c>
      <c r="AF463" s="1">
        <f t="shared" si="31"/>
        <v>3</v>
      </c>
      <c r="AH463" s="1">
        <f t="shared" si="32"/>
        <v>0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2135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2130</v>
      </c>
      <c r="AB464" s="2" t="s">
        <v>267</v>
      </c>
      <c r="AC464" s="3" t="s">
        <v>2122</v>
      </c>
      <c r="AD464" s="3" t="s">
        <v>108</v>
      </c>
      <c r="AE464" s="1">
        <v>240</v>
      </c>
      <c r="AF464" s="1">
        <f t="shared" si="31"/>
        <v>4</v>
      </c>
      <c r="AH464" s="1">
        <f t="shared" si="32"/>
        <v>0</v>
      </c>
    </row>
    <row r="465" spans="1:40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2122</v>
      </c>
      <c r="AD465" s="3" t="s">
        <v>108</v>
      </c>
      <c r="AE465" s="1">
        <v>120</v>
      </c>
      <c r="AF465" s="1">
        <f t="shared" si="31"/>
        <v>2</v>
      </c>
      <c r="AH465" s="1">
        <f t="shared" si="32"/>
        <v>0</v>
      </c>
    </row>
    <row r="466" spans="1:40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  <c r="AB466" s="2" t="s">
        <v>267</v>
      </c>
      <c r="AC466" s="3" t="s">
        <v>2118</v>
      </c>
      <c r="AD466" s="3" t="s">
        <v>108</v>
      </c>
      <c r="AE466" s="1">
        <v>180</v>
      </c>
      <c r="AF466" s="1">
        <f t="shared" si="31"/>
        <v>3</v>
      </c>
      <c r="AH466" s="1">
        <f t="shared" si="32"/>
        <v>0</v>
      </c>
    </row>
    <row r="467" spans="1:40" ht="30" x14ac:dyDescent="0.25">
      <c r="A467" s="3">
        <v>466</v>
      </c>
      <c r="B467" s="9" t="s">
        <v>1513</v>
      </c>
      <c r="C467" s="9" t="s">
        <v>46</v>
      </c>
      <c r="D467" s="73" t="s">
        <v>400</v>
      </c>
      <c r="E467" s="9" t="s">
        <v>853</v>
      </c>
      <c r="F467" s="3" t="s">
        <v>336</v>
      </c>
      <c r="G467" s="3" t="s">
        <v>47</v>
      </c>
      <c r="H467" s="3" t="s">
        <v>1454</v>
      </c>
      <c r="I467" s="20"/>
      <c r="J467" s="3" t="s">
        <v>1693</v>
      </c>
      <c r="K467" s="3">
        <v>1</v>
      </c>
      <c r="N467" s="3" t="s">
        <v>33</v>
      </c>
      <c r="O467" s="129" t="s">
        <v>33</v>
      </c>
      <c r="P467" s="2" t="s">
        <v>1063</v>
      </c>
      <c r="R467" s="3" t="s">
        <v>54</v>
      </c>
      <c r="AB467" s="2" t="s">
        <v>267</v>
      </c>
      <c r="AC467" s="3" t="s">
        <v>2118</v>
      </c>
      <c r="AD467" s="3" t="s">
        <v>108</v>
      </c>
      <c r="AE467" s="1">
        <v>120</v>
      </c>
      <c r="AF467" s="1">
        <f t="shared" si="31"/>
        <v>2</v>
      </c>
      <c r="AH467" s="1">
        <f t="shared" si="32"/>
        <v>0</v>
      </c>
    </row>
    <row r="468" spans="1:40" ht="30" x14ac:dyDescent="0.25">
      <c r="A468" s="3">
        <v>467</v>
      </c>
      <c r="B468" s="3" t="s">
        <v>2096</v>
      </c>
      <c r="C468" s="3" t="s">
        <v>46</v>
      </c>
      <c r="D468" s="73" t="s">
        <v>400</v>
      </c>
      <c r="E468" s="73" t="s">
        <v>853</v>
      </c>
      <c r="F468" s="73" t="s">
        <v>336</v>
      </c>
      <c r="G468" s="73" t="s">
        <v>47</v>
      </c>
      <c r="H468" s="73">
        <v>29847</v>
      </c>
      <c r="I468" s="73"/>
      <c r="J468" s="25" t="s">
        <v>2097</v>
      </c>
      <c r="K468" s="73">
        <v>1</v>
      </c>
      <c r="N468" s="3" t="s">
        <v>33</v>
      </c>
      <c r="O468" s="129" t="s">
        <v>33</v>
      </c>
      <c r="P468" s="2" t="s">
        <v>1063</v>
      </c>
      <c r="R468" s="3" t="s">
        <v>1153</v>
      </c>
      <c r="S468" s="73" t="s">
        <v>941</v>
      </c>
      <c r="AB468" s="2" t="s">
        <v>267</v>
      </c>
      <c r="AC468" s="3" t="s">
        <v>2118</v>
      </c>
      <c r="AD468" s="3" t="s">
        <v>108</v>
      </c>
      <c r="AE468" s="1">
        <v>300</v>
      </c>
      <c r="AF468" s="1">
        <f t="shared" si="31"/>
        <v>5</v>
      </c>
      <c r="AH468" s="1">
        <f t="shared" si="32"/>
        <v>0</v>
      </c>
      <c r="AN468" s="1" t="s">
        <v>2127</v>
      </c>
    </row>
    <row r="469" spans="1:40" ht="30" x14ac:dyDescent="0.25">
      <c r="A469" s="3">
        <v>468</v>
      </c>
      <c r="B469" s="3" t="s">
        <v>2120</v>
      </c>
      <c r="C469" s="3" t="s">
        <v>46</v>
      </c>
      <c r="D469" s="73" t="s">
        <v>400</v>
      </c>
      <c r="E469" s="73" t="s">
        <v>853</v>
      </c>
      <c r="F469" s="25" t="s">
        <v>336</v>
      </c>
      <c r="G469" s="3" t="s">
        <v>47</v>
      </c>
      <c r="H469" s="73" t="s">
        <v>2121</v>
      </c>
      <c r="I469" s="73">
        <v>1002</v>
      </c>
      <c r="J469" s="25" t="s">
        <v>1843</v>
      </c>
      <c r="K469" s="73">
        <v>16</v>
      </c>
      <c r="L469" s="3" t="s">
        <v>336</v>
      </c>
      <c r="N469" s="3" t="s">
        <v>33</v>
      </c>
      <c r="O469" s="129" t="s">
        <v>137</v>
      </c>
      <c r="P469" s="2" t="s">
        <v>1063</v>
      </c>
      <c r="R469" s="3" t="s">
        <v>1153</v>
      </c>
      <c r="S469" s="3" t="s">
        <v>939</v>
      </c>
      <c r="AB469" s="2" t="s">
        <v>267</v>
      </c>
      <c r="AC469" s="3" t="s">
        <v>2117</v>
      </c>
      <c r="AD469" s="3" t="s">
        <v>108</v>
      </c>
      <c r="AE469" s="1">
        <v>240</v>
      </c>
      <c r="AF469" s="1">
        <f t="shared" si="31"/>
        <v>4</v>
      </c>
      <c r="AH469" s="1">
        <f t="shared" si="32"/>
        <v>0</v>
      </c>
    </row>
    <row r="470" spans="1:40" ht="30" x14ac:dyDescent="0.25">
      <c r="A470" s="3">
        <v>469</v>
      </c>
      <c r="B470" s="9" t="s">
        <v>335</v>
      </c>
      <c r="C470" s="9" t="s">
        <v>46</v>
      </c>
      <c r="D470" s="73" t="s">
        <v>400</v>
      </c>
      <c r="E470" s="9" t="s">
        <v>853</v>
      </c>
      <c r="F470" s="9" t="s">
        <v>336</v>
      </c>
      <c r="G470" s="9" t="s">
        <v>47</v>
      </c>
      <c r="H470" s="9" t="s">
        <v>2134</v>
      </c>
      <c r="I470" s="9">
        <v>1001</v>
      </c>
      <c r="J470" s="32" t="s">
        <v>1843</v>
      </c>
      <c r="K470" s="3">
        <v>16</v>
      </c>
      <c r="L470" s="3" t="s">
        <v>336</v>
      </c>
      <c r="N470" s="3" t="s">
        <v>33</v>
      </c>
      <c r="O470" s="129" t="s">
        <v>137</v>
      </c>
      <c r="P470" s="2" t="s">
        <v>472</v>
      </c>
      <c r="R470" s="3" t="s">
        <v>102</v>
      </c>
      <c r="S470" s="3" t="s">
        <v>939</v>
      </c>
      <c r="AB470" s="2" t="s">
        <v>267</v>
      </c>
      <c r="AC470" s="3" t="s">
        <v>2117</v>
      </c>
      <c r="AD470" s="3" t="s">
        <v>108</v>
      </c>
      <c r="AE470" s="1">
        <v>240</v>
      </c>
      <c r="AF470" s="1">
        <f t="shared" si="31"/>
        <v>4</v>
      </c>
      <c r="AH470" s="1">
        <f t="shared" si="32"/>
        <v>0</v>
      </c>
    </row>
    <row r="471" spans="1:40" ht="30" x14ac:dyDescent="0.25">
      <c r="A471" s="3">
        <v>470</v>
      </c>
      <c r="B471" s="9" t="s">
        <v>2000</v>
      </c>
      <c r="C471" s="9" t="s">
        <v>27</v>
      </c>
      <c r="D471" s="73" t="s">
        <v>400</v>
      </c>
      <c r="E471" s="9" t="s">
        <v>853</v>
      </c>
      <c r="F471" s="9" t="s">
        <v>28</v>
      </c>
      <c r="G471" s="9" t="s">
        <v>29</v>
      </c>
      <c r="H471" s="9">
        <v>29889</v>
      </c>
      <c r="I471" s="9"/>
      <c r="J471" s="32" t="s">
        <v>2001</v>
      </c>
      <c r="K471" s="32">
        <v>1</v>
      </c>
      <c r="N471" s="3" t="s">
        <v>33</v>
      </c>
      <c r="O471" s="129" t="s">
        <v>33</v>
      </c>
      <c r="P471" s="2" t="s">
        <v>2051</v>
      </c>
      <c r="R471" s="3" t="s">
        <v>200</v>
      </c>
      <c r="S471" s="3" t="s">
        <v>939</v>
      </c>
      <c r="AB471" s="2" t="s">
        <v>267</v>
      </c>
      <c r="AC471" s="3" t="s">
        <v>2117</v>
      </c>
      <c r="AD471" s="3" t="s">
        <v>108</v>
      </c>
      <c r="AE471" s="1">
        <v>120</v>
      </c>
      <c r="AF471" s="1">
        <f t="shared" si="31"/>
        <v>2</v>
      </c>
      <c r="AH471" s="1">
        <f t="shared" si="32"/>
        <v>0</v>
      </c>
    </row>
    <row r="472" spans="1:40" ht="30" x14ac:dyDescent="0.25">
      <c r="A472" s="3">
        <v>471</v>
      </c>
      <c r="B472" s="9" t="s">
        <v>1513</v>
      </c>
      <c r="C472" s="9" t="s">
        <v>46</v>
      </c>
      <c r="D472" s="73" t="s">
        <v>1806</v>
      </c>
      <c r="E472" s="9" t="s">
        <v>853</v>
      </c>
      <c r="F472" s="3" t="s">
        <v>336</v>
      </c>
      <c r="G472" s="3" t="s">
        <v>47</v>
      </c>
      <c r="H472" s="3" t="s">
        <v>1454</v>
      </c>
      <c r="I472" s="20"/>
      <c r="J472" s="3" t="s">
        <v>1693</v>
      </c>
      <c r="K472" s="3">
        <v>1</v>
      </c>
      <c r="N472" s="3" t="s">
        <v>50</v>
      </c>
      <c r="O472" s="129">
        <v>7202</v>
      </c>
      <c r="P472" s="2" t="s">
        <v>495</v>
      </c>
      <c r="R472" s="3" t="s">
        <v>79</v>
      </c>
      <c r="S472" s="3" t="s">
        <v>939</v>
      </c>
      <c r="AB472" s="2" t="s">
        <v>267</v>
      </c>
      <c r="AC472" s="3" t="s">
        <v>2118</v>
      </c>
      <c r="AD472" s="3" t="s">
        <v>115</v>
      </c>
      <c r="AE472" s="1">
        <v>390</v>
      </c>
      <c r="AF472" s="1">
        <f t="shared" si="31"/>
        <v>6.5</v>
      </c>
      <c r="AH472" s="1">
        <f t="shared" si="32"/>
        <v>0</v>
      </c>
    </row>
    <row r="473" spans="1:40" ht="30" x14ac:dyDescent="0.25">
      <c r="A473" s="3">
        <v>472</v>
      </c>
      <c r="B473" s="3" t="s">
        <v>2096</v>
      </c>
      <c r="C473" s="3" t="s">
        <v>46</v>
      </c>
      <c r="D473" s="73" t="s">
        <v>1806</v>
      </c>
      <c r="E473" s="73" t="s">
        <v>853</v>
      </c>
      <c r="F473" s="73" t="s">
        <v>336</v>
      </c>
      <c r="G473" s="73" t="s">
        <v>47</v>
      </c>
      <c r="H473" s="73">
        <v>29847</v>
      </c>
      <c r="I473" s="73"/>
      <c r="J473" s="25" t="s">
        <v>2097</v>
      </c>
      <c r="K473" s="73">
        <v>1</v>
      </c>
      <c r="N473" s="3" t="s">
        <v>50</v>
      </c>
      <c r="O473" s="129">
        <v>7202</v>
      </c>
      <c r="P473" s="2" t="s">
        <v>495</v>
      </c>
      <c r="R473" s="3" t="s">
        <v>79</v>
      </c>
      <c r="S473" s="3" t="s">
        <v>939</v>
      </c>
      <c r="AB473" s="2" t="s">
        <v>267</v>
      </c>
      <c r="AC473" s="3" t="s">
        <v>2118</v>
      </c>
      <c r="AD473" s="3" t="s">
        <v>73</v>
      </c>
      <c r="AE473" s="1">
        <v>270</v>
      </c>
      <c r="AF473" s="1">
        <f t="shared" si="31"/>
        <v>4.5</v>
      </c>
      <c r="AH473" s="1">
        <f t="shared" si="32"/>
        <v>0</v>
      </c>
    </row>
    <row r="474" spans="1:40" ht="30" x14ac:dyDescent="0.25">
      <c r="A474" s="3">
        <v>473</v>
      </c>
      <c r="B474" s="3" t="s">
        <v>1106</v>
      </c>
      <c r="C474" s="3" t="s">
        <v>27</v>
      </c>
      <c r="D474" s="73" t="s">
        <v>1806</v>
      </c>
      <c r="E474" s="3" t="s">
        <v>853</v>
      </c>
      <c r="F474" s="3" t="s">
        <v>28</v>
      </c>
      <c r="G474" s="3" t="s">
        <v>47</v>
      </c>
      <c r="H474" s="3"/>
      <c r="I474" s="20"/>
      <c r="J474" s="3" t="s">
        <v>1763</v>
      </c>
      <c r="K474" s="3">
        <v>1</v>
      </c>
      <c r="N474" s="3" t="s">
        <v>50</v>
      </c>
      <c r="O474" s="129">
        <v>7203</v>
      </c>
      <c r="P474" s="73" t="s">
        <v>495</v>
      </c>
      <c r="Q474" s="73"/>
      <c r="R474" s="73" t="s">
        <v>1810</v>
      </c>
      <c r="S474" s="3" t="s">
        <v>939</v>
      </c>
      <c r="T474" s="3" t="s">
        <v>1978</v>
      </c>
      <c r="U474" s="3" t="s">
        <v>2136</v>
      </c>
      <c r="W474" s="3" t="s">
        <v>2072</v>
      </c>
      <c r="AB474" s="2" t="s">
        <v>267</v>
      </c>
      <c r="AC474" s="3" t="s">
        <v>2117</v>
      </c>
      <c r="AD474" s="3" t="s">
        <v>108</v>
      </c>
      <c r="AE474" s="1">
        <v>660</v>
      </c>
      <c r="AF474" s="1">
        <f t="shared" si="31"/>
        <v>11</v>
      </c>
      <c r="AH474" s="1">
        <f t="shared" si="32"/>
        <v>0</v>
      </c>
    </row>
    <row r="475" spans="1:40" ht="30" x14ac:dyDescent="0.25">
      <c r="A475" s="3">
        <v>474</v>
      </c>
      <c r="B475" s="3" t="s">
        <v>1749</v>
      </c>
      <c r="C475" s="3" t="s">
        <v>27</v>
      </c>
      <c r="D475" s="73" t="s">
        <v>1806</v>
      </c>
      <c r="E475" s="3" t="s">
        <v>853</v>
      </c>
      <c r="F475" s="3" t="s">
        <v>28</v>
      </c>
      <c r="G475" s="3" t="s">
        <v>47</v>
      </c>
      <c r="H475" s="3">
        <v>30274</v>
      </c>
      <c r="I475" s="20"/>
      <c r="J475" s="3" t="s">
        <v>1570</v>
      </c>
      <c r="K475" s="3">
        <v>1</v>
      </c>
      <c r="L475" s="3" t="s">
        <v>336</v>
      </c>
      <c r="N475" s="3" t="s">
        <v>50</v>
      </c>
      <c r="O475" s="129">
        <v>7203</v>
      </c>
      <c r="P475" s="73" t="s">
        <v>495</v>
      </c>
      <c r="R475" s="73" t="s">
        <v>1810</v>
      </c>
      <c r="S475" s="3" t="s">
        <v>939</v>
      </c>
      <c r="T475" s="3" t="s">
        <v>1890</v>
      </c>
      <c r="U475" s="3" t="s">
        <v>2136</v>
      </c>
      <c r="W475" s="3" t="s">
        <v>2072</v>
      </c>
      <c r="AB475" s="2" t="s">
        <v>267</v>
      </c>
      <c r="AC475" s="3" t="s">
        <v>2122</v>
      </c>
      <c r="AD475" s="3" t="s">
        <v>73</v>
      </c>
      <c r="AE475" s="1">
        <v>270</v>
      </c>
      <c r="AF475" s="1">
        <f t="shared" si="31"/>
        <v>4.5</v>
      </c>
      <c r="AH475" s="1">
        <f t="shared" si="32"/>
        <v>0</v>
      </c>
    </row>
    <row r="476" spans="1:40" ht="30" x14ac:dyDescent="0.25">
      <c r="A476" s="3">
        <v>475</v>
      </c>
      <c r="B476" s="3" t="s">
        <v>217</v>
      </c>
      <c r="C476" s="3" t="s">
        <v>45</v>
      </c>
      <c r="D476" s="73" t="s">
        <v>1806</v>
      </c>
      <c r="E476" s="73" t="s">
        <v>996</v>
      </c>
      <c r="F476" s="25" t="s">
        <v>1782</v>
      </c>
      <c r="G476" s="73" t="s">
        <v>1782</v>
      </c>
      <c r="H476" s="73"/>
      <c r="I476" s="73"/>
      <c r="J476" s="25" t="s">
        <v>2133</v>
      </c>
      <c r="K476" s="73">
        <v>1</v>
      </c>
      <c r="N476" s="3" t="s">
        <v>50</v>
      </c>
      <c r="O476" s="129">
        <v>7203</v>
      </c>
      <c r="P476" s="2" t="s">
        <v>229</v>
      </c>
      <c r="R476" s="73" t="s">
        <v>1810</v>
      </c>
      <c r="S476" s="3" t="s">
        <v>939</v>
      </c>
      <c r="AB476" s="2" t="s">
        <v>267</v>
      </c>
      <c r="AC476" s="3" t="s">
        <v>2122</v>
      </c>
      <c r="AD476" s="3" t="s">
        <v>115</v>
      </c>
      <c r="AE476" s="1">
        <v>390</v>
      </c>
      <c r="AF476" s="1">
        <f t="shared" si="31"/>
        <v>6.5</v>
      </c>
      <c r="AH476" s="1">
        <f t="shared" si="32"/>
        <v>0</v>
      </c>
      <c r="AN476" s="1" t="s">
        <v>2138</v>
      </c>
    </row>
    <row r="477" spans="1:40" ht="30" x14ac:dyDescent="0.25">
      <c r="A477" s="3">
        <v>476</v>
      </c>
      <c r="B477" s="3" t="s">
        <v>2035</v>
      </c>
      <c r="C477" s="3" t="s">
        <v>45</v>
      </c>
      <c r="D477" s="9" t="s">
        <v>1964</v>
      </c>
      <c r="E477" s="73" t="s">
        <v>853</v>
      </c>
      <c r="F477" s="73" t="s">
        <v>199</v>
      </c>
      <c r="G477" s="73" t="s">
        <v>29</v>
      </c>
      <c r="H477" s="73"/>
      <c r="I477" s="73"/>
      <c r="J477" s="25" t="s">
        <v>2036</v>
      </c>
      <c r="K477" s="73">
        <v>1</v>
      </c>
      <c r="N477" s="3" t="s">
        <v>50</v>
      </c>
      <c r="O477" s="129">
        <v>7203</v>
      </c>
      <c r="P477" s="2" t="s">
        <v>146</v>
      </c>
      <c r="R477" s="73" t="s">
        <v>1810</v>
      </c>
      <c r="AB477" s="2" t="s">
        <v>267</v>
      </c>
      <c r="AC477" s="3" t="s">
        <v>2118</v>
      </c>
      <c r="AD477" s="3" t="s">
        <v>108</v>
      </c>
      <c r="AE477" s="1">
        <v>660</v>
      </c>
      <c r="AF477" s="1">
        <f t="shared" si="31"/>
        <v>11</v>
      </c>
      <c r="AH477" s="1">
        <f t="shared" si="32"/>
        <v>0</v>
      </c>
    </row>
    <row r="478" spans="1:40" ht="30" x14ac:dyDescent="0.25">
      <c r="A478" s="3">
        <v>477</v>
      </c>
      <c r="B478" s="3" t="s">
        <v>2035</v>
      </c>
      <c r="C478" s="3" t="s">
        <v>45</v>
      </c>
      <c r="D478" s="9" t="s">
        <v>1964</v>
      </c>
      <c r="E478" s="73" t="s">
        <v>853</v>
      </c>
      <c r="F478" s="73" t="s">
        <v>199</v>
      </c>
      <c r="G478" s="73" t="s">
        <v>29</v>
      </c>
      <c r="H478" s="73"/>
      <c r="I478" s="73"/>
      <c r="J478" s="25" t="s">
        <v>2036</v>
      </c>
      <c r="K478" s="73">
        <v>1</v>
      </c>
      <c r="N478" s="3" t="s">
        <v>50</v>
      </c>
      <c r="O478" s="129">
        <v>7203</v>
      </c>
      <c r="P478" s="2" t="s">
        <v>146</v>
      </c>
      <c r="R478" s="73" t="s">
        <v>1810</v>
      </c>
      <c r="AB478" s="2" t="s">
        <v>267</v>
      </c>
      <c r="AC478" s="3" t="s">
        <v>2117</v>
      </c>
      <c r="AD478" s="3" t="s">
        <v>108</v>
      </c>
      <c r="AE478" s="1">
        <v>660</v>
      </c>
      <c r="AF478" s="1">
        <f t="shared" si="31"/>
        <v>11</v>
      </c>
      <c r="AH478" s="1">
        <f t="shared" si="32"/>
        <v>0</v>
      </c>
    </row>
    <row r="479" spans="1:40" ht="30" x14ac:dyDescent="0.25">
      <c r="A479" s="3">
        <v>478</v>
      </c>
      <c r="B479" s="3" t="s">
        <v>2035</v>
      </c>
      <c r="C479" s="3" t="s">
        <v>45</v>
      </c>
      <c r="D479" s="9" t="s">
        <v>1964</v>
      </c>
      <c r="E479" s="73" t="s">
        <v>853</v>
      </c>
      <c r="F479" s="73" t="s">
        <v>199</v>
      </c>
      <c r="G479" s="73" t="s">
        <v>29</v>
      </c>
      <c r="H479" s="73"/>
      <c r="I479" s="73"/>
      <c r="J479" s="25" t="s">
        <v>2036</v>
      </c>
      <c r="K479" s="73">
        <v>1</v>
      </c>
      <c r="N479" s="3" t="s">
        <v>50</v>
      </c>
      <c r="O479" s="129">
        <v>7203</v>
      </c>
      <c r="P479" s="2" t="s">
        <v>146</v>
      </c>
      <c r="R479" s="73" t="s">
        <v>1810</v>
      </c>
      <c r="AB479" s="2" t="s">
        <v>267</v>
      </c>
      <c r="AC479" s="3" t="s">
        <v>2122</v>
      </c>
      <c r="AD479" s="3" t="s">
        <v>108</v>
      </c>
      <c r="AE479" s="1">
        <v>660</v>
      </c>
      <c r="AF479" s="1">
        <f t="shared" si="31"/>
        <v>11</v>
      </c>
      <c r="AH479" s="1">
        <f t="shared" si="32"/>
        <v>0</v>
      </c>
    </row>
    <row r="480" spans="1:40" ht="30" x14ac:dyDescent="0.25">
      <c r="A480" s="3">
        <v>479</v>
      </c>
      <c r="B480" s="9" t="s">
        <v>2000</v>
      </c>
      <c r="C480" s="9" t="s">
        <v>27</v>
      </c>
      <c r="D480" s="73" t="s">
        <v>1065</v>
      </c>
      <c r="E480" s="9" t="s">
        <v>853</v>
      </c>
      <c r="F480" s="9" t="s">
        <v>28</v>
      </c>
      <c r="G480" s="9" t="s">
        <v>29</v>
      </c>
      <c r="H480" s="9">
        <v>29889</v>
      </c>
      <c r="I480" s="9"/>
      <c r="J480" s="32" t="s">
        <v>2001</v>
      </c>
      <c r="K480" s="32">
        <v>1</v>
      </c>
      <c r="N480" s="3" t="s">
        <v>50</v>
      </c>
      <c r="O480" s="129">
        <v>7204</v>
      </c>
      <c r="P480" s="2" t="s">
        <v>2093</v>
      </c>
      <c r="R480" s="73" t="s">
        <v>1810</v>
      </c>
      <c r="S480" s="3" t="s">
        <v>939</v>
      </c>
      <c r="AB480" s="2" t="s">
        <v>267</v>
      </c>
      <c r="AC480" s="3" t="s">
        <v>2118</v>
      </c>
      <c r="AD480" s="3" t="s">
        <v>75</v>
      </c>
      <c r="AE480" s="1">
        <v>150</v>
      </c>
      <c r="AF480" s="1">
        <f t="shared" si="31"/>
        <v>2.5</v>
      </c>
      <c r="AH480" s="1">
        <f t="shared" si="32"/>
        <v>0</v>
      </c>
    </row>
    <row r="481" spans="1:40" ht="90" x14ac:dyDescent="0.25">
      <c r="A481" s="3">
        <v>480</v>
      </c>
      <c r="B481" s="3" t="s">
        <v>1598</v>
      </c>
      <c r="C481" s="3" t="s">
        <v>27</v>
      </c>
      <c r="D481" s="73" t="s">
        <v>1065</v>
      </c>
      <c r="E481" s="3" t="s">
        <v>853</v>
      </c>
      <c r="F481" s="3" t="s">
        <v>28</v>
      </c>
      <c r="G481" s="3" t="s">
        <v>29</v>
      </c>
      <c r="H481" s="3">
        <v>30416</v>
      </c>
      <c r="I481" s="20"/>
      <c r="J481" s="3" t="s">
        <v>1738</v>
      </c>
      <c r="K481" s="3">
        <v>1</v>
      </c>
      <c r="N481" s="3" t="s">
        <v>50</v>
      </c>
      <c r="O481" s="129">
        <v>7202</v>
      </c>
      <c r="P481" s="2" t="s">
        <v>495</v>
      </c>
      <c r="R481" s="73" t="s">
        <v>2139</v>
      </c>
      <c r="S481" s="3" t="s">
        <v>939</v>
      </c>
      <c r="AB481" s="2" t="s">
        <v>267</v>
      </c>
      <c r="AC481" s="3" t="s">
        <v>2118</v>
      </c>
      <c r="AD481" s="3" t="s">
        <v>1409</v>
      </c>
      <c r="AE481" s="1">
        <v>180</v>
      </c>
      <c r="AF481" s="1">
        <f t="shared" si="31"/>
        <v>3</v>
      </c>
      <c r="AH481" s="1">
        <f t="shared" si="32"/>
        <v>0</v>
      </c>
    </row>
    <row r="482" spans="1:40" ht="30" x14ac:dyDescent="0.25">
      <c r="A482" s="3">
        <v>481</v>
      </c>
      <c r="B482" s="3" t="s">
        <v>1598</v>
      </c>
      <c r="C482" s="3" t="s">
        <v>27</v>
      </c>
      <c r="D482" s="73" t="s">
        <v>1065</v>
      </c>
      <c r="E482" s="3" t="s">
        <v>853</v>
      </c>
      <c r="F482" s="3" t="s">
        <v>28</v>
      </c>
      <c r="G482" s="3" t="s">
        <v>29</v>
      </c>
      <c r="H482" s="3">
        <v>30416</v>
      </c>
      <c r="I482" s="20"/>
      <c r="J482" s="3" t="s">
        <v>1738</v>
      </c>
      <c r="K482" s="3">
        <v>1</v>
      </c>
      <c r="N482" s="3" t="s">
        <v>50</v>
      </c>
      <c r="O482" s="129">
        <v>7202</v>
      </c>
      <c r="P482" s="2" t="s">
        <v>503</v>
      </c>
      <c r="R482" s="3" t="s">
        <v>2140</v>
      </c>
      <c r="AB482" s="2" t="s">
        <v>267</v>
      </c>
      <c r="AC482" s="3" t="s">
        <v>2118</v>
      </c>
      <c r="AD482" s="3" t="s">
        <v>111</v>
      </c>
      <c r="AE482" s="1">
        <v>330</v>
      </c>
      <c r="AF482" s="1">
        <f t="shared" si="31"/>
        <v>5.5</v>
      </c>
      <c r="AH482" s="1">
        <f t="shared" si="32"/>
        <v>0</v>
      </c>
    </row>
    <row r="483" spans="1:40" ht="30" x14ac:dyDescent="0.25">
      <c r="A483" s="3">
        <v>482</v>
      </c>
      <c r="B483" s="3" t="s">
        <v>1598</v>
      </c>
      <c r="C483" s="3" t="s">
        <v>27</v>
      </c>
      <c r="D483" s="73" t="s">
        <v>1065</v>
      </c>
      <c r="E483" s="3" t="s">
        <v>853</v>
      </c>
      <c r="F483" s="3" t="s">
        <v>28</v>
      </c>
      <c r="G483" s="3" t="s">
        <v>29</v>
      </c>
      <c r="H483" s="3">
        <v>30416</v>
      </c>
      <c r="I483" s="20"/>
      <c r="J483" s="3" t="s">
        <v>1738</v>
      </c>
      <c r="K483" s="3">
        <v>1</v>
      </c>
      <c r="N483" s="3" t="s">
        <v>50</v>
      </c>
      <c r="O483" s="129">
        <v>7202</v>
      </c>
      <c r="P483" s="2" t="s">
        <v>503</v>
      </c>
      <c r="R483" s="3" t="s">
        <v>2140</v>
      </c>
      <c r="S483" s="3" t="s">
        <v>939</v>
      </c>
      <c r="AB483" s="2" t="s">
        <v>267</v>
      </c>
      <c r="AC483" s="3" t="s">
        <v>2117</v>
      </c>
      <c r="AD483" s="3" t="s">
        <v>100</v>
      </c>
      <c r="AE483" s="1">
        <v>150</v>
      </c>
      <c r="AF483" s="1">
        <f t="shared" si="31"/>
        <v>2.5</v>
      </c>
      <c r="AG483" s="1">
        <v>120</v>
      </c>
      <c r="AH483" s="1">
        <f t="shared" si="32"/>
        <v>2</v>
      </c>
      <c r="AI483" s="1" t="s">
        <v>93</v>
      </c>
    </row>
    <row r="484" spans="1:40" ht="30" x14ac:dyDescent="0.25">
      <c r="A484" s="3">
        <v>483</v>
      </c>
      <c r="B484" s="9" t="s">
        <v>2000</v>
      </c>
      <c r="C484" s="9" t="s">
        <v>27</v>
      </c>
      <c r="D484" s="73" t="s">
        <v>1065</v>
      </c>
      <c r="E484" s="9" t="s">
        <v>853</v>
      </c>
      <c r="F484" s="9" t="s">
        <v>28</v>
      </c>
      <c r="G484" s="9" t="s">
        <v>29</v>
      </c>
      <c r="H484" s="9">
        <v>29889</v>
      </c>
      <c r="I484" s="9"/>
      <c r="J484" s="32" t="s">
        <v>2001</v>
      </c>
      <c r="K484" s="32">
        <v>1</v>
      </c>
      <c r="N484" s="3" t="s">
        <v>50</v>
      </c>
      <c r="O484" s="129">
        <v>7204</v>
      </c>
      <c r="P484" s="2" t="s">
        <v>2093</v>
      </c>
      <c r="R484" s="73" t="s">
        <v>1810</v>
      </c>
      <c r="S484" s="3" t="s">
        <v>939</v>
      </c>
      <c r="AB484" s="2" t="s">
        <v>267</v>
      </c>
      <c r="AC484" s="3" t="s">
        <v>2117</v>
      </c>
      <c r="AD484" s="3" t="s">
        <v>44</v>
      </c>
      <c r="AE484" s="1">
        <v>180</v>
      </c>
      <c r="AF484" s="1">
        <f t="shared" si="31"/>
        <v>3</v>
      </c>
      <c r="AH484" s="1">
        <f t="shared" si="32"/>
        <v>0</v>
      </c>
    </row>
    <row r="485" spans="1:40" ht="30" x14ac:dyDescent="0.25">
      <c r="A485" s="3">
        <v>484</v>
      </c>
      <c r="B485" s="3" t="s">
        <v>217</v>
      </c>
      <c r="C485" s="3" t="s">
        <v>45</v>
      </c>
      <c r="D485" s="73" t="s">
        <v>1065</v>
      </c>
      <c r="E485" s="73" t="s">
        <v>996</v>
      </c>
      <c r="F485" s="25" t="s">
        <v>1782</v>
      </c>
      <c r="G485" s="73" t="s">
        <v>1782</v>
      </c>
      <c r="H485" s="73"/>
      <c r="I485" s="73"/>
      <c r="J485" s="25" t="s">
        <v>2133</v>
      </c>
      <c r="K485" s="73">
        <v>1</v>
      </c>
      <c r="N485" s="3" t="s">
        <v>50</v>
      </c>
      <c r="O485" s="129">
        <v>7204</v>
      </c>
      <c r="P485" s="2" t="s">
        <v>155</v>
      </c>
      <c r="R485" s="73" t="s">
        <v>1810</v>
      </c>
      <c r="AB485" s="2" t="s">
        <v>267</v>
      </c>
      <c r="AC485" s="3" t="s">
        <v>2117</v>
      </c>
      <c r="AD485" s="3" t="s">
        <v>121</v>
      </c>
      <c r="AE485" s="1">
        <v>210</v>
      </c>
      <c r="AF485" s="1">
        <f t="shared" si="31"/>
        <v>3.5</v>
      </c>
      <c r="AH485" s="1">
        <f t="shared" si="32"/>
        <v>0</v>
      </c>
    </row>
    <row r="486" spans="1:40" ht="30" x14ac:dyDescent="0.25">
      <c r="A486" s="3">
        <v>485</v>
      </c>
      <c r="B486" s="3" t="s">
        <v>217</v>
      </c>
      <c r="C486" s="3" t="s">
        <v>45</v>
      </c>
      <c r="D486" s="73" t="s">
        <v>1065</v>
      </c>
      <c r="E486" s="73" t="s">
        <v>996</v>
      </c>
      <c r="F486" s="25" t="s">
        <v>1782</v>
      </c>
      <c r="G486" s="73" t="s">
        <v>1782</v>
      </c>
      <c r="H486" s="73"/>
      <c r="I486" s="73"/>
      <c r="J486" s="25" t="s">
        <v>2133</v>
      </c>
      <c r="K486" s="73">
        <v>1</v>
      </c>
      <c r="N486" s="3" t="s">
        <v>50</v>
      </c>
      <c r="O486" s="129">
        <v>7204</v>
      </c>
      <c r="P486" s="2" t="s">
        <v>155</v>
      </c>
      <c r="R486" s="73" t="s">
        <v>1810</v>
      </c>
      <c r="AB486" s="2" t="s">
        <v>267</v>
      </c>
      <c r="AC486" s="3" t="s">
        <v>2122</v>
      </c>
      <c r="AD486" s="3" t="s">
        <v>84</v>
      </c>
      <c r="AE486" s="1">
        <v>330</v>
      </c>
      <c r="AF486" s="1">
        <f t="shared" si="31"/>
        <v>5.5</v>
      </c>
      <c r="AH486" s="1">
        <f t="shared" si="32"/>
        <v>0</v>
      </c>
    </row>
    <row r="487" spans="1:40" ht="30" x14ac:dyDescent="0.25">
      <c r="A487" s="3">
        <v>486</v>
      </c>
      <c r="B487" s="3" t="s">
        <v>217</v>
      </c>
      <c r="C487" s="3" t="s">
        <v>45</v>
      </c>
      <c r="D487" s="73" t="s">
        <v>1065</v>
      </c>
      <c r="E487" s="73" t="s">
        <v>996</v>
      </c>
      <c r="F487" s="25" t="s">
        <v>1782</v>
      </c>
      <c r="G487" s="73" t="s">
        <v>1782</v>
      </c>
      <c r="H487" s="73"/>
      <c r="I487" s="73"/>
      <c r="J487" s="25" t="s">
        <v>2133</v>
      </c>
      <c r="K487" s="73">
        <v>1</v>
      </c>
      <c r="N487" s="3" t="s">
        <v>50</v>
      </c>
      <c r="O487" s="129">
        <v>7204</v>
      </c>
      <c r="P487" s="2" t="s">
        <v>155</v>
      </c>
      <c r="R487" s="73" t="s">
        <v>2141</v>
      </c>
      <c r="S487" s="3" t="s">
        <v>939</v>
      </c>
      <c r="AB487" s="2" t="s">
        <v>267</v>
      </c>
      <c r="AC487" s="3" t="s">
        <v>2122</v>
      </c>
      <c r="AD487" s="3" t="s">
        <v>111</v>
      </c>
      <c r="AE487" s="1">
        <v>330</v>
      </c>
      <c r="AF487" s="1">
        <f t="shared" si="31"/>
        <v>5.5</v>
      </c>
      <c r="AH487" s="1">
        <f t="shared" si="32"/>
        <v>0</v>
      </c>
    </row>
    <row r="488" spans="1:40" ht="45" x14ac:dyDescent="0.25">
      <c r="A488" s="3">
        <v>487</v>
      </c>
      <c r="B488" s="3" t="s">
        <v>2107</v>
      </c>
      <c r="C488" s="3" t="s">
        <v>62</v>
      </c>
      <c r="D488" s="73" t="s">
        <v>78</v>
      </c>
      <c r="E488" s="73" t="s">
        <v>853</v>
      </c>
      <c r="F488" s="73" t="s">
        <v>221</v>
      </c>
      <c r="G488" s="73" t="s">
        <v>29</v>
      </c>
      <c r="H488" s="73"/>
      <c r="I488" s="73">
        <v>17233</v>
      </c>
      <c r="J488" s="25" t="s">
        <v>2108</v>
      </c>
      <c r="K488" s="73">
        <v>5</v>
      </c>
      <c r="L488" s="3" t="s">
        <v>139</v>
      </c>
      <c r="M488" s="3" t="s">
        <v>2109</v>
      </c>
      <c r="N488" s="3" t="s">
        <v>57</v>
      </c>
      <c r="O488" s="129">
        <v>7301</v>
      </c>
      <c r="P488" s="2" t="s">
        <v>2100</v>
      </c>
      <c r="R488" s="3" t="s">
        <v>79</v>
      </c>
      <c r="S488" s="3" t="s">
        <v>939</v>
      </c>
      <c r="AB488" s="2" t="s">
        <v>267</v>
      </c>
      <c r="AC488" s="3" t="s">
        <v>2118</v>
      </c>
      <c r="AD488" s="3" t="s">
        <v>108</v>
      </c>
      <c r="AE488" s="1">
        <v>420</v>
      </c>
      <c r="AF488" s="1">
        <f t="shared" si="31"/>
        <v>7</v>
      </c>
      <c r="AH488" s="1">
        <f t="shared" si="32"/>
        <v>0</v>
      </c>
    </row>
    <row r="489" spans="1:40" ht="30" x14ac:dyDescent="0.25">
      <c r="A489" s="3">
        <v>488</v>
      </c>
      <c r="B489" s="9" t="s">
        <v>1513</v>
      </c>
      <c r="C489" s="9" t="s">
        <v>46</v>
      </c>
      <c r="D489" s="73" t="s">
        <v>78</v>
      </c>
      <c r="E489" s="9" t="s">
        <v>853</v>
      </c>
      <c r="F489" s="3" t="s">
        <v>336</v>
      </c>
      <c r="G489" s="3" t="s">
        <v>47</v>
      </c>
      <c r="H489" s="3" t="s">
        <v>1454</v>
      </c>
      <c r="I489" s="20"/>
      <c r="J489" s="3" t="s">
        <v>1693</v>
      </c>
      <c r="K489" s="3">
        <v>1</v>
      </c>
      <c r="N489" s="3" t="s">
        <v>57</v>
      </c>
      <c r="O489" s="129">
        <v>7301</v>
      </c>
      <c r="P489" s="2" t="s">
        <v>58</v>
      </c>
      <c r="R489" s="3" t="s">
        <v>79</v>
      </c>
      <c r="S489" s="3" t="s">
        <v>939</v>
      </c>
      <c r="AB489" s="2" t="s">
        <v>267</v>
      </c>
      <c r="AC489" s="3" t="s">
        <v>2118</v>
      </c>
      <c r="AD489" s="3" t="s">
        <v>108</v>
      </c>
      <c r="AE489" s="1">
        <v>240</v>
      </c>
      <c r="AF489" s="1">
        <f t="shared" si="31"/>
        <v>4</v>
      </c>
      <c r="AH489" s="1">
        <f t="shared" si="32"/>
        <v>0</v>
      </c>
      <c r="AN489" s="1" t="s">
        <v>2138</v>
      </c>
    </row>
    <row r="490" spans="1:40" ht="30" x14ac:dyDescent="0.25">
      <c r="A490" s="3">
        <v>489</v>
      </c>
      <c r="B490" s="9" t="s">
        <v>1117</v>
      </c>
      <c r="C490" s="34" t="s">
        <v>27</v>
      </c>
      <c r="D490" s="73" t="s">
        <v>78</v>
      </c>
      <c r="E490" s="9" t="s">
        <v>996</v>
      </c>
      <c r="F490" s="3" t="s">
        <v>445</v>
      </c>
      <c r="G490" s="3" t="s">
        <v>29</v>
      </c>
      <c r="H490" s="3"/>
      <c r="I490" s="3"/>
      <c r="J490" s="32" t="s">
        <v>2142</v>
      </c>
      <c r="K490" s="20">
        <v>3</v>
      </c>
      <c r="N490" s="3" t="s">
        <v>57</v>
      </c>
      <c r="O490" s="129">
        <v>7301</v>
      </c>
      <c r="P490" s="2" t="s">
        <v>2143</v>
      </c>
      <c r="R490" s="3" t="s">
        <v>79</v>
      </c>
      <c r="S490" s="3" t="s">
        <v>939</v>
      </c>
      <c r="AB490" s="2" t="s">
        <v>267</v>
      </c>
      <c r="AC490" s="3" t="s">
        <v>2117</v>
      </c>
      <c r="AD490" s="3" t="s">
        <v>108</v>
      </c>
      <c r="AE490" s="1">
        <v>240</v>
      </c>
      <c r="AF490" s="1">
        <f t="shared" si="31"/>
        <v>4</v>
      </c>
      <c r="AH490" s="1">
        <f t="shared" si="32"/>
        <v>0</v>
      </c>
    </row>
    <row r="491" spans="1:40" ht="45" x14ac:dyDescent="0.25">
      <c r="A491" s="3">
        <v>490</v>
      </c>
      <c r="B491" s="3" t="s">
        <v>2107</v>
      </c>
      <c r="C491" s="3" t="s">
        <v>62</v>
      </c>
      <c r="D491" s="73" t="s">
        <v>78</v>
      </c>
      <c r="E491" s="73" t="s">
        <v>853</v>
      </c>
      <c r="F491" s="73" t="s">
        <v>221</v>
      </c>
      <c r="G491" s="73" t="s">
        <v>29</v>
      </c>
      <c r="H491" s="73"/>
      <c r="I491" s="73">
        <v>17233</v>
      </c>
      <c r="J491" s="25" t="s">
        <v>2108</v>
      </c>
      <c r="K491" s="73">
        <v>1</v>
      </c>
      <c r="L491" s="3" t="s">
        <v>139</v>
      </c>
      <c r="M491" s="3" t="s">
        <v>2109</v>
      </c>
      <c r="N491" s="3" t="s">
        <v>57</v>
      </c>
      <c r="O491" s="129">
        <v>7301</v>
      </c>
      <c r="P491" s="2" t="s">
        <v>2100</v>
      </c>
      <c r="R491" s="3" t="s">
        <v>79</v>
      </c>
      <c r="S491" s="3" t="s">
        <v>939</v>
      </c>
      <c r="AB491" s="2" t="s">
        <v>267</v>
      </c>
      <c r="AC491" s="3" t="s">
        <v>2117</v>
      </c>
      <c r="AD491" s="3" t="s">
        <v>108</v>
      </c>
      <c r="AE491" s="1">
        <v>240</v>
      </c>
      <c r="AF491" s="1">
        <f t="shared" si="31"/>
        <v>4</v>
      </c>
      <c r="AH491" s="1">
        <f t="shared" si="32"/>
        <v>0</v>
      </c>
    </row>
    <row r="492" spans="1:40" ht="30" x14ac:dyDescent="0.25">
      <c r="A492" s="3">
        <v>491</v>
      </c>
      <c r="B492" s="3" t="s">
        <v>2144</v>
      </c>
      <c r="C492" s="3" t="s">
        <v>62</v>
      </c>
      <c r="D492" s="19" t="s">
        <v>78</v>
      </c>
      <c r="E492" s="19" t="s">
        <v>853</v>
      </c>
      <c r="F492" s="25" t="s">
        <v>2145</v>
      </c>
      <c r="G492" s="19" t="s">
        <v>221</v>
      </c>
      <c r="J492" s="25" t="s">
        <v>2146</v>
      </c>
      <c r="N492" s="3" t="s">
        <v>57</v>
      </c>
      <c r="O492" s="129">
        <v>7301</v>
      </c>
      <c r="P492" s="2" t="s">
        <v>2147</v>
      </c>
      <c r="R492" s="3" t="s">
        <v>79</v>
      </c>
      <c r="S492" s="3" t="s">
        <v>939</v>
      </c>
      <c r="AB492" s="2" t="s">
        <v>267</v>
      </c>
      <c r="AC492" s="3" t="s">
        <v>2117</v>
      </c>
      <c r="AD492" s="3" t="s">
        <v>108</v>
      </c>
      <c r="AE492" s="1">
        <v>180</v>
      </c>
      <c r="AF492" s="1">
        <f t="shared" si="31"/>
        <v>3</v>
      </c>
      <c r="AH492" s="1">
        <f t="shared" si="32"/>
        <v>0</v>
      </c>
    </row>
    <row r="493" spans="1:40" ht="30" x14ac:dyDescent="0.25">
      <c r="A493" s="3">
        <v>492</v>
      </c>
      <c r="B493" s="3" t="s">
        <v>178</v>
      </c>
      <c r="C493" s="3" t="s">
        <v>62</v>
      </c>
      <c r="D493" s="9" t="s">
        <v>78</v>
      </c>
      <c r="E493" s="9" t="s">
        <v>853</v>
      </c>
      <c r="F493" s="3" t="s">
        <v>118</v>
      </c>
      <c r="G493" s="3" t="s">
        <v>29</v>
      </c>
      <c r="H493" s="3"/>
      <c r="I493" s="3"/>
      <c r="J493" s="20" t="s">
        <v>212</v>
      </c>
      <c r="K493" s="3">
        <v>6</v>
      </c>
      <c r="L493" s="3" t="s">
        <v>126</v>
      </c>
      <c r="N493" s="3" t="s">
        <v>57</v>
      </c>
      <c r="O493" s="3">
        <v>7301</v>
      </c>
      <c r="P493" s="3" t="s">
        <v>235</v>
      </c>
      <c r="R493" s="73" t="s">
        <v>1810</v>
      </c>
      <c r="S493" s="3" t="s">
        <v>939</v>
      </c>
      <c r="AB493" s="2" t="s">
        <v>267</v>
      </c>
      <c r="AC493" s="3" t="s">
        <v>2122</v>
      </c>
      <c r="AD493" s="3" t="s">
        <v>108</v>
      </c>
      <c r="AE493" s="1">
        <v>360</v>
      </c>
      <c r="AF493" s="1">
        <f t="shared" si="31"/>
        <v>6</v>
      </c>
      <c r="AH493" s="1">
        <f t="shared" si="32"/>
        <v>0</v>
      </c>
    </row>
    <row r="494" spans="1:40" ht="45" x14ac:dyDescent="0.25">
      <c r="A494" s="3">
        <v>493</v>
      </c>
      <c r="B494" s="3" t="s">
        <v>2107</v>
      </c>
      <c r="C494" s="3" t="s">
        <v>62</v>
      </c>
      <c r="D494" s="73" t="s">
        <v>78</v>
      </c>
      <c r="E494" s="73" t="s">
        <v>853</v>
      </c>
      <c r="F494" s="73" t="s">
        <v>221</v>
      </c>
      <c r="G494" s="73" t="s">
        <v>29</v>
      </c>
      <c r="H494" s="73"/>
      <c r="I494" s="73">
        <v>17233</v>
      </c>
      <c r="J494" s="25" t="s">
        <v>2108</v>
      </c>
      <c r="K494" s="73">
        <v>2</v>
      </c>
      <c r="L494" s="3" t="s">
        <v>139</v>
      </c>
      <c r="M494" s="3" t="s">
        <v>2109</v>
      </c>
      <c r="N494" s="3" t="s">
        <v>57</v>
      </c>
      <c r="O494" s="129">
        <v>7301</v>
      </c>
      <c r="P494" s="2" t="s">
        <v>2100</v>
      </c>
      <c r="R494" s="3" t="s">
        <v>79</v>
      </c>
      <c r="S494" s="3" t="s">
        <v>939</v>
      </c>
      <c r="AB494" s="2" t="s">
        <v>267</v>
      </c>
      <c r="AC494" s="3" t="s">
        <v>2122</v>
      </c>
      <c r="AD494" s="3" t="s">
        <v>108</v>
      </c>
      <c r="AE494" s="1">
        <v>300</v>
      </c>
      <c r="AF494" s="1">
        <f t="shared" si="31"/>
        <v>5</v>
      </c>
      <c r="AH494" s="1">
        <f t="shared" si="32"/>
        <v>0</v>
      </c>
    </row>
    <row r="495" spans="1:40" ht="30" x14ac:dyDescent="0.25">
      <c r="A495" s="3">
        <v>494</v>
      </c>
      <c r="B495" s="9" t="s">
        <v>2000</v>
      </c>
      <c r="C495" s="9" t="s">
        <v>27</v>
      </c>
      <c r="D495" s="73" t="s">
        <v>49</v>
      </c>
      <c r="E495" s="9" t="s">
        <v>853</v>
      </c>
      <c r="F495" s="9" t="s">
        <v>28</v>
      </c>
      <c r="G495" s="9" t="s">
        <v>29</v>
      </c>
      <c r="H495" s="9">
        <v>29889</v>
      </c>
      <c r="I495" s="9"/>
      <c r="J495" s="32" t="s">
        <v>2001</v>
      </c>
      <c r="K495" s="32">
        <v>1</v>
      </c>
      <c r="N495" s="3" t="s">
        <v>35</v>
      </c>
      <c r="O495" s="129">
        <v>7102</v>
      </c>
      <c r="P495" s="2" t="s">
        <v>2093</v>
      </c>
      <c r="R495" s="3" t="s">
        <v>36</v>
      </c>
      <c r="AB495" s="2" t="s">
        <v>267</v>
      </c>
      <c r="AC495" s="3" t="s">
        <v>2118</v>
      </c>
      <c r="AD495" s="3" t="s">
        <v>84</v>
      </c>
      <c r="AE495" s="1">
        <v>330</v>
      </c>
      <c r="AF495" s="1">
        <f t="shared" si="31"/>
        <v>5.5</v>
      </c>
      <c r="AH495" s="1">
        <f t="shared" si="32"/>
        <v>0</v>
      </c>
    </row>
    <row r="496" spans="1:40" ht="30" x14ac:dyDescent="0.25">
      <c r="A496" s="3">
        <v>495</v>
      </c>
      <c r="B496" s="3" t="s">
        <v>217</v>
      </c>
      <c r="C496" s="3" t="s">
        <v>45</v>
      </c>
      <c r="D496" s="73" t="s">
        <v>49</v>
      </c>
      <c r="E496" s="73" t="s">
        <v>996</v>
      </c>
      <c r="F496" s="25" t="s">
        <v>1782</v>
      </c>
      <c r="G496" s="73" t="s">
        <v>1782</v>
      </c>
      <c r="H496" s="73"/>
      <c r="I496" s="73"/>
      <c r="J496" s="25" t="s">
        <v>2133</v>
      </c>
      <c r="K496" s="73">
        <v>1</v>
      </c>
      <c r="N496" s="3" t="s">
        <v>35</v>
      </c>
      <c r="O496" s="129">
        <v>7102</v>
      </c>
      <c r="P496" s="2" t="s">
        <v>155</v>
      </c>
      <c r="R496" s="3" t="s">
        <v>36</v>
      </c>
      <c r="S496" s="3" t="s">
        <v>939</v>
      </c>
      <c r="AB496" s="2" t="s">
        <v>267</v>
      </c>
      <c r="AC496" s="3" t="s">
        <v>2118</v>
      </c>
      <c r="AD496" s="3" t="s">
        <v>111</v>
      </c>
      <c r="AE496" s="1">
        <v>330</v>
      </c>
      <c r="AF496" s="1">
        <f t="shared" si="31"/>
        <v>5.5</v>
      </c>
      <c r="AH496" s="1">
        <f t="shared" si="32"/>
        <v>0</v>
      </c>
    </row>
    <row r="497" spans="1:35" ht="30" x14ac:dyDescent="0.25">
      <c r="A497" s="3">
        <v>496</v>
      </c>
      <c r="B497" s="3" t="s">
        <v>1766</v>
      </c>
      <c r="C497" s="3" t="s">
        <v>27</v>
      </c>
      <c r="D497" s="73" t="s">
        <v>49</v>
      </c>
      <c r="E497" s="3" t="s">
        <v>853</v>
      </c>
      <c r="F497" s="3" t="s">
        <v>199</v>
      </c>
      <c r="G497" s="3" t="s">
        <v>29</v>
      </c>
      <c r="H497" s="3">
        <v>29935</v>
      </c>
      <c r="I497" s="121" t="s">
        <v>1392</v>
      </c>
      <c r="J497" s="3" t="s">
        <v>1393</v>
      </c>
      <c r="K497" s="3">
        <v>1</v>
      </c>
      <c r="L497" s="9" t="s">
        <v>193</v>
      </c>
      <c r="N497" s="3" t="s">
        <v>35</v>
      </c>
      <c r="O497" s="129">
        <v>7102</v>
      </c>
      <c r="P497" s="2" t="s">
        <v>155</v>
      </c>
      <c r="R497" s="3" t="s">
        <v>36</v>
      </c>
      <c r="S497" s="3" t="s">
        <v>939</v>
      </c>
      <c r="AB497" s="2" t="s">
        <v>267</v>
      </c>
      <c r="AC497" s="3" t="s">
        <v>2117</v>
      </c>
      <c r="AD497" s="3" t="s">
        <v>73</v>
      </c>
      <c r="AE497" s="1">
        <v>270</v>
      </c>
      <c r="AF497" s="1">
        <f t="shared" si="31"/>
        <v>4.5</v>
      </c>
      <c r="AH497" s="1">
        <f t="shared" si="32"/>
        <v>0</v>
      </c>
    </row>
    <row r="498" spans="1:35" ht="30" x14ac:dyDescent="0.25">
      <c r="A498" s="3">
        <v>497</v>
      </c>
      <c r="B498" s="9" t="s">
        <v>2000</v>
      </c>
      <c r="C498" s="9" t="s">
        <v>27</v>
      </c>
      <c r="D498" s="73" t="s">
        <v>49</v>
      </c>
      <c r="E498" s="9" t="s">
        <v>853</v>
      </c>
      <c r="F498" s="9" t="s">
        <v>28</v>
      </c>
      <c r="G498" s="9" t="s">
        <v>29</v>
      </c>
      <c r="H498" s="9">
        <v>29889</v>
      </c>
      <c r="I498" s="9"/>
      <c r="J498" s="32" t="s">
        <v>2001</v>
      </c>
      <c r="K498" s="32">
        <v>1</v>
      </c>
      <c r="N498" s="3" t="s">
        <v>35</v>
      </c>
      <c r="O498" s="129">
        <v>7102</v>
      </c>
      <c r="P498" s="2" t="s">
        <v>2093</v>
      </c>
      <c r="R498" s="3" t="s">
        <v>36</v>
      </c>
      <c r="S498" s="3" t="s">
        <v>939</v>
      </c>
      <c r="AB498" s="2" t="s">
        <v>267</v>
      </c>
      <c r="AC498" s="3" t="s">
        <v>2117</v>
      </c>
      <c r="AD498" s="3" t="s">
        <v>115</v>
      </c>
      <c r="AE498" s="1">
        <v>390</v>
      </c>
      <c r="AF498" s="1">
        <f t="shared" si="31"/>
        <v>6.5</v>
      </c>
      <c r="AH498" s="1">
        <f t="shared" si="32"/>
        <v>0</v>
      </c>
    </row>
    <row r="499" spans="1:35" ht="30" x14ac:dyDescent="0.25">
      <c r="A499" s="3">
        <v>498</v>
      </c>
      <c r="B499" s="9" t="s">
        <v>2000</v>
      </c>
      <c r="C499" s="9" t="s">
        <v>27</v>
      </c>
      <c r="D499" s="73" t="s">
        <v>49</v>
      </c>
      <c r="E499" s="9" t="s">
        <v>853</v>
      </c>
      <c r="F499" s="9" t="s">
        <v>28</v>
      </c>
      <c r="G499" s="9" t="s">
        <v>29</v>
      </c>
      <c r="H499" s="9">
        <v>29889</v>
      </c>
      <c r="I499" s="9"/>
      <c r="J499" s="32" t="s">
        <v>2001</v>
      </c>
      <c r="K499" s="32">
        <v>1</v>
      </c>
      <c r="N499" s="3" t="s">
        <v>35</v>
      </c>
      <c r="O499" s="129">
        <v>7102</v>
      </c>
      <c r="P499" s="2" t="s">
        <v>1624</v>
      </c>
      <c r="R499" s="3" t="s">
        <v>36</v>
      </c>
      <c r="AB499" s="2" t="s">
        <v>267</v>
      </c>
      <c r="AC499" s="3" t="s">
        <v>2122</v>
      </c>
      <c r="AD499" s="3" t="s">
        <v>108</v>
      </c>
      <c r="AE499" s="1">
        <v>660</v>
      </c>
      <c r="AF499" s="1">
        <f t="shared" si="31"/>
        <v>11</v>
      </c>
      <c r="AH499" s="1">
        <f t="shared" si="32"/>
        <v>0</v>
      </c>
    </row>
    <row r="500" spans="1:35" ht="45" x14ac:dyDescent="0.25">
      <c r="A500" s="3">
        <v>499</v>
      </c>
      <c r="B500" s="3" t="s">
        <v>2115</v>
      </c>
      <c r="C500" s="3" t="s">
        <v>45</v>
      </c>
      <c r="D500" s="73" t="s">
        <v>39</v>
      </c>
      <c r="E500" s="73" t="s">
        <v>853</v>
      </c>
      <c r="F500" s="73" t="s">
        <v>199</v>
      </c>
      <c r="G500" s="73" t="s">
        <v>29</v>
      </c>
      <c r="H500" s="73"/>
      <c r="I500" s="73">
        <v>3128</v>
      </c>
      <c r="J500" s="25" t="s">
        <v>2116</v>
      </c>
      <c r="K500" s="73">
        <v>1</v>
      </c>
      <c r="N500" s="3" t="s">
        <v>57</v>
      </c>
      <c r="O500" s="129">
        <v>7303</v>
      </c>
      <c r="P500" s="2" t="s">
        <v>198</v>
      </c>
      <c r="R500" s="3" t="s">
        <v>36</v>
      </c>
      <c r="S500" s="3" t="s">
        <v>939</v>
      </c>
      <c r="AB500" s="2" t="s">
        <v>267</v>
      </c>
      <c r="AC500" s="3" t="s">
        <v>2118</v>
      </c>
      <c r="AD500" s="3" t="s">
        <v>108</v>
      </c>
      <c r="AE500" s="1">
        <v>200</v>
      </c>
      <c r="AF500" s="1">
        <f t="shared" si="31"/>
        <v>3.3333333333333335</v>
      </c>
      <c r="AH500" s="1">
        <f t="shared" si="32"/>
        <v>0</v>
      </c>
    </row>
    <row r="501" spans="1:35" ht="30" x14ac:dyDescent="0.25">
      <c r="A501" s="3">
        <v>500</v>
      </c>
      <c r="B501" s="3" t="s">
        <v>218</v>
      </c>
      <c r="C501" s="3" t="s">
        <v>62</v>
      </c>
      <c r="D501" s="19" t="s">
        <v>39</v>
      </c>
      <c r="E501" s="19" t="s">
        <v>853</v>
      </c>
      <c r="F501" s="25" t="s">
        <v>221</v>
      </c>
      <c r="G501" s="19" t="s">
        <v>29</v>
      </c>
      <c r="I501" s="19">
        <v>17452</v>
      </c>
      <c r="J501" s="25" t="s">
        <v>2148</v>
      </c>
      <c r="K501" s="19">
        <v>1</v>
      </c>
      <c r="L501" s="3" t="s">
        <v>139</v>
      </c>
      <c r="N501" s="3" t="s">
        <v>57</v>
      </c>
      <c r="O501" s="129">
        <v>7302</v>
      </c>
      <c r="P501" s="2" t="s">
        <v>349</v>
      </c>
      <c r="R501" s="3" t="s">
        <v>79</v>
      </c>
      <c r="S501" s="3" t="s">
        <v>939</v>
      </c>
      <c r="AB501" s="2" t="s">
        <v>267</v>
      </c>
      <c r="AC501" s="3" t="s">
        <v>2118</v>
      </c>
      <c r="AD501" s="3" t="s">
        <v>108</v>
      </c>
      <c r="AE501" s="1">
        <v>60</v>
      </c>
      <c r="AF501" s="1">
        <f t="shared" si="31"/>
        <v>1</v>
      </c>
      <c r="AH501" s="1">
        <f t="shared" si="32"/>
        <v>0</v>
      </c>
    </row>
    <row r="502" spans="1:35" ht="30" x14ac:dyDescent="0.25">
      <c r="A502" s="3">
        <v>501</v>
      </c>
      <c r="B502" s="3" t="s">
        <v>2088</v>
      </c>
      <c r="C502" s="3" t="s">
        <v>45</v>
      </c>
      <c r="D502" s="19" t="s">
        <v>39</v>
      </c>
      <c r="E502" s="19" t="s">
        <v>853</v>
      </c>
      <c r="F502" s="25" t="s">
        <v>221</v>
      </c>
      <c r="G502" s="19" t="s">
        <v>47</v>
      </c>
      <c r="I502" s="19">
        <v>17231</v>
      </c>
      <c r="J502" s="25" t="s">
        <v>2149</v>
      </c>
      <c r="K502" s="19">
        <v>1</v>
      </c>
      <c r="L502" s="3" t="s">
        <v>139</v>
      </c>
      <c r="N502" s="3" t="s">
        <v>57</v>
      </c>
      <c r="O502" s="129">
        <v>7302</v>
      </c>
      <c r="P502" s="2" t="s">
        <v>176</v>
      </c>
      <c r="Q502" s="2"/>
      <c r="R502" s="3" t="s">
        <v>79</v>
      </c>
      <c r="S502" s="3" t="s">
        <v>939</v>
      </c>
      <c r="AB502" s="2" t="s">
        <v>267</v>
      </c>
      <c r="AC502" s="3" t="s">
        <v>2118</v>
      </c>
      <c r="AD502" s="3" t="s">
        <v>108</v>
      </c>
      <c r="AE502" s="1">
        <v>120</v>
      </c>
      <c r="AF502" s="1">
        <f t="shared" si="31"/>
        <v>2</v>
      </c>
      <c r="AH502" s="1">
        <f t="shared" si="32"/>
        <v>0</v>
      </c>
    </row>
    <row r="503" spans="1:35" ht="30" x14ac:dyDescent="0.25">
      <c r="A503" s="3">
        <v>502</v>
      </c>
      <c r="B503" s="3" t="s">
        <v>386</v>
      </c>
      <c r="C503" s="3" t="s">
        <v>62</v>
      </c>
      <c r="D503" s="19" t="s">
        <v>39</v>
      </c>
      <c r="E503" s="19" t="s">
        <v>853</v>
      </c>
      <c r="F503" s="25" t="s">
        <v>221</v>
      </c>
      <c r="G503" s="19" t="s">
        <v>29</v>
      </c>
      <c r="I503" s="19">
        <v>17063</v>
      </c>
      <c r="J503" s="25" t="s">
        <v>2150</v>
      </c>
      <c r="K503" s="19">
        <v>1</v>
      </c>
      <c r="L503" s="3" t="s">
        <v>139</v>
      </c>
      <c r="N503" s="3" t="s">
        <v>57</v>
      </c>
      <c r="O503" s="129">
        <v>7302</v>
      </c>
      <c r="P503" s="2" t="s">
        <v>198</v>
      </c>
      <c r="R503" s="3" t="s">
        <v>79</v>
      </c>
      <c r="S503" s="3" t="s">
        <v>939</v>
      </c>
      <c r="AB503" s="2" t="s">
        <v>267</v>
      </c>
      <c r="AC503" s="3" t="s">
        <v>2118</v>
      </c>
      <c r="AD503" s="3" t="s">
        <v>108</v>
      </c>
      <c r="AE503" s="1">
        <v>60</v>
      </c>
      <c r="AF503" s="1">
        <f t="shared" si="31"/>
        <v>1</v>
      </c>
      <c r="AH503" s="1">
        <f t="shared" si="32"/>
        <v>0</v>
      </c>
    </row>
    <row r="504" spans="1:35" ht="30" x14ac:dyDescent="0.25">
      <c r="A504" s="3">
        <v>503</v>
      </c>
      <c r="B504" s="9" t="s">
        <v>1513</v>
      </c>
      <c r="C504" s="9" t="s">
        <v>46</v>
      </c>
      <c r="D504" s="73" t="s">
        <v>39</v>
      </c>
      <c r="E504" s="9" t="s">
        <v>853</v>
      </c>
      <c r="F504" s="3" t="s">
        <v>336</v>
      </c>
      <c r="G504" s="3" t="s">
        <v>47</v>
      </c>
      <c r="H504" s="3" t="s">
        <v>1454</v>
      </c>
      <c r="I504" s="20"/>
      <c r="J504" s="3" t="s">
        <v>1693</v>
      </c>
      <c r="K504" s="3">
        <v>1</v>
      </c>
      <c r="N504" s="3" t="s">
        <v>57</v>
      </c>
      <c r="O504" s="129">
        <v>7302</v>
      </c>
      <c r="P504" s="2" t="s">
        <v>188</v>
      </c>
      <c r="R504" s="3" t="s">
        <v>79</v>
      </c>
      <c r="S504" s="3" t="s">
        <v>939</v>
      </c>
      <c r="AB504" s="2" t="s">
        <v>267</v>
      </c>
      <c r="AC504" s="3" t="s">
        <v>2118</v>
      </c>
      <c r="AD504" s="3" t="s">
        <v>108</v>
      </c>
      <c r="AE504" s="1">
        <v>60</v>
      </c>
      <c r="AF504" s="1">
        <f t="shared" si="31"/>
        <v>1</v>
      </c>
      <c r="AH504" s="1">
        <f t="shared" si="32"/>
        <v>0</v>
      </c>
    </row>
    <row r="505" spans="1:35" ht="30" x14ac:dyDescent="0.25">
      <c r="A505" s="3">
        <v>504</v>
      </c>
      <c r="B505" s="3" t="s">
        <v>2151</v>
      </c>
      <c r="C505" s="9" t="s">
        <v>46</v>
      </c>
      <c r="D505" s="73" t="s">
        <v>39</v>
      </c>
      <c r="E505" s="9" t="s">
        <v>853</v>
      </c>
      <c r="F505" s="3" t="s">
        <v>221</v>
      </c>
      <c r="G505" s="3" t="s">
        <v>47</v>
      </c>
      <c r="I505" s="19">
        <v>17464</v>
      </c>
      <c r="J505" s="25" t="s">
        <v>2152</v>
      </c>
      <c r="K505" s="19">
        <v>1</v>
      </c>
      <c r="L505" s="3" t="s">
        <v>139</v>
      </c>
      <c r="N505" s="3" t="s">
        <v>57</v>
      </c>
      <c r="O505" s="129">
        <v>7302</v>
      </c>
      <c r="P505" s="2" t="s">
        <v>425</v>
      </c>
      <c r="R505" s="3" t="s">
        <v>79</v>
      </c>
      <c r="AB505" s="2" t="s">
        <v>267</v>
      </c>
      <c r="AC505" s="3" t="s">
        <v>2118</v>
      </c>
      <c r="AD505" s="3" t="s">
        <v>108</v>
      </c>
      <c r="AE505" s="1">
        <v>180</v>
      </c>
      <c r="AF505" s="1">
        <f t="shared" si="31"/>
        <v>3</v>
      </c>
      <c r="AH505" s="1">
        <f t="shared" si="32"/>
        <v>0</v>
      </c>
    </row>
    <row r="506" spans="1:35" ht="30" x14ac:dyDescent="0.25">
      <c r="A506" s="3">
        <v>505</v>
      </c>
      <c r="B506" s="3" t="s">
        <v>2153</v>
      </c>
      <c r="C506" s="3" t="s">
        <v>62</v>
      </c>
      <c r="D506" s="19" t="s">
        <v>39</v>
      </c>
      <c r="E506" s="19" t="s">
        <v>853</v>
      </c>
      <c r="F506" s="25" t="s">
        <v>221</v>
      </c>
      <c r="G506" s="19" t="s">
        <v>29</v>
      </c>
      <c r="I506" s="19">
        <v>17064</v>
      </c>
      <c r="J506" s="25" t="s">
        <v>2154</v>
      </c>
      <c r="K506" s="19">
        <v>2</v>
      </c>
      <c r="L506" s="3" t="s">
        <v>139</v>
      </c>
      <c r="N506" s="3" t="s">
        <v>57</v>
      </c>
      <c r="O506" s="129">
        <v>7302</v>
      </c>
      <c r="P506" s="2" t="s">
        <v>425</v>
      </c>
      <c r="R506" s="3" t="s">
        <v>79</v>
      </c>
      <c r="S506" s="3" t="s">
        <v>939</v>
      </c>
      <c r="AB506" s="2" t="s">
        <v>267</v>
      </c>
      <c r="AC506" s="3" t="s">
        <v>2117</v>
      </c>
      <c r="AD506" s="3" t="s">
        <v>108</v>
      </c>
      <c r="AE506" s="1">
        <v>240</v>
      </c>
      <c r="AF506" s="1">
        <f t="shared" si="31"/>
        <v>4</v>
      </c>
      <c r="AH506" s="1">
        <f t="shared" si="32"/>
        <v>0</v>
      </c>
    </row>
    <row r="507" spans="1:35" ht="30" x14ac:dyDescent="0.25">
      <c r="A507" s="3">
        <v>506</v>
      </c>
      <c r="B507" s="9" t="s">
        <v>1513</v>
      </c>
      <c r="C507" s="9" t="s">
        <v>46</v>
      </c>
      <c r="D507" s="73" t="s">
        <v>39</v>
      </c>
      <c r="E507" s="9" t="s">
        <v>853</v>
      </c>
      <c r="F507" s="3" t="s">
        <v>336</v>
      </c>
      <c r="G507" s="3" t="s">
        <v>47</v>
      </c>
      <c r="H507" s="3" t="s">
        <v>1454</v>
      </c>
      <c r="I507" s="20"/>
      <c r="J507" s="3" t="s">
        <v>1693</v>
      </c>
      <c r="K507" s="3">
        <v>2</v>
      </c>
      <c r="N507" s="3" t="s">
        <v>57</v>
      </c>
      <c r="O507" s="129">
        <v>7302</v>
      </c>
      <c r="P507" s="2" t="s">
        <v>2155</v>
      </c>
      <c r="R507" s="3" t="s">
        <v>79</v>
      </c>
      <c r="AB507" s="2" t="s">
        <v>267</v>
      </c>
      <c r="AC507" s="3" t="s">
        <v>2117</v>
      </c>
      <c r="AD507" s="3" t="s">
        <v>108</v>
      </c>
      <c r="AE507" s="1">
        <v>120</v>
      </c>
      <c r="AF507" s="1">
        <f t="shared" si="31"/>
        <v>2</v>
      </c>
      <c r="AH507" s="1">
        <f t="shared" si="32"/>
        <v>0</v>
      </c>
    </row>
    <row r="508" spans="1:35" ht="30" x14ac:dyDescent="0.25">
      <c r="A508" s="3">
        <v>507</v>
      </c>
      <c r="B508" s="3" t="s">
        <v>2151</v>
      </c>
      <c r="C508" s="9" t="s">
        <v>46</v>
      </c>
      <c r="D508" s="73" t="s">
        <v>39</v>
      </c>
      <c r="E508" s="9" t="s">
        <v>853</v>
      </c>
      <c r="F508" s="3" t="s">
        <v>221</v>
      </c>
      <c r="G508" s="3" t="s">
        <v>47</v>
      </c>
      <c r="H508" s="73"/>
      <c r="I508" s="73">
        <v>17464</v>
      </c>
      <c r="J508" s="25" t="s">
        <v>2152</v>
      </c>
      <c r="K508" s="73">
        <v>1</v>
      </c>
      <c r="L508" s="3" t="s">
        <v>139</v>
      </c>
      <c r="N508" s="3" t="s">
        <v>57</v>
      </c>
      <c r="O508" s="129">
        <v>7302</v>
      </c>
      <c r="P508" s="2" t="s">
        <v>425</v>
      </c>
      <c r="R508" s="3" t="s">
        <v>79</v>
      </c>
      <c r="S508" s="3" t="s">
        <v>939</v>
      </c>
      <c r="AB508" s="2" t="s">
        <v>267</v>
      </c>
      <c r="AC508" s="3" t="s">
        <v>2117</v>
      </c>
      <c r="AD508" s="3" t="s">
        <v>108</v>
      </c>
      <c r="AE508" s="1">
        <v>180</v>
      </c>
      <c r="AF508" s="1">
        <f t="shared" si="31"/>
        <v>3</v>
      </c>
      <c r="AH508" s="1">
        <f t="shared" si="32"/>
        <v>0</v>
      </c>
    </row>
    <row r="509" spans="1:35" ht="30" x14ac:dyDescent="0.25">
      <c r="A509" s="3">
        <v>508</v>
      </c>
      <c r="B509" s="3" t="s">
        <v>2153</v>
      </c>
      <c r="C509" s="3" t="s">
        <v>62</v>
      </c>
      <c r="D509" s="73" t="s">
        <v>39</v>
      </c>
      <c r="E509" s="73" t="s">
        <v>853</v>
      </c>
      <c r="F509" s="25" t="s">
        <v>221</v>
      </c>
      <c r="G509" s="73" t="s">
        <v>29</v>
      </c>
      <c r="H509" s="73"/>
      <c r="I509" s="73">
        <v>17064</v>
      </c>
      <c r="J509" s="25" t="s">
        <v>2154</v>
      </c>
      <c r="K509" s="73">
        <v>1</v>
      </c>
      <c r="L509" s="3" t="s">
        <v>139</v>
      </c>
      <c r="N509" s="3" t="s">
        <v>33</v>
      </c>
      <c r="O509" s="129" t="s">
        <v>33</v>
      </c>
      <c r="P509" s="2" t="s">
        <v>425</v>
      </c>
      <c r="R509" s="3" t="s">
        <v>142</v>
      </c>
      <c r="S509" s="3" t="s">
        <v>939</v>
      </c>
      <c r="AB509" s="2" t="s">
        <v>267</v>
      </c>
      <c r="AC509" s="3" t="s">
        <v>2117</v>
      </c>
      <c r="AD509" s="3" t="s">
        <v>108</v>
      </c>
      <c r="AE509" s="1">
        <v>120</v>
      </c>
      <c r="AF509" s="1">
        <f t="shared" si="31"/>
        <v>2</v>
      </c>
      <c r="AH509" s="1">
        <f t="shared" si="32"/>
        <v>0</v>
      </c>
    </row>
    <row r="510" spans="1:35" ht="30" x14ac:dyDescent="0.25">
      <c r="A510" s="3">
        <v>509</v>
      </c>
      <c r="B510" s="3" t="s">
        <v>2156</v>
      </c>
      <c r="C510" s="3" t="s">
        <v>62</v>
      </c>
      <c r="D510" s="19" t="s">
        <v>39</v>
      </c>
      <c r="E510" s="19" t="s">
        <v>853</v>
      </c>
      <c r="F510" s="25" t="s">
        <v>221</v>
      </c>
      <c r="G510" s="19" t="s">
        <v>29</v>
      </c>
      <c r="I510" s="19">
        <v>17463</v>
      </c>
      <c r="J510" s="25" t="s">
        <v>2157</v>
      </c>
      <c r="K510" s="19">
        <v>1</v>
      </c>
      <c r="L510" s="3" t="s">
        <v>139</v>
      </c>
      <c r="N510" s="3" t="s">
        <v>57</v>
      </c>
      <c r="O510" s="129">
        <v>7302</v>
      </c>
      <c r="P510" s="2" t="s">
        <v>1103</v>
      </c>
      <c r="R510" s="3" t="s">
        <v>79</v>
      </c>
      <c r="S510" s="3" t="s">
        <v>939</v>
      </c>
      <c r="AB510" s="2" t="s">
        <v>267</v>
      </c>
      <c r="AC510" s="3" t="s">
        <v>2122</v>
      </c>
      <c r="AD510" s="3" t="s">
        <v>108</v>
      </c>
      <c r="AE510" s="1">
        <v>180</v>
      </c>
      <c r="AF510" s="1">
        <f t="shared" si="31"/>
        <v>3</v>
      </c>
      <c r="AH510" s="1">
        <f t="shared" si="32"/>
        <v>0</v>
      </c>
    </row>
    <row r="511" spans="1:35" ht="30" x14ac:dyDescent="0.25">
      <c r="A511" s="3">
        <v>510</v>
      </c>
      <c r="B511" s="3" t="s">
        <v>2156</v>
      </c>
      <c r="C511" s="3" t="s">
        <v>62</v>
      </c>
      <c r="D511" s="73" t="s">
        <v>39</v>
      </c>
      <c r="E511" s="73" t="s">
        <v>853</v>
      </c>
      <c r="F511" s="25" t="s">
        <v>221</v>
      </c>
      <c r="G511" s="73" t="s">
        <v>29</v>
      </c>
      <c r="H511" s="73"/>
      <c r="I511" s="73">
        <v>17463</v>
      </c>
      <c r="J511" s="25" t="s">
        <v>2157</v>
      </c>
      <c r="K511" s="73">
        <v>1</v>
      </c>
      <c r="L511" s="3" t="s">
        <v>139</v>
      </c>
      <c r="N511" s="3" t="s">
        <v>33</v>
      </c>
      <c r="O511" s="129" t="s">
        <v>33</v>
      </c>
      <c r="P511" s="2" t="s">
        <v>1103</v>
      </c>
      <c r="R511" s="3" t="s">
        <v>142</v>
      </c>
      <c r="S511" s="3" t="s">
        <v>939</v>
      </c>
      <c r="AB511" s="2" t="s">
        <v>267</v>
      </c>
      <c r="AC511" s="3" t="s">
        <v>2122</v>
      </c>
      <c r="AD511" s="3" t="s">
        <v>108</v>
      </c>
      <c r="AE511" s="1">
        <v>180</v>
      </c>
      <c r="AF511" s="1">
        <f t="shared" si="31"/>
        <v>3</v>
      </c>
      <c r="AG511" s="1">
        <v>180</v>
      </c>
      <c r="AH511" s="1">
        <f t="shared" si="32"/>
        <v>3</v>
      </c>
      <c r="AI511" s="1" t="s">
        <v>2158</v>
      </c>
    </row>
    <row r="512" spans="1:35" ht="30" x14ac:dyDescent="0.25">
      <c r="A512" s="3">
        <v>511</v>
      </c>
      <c r="B512" s="3" t="s">
        <v>1746</v>
      </c>
      <c r="C512" s="3" t="s">
        <v>62</v>
      </c>
      <c r="D512" s="73" t="s">
        <v>39</v>
      </c>
      <c r="E512" s="73" t="s">
        <v>853</v>
      </c>
      <c r="F512" s="25" t="s">
        <v>221</v>
      </c>
      <c r="G512" s="73" t="s">
        <v>29</v>
      </c>
      <c r="H512" s="73"/>
      <c r="I512" s="73"/>
      <c r="J512" s="25" t="s">
        <v>2159</v>
      </c>
      <c r="K512" s="73">
        <v>1</v>
      </c>
      <c r="N512" s="3" t="s">
        <v>57</v>
      </c>
      <c r="O512" s="129">
        <v>7303</v>
      </c>
      <c r="P512" s="2" t="s">
        <v>2160</v>
      </c>
      <c r="R512" s="3" t="s">
        <v>79</v>
      </c>
      <c r="S512" s="3" t="s">
        <v>939</v>
      </c>
      <c r="AB512" s="2" t="s">
        <v>267</v>
      </c>
      <c r="AC512" s="3" t="s">
        <v>2137</v>
      </c>
      <c r="AD512" s="3" t="s">
        <v>108</v>
      </c>
      <c r="AE512" s="1">
        <v>240</v>
      </c>
      <c r="AF512" s="1">
        <f t="shared" si="31"/>
        <v>4</v>
      </c>
      <c r="AG512" s="1">
        <v>180</v>
      </c>
      <c r="AH512" s="1">
        <f t="shared" si="32"/>
        <v>3</v>
      </c>
      <c r="AI512" s="1" t="s">
        <v>2158</v>
      </c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511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V58" sqref="V58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38.5</v>
      </c>
      <c r="U21" s="80">
        <f>SUMIFS(شهریور!$AF$2:$AF$800,شهریور!$C$2:$C$800,P21,شهریور!$AC$2:$AC$800,$U$18)</f>
        <v>37</v>
      </c>
      <c r="V21" s="80">
        <f>SUMIFS(شهریور!$AF$2:$AF$800,شهریور!$C$2:$C$800,P21,شهریور!$AC$2:$AC$800,$V$18)</f>
        <v>21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213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24.833333333333332</v>
      </c>
      <c r="U22" s="80">
        <f>SUMIFS(شهریور!$AF$2:$AF$800,شهریور!$C$2:$C$800,P22,شهریور!$AC$2:$AC$800,$U$18)</f>
        <v>16.5</v>
      </c>
      <c r="V22" s="80">
        <f>SUMIFS(شهریور!$AF$2:$AF$800,شهریور!$C$2:$C$800,P22,شهریور!$AC$2:$AC$800,$V$18)</f>
        <v>28.5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156.33333333333331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47</v>
      </c>
      <c r="U24" s="80">
        <f>SUMIFS(شهریور!$AF$2:$AF$800,شهریور!$C$2:$C$800,P24,شهریور!$AC$2:$AC$800,$U$18)</f>
        <v>24</v>
      </c>
      <c r="V24" s="80">
        <f>SUMIFS(شهریور!$AF$2:$AF$800,شهریور!$C$2:$C$800,P24,شهریور!$AC$2:$AC$800,$V$18)</f>
        <v>14.5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158.5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10</v>
      </c>
      <c r="U25" s="80">
        <f>SUMIFS(شهریور!$AF$2:$AF$800,شهریور!$C$2:$C$800,P25,شهریور!$AC$2:$AC$800,$U$18)</f>
        <v>15.5</v>
      </c>
      <c r="V25" s="80">
        <f>SUMIFS(شهریور!$AF$2:$AF$800,شهریور!$C$2:$C$800,P25,شهریور!$AC$2:$AC$800,$V$18)</f>
        <v>17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73.5</v>
      </c>
      <c r="Z25" s="83">
        <f>SUM(Y19:Y25)</f>
        <v>602.33333333333326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120.33333333333333</v>
      </c>
      <c r="U30" s="105">
        <f t="shared" si="5"/>
        <v>93</v>
      </c>
      <c r="V30" s="105">
        <f t="shared" si="5"/>
        <v>81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19.5</v>
      </c>
      <c r="U38" s="114">
        <f>SUMIFS(شهریور!$AF$2:$AF$800,شهریور!$AC$2:$AC$800,$U$32,شهریور!$O$2:$O$800,J38)</f>
        <v>2.5</v>
      </c>
      <c r="V38" s="114">
        <f>SUMIFS(شهریور!$AF$2:$AF$800,شهریور!$AC$2:$AC$800,$V$32,شهریور!$O$2:$O$800,J38)</f>
        <v>0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44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22</v>
      </c>
      <c r="V39" s="114">
        <f>SUMIFS(شهریور!$AF$2:$AF$800,شهریور!$AC$2:$AC$800,$V$32,شهریور!$O$2:$O$800,J39)</f>
        <v>22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77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2.5</v>
      </c>
      <c r="U40" s="114">
        <f>SUMIFS(شهریور!$AF$2:$AF$800,شهریور!$AC$2:$AC$800,$U$32,شهریور!$O$2:$O$800,J40)</f>
        <v>6.5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42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56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8</v>
      </c>
      <c r="U42" s="114">
        <f>SUMIFS(شهریور!$AF$2:$AF$800,شهریور!$AC$2:$AC$800,$U$32,شهریور!$O$2:$O$800,J42)</f>
        <v>9</v>
      </c>
      <c r="V42" s="114">
        <f>SUMIFS(شهریور!$AF$2:$AF$800,شهریور!$AC$2:$AC$800,$V$32,شهریور!$O$2:$O$800,J42)</f>
        <v>3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3.3333333333333335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7.3333333333333339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18</v>
      </c>
      <c r="U55" s="114">
        <f>SUMIFS(شهریور!$AF$2:$AF$800,شهریور!$AC$2:$AC$800,$U$32,شهریور!$O$2:$O$800,J55)</f>
        <v>8</v>
      </c>
      <c r="V55" s="114">
        <f>SUMIFS(شهریور!$AF$2:$AF$800,شهریور!$AC$2:$AC$800,$V$32,شهریور!$O$2:$O$800,J55)</f>
        <v>3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71.5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15</v>
      </c>
      <c r="V56" s="114">
        <f>SUMIFS(شهریور!$AF$2:$AF$800,شهریور!$AC$2:$AC$800,$V$32,شهریور!$O$2:$O$800,J56)</f>
        <v>13.5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31.5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120.33333333333333</v>
      </c>
      <c r="U58" s="101">
        <f t="shared" si="7"/>
        <v>93</v>
      </c>
      <c r="V58" s="101">
        <f t="shared" si="7"/>
        <v>81</v>
      </c>
      <c r="W58" s="101">
        <f t="shared" si="7"/>
        <v>0</v>
      </c>
      <c r="X58" s="101">
        <f t="shared" si="7"/>
        <v>0</v>
      </c>
      <c r="Y58" s="102">
        <f>SUM(Y34:Y57)</f>
        <v>601.33333333333326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2026-09-22T06:05:47Z</dcterms:modified>
</cp:coreProperties>
</file>