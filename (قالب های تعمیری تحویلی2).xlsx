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39541573-2ACF-4AA9-8082-ABB1D162C528}" xr6:coauthVersionLast="47" xr6:coauthVersionMax="47" xr10:uidLastSave="{00000000-0000-0000-0000-000000000000}"/>
  <bookViews>
    <workbookView xWindow="-120" yWindow="-120" windowWidth="24240" windowHeight="13020" firstSheet="5" activeTab="23" xr2:uid="{14C8A3B9-F938-484B-A8B5-D8093AECAF77}"/>
  </bookViews>
  <sheets>
    <sheet name="2" sheetId="54" r:id="rId1"/>
    <sheet name="3" sheetId="55" r:id="rId2"/>
    <sheet name="4" sheetId="56" r:id="rId3"/>
    <sheet name="5" sheetId="58" r:id="rId4"/>
    <sheet name="6" sheetId="59" r:id="rId5"/>
    <sheet name="7" sheetId="60" r:id="rId6"/>
    <sheet name="8" sheetId="61" r:id="rId7"/>
    <sheet name="9" sheetId="62" r:id="rId8"/>
    <sheet name="10" sheetId="63" r:id="rId9"/>
    <sheet name="11" sheetId="64" r:id="rId10"/>
    <sheet name="12" sheetId="65" r:id="rId11"/>
    <sheet name="13" sheetId="66" r:id="rId12"/>
    <sheet name="14" sheetId="67" r:id="rId13"/>
    <sheet name="15" sheetId="68" r:id="rId14"/>
    <sheet name="16" sheetId="69" r:id="rId15"/>
    <sheet name="17" sheetId="70" r:id="rId16"/>
    <sheet name="18" sheetId="71" r:id="rId17"/>
    <sheet name="19" sheetId="72" r:id="rId18"/>
    <sheet name="20" sheetId="73" r:id="rId19"/>
    <sheet name="21" sheetId="74" r:id="rId20"/>
    <sheet name="22" sheetId="75" r:id="rId21"/>
    <sheet name="23" sheetId="76" r:id="rId22"/>
    <sheet name="24" sheetId="77" r:id="rId23"/>
    <sheet name="25" sheetId="78" r:id="rId24"/>
  </sheets>
  <externalReferences>
    <externalReference r:id="rId25"/>
    <externalReference r:id="rId26"/>
  </externalReferences>
  <definedNames>
    <definedName name="_xlnm.Print_Titles" localSheetId="11">'13'!$1:$4</definedName>
    <definedName name="_xlnm.Print_Titles" localSheetId="12">'14'!$1:$4</definedName>
    <definedName name="_xlnm.Print_Titles" localSheetId="13">'15'!$1:$4</definedName>
    <definedName name="_xlnm.Print_Titles" localSheetId="14">'16'!$1:$4</definedName>
    <definedName name="_xlnm.Print_Titles" localSheetId="15">'17'!$1:$4</definedName>
    <definedName name="_xlnm.Print_Titles" localSheetId="16">'18'!$1:$4</definedName>
    <definedName name="_xlnm.Print_Titles" localSheetId="17">'19'!$1:$4</definedName>
    <definedName name="_xlnm.Print_Titles" localSheetId="18">'20'!$1:$4</definedName>
    <definedName name="_xlnm.Print_Titles" localSheetId="19">'21'!$1:$4</definedName>
    <definedName name="_xlnm.Print_Titles" localSheetId="20">'22'!$1:$4</definedName>
    <definedName name="_xlnm.Print_Titles" localSheetId="21">'23'!$1:$4</definedName>
    <definedName name="_xlnm.Print_Titles" localSheetId="22">'24'!$1:$4</definedName>
    <definedName name="_xlnm.Print_Titles" localSheetId="23">'25'!$1:$4</definedName>
  </definedNames>
  <calcPr calcId="191029" calcMode="autoNoTable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78" l="1"/>
  <c r="P13" i="78"/>
  <c r="O17" i="78" l="1"/>
  <c r="L5" i="77" l="1"/>
  <c r="L9" i="77" s="1"/>
  <c r="O9" i="77"/>
  <c r="L5" i="76" l="1"/>
  <c r="L7" i="75"/>
  <c r="L5" i="75"/>
  <c r="O9" i="76" l="1"/>
  <c r="P11" i="73" l="1"/>
  <c r="L11" i="73"/>
  <c r="L9" i="73"/>
  <c r="L5" i="73"/>
  <c r="O11" i="75"/>
  <c r="O7" i="74"/>
  <c r="L13" i="72"/>
  <c r="P13" i="73"/>
  <c r="L13" i="73"/>
  <c r="O15" i="73"/>
  <c r="L9" i="72"/>
  <c r="O15" i="72"/>
  <c r="P13" i="71"/>
  <c r="L13" i="71"/>
  <c r="L11" i="71"/>
  <c r="L7" i="71"/>
  <c r="L5" i="71"/>
  <c r="O17" i="71" l="1"/>
  <c r="O19" i="70" l="1"/>
  <c r="P15" i="69"/>
  <c r="L15" i="69"/>
  <c r="P13" i="69"/>
  <c r="L11" i="69"/>
  <c r="L5" i="69"/>
  <c r="L9" i="69"/>
  <c r="P9" i="69"/>
  <c r="O5" i="69"/>
  <c r="O17" i="69" s="1"/>
  <c r="L19" i="68"/>
  <c r="P17" i="68"/>
  <c r="L17" i="68"/>
  <c r="O21" i="68"/>
  <c r="O13" i="67"/>
  <c r="P11" i="67"/>
  <c r="L11" i="67"/>
  <c r="L17" i="66"/>
  <c r="L15" i="66"/>
  <c r="L13" i="66"/>
  <c r="O21" i="66" l="1"/>
  <c r="P13" i="64" l="1"/>
  <c r="P15" i="64"/>
  <c r="O13" i="64"/>
  <c r="O15" i="64"/>
  <c r="L13" i="64"/>
  <c r="L15" i="64"/>
  <c r="O17" i="65"/>
  <c r="P13" i="63"/>
  <c r="P11" i="63"/>
  <c r="P9" i="63"/>
  <c r="P7" i="63"/>
  <c r="P9" i="62"/>
  <c r="P7" i="62"/>
  <c r="O17" i="63"/>
  <c r="L17" i="63"/>
  <c r="P15" i="63"/>
  <c r="O15" i="62"/>
  <c r="P13" i="62"/>
  <c r="P11" i="62"/>
  <c r="L15" i="62"/>
  <c r="O15" i="61"/>
  <c r="P7" i="59"/>
  <c r="P17" i="63" l="1"/>
  <c r="P15" i="62"/>
  <c r="P11" i="58"/>
  <c r="P13" i="58"/>
  <c r="P7" i="60"/>
  <c r="P9" i="60"/>
  <c r="P5" i="60"/>
  <c r="P9" i="59"/>
  <c r="P5" i="59"/>
  <c r="P9" i="58"/>
  <c r="P7" i="58"/>
  <c r="P5" i="58"/>
  <c r="P7" i="56"/>
  <c r="P9" i="56"/>
  <c r="P11" i="56"/>
  <c r="P13" i="56"/>
  <c r="P5" i="56"/>
  <c r="P9" i="55"/>
  <c r="P11" i="55"/>
  <c r="P13" i="55"/>
  <c r="P7" i="55"/>
  <c r="P7" i="54"/>
  <c r="P5" i="54"/>
  <c r="P5" i="55"/>
  <c r="P2" i="54"/>
  <c r="P1" i="54"/>
  <c r="O11" i="60" l="1"/>
  <c r="L11" i="60"/>
  <c r="P11" i="60"/>
  <c r="O11" i="59"/>
  <c r="L11" i="59"/>
  <c r="P11" i="59"/>
  <c r="O15" i="58"/>
  <c r="L15" i="58"/>
  <c r="P15" i="58"/>
  <c r="O15" i="56"/>
  <c r="L15" i="56"/>
  <c r="P15" i="56"/>
  <c r="O15" i="55"/>
  <c r="L15" i="55"/>
  <c r="P15" i="55"/>
  <c r="O11" i="54"/>
  <c r="L11" i="54"/>
  <c r="P11" i="54"/>
  <c r="O17" i="64" l="1"/>
  <c r="P9" i="73" l="1"/>
  <c r="P5" i="71" l="1"/>
  <c r="L9" i="76" l="1"/>
  <c r="L11" i="75"/>
  <c r="P11" i="71"/>
  <c r="P7" i="71"/>
  <c r="P17" i="70"/>
  <c r="P15" i="70" l="1"/>
  <c r="L15" i="70"/>
  <c r="L13" i="68" l="1"/>
  <c r="L15" i="71" l="1"/>
  <c r="L5" i="70"/>
  <c r="L9" i="71"/>
  <c r="L9" i="70"/>
  <c r="L11" i="68"/>
  <c r="L13" i="70"/>
  <c r="L9" i="68"/>
  <c r="L15" i="68"/>
  <c r="L7" i="68"/>
  <c r="P13" i="68"/>
  <c r="P15" i="68"/>
  <c r="P11" i="69"/>
  <c r="P7" i="68"/>
  <c r="L5" i="67" l="1"/>
  <c r="L17" i="71"/>
  <c r="L11" i="70"/>
  <c r="L5" i="68"/>
  <c r="L21" i="68" s="1"/>
  <c r="P5" i="70"/>
  <c r="P15" i="71"/>
  <c r="L7" i="70"/>
  <c r="L19" i="70" s="1"/>
  <c r="L7" i="69"/>
  <c r="L17" i="69" s="1"/>
  <c r="P5" i="69"/>
  <c r="P9" i="71"/>
  <c r="P17" i="71" s="1"/>
  <c r="P9" i="70"/>
  <c r="P11" i="68"/>
  <c r="P9" i="68"/>
  <c r="P13" i="70"/>
  <c r="P5" i="67"/>
  <c r="P5" i="68" l="1"/>
  <c r="P11" i="70"/>
  <c r="P19" i="68"/>
  <c r="P7" i="69"/>
  <c r="P17" i="69" s="1"/>
  <c r="P7" i="70"/>
  <c r="P19" i="70" l="1"/>
  <c r="P21" i="68"/>
  <c r="L5" i="64" l="1"/>
  <c r="L11" i="65" l="1"/>
  <c r="L13" i="65"/>
  <c r="L9" i="64"/>
  <c r="L11" i="64"/>
  <c r="L9" i="65"/>
  <c r="L7" i="64"/>
  <c r="L7" i="65"/>
  <c r="L15" i="65"/>
  <c r="L5" i="65"/>
  <c r="P11" i="64"/>
  <c r="P7" i="64"/>
  <c r="P7" i="65"/>
  <c r="P11" i="65"/>
  <c r="P13" i="65"/>
  <c r="P5" i="64"/>
  <c r="L9" i="66"/>
  <c r="P13" i="66"/>
  <c r="P9" i="65" l="1"/>
  <c r="L11" i="66"/>
  <c r="L17" i="65"/>
  <c r="L7" i="67"/>
  <c r="P5" i="65"/>
  <c r="P9" i="64"/>
  <c r="P17" i="64" s="1"/>
  <c r="L5" i="66"/>
  <c r="L9" i="67"/>
  <c r="L7" i="66"/>
  <c r="P15" i="65"/>
  <c r="L19" i="66"/>
  <c r="L17" i="64"/>
  <c r="P15" i="66"/>
  <c r="P7" i="67"/>
  <c r="P17" i="66"/>
  <c r="P9" i="66"/>
  <c r="P7" i="66"/>
  <c r="P19" i="66" l="1"/>
  <c r="P11" i="66"/>
  <c r="P17" i="65"/>
  <c r="P9" i="67"/>
  <c r="P13" i="67" s="1"/>
  <c r="P5" i="66"/>
  <c r="L13" i="67"/>
  <c r="L21" i="66"/>
  <c r="P21" i="66" l="1"/>
  <c r="L13" i="61" l="1"/>
  <c r="L5" i="61"/>
  <c r="L9" i="61"/>
  <c r="L11" i="61"/>
  <c r="L7" i="61"/>
  <c r="P11" i="61"/>
  <c r="P7" i="61"/>
  <c r="P5" i="61" l="1"/>
  <c r="P13" i="61"/>
  <c r="P9" i="61"/>
  <c r="L15" i="61"/>
  <c r="P15" i="61" l="1"/>
  <c r="L11" i="78" l="1"/>
  <c r="P11" i="78" l="1"/>
  <c r="L9" i="78" l="1"/>
  <c r="L5" i="78"/>
  <c r="L7" i="78" l="1"/>
  <c r="L15" i="78"/>
  <c r="P7" i="77"/>
  <c r="P5" i="78"/>
  <c r="P9" i="78"/>
  <c r="P7" i="76"/>
  <c r="L17" i="78" l="1"/>
  <c r="P15" i="78"/>
  <c r="P7" i="78"/>
  <c r="L7" i="72" l="1"/>
  <c r="P7" i="75"/>
  <c r="P5" i="76" l="1"/>
  <c r="P9" i="76" s="1"/>
  <c r="L5" i="72"/>
  <c r="L5" i="74"/>
  <c r="L7" i="74" s="1"/>
  <c r="L7" i="73"/>
  <c r="L15" i="73" s="1"/>
  <c r="L11" i="72"/>
  <c r="P5" i="75"/>
  <c r="P7" i="72"/>
  <c r="P11" i="72" l="1"/>
  <c r="P5" i="77"/>
  <c r="P9" i="77" s="1"/>
  <c r="N5" i="77"/>
  <c r="P5" i="73"/>
  <c r="P7" i="73"/>
  <c r="P5" i="74"/>
  <c r="P7" i="74" s="1"/>
  <c r="P5" i="72"/>
  <c r="P13" i="72"/>
  <c r="P9" i="75"/>
  <c r="P11" i="75" s="1"/>
  <c r="L15" i="72"/>
  <c r="P9" i="72"/>
  <c r="P15" i="73" l="1"/>
  <c r="P15" i="72"/>
  <c r="P17" i="78"/>
</calcChain>
</file>

<file path=xl/sharedStrings.xml><?xml version="1.0" encoding="utf-8"?>
<sst xmlns="http://schemas.openxmlformats.org/spreadsheetml/2006/main" count="1271" uniqueCount="331">
  <si>
    <t>d</t>
  </si>
  <si>
    <t>نام قالب</t>
  </si>
  <si>
    <t>واحد</t>
  </si>
  <si>
    <t>نام اپراتور</t>
  </si>
  <si>
    <t>تعداد ضرب</t>
  </si>
  <si>
    <t>شماره قالب</t>
  </si>
  <si>
    <t>شماره دستگاه</t>
  </si>
  <si>
    <t>تاریخ دریافت</t>
  </si>
  <si>
    <t>تاریخ تحویل</t>
  </si>
  <si>
    <t>تحویل گیرنده</t>
  </si>
  <si>
    <t>مواد تامین شده</t>
  </si>
  <si>
    <t>مجموع ساعات کار انجام شده</t>
  </si>
  <si>
    <t>شماره نامه درخواست</t>
  </si>
  <si>
    <t>اقدامات انجام شده</t>
  </si>
  <si>
    <t>هزینه کروم
(تومان)</t>
  </si>
  <si>
    <t>هزینه تعمیرات
(تومان)</t>
  </si>
  <si>
    <t>کلی</t>
  </si>
  <si>
    <t>مجموع</t>
  </si>
  <si>
    <t>جهان لنت</t>
  </si>
  <si>
    <t>جهان ترمز</t>
  </si>
  <si>
    <t>weeks</t>
  </si>
  <si>
    <t>Date</t>
  </si>
  <si>
    <t>خیالی</t>
  </si>
  <si>
    <t>پرس</t>
  </si>
  <si>
    <t>سنگ زنی</t>
  </si>
  <si>
    <t>مونتاژ</t>
  </si>
  <si>
    <t>ترنست</t>
  </si>
  <si>
    <t>قالب اکسپرس</t>
  </si>
  <si>
    <t>پخت کلاچ پیکان</t>
  </si>
  <si>
    <t>پخت کلاچ پژو 206 TU5</t>
  </si>
  <si>
    <t>م.قالب</t>
  </si>
  <si>
    <t>Repaired Mold</t>
  </si>
  <si>
    <t>MC30334-01s</t>
  </si>
  <si>
    <t>MC30241-06s</t>
  </si>
  <si>
    <t>1404/11/11</t>
  </si>
  <si>
    <t>شیم پژو 405</t>
  </si>
  <si>
    <t>1404/12/03</t>
  </si>
  <si>
    <t>1404/12/26</t>
  </si>
  <si>
    <t>شیم 405</t>
  </si>
  <si>
    <t>دمونتاژ ، سنگ زنی ، مونتاژ</t>
  </si>
  <si>
    <t>ولوو سوپر</t>
  </si>
  <si>
    <t>MT30107</t>
  </si>
  <si>
    <t>1405/01/22</t>
  </si>
  <si>
    <t>برش SAF</t>
  </si>
  <si>
    <t>MC30250-01S</t>
  </si>
  <si>
    <t>1405/01/19</t>
  </si>
  <si>
    <t>1405/01/20</t>
  </si>
  <si>
    <t>MC30241-08s</t>
  </si>
  <si>
    <t>1405/01/18</t>
  </si>
  <si>
    <t>Stoper
guide Rod</t>
  </si>
  <si>
    <t>برش توری پگاسوز</t>
  </si>
  <si>
    <t>1405/01/08</t>
  </si>
  <si>
    <t>1405/01/11</t>
  </si>
  <si>
    <t>ورقگیر</t>
  </si>
  <si>
    <t>مونتاژ ، 
وایر</t>
  </si>
  <si>
    <t>پیچ</t>
  </si>
  <si>
    <t xml:space="preserve">مونتاژ 
سنگ زنی 
</t>
  </si>
  <si>
    <t>1404/12/20</t>
  </si>
  <si>
    <t>1405/01/15</t>
  </si>
  <si>
    <t>MT30181-01s</t>
  </si>
  <si>
    <t>Guide Rod</t>
  </si>
  <si>
    <t>CNC،
سنگ،
مونتاژ</t>
  </si>
  <si>
    <t>MH19562-01P</t>
  </si>
  <si>
    <t>وایر 
سنگ 
فرز
CNC</t>
  </si>
  <si>
    <t>شیم ریو</t>
  </si>
  <si>
    <t>1405/01/23</t>
  </si>
  <si>
    <t>سنگ زنی
مونتاژ</t>
  </si>
  <si>
    <t>309 سوراخدار</t>
  </si>
  <si>
    <t>1405/01/24</t>
  </si>
  <si>
    <t>CNC
مونتاژ
فرز
,وایر</t>
  </si>
  <si>
    <t>Matrix
Guaid Rod
Pin
Bottom plate</t>
  </si>
  <si>
    <t>1405/01/29</t>
  </si>
  <si>
    <t>آرایش VHI</t>
  </si>
  <si>
    <t>قالب آرایش کوبه و نک SAF</t>
  </si>
  <si>
    <t>آرایش پیلسان</t>
  </si>
  <si>
    <t>1404/12/29</t>
  </si>
  <si>
    <t>1405/01/30</t>
  </si>
  <si>
    <t>1110/د/05</t>
  </si>
  <si>
    <t>1405/02/01</t>
  </si>
  <si>
    <t>1405/02/02</t>
  </si>
  <si>
    <t>Pin</t>
  </si>
  <si>
    <t>1405/02/05</t>
  </si>
  <si>
    <t>1405/02/19</t>
  </si>
  <si>
    <t>309 بدون سوراخ</t>
  </si>
  <si>
    <t>1405/02/13</t>
  </si>
  <si>
    <t>1405/02/15</t>
  </si>
  <si>
    <t>پراید خاردار</t>
  </si>
  <si>
    <t>ML21355-01S</t>
  </si>
  <si>
    <t>1405/02/10</t>
  </si>
  <si>
    <t>05/
د
/624</t>
  </si>
  <si>
    <t>مونتاژ ، سنگ، فرز،CNC</t>
  </si>
  <si>
    <t>برش توری BPW تاجدار</t>
  </si>
  <si>
    <t>1405/02/20</t>
  </si>
  <si>
    <t>1405/02/22</t>
  </si>
  <si>
    <t>وایر</t>
  </si>
  <si>
    <t>1405/02/21</t>
  </si>
  <si>
    <t>پین</t>
  </si>
  <si>
    <t>عقب بنز 74</t>
  </si>
  <si>
    <t>MH19487-02</t>
  </si>
  <si>
    <t>05/د/1314</t>
  </si>
  <si>
    <t>1405/02/07</t>
  </si>
  <si>
    <t>پخت مترو K</t>
  </si>
  <si>
    <t>MT30163-01s</t>
  </si>
  <si>
    <t>1306/د/05</t>
  </si>
  <si>
    <t>مونتاژ،تراش</t>
  </si>
  <si>
    <t>1405/02/16</t>
  </si>
  <si>
    <t>قالب برشی SAF</t>
  </si>
  <si>
    <t>مونتاژ ، سنگ</t>
  </si>
  <si>
    <t>اکسپرس</t>
  </si>
  <si>
    <t>1405/02/26</t>
  </si>
  <si>
    <t>1405/02/28</t>
  </si>
  <si>
    <t>1971/د/05</t>
  </si>
  <si>
    <t>CNC
دریل
مونتاژ</t>
  </si>
  <si>
    <t>لودری 29935</t>
  </si>
  <si>
    <t>1405/02/29</t>
  </si>
  <si>
    <t>1405/03/05</t>
  </si>
  <si>
    <t>میل راهنما ، 
پشت سنبه ای</t>
  </si>
  <si>
    <t>مونتاژ ، وایر ، سنگ ، تراش ، CNC ، کروم</t>
  </si>
  <si>
    <t>برش قطاری</t>
  </si>
  <si>
    <t>1405/02/31</t>
  </si>
  <si>
    <t>1405/03/31</t>
  </si>
  <si>
    <t>پخت کلاچ 911 دور بزرگ</t>
  </si>
  <si>
    <t>01S</t>
  </si>
  <si>
    <t>1405/03/03</t>
  </si>
  <si>
    <t>05/د/2516</t>
  </si>
  <si>
    <t xml:space="preserve">مونتاژ </t>
  </si>
  <si>
    <t>پخت کلاچ 206 TU5</t>
  </si>
  <si>
    <t>1405/03/04</t>
  </si>
  <si>
    <t>05/د/1110</t>
  </si>
  <si>
    <t>05/د/624</t>
  </si>
  <si>
    <t>پزو 405 دیسکی</t>
  </si>
  <si>
    <t>امینی/ جهان لنت</t>
  </si>
  <si>
    <t>1405/03/02</t>
  </si>
  <si>
    <t>1405/03/08</t>
  </si>
  <si>
    <t>پرس/جهان لنت</t>
  </si>
  <si>
    <t>قالب لودری 70027</t>
  </si>
  <si>
    <t>برش توری SAF</t>
  </si>
  <si>
    <t>جهان لنت / پرس</t>
  </si>
  <si>
    <t>1405/03/09</t>
  </si>
  <si>
    <t>1405/03/15</t>
  </si>
  <si>
    <t>30246/د/05</t>
  </si>
  <si>
    <t>تعویض پین</t>
  </si>
  <si>
    <t>قالب BPW تاجدار</t>
  </si>
  <si>
    <t>1405/03/12</t>
  </si>
  <si>
    <t>قالب توری بادسان</t>
  </si>
  <si>
    <t>1405/03/11</t>
  </si>
  <si>
    <t>1405/03/16</t>
  </si>
  <si>
    <t xml:space="preserve">پخت کلاچ پراید سکو </t>
  </si>
  <si>
    <t>1405/03/10</t>
  </si>
  <si>
    <t>05/د/2389</t>
  </si>
  <si>
    <t>MC30357-01s</t>
  </si>
  <si>
    <t>پخت کلاچ پیکان المانی</t>
  </si>
  <si>
    <t>FC30359-02s</t>
  </si>
  <si>
    <t>3022/د/05</t>
  </si>
  <si>
    <t>پخت کلاچ پیکان انگلیسی</t>
  </si>
  <si>
    <t>FC30360-02S</t>
  </si>
  <si>
    <t>3021/د/05</t>
  </si>
  <si>
    <t>پخت کلاچ تیبا راست</t>
  </si>
  <si>
    <t>FC30278-03S</t>
  </si>
  <si>
    <t xml:space="preserve"> </t>
  </si>
  <si>
    <t>3023/د/05</t>
  </si>
  <si>
    <t>قالب تیبا خزینه چپ</t>
  </si>
  <si>
    <t>FC30278-01S</t>
  </si>
  <si>
    <t>05/د/3024</t>
  </si>
  <si>
    <t>1405/03/13</t>
  </si>
  <si>
    <t>1405/03/17</t>
  </si>
  <si>
    <t>MC30241-04S</t>
  </si>
  <si>
    <t>قالب پخت کلاچ پیکان آرژانتینی</t>
  </si>
  <si>
    <t>ساخت Top Plate
Botton plate
guide rod
Matrix
stoper</t>
  </si>
  <si>
    <t>فرز
CNC
تراش
وایر
سختکاری
کروم
مونتاژ</t>
  </si>
  <si>
    <t>1405/03/21</t>
  </si>
  <si>
    <t>1404/12/04</t>
  </si>
  <si>
    <t>MC30243-04S</t>
  </si>
  <si>
    <t>1404/12/24</t>
  </si>
  <si>
    <t xml:space="preserve"> Top Plate
Botton plate
guide rod
Matrix
stoper</t>
  </si>
  <si>
    <t>قالب پخت کلاچ پژو 405</t>
  </si>
  <si>
    <t>1405/04/01</t>
  </si>
  <si>
    <t>تمام فرایند ساخت قالب جدید کلاچ</t>
  </si>
  <si>
    <t>برش آلستوم</t>
  </si>
  <si>
    <t>Wier</t>
  </si>
  <si>
    <t>1405/03/23</t>
  </si>
  <si>
    <t>1405/03/25</t>
  </si>
  <si>
    <t>پخت کلاچ ده تن سوراخدار</t>
  </si>
  <si>
    <t>MC30298-01S</t>
  </si>
  <si>
    <t>1405/03/24</t>
  </si>
  <si>
    <t>1405/03/27</t>
  </si>
  <si>
    <t>PIN</t>
  </si>
  <si>
    <t>05/
د
/3529</t>
  </si>
  <si>
    <t>پخت کلاچ هوو</t>
  </si>
  <si>
    <t>MC 30292-01S</t>
  </si>
  <si>
    <t>1405/03/26</t>
  </si>
  <si>
    <t>قالب لودری 70021</t>
  </si>
  <si>
    <t>پخت کلاچ پراید</t>
  </si>
  <si>
    <t>08S</t>
  </si>
  <si>
    <t>پخت کلاچ ایویکو سوراخدار</t>
  </si>
  <si>
    <t>FC30249-01S</t>
  </si>
  <si>
    <t>جهان کلاچ</t>
  </si>
  <si>
    <t>1405/03/30</t>
  </si>
  <si>
    <t>کوبه نک قطاری</t>
  </si>
  <si>
    <t>1405/04/02</t>
  </si>
  <si>
    <t>wier</t>
  </si>
  <si>
    <t>03S</t>
  </si>
  <si>
    <t>407/د/05</t>
  </si>
  <si>
    <t>Matrix
Top Plate
Botton Plate
Guide Rod
Stoper</t>
  </si>
  <si>
    <t xml:space="preserve">MC30357-01S </t>
  </si>
  <si>
    <t xml:space="preserve"> 05/د/4231</t>
  </si>
  <si>
    <t>1405/04/09</t>
  </si>
  <si>
    <t>1405/04/10</t>
  </si>
  <si>
    <t>1405/04/11</t>
  </si>
  <si>
    <t>1405/04/12</t>
  </si>
  <si>
    <t>سوپاپ</t>
  </si>
  <si>
    <t>پخت کلاچ ده تن</t>
  </si>
  <si>
    <t>05/د/4231</t>
  </si>
  <si>
    <t>MC30298-01s</t>
  </si>
  <si>
    <t>مونتاژ
اصلاح صفحه زیر</t>
  </si>
  <si>
    <t>پین
اصلاح صفحه زیر</t>
  </si>
  <si>
    <t>قالب فوتون 107</t>
  </si>
  <si>
    <t>اصلاح
تعویض پیچ</t>
  </si>
  <si>
    <t>پیچ بریدگی</t>
  </si>
  <si>
    <t>قالب برش میدل باس</t>
  </si>
  <si>
    <t>1405/04/06</t>
  </si>
  <si>
    <t>اصلاح</t>
  </si>
  <si>
    <t xml:space="preserve">سنگ زنی </t>
  </si>
  <si>
    <t>قالب پخت کلاچ تیبا چپ</t>
  </si>
  <si>
    <t>MC30241-05s</t>
  </si>
  <si>
    <t>1405/04/08</t>
  </si>
  <si>
    <t>قالب ترابوزا</t>
  </si>
  <si>
    <t>پخت کلاچ پژو</t>
  </si>
  <si>
    <t>MC30246-02S</t>
  </si>
  <si>
    <t>مونتاژ ، وایر ، کروم ، سنگ ، فرز ، تراش</t>
  </si>
  <si>
    <t>1404/09/19</t>
  </si>
  <si>
    <t>1405/04/19</t>
  </si>
  <si>
    <t>میل راهنما</t>
  </si>
  <si>
    <t>1405/04/18</t>
  </si>
  <si>
    <t>MC30243-07s</t>
  </si>
  <si>
    <t>1405/04/13</t>
  </si>
  <si>
    <t>پخت کلاچ FH</t>
  </si>
  <si>
    <t>1405/04/14</t>
  </si>
  <si>
    <t>قالب توری میدل باس</t>
  </si>
  <si>
    <t>کوبه جا فنری میدل باس</t>
  </si>
  <si>
    <t>1405/04/16</t>
  </si>
  <si>
    <t>1405/04/17</t>
  </si>
  <si>
    <t>MC30243-10s</t>
  </si>
  <si>
    <t>1405/04/26</t>
  </si>
  <si>
    <t>MC30246-07S</t>
  </si>
  <si>
    <t>1405/04/20</t>
  </si>
  <si>
    <t>تعویض پین ، میل راهنما</t>
  </si>
  <si>
    <t>دستی</t>
  </si>
  <si>
    <t>1405/04/22</t>
  </si>
  <si>
    <t xml:space="preserve">تعویض پین </t>
  </si>
  <si>
    <t>1405/04/23</t>
  </si>
  <si>
    <t>قالب قطاری</t>
  </si>
  <si>
    <t>MT30158-01S</t>
  </si>
  <si>
    <t>تعویض پیچ ، میل راهنما</t>
  </si>
  <si>
    <t>مونتاژ ، دریل ، تراش</t>
  </si>
  <si>
    <t>مونتاژ ، دمونتاژ</t>
  </si>
  <si>
    <t>قالب توری پگاسوز</t>
  </si>
  <si>
    <t>ایسوزو 6 تن</t>
  </si>
  <si>
    <t>BPW تاجدار</t>
  </si>
  <si>
    <t>1405/04/29</t>
  </si>
  <si>
    <t>1405/04/31</t>
  </si>
  <si>
    <t>قالب توری SAF قدیم</t>
  </si>
  <si>
    <t>پخت کلاچ اینترکولر</t>
  </si>
  <si>
    <t>جعان ترمز</t>
  </si>
  <si>
    <t>1405/04/30</t>
  </si>
  <si>
    <t>PM MOLd</t>
  </si>
  <si>
    <t>1405/04/28</t>
  </si>
  <si>
    <t>سنگ زنی ، 
Assemble</t>
  </si>
  <si>
    <t>Assemble</t>
  </si>
  <si>
    <t>1405/05/01</t>
  </si>
  <si>
    <t xml:space="preserve">تراش ، Asseble ، </t>
  </si>
  <si>
    <t>جلو ریو</t>
  </si>
  <si>
    <t>ML23873-03S</t>
  </si>
  <si>
    <t>1405/05/05</t>
  </si>
  <si>
    <t>Guaid Rod</t>
  </si>
  <si>
    <t>Ejection Pin</t>
  </si>
  <si>
    <t>Assambly</t>
  </si>
  <si>
    <t>1405/05/06</t>
  </si>
  <si>
    <t>Bottom Plate Truppe</t>
  </si>
  <si>
    <t>1405/05/07</t>
  </si>
  <si>
    <t>1404/12/10</t>
  </si>
  <si>
    <t>قالب ولوو سوپر</t>
  </si>
  <si>
    <t>1405/05/08</t>
  </si>
  <si>
    <t>جهان لنت /پرس</t>
  </si>
  <si>
    <t>سنگ زنی
Assambly</t>
  </si>
  <si>
    <t>30425-01P</t>
  </si>
  <si>
    <t>Guaid Rod
Mandrel Backing Plate</t>
  </si>
  <si>
    <t>CNC
Wier EMD
Drilling
Truped
Assambly
Chrome</t>
  </si>
  <si>
    <t>1405/05/13</t>
  </si>
  <si>
    <t>سنگ زنی ، Assemble</t>
  </si>
  <si>
    <t>10S</t>
  </si>
  <si>
    <t>MC30249-01S</t>
  </si>
  <si>
    <t>1405/05/10</t>
  </si>
  <si>
    <t>1405/05/11</t>
  </si>
  <si>
    <t>پخت کلاچ 302 سوراخدار</t>
  </si>
  <si>
    <t>1405/05/25</t>
  </si>
  <si>
    <t>1405/05/27</t>
  </si>
  <si>
    <t>پرس لودری 70021</t>
  </si>
  <si>
    <t>1405/05/28</t>
  </si>
  <si>
    <t>نک آرایش BPW تاجدار</t>
  </si>
  <si>
    <t>1405/05/18</t>
  </si>
  <si>
    <t>1405/05/20</t>
  </si>
  <si>
    <t>پرس / جهان لنت</t>
  </si>
  <si>
    <t>1405/05/24</t>
  </si>
  <si>
    <t>پین خزینه</t>
  </si>
  <si>
    <t>مونتاژ ، تراش</t>
  </si>
  <si>
    <t>توری میدل باس</t>
  </si>
  <si>
    <t>پرس/ جهان لنت</t>
  </si>
  <si>
    <t>1405/06/03</t>
  </si>
  <si>
    <t>1405/05/31</t>
  </si>
  <si>
    <t>Assambly(پیچ بریدگی)</t>
  </si>
  <si>
    <t>1405/06/07</t>
  </si>
  <si>
    <t>1405/06/10</t>
  </si>
  <si>
    <t>PIN
پیچ</t>
  </si>
  <si>
    <t>MC30246-08S</t>
  </si>
  <si>
    <t>1405/06/11</t>
  </si>
  <si>
    <t>قالب ذوب آهن</t>
  </si>
  <si>
    <t>1405/06/17</t>
  </si>
  <si>
    <t>1405/06/18</t>
  </si>
  <si>
    <t>1405/06/14</t>
  </si>
  <si>
    <t>قالب کوبه دیما</t>
  </si>
  <si>
    <t>تیدیل از LL به ذوب آهن</t>
  </si>
  <si>
    <t>کفتراشی</t>
  </si>
  <si>
    <t>Pin connector</t>
  </si>
  <si>
    <t>تعویض پین خزینه</t>
  </si>
  <si>
    <t>قالب مترو مشهد</t>
  </si>
  <si>
    <t>1405/06/15</t>
  </si>
  <si>
    <t>Top Plate
Bottom Plate</t>
  </si>
  <si>
    <t>اضافه کردن صفحات زیر و روی قالب</t>
  </si>
  <si>
    <t>جلو سمند سورن</t>
  </si>
  <si>
    <t>ML30256-01S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</si>
</sst>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7"/>
      <color theme="1"/>
      <name val="B Nazanin"/>
      <charset val="178"/>
    </font>
    <font>
      <b/>
      <sz val="10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Nazanin"/>
      <charset val="178"/>
    </font>
    <font>
      <b/>
      <sz val="8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Calibri"/>
      <family val="2"/>
      <scheme val="minor"/>
    </font>
    <font>
      <sz val="9"/>
      <color theme="1"/>
      <name val="B Nazanin"/>
      <charset val="178"/>
    </font>
    <font>
      <b/>
      <sz val="9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2"/>
      <color theme="1"/>
      <name val="B Nazanin"/>
      <charset val="178"/>
    </font>
    <font>
      <sz val="22"/>
      <color theme="1"/>
      <name val="Baskerville Old Face"/>
      <family val="1"/>
    </font>
    <font>
      <sz val="8"/>
      <name val="Calibri"/>
      <family val="2"/>
      <scheme val="minor"/>
    </font>
    <font>
      <sz val="10"/>
      <color theme="1"/>
      <name val="B Badr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0" fillId="0" borderId="1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14" xfId="0" applyFill="1" applyBorder="1"/>
    <xf numFmtId="0" fontId="0" fillId="2" borderId="15" xfId="0" applyFill="1" applyBorder="1"/>
    <xf numFmtId="3" fontId="6" fillId="2" borderId="13" xfId="0" applyNumberFormat="1" applyFont="1" applyFill="1" applyBorder="1" applyAlignment="1">
      <alignment horizontal="center" vertical="center"/>
    </xf>
    <xf numFmtId="3" fontId="5" fillId="2" borderId="13" xfId="0" applyNumberFormat="1" applyFont="1" applyFill="1" applyBorder="1" applyAlignment="1">
      <alignment horizontal="center" vertical="center"/>
    </xf>
    <xf numFmtId="3" fontId="9" fillId="2" borderId="13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3" fontId="10" fillId="0" borderId="8" xfId="0" applyNumberFormat="1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center" vertical="center" textRotation="90" wrapText="1"/>
    </xf>
    <xf numFmtId="0" fontId="10" fillId="0" borderId="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 readingOrder="2"/>
    </xf>
    <xf numFmtId="0" fontId="4" fillId="0" borderId="16" xfId="0" applyFont="1" applyBorder="1" applyAlignment="1">
      <alignment horizontal="center" vertical="center" wrapText="1" readingOrder="2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textRotation="180" wrapText="1"/>
    </xf>
    <xf numFmtId="0" fontId="3" fillId="0" borderId="12" xfId="0" applyFont="1" applyBorder="1" applyAlignment="1">
      <alignment horizontal="center" vertical="center" textRotation="180" wrapText="1"/>
    </xf>
    <xf numFmtId="0" fontId="3" fillId="0" borderId="2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3" fontId="3" fillId="0" borderId="26" xfId="0" applyNumberFormat="1" applyFont="1" applyBorder="1" applyAlignment="1">
      <alignment horizontal="center" vertical="center"/>
    </xf>
    <xf numFmtId="3" fontId="3" fillId="0" borderId="27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%20&#1602;&#1575;&#1604;&#1576;%20&#1582;&#1585;&#1575;&#1576;&#1740;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TK-Files/&#1602;&#1575;&#1604;&#1576;%20&#1587;&#1575;&#1586;&#1740;/1405/14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</sheetNames>
    <sheetDataSet>
      <sheetData sheetId="0">
        <row r="1">
          <cell r="P1">
            <v>1405</v>
          </cell>
        </row>
        <row r="2">
          <cell r="P2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فروردین"/>
      <sheetName val="اردیبهشت"/>
      <sheetName val="خرداد"/>
      <sheetName val="تیر"/>
      <sheetName val="مرداد"/>
      <sheetName val="شهریور"/>
      <sheetName val="مهر"/>
      <sheetName val="آبان"/>
      <sheetName val="آذر"/>
      <sheetName val="دی"/>
      <sheetName val="بهمن"/>
      <sheetName val="اسفند"/>
      <sheetName val="Total"/>
    </sheetNames>
    <sheetDataSet>
      <sheetData sheetId="0"/>
      <sheetData sheetId="1">
        <row r="1">
          <cell r="B1" t="str">
            <v>قالب / قطعه / دستگاه</v>
          </cell>
          <cell r="C1" t="str">
            <v>نوع تعمیر</v>
          </cell>
          <cell r="AF1" t="str">
            <v>مقدار ساعت کار شده</v>
          </cell>
          <cell r="AR1" t="str">
            <v>قیمت کار شده
(تومان)</v>
          </cell>
        </row>
        <row r="2">
          <cell r="B2" t="str">
            <v>قالب پخت کلاچ پژو 405</v>
          </cell>
          <cell r="C2" t="str">
            <v>قالب تعمیری</v>
          </cell>
          <cell r="AF2">
            <v>6.083333333333333</v>
          </cell>
          <cell r="AR2">
            <v>4562500</v>
          </cell>
        </row>
        <row r="3">
          <cell r="B3" t="str">
            <v>دستگاه پرس پخت</v>
          </cell>
          <cell r="C3" t="str">
            <v>قطعه نو</v>
          </cell>
          <cell r="AF3">
            <v>4.75</v>
          </cell>
          <cell r="AR3">
            <v>3562500</v>
          </cell>
        </row>
        <row r="4">
          <cell r="B4" t="str">
            <v>قالب خشاب زنی</v>
          </cell>
          <cell r="C4" t="str">
            <v>قطعه تعمیری</v>
          </cell>
          <cell r="AF4">
            <v>4.7333333333333334</v>
          </cell>
          <cell r="AR4">
            <v>3550000</v>
          </cell>
        </row>
        <row r="5">
          <cell r="B5" t="str">
            <v>پخت کلاچ پژو 206 TU5</v>
          </cell>
          <cell r="C5" t="str">
            <v>قالب تعمیری</v>
          </cell>
          <cell r="AF5">
            <v>8</v>
          </cell>
          <cell r="AR5">
            <v>6000000</v>
          </cell>
        </row>
        <row r="6">
          <cell r="B6" t="str">
            <v>پخت کلاچ پراید</v>
          </cell>
          <cell r="C6" t="str">
            <v>قالب تعمیری</v>
          </cell>
          <cell r="AF6">
            <v>11</v>
          </cell>
          <cell r="AR6">
            <v>8250000</v>
          </cell>
        </row>
        <row r="7">
          <cell r="B7" t="str">
            <v>قالب پخت کلاچ پیکان</v>
          </cell>
          <cell r="C7" t="str">
            <v>قالب تعمیری</v>
          </cell>
          <cell r="AF7">
            <v>7.5</v>
          </cell>
          <cell r="AR7">
            <v>11250000</v>
          </cell>
        </row>
        <row r="8">
          <cell r="B8" t="str">
            <v>دستگاه پشم فلز چینی</v>
          </cell>
          <cell r="C8" t="str">
            <v>قطعه نو</v>
          </cell>
          <cell r="AF8">
            <v>1</v>
          </cell>
          <cell r="AR8">
            <v>750000</v>
          </cell>
        </row>
        <row r="9">
          <cell r="B9" t="str">
            <v>دستگاه پرس 600 تن</v>
          </cell>
          <cell r="C9" t="str">
            <v>قطعه تعمیری</v>
          </cell>
          <cell r="AF9">
            <v>9</v>
          </cell>
          <cell r="AR9">
            <v>6750000</v>
          </cell>
        </row>
        <row r="10">
          <cell r="B10" t="str">
            <v>دستگاه پشم فلز چینی</v>
          </cell>
          <cell r="C10" t="str">
            <v>قطعه نو</v>
          </cell>
          <cell r="AF10">
            <v>1</v>
          </cell>
          <cell r="AR10">
            <v>750000</v>
          </cell>
        </row>
        <row r="11">
          <cell r="B11" t="str">
            <v>دستگاه پشم فلز آلمانی</v>
          </cell>
          <cell r="C11" t="str">
            <v>قطعه نو</v>
          </cell>
          <cell r="AF11">
            <v>10</v>
          </cell>
          <cell r="AR11">
            <v>7500000</v>
          </cell>
        </row>
        <row r="12">
          <cell r="B12" t="str">
            <v>قالب پراید خاردار</v>
          </cell>
          <cell r="C12" t="str">
            <v>قالب تعمیری</v>
          </cell>
          <cell r="AF12">
            <v>6</v>
          </cell>
          <cell r="AR12">
            <v>4500000</v>
          </cell>
        </row>
        <row r="13">
          <cell r="B13" t="str">
            <v>دستگاه پشم فلز آلمانی</v>
          </cell>
          <cell r="C13" t="str">
            <v>قطعه نو</v>
          </cell>
          <cell r="AF13">
            <v>2</v>
          </cell>
          <cell r="AR13">
            <v>1500000</v>
          </cell>
        </row>
        <row r="14">
          <cell r="B14" t="str">
            <v>قالب پراید خاردار</v>
          </cell>
          <cell r="C14" t="str">
            <v>قالب تعمیری</v>
          </cell>
          <cell r="AF14">
            <v>8</v>
          </cell>
          <cell r="AR14">
            <v>6000000</v>
          </cell>
        </row>
        <row r="15">
          <cell r="B15" t="str">
            <v>دستگاه پشم فلز چینی</v>
          </cell>
          <cell r="C15" t="str">
            <v>قطعه نو</v>
          </cell>
          <cell r="AF15">
            <v>12</v>
          </cell>
          <cell r="AR15">
            <v>9000000</v>
          </cell>
        </row>
        <row r="16">
          <cell r="B16" t="str">
            <v>دستگاه پشم فلز چینی</v>
          </cell>
          <cell r="C16" t="str">
            <v>قطعه نو</v>
          </cell>
          <cell r="AF16">
            <v>4</v>
          </cell>
          <cell r="AR16">
            <v>3000000</v>
          </cell>
        </row>
        <row r="17">
          <cell r="B17" t="str">
            <v>دستگاه ساب جدید</v>
          </cell>
          <cell r="C17" t="str">
            <v>قطعه نو</v>
          </cell>
          <cell r="AF17">
            <v>4</v>
          </cell>
          <cell r="AR17">
            <v>3000000</v>
          </cell>
        </row>
        <row r="18">
          <cell r="B18" t="str">
            <v>دستگاه ساب جدید</v>
          </cell>
          <cell r="C18" t="str">
            <v>قطعه نو</v>
          </cell>
          <cell r="AF18">
            <v>3.5</v>
          </cell>
          <cell r="AR18">
            <v>2625000</v>
          </cell>
        </row>
        <row r="19">
          <cell r="B19" t="str">
            <v>دستگاه پشم فلز آلمانی</v>
          </cell>
          <cell r="C19" t="str">
            <v>قطعه نو</v>
          </cell>
          <cell r="AF19">
            <v>2.5</v>
          </cell>
          <cell r="AR19">
            <v>1875000</v>
          </cell>
        </row>
        <row r="20">
          <cell r="B20" t="str">
            <v xml:space="preserve">دستگاه مهر زنی </v>
          </cell>
          <cell r="C20" t="str">
            <v>قطعه نو</v>
          </cell>
          <cell r="AF20">
            <v>2</v>
          </cell>
          <cell r="AR20">
            <v>1500000</v>
          </cell>
        </row>
        <row r="21">
          <cell r="B21" t="str">
            <v>دستگاه پشم فلز آلمانی</v>
          </cell>
          <cell r="C21" t="str">
            <v>قطعه نو</v>
          </cell>
          <cell r="AF21">
            <v>2.5</v>
          </cell>
          <cell r="AR21">
            <v>1875000</v>
          </cell>
        </row>
        <row r="22">
          <cell r="B22" t="str">
            <v>قالب پخت کلاچ پیکان آرژانتینی</v>
          </cell>
          <cell r="C22" t="str">
            <v>قالب تعمیری</v>
          </cell>
          <cell r="AF22">
            <v>5.5</v>
          </cell>
          <cell r="AR22">
            <v>4125000</v>
          </cell>
        </row>
        <row r="23">
          <cell r="B23" t="str">
            <v>قالب پخت کلاچ پیکان</v>
          </cell>
          <cell r="C23" t="str">
            <v>قالب تعمیری</v>
          </cell>
          <cell r="AF23">
            <v>5.5</v>
          </cell>
          <cell r="AR23">
            <v>4125000</v>
          </cell>
        </row>
        <row r="24">
          <cell r="B24" t="str">
            <v>قالب پخت کلاچ پیکان</v>
          </cell>
          <cell r="C24" t="str">
            <v>قالب تعمیری</v>
          </cell>
          <cell r="AF24">
            <v>4</v>
          </cell>
          <cell r="AR24">
            <v>3000000</v>
          </cell>
        </row>
        <row r="25">
          <cell r="B25" t="str">
            <v>قالب پخت کلاچ پیکان</v>
          </cell>
          <cell r="C25" t="str">
            <v>قالب تعمیری</v>
          </cell>
          <cell r="AF25">
            <v>4</v>
          </cell>
          <cell r="AR25">
            <v>3000000</v>
          </cell>
        </row>
        <row r="26">
          <cell r="B26" t="str">
            <v>قالب خشاب زنی</v>
          </cell>
          <cell r="C26" t="str">
            <v>قطعه تعمیری</v>
          </cell>
          <cell r="AF26">
            <v>5.5</v>
          </cell>
          <cell r="AR26">
            <v>4125000</v>
          </cell>
        </row>
        <row r="27">
          <cell r="B27" t="str">
            <v>دستگاه پرس پخت</v>
          </cell>
          <cell r="C27" t="str">
            <v>قطعه تعمیری</v>
          </cell>
          <cell r="AF27">
            <v>4.916666666666667</v>
          </cell>
          <cell r="AR27">
            <v>3687500</v>
          </cell>
        </row>
        <row r="28">
          <cell r="B28" t="str">
            <v>پخت کلاچ پراید</v>
          </cell>
          <cell r="C28" t="str">
            <v>قالب تعمیری</v>
          </cell>
          <cell r="AF28">
            <v>2</v>
          </cell>
          <cell r="AR28">
            <v>1500000</v>
          </cell>
        </row>
        <row r="29">
          <cell r="B29" t="str">
            <v>قالب شیم پژو 405</v>
          </cell>
          <cell r="C29" t="str">
            <v>قالب تعمیری</v>
          </cell>
          <cell r="AF29">
            <v>1</v>
          </cell>
          <cell r="AR29">
            <v>750000</v>
          </cell>
        </row>
        <row r="30">
          <cell r="B30" t="str">
            <v>پخت عقب پژو 405 شمشی پایه کوتاه</v>
          </cell>
          <cell r="C30" t="str">
            <v>قالب نو</v>
          </cell>
          <cell r="AF30">
            <v>8</v>
          </cell>
          <cell r="AR30">
            <v>6000000</v>
          </cell>
        </row>
        <row r="31">
          <cell r="B31" t="str">
            <v>دستگاه پشم فلز آلمانی</v>
          </cell>
          <cell r="C31" t="str">
            <v>قطعه نو</v>
          </cell>
          <cell r="AF31">
            <v>12</v>
          </cell>
          <cell r="AR31">
            <v>9000000</v>
          </cell>
        </row>
        <row r="32">
          <cell r="B32" t="str">
            <v>دستگاه پشم فلز آلمانی</v>
          </cell>
          <cell r="C32" t="str">
            <v>قطعه نو</v>
          </cell>
          <cell r="AF32">
            <v>12</v>
          </cell>
          <cell r="AR32">
            <v>9000000</v>
          </cell>
        </row>
        <row r="33">
          <cell r="B33" t="str">
            <v>قالب پراید خاردار</v>
          </cell>
          <cell r="C33" t="str">
            <v>قالب تعمیری</v>
          </cell>
          <cell r="AF33">
            <v>12</v>
          </cell>
          <cell r="AR33">
            <v>9000000</v>
          </cell>
        </row>
        <row r="34">
          <cell r="B34" t="str">
            <v>دستگاه پشم فلز چینی</v>
          </cell>
          <cell r="C34" t="str">
            <v>قطعه نو</v>
          </cell>
          <cell r="AF34">
            <v>12</v>
          </cell>
          <cell r="AR34">
            <v>9000000</v>
          </cell>
        </row>
        <row r="35">
          <cell r="B35" t="str">
            <v>دستگاه ساب جدید</v>
          </cell>
          <cell r="C35" t="str">
            <v>قطعه نو</v>
          </cell>
          <cell r="AF35">
            <v>2.5</v>
          </cell>
          <cell r="AR35">
            <v>1875000</v>
          </cell>
        </row>
        <row r="36">
          <cell r="B36" t="str">
            <v>ویوینگ</v>
          </cell>
          <cell r="C36" t="str">
            <v>قطعه نو</v>
          </cell>
          <cell r="AF36">
            <v>3</v>
          </cell>
          <cell r="AR36">
            <v>2250000</v>
          </cell>
        </row>
        <row r="37">
          <cell r="B37" t="str">
            <v>قالب شیم پژو 405</v>
          </cell>
          <cell r="C37" t="str">
            <v>قالب تعمیری</v>
          </cell>
          <cell r="AF37">
            <v>4</v>
          </cell>
          <cell r="AR37">
            <v>3000000</v>
          </cell>
        </row>
        <row r="38">
          <cell r="B38" t="str">
            <v>پخت کلاچ پژو 206 TU5</v>
          </cell>
          <cell r="C38" t="str">
            <v>قالب تعمیری</v>
          </cell>
          <cell r="AF38">
            <v>4</v>
          </cell>
          <cell r="AR38">
            <v>3000000</v>
          </cell>
        </row>
        <row r="39">
          <cell r="B39" t="str">
            <v>ابزار زنی</v>
          </cell>
          <cell r="C39" t="str">
            <v>قطعه نو</v>
          </cell>
          <cell r="AF39">
            <v>2</v>
          </cell>
          <cell r="AR39">
            <v>1500000</v>
          </cell>
        </row>
        <row r="40">
          <cell r="B40" t="str">
            <v>دستگاه ساب سمباده ای</v>
          </cell>
          <cell r="C40" t="str">
            <v>قطعه تعمیری</v>
          </cell>
          <cell r="AF40">
            <v>1</v>
          </cell>
          <cell r="AR40">
            <v>750000</v>
          </cell>
        </row>
        <row r="41">
          <cell r="B41" t="str">
            <v>دستگاه پرس 600 تن</v>
          </cell>
          <cell r="C41" t="str">
            <v>قطعه نو</v>
          </cell>
          <cell r="AF41">
            <v>3</v>
          </cell>
          <cell r="AR41">
            <v>2250000</v>
          </cell>
        </row>
        <row r="42">
          <cell r="B42" t="str">
            <v>دستگاه سوراخکاری کلاچ</v>
          </cell>
          <cell r="C42" t="str">
            <v>قطعه تعمیری</v>
          </cell>
          <cell r="AF42">
            <v>2</v>
          </cell>
          <cell r="AR42">
            <v>1500000</v>
          </cell>
        </row>
        <row r="43">
          <cell r="B43" t="str">
            <v>قالب پخت کلاچ پیکان</v>
          </cell>
          <cell r="C43" t="str">
            <v>قالب تعمیری</v>
          </cell>
          <cell r="AF43">
            <v>2</v>
          </cell>
          <cell r="AR43">
            <v>1500000</v>
          </cell>
        </row>
        <row r="44">
          <cell r="B44" t="str">
            <v>پخت کلاچ پژو 206 TU5</v>
          </cell>
          <cell r="C44" t="str">
            <v>قالب تعمیری</v>
          </cell>
          <cell r="AF44">
            <v>4</v>
          </cell>
          <cell r="AR44">
            <v>3000000</v>
          </cell>
        </row>
        <row r="45">
          <cell r="B45" t="str">
            <v>دستگاه ساب جدید</v>
          </cell>
          <cell r="C45" t="str">
            <v>قطعه نو</v>
          </cell>
          <cell r="AF45">
            <v>2</v>
          </cell>
          <cell r="AR45">
            <v>1500000</v>
          </cell>
        </row>
        <row r="46">
          <cell r="B46" t="str">
            <v>دستگاه پشم فلز آلمانی</v>
          </cell>
          <cell r="C46" t="str">
            <v>قطعه نو</v>
          </cell>
          <cell r="AF46">
            <v>1.5</v>
          </cell>
          <cell r="AR46">
            <v>1125000</v>
          </cell>
        </row>
        <row r="47">
          <cell r="B47" t="str">
            <v>قالب پخت کلاچ پیکان</v>
          </cell>
          <cell r="C47" t="str">
            <v>قالب تعمیری</v>
          </cell>
          <cell r="AF47">
            <v>7.5</v>
          </cell>
          <cell r="AR47">
            <v>11250000</v>
          </cell>
        </row>
        <row r="48">
          <cell r="B48" t="str">
            <v>قالب پخت کلاچ پژو 405</v>
          </cell>
          <cell r="C48" t="str">
            <v>قالب تعمیری</v>
          </cell>
          <cell r="AF48">
            <v>6.5</v>
          </cell>
          <cell r="AR48">
            <v>4875000</v>
          </cell>
        </row>
        <row r="49">
          <cell r="B49" t="str">
            <v>قالب پخت کلاچ پیکان</v>
          </cell>
          <cell r="C49" t="str">
            <v>قالب تعمیری</v>
          </cell>
          <cell r="AF49">
            <v>7.5</v>
          </cell>
          <cell r="AR49">
            <v>11250000</v>
          </cell>
        </row>
        <row r="50">
          <cell r="B50" t="str">
            <v>پخت کلاچ پراید</v>
          </cell>
          <cell r="C50" t="str">
            <v>قالب تعمیری</v>
          </cell>
          <cell r="AF50">
            <v>6.5</v>
          </cell>
          <cell r="AR50">
            <v>4875000</v>
          </cell>
        </row>
        <row r="51">
          <cell r="B51" t="str">
            <v>همزن مواد</v>
          </cell>
          <cell r="C51" t="str">
            <v>قطعه تعمیری</v>
          </cell>
          <cell r="AF51">
            <v>1</v>
          </cell>
          <cell r="AR51">
            <v>750000</v>
          </cell>
        </row>
        <row r="52">
          <cell r="B52" t="str">
            <v>پخت عقب پژو 405 شمشی پایه کوتاه</v>
          </cell>
          <cell r="C52" t="str">
            <v>قالب نو</v>
          </cell>
          <cell r="AF52">
            <v>5.5</v>
          </cell>
          <cell r="AR52">
            <v>4125000</v>
          </cell>
        </row>
        <row r="53">
          <cell r="B53" t="str">
            <v>پخت کلاچ پراید</v>
          </cell>
          <cell r="C53" t="str">
            <v>قالب تعمیری</v>
          </cell>
          <cell r="AF53">
            <v>1</v>
          </cell>
          <cell r="AR53">
            <v>750000</v>
          </cell>
        </row>
        <row r="54">
          <cell r="B54" t="str">
            <v>اصول 5S</v>
          </cell>
          <cell r="C54" t="str">
            <v>نظافت</v>
          </cell>
          <cell r="AF54">
            <v>1</v>
          </cell>
          <cell r="AR54">
            <v>750000</v>
          </cell>
        </row>
        <row r="55">
          <cell r="B55" t="str">
            <v>دستگاه شیرینگ</v>
          </cell>
          <cell r="C55" t="str">
            <v>قطعه نو</v>
          </cell>
          <cell r="AF55">
            <v>3</v>
          </cell>
          <cell r="AR55">
            <v>2250000</v>
          </cell>
        </row>
        <row r="56">
          <cell r="B56" t="str">
            <v>ساب کونیک</v>
          </cell>
          <cell r="C56" t="str">
            <v>قطعه نو</v>
          </cell>
          <cell r="AF56">
            <v>3</v>
          </cell>
          <cell r="AR56">
            <v>2250000</v>
          </cell>
        </row>
        <row r="57">
          <cell r="B57" t="str">
            <v>اصول 5S</v>
          </cell>
          <cell r="C57" t="str">
            <v>نظافت</v>
          </cell>
          <cell r="AF57">
            <v>1</v>
          </cell>
          <cell r="AR57">
            <v>750000</v>
          </cell>
        </row>
        <row r="58">
          <cell r="B58" t="str">
            <v>ویوینگ</v>
          </cell>
          <cell r="C58" t="str">
            <v>قطعه نو</v>
          </cell>
          <cell r="AF58">
            <v>4</v>
          </cell>
          <cell r="AR58">
            <v>3000000</v>
          </cell>
        </row>
        <row r="59">
          <cell r="B59" t="str">
            <v>دستگاه پشم فلز آلمانی</v>
          </cell>
          <cell r="C59" t="str">
            <v>قطعه نو</v>
          </cell>
          <cell r="AF59">
            <v>3</v>
          </cell>
          <cell r="AR59">
            <v>2250000</v>
          </cell>
        </row>
        <row r="60">
          <cell r="B60" t="str">
            <v>ساب کلاچ</v>
          </cell>
          <cell r="C60" t="str">
            <v>قطعه نو</v>
          </cell>
          <cell r="AF60">
            <v>5</v>
          </cell>
          <cell r="AR60">
            <v>3750000</v>
          </cell>
        </row>
        <row r="61">
          <cell r="B61" t="str">
            <v>ویوینگ</v>
          </cell>
          <cell r="C61" t="str">
            <v>قطعه تعمیری</v>
          </cell>
          <cell r="AF61">
            <v>8</v>
          </cell>
          <cell r="AR61">
            <v>6000000</v>
          </cell>
        </row>
        <row r="62">
          <cell r="B62" t="str">
            <v>قالب پراید خاردار</v>
          </cell>
          <cell r="C62" t="str">
            <v>قالب تعمیری</v>
          </cell>
          <cell r="AF62">
            <v>8</v>
          </cell>
          <cell r="AR62">
            <v>6000000</v>
          </cell>
        </row>
        <row r="63">
          <cell r="B63" t="str">
            <v>دستگاه پشم فلز چینی</v>
          </cell>
          <cell r="C63" t="str">
            <v>قطعه نو</v>
          </cell>
          <cell r="AF63">
            <v>8</v>
          </cell>
          <cell r="AR63">
            <v>6000000</v>
          </cell>
        </row>
        <row r="64">
          <cell r="B64" t="str">
            <v>قالب خشاب زنی</v>
          </cell>
          <cell r="C64" t="str">
            <v>قطعه تعمیری</v>
          </cell>
          <cell r="AF64">
            <v>2</v>
          </cell>
          <cell r="AR64">
            <v>1500000</v>
          </cell>
        </row>
        <row r="65">
          <cell r="B65" t="str">
            <v>ساب کونیک</v>
          </cell>
          <cell r="C65" t="str">
            <v>قطعه نو</v>
          </cell>
          <cell r="AF65">
            <v>2.5</v>
          </cell>
          <cell r="AR65">
            <v>1875000</v>
          </cell>
        </row>
        <row r="66">
          <cell r="B66" t="str">
            <v>همزن مواد</v>
          </cell>
          <cell r="C66" t="str">
            <v>قطعه تعمیری</v>
          </cell>
          <cell r="AF66">
            <v>3</v>
          </cell>
          <cell r="AR66">
            <v>2250000</v>
          </cell>
        </row>
        <row r="67">
          <cell r="B67" t="str">
            <v>قالب پخت کلاچ پیکان</v>
          </cell>
          <cell r="C67" t="str">
            <v>قالب تعمیری</v>
          </cell>
          <cell r="AF67">
            <v>7</v>
          </cell>
          <cell r="AR67">
            <v>10500000</v>
          </cell>
        </row>
        <row r="68">
          <cell r="B68" t="str">
            <v>قالب 309 سوراخدار</v>
          </cell>
          <cell r="C68" t="str">
            <v>قالب تعمیری</v>
          </cell>
          <cell r="AF68">
            <v>2</v>
          </cell>
          <cell r="AR68">
            <v>1500000</v>
          </cell>
        </row>
        <row r="69">
          <cell r="B69" t="str">
            <v>قالب پخت کلاچ پیکان آرژانتینی</v>
          </cell>
          <cell r="C69" t="str">
            <v>قالب تعمیری</v>
          </cell>
          <cell r="AF69">
            <v>2</v>
          </cell>
          <cell r="AR69">
            <v>1500000</v>
          </cell>
        </row>
        <row r="70">
          <cell r="B70" t="str">
            <v xml:space="preserve">پخت کلاچ پراید سکو </v>
          </cell>
          <cell r="C70" t="str">
            <v>قالب تعمیری</v>
          </cell>
          <cell r="AF70">
            <v>2</v>
          </cell>
          <cell r="AR70">
            <v>1500000</v>
          </cell>
        </row>
        <row r="71">
          <cell r="B71" t="str">
            <v>اصول 5S</v>
          </cell>
          <cell r="C71" t="str">
            <v>نظافت</v>
          </cell>
          <cell r="AF71">
            <v>1</v>
          </cell>
          <cell r="AR71">
            <v>750000</v>
          </cell>
        </row>
        <row r="72">
          <cell r="B72" t="str">
            <v>قالب 309 سوراخدار</v>
          </cell>
          <cell r="C72" t="str">
            <v>قالب تعمیری</v>
          </cell>
          <cell r="AF72">
            <v>2</v>
          </cell>
          <cell r="AR72">
            <v>1500000</v>
          </cell>
        </row>
        <row r="73">
          <cell r="B73" t="str">
            <v>قالب پخت کلاچ پیکان آرژانتینی</v>
          </cell>
          <cell r="C73" t="str">
            <v>قالب تعمیری</v>
          </cell>
          <cell r="AF73">
            <v>2</v>
          </cell>
          <cell r="AR73">
            <v>1500000</v>
          </cell>
        </row>
        <row r="74">
          <cell r="B74" t="str">
            <v xml:space="preserve">پخت کلاچ پراید سکو </v>
          </cell>
          <cell r="C74" t="str">
            <v>قالب تعمیری</v>
          </cell>
          <cell r="AF74">
            <v>2</v>
          </cell>
          <cell r="AR74">
            <v>1500000</v>
          </cell>
        </row>
        <row r="75">
          <cell r="B75" t="str">
            <v>اصول 5S</v>
          </cell>
          <cell r="C75" t="str">
            <v>نظافت</v>
          </cell>
          <cell r="AF75">
            <v>1</v>
          </cell>
          <cell r="AR75">
            <v>750000</v>
          </cell>
        </row>
        <row r="76">
          <cell r="B76" t="str">
            <v>قالب پخت کلاچ پیکان آرژانتینی</v>
          </cell>
          <cell r="C76" t="str">
            <v>قالب تعمیری</v>
          </cell>
          <cell r="AF76">
            <v>11</v>
          </cell>
          <cell r="AR76">
            <v>8250000</v>
          </cell>
        </row>
        <row r="77">
          <cell r="B77" t="str">
            <v>برش جمعی عقب ریو</v>
          </cell>
          <cell r="C77" t="str">
            <v>قطعه نو</v>
          </cell>
          <cell r="AF77">
            <v>9.6666666666666661</v>
          </cell>
          <cell r="AR77">
            <v>7250000</v>
          </cell>
        </row>
        <row r="78">
          <cell r="B78" t="str">
            <v>دستگاه پشم فلز</v>
          </cell>
          <cell r="C78" t="str">
            <v>قطعه تعمیری</v>
          </cell>
          <cell r="AF78">
            <v>6.5</v>
          </cell>
          <cell r="AR78">
            <v>4875000</v>
          </cell>
        </row>
        <row r="79">
          <cell r="B79" t="str">
            <v>قالب 309 سوراخدار</v>
          </cell>
          <cell r="C79" t="str">
            <v>قالب تعمیری</v>
          </cell>
          <cell r="AF79">
            <v>11</v>
          </cell>
          <cell r="AR79">
            <v>16500000</v>
          </cell>
        </row>
        <row r="80">
          <cell r="B80" t="str">
            <v>پین عقب پژو 405</v>
          </cell>
          <cell r="C80" t="str">
            <v>قطعه نو</v>
          </cell>
          <cell r="AF80">
            <v>7.5</v>
          </cell>
          <cell r="AR80">
            <v>5625000</v>
          </cell>
        </row>
        <row r="81">
          <cell r="B81" t="str">
            <v>قالب پخت کلاچ پیکان</v>
          </cell>
          <cell r="C81" t="str">
            <v>قالب تعمیری</v>
          </cell>
          <cell r="AF81">
            <v>7.5</v>
          </cell>
          <cell r="AR81">
            <v>11250000</v>
          </cell>
        </row>
        <row r="82">
          <cell r="B82" t="str">
            <v>قالب جلو ریو</v>
          </cell>
          <cell r="C82" t="str">
            <v>قالب تعمیری</v>
          </cell>
          <cell r="AF82">
            <v>3.5</v>
          </cell>
          <cell r="AR82">
            <v>5250000</v>
          </cell>
        </row>
        <row r="83">
          <cell r="B83" t="str">
            <v>پخت کلاچ پراید</v>
          </cell>
          <cell r="C83" t="str">
            <v>قالب تعمیری</v>
          </cell>
          <cell r="AF83">
            <v>3.5</v>
          </cell>
          <cell r="AR83">
            <v>2625000</v>
          </cell>
        </row>
        <row r="84">
          <cell r="B84" t="str">
            <v>پخت کلاچ پراید</v>
          </cell>
          <cell r="C84" t="str">
            <v>قالب تعمیری</v>
          </cell>
          <cell r="AF84">
            <v>7.5</v>
          </cell>
          <cell r="AR84">
            <v>5625000</v>
          </cell>
        </row>
        <row r="85">
          <cell r="B85" t="str">
            <v>پخت کلاچ پراید</v>
          </cell>
          <cell r="C85" t="str">
            <v>قالب تعمیری</v>
          </cell>
          <cell r="AF85">
            <v>1.8333333333333333</v>
          </cell>
          <cell r="AR85">
            <v>1375000</v>
          </cell>
        </row>
        <row r="86">
          <cell r="B86" t="str">
            <v>پخت کلاچ پراید</v>
          </cell>
          <cell r="C86" t="str">
            <v>قالب تعمیری</v>
          </cell>
          <cell r="AF86">
            <v>1.8333333333333333</v>
          </cell>
          <cell r="AR86">
            <v>1375000</v>
          </cell>
        </row>
        <row r="87">
          <cell r="B87" t="str">
            <v>قالب پخت کلاچ پژو 405</v>
          </cell>
          <cell r="C87" t="str">
            <v>قالب تعمیری</v>
          </cell>
          <cell r="AF87">
            <v>1.8333333333333333</v>
          </cell>
          <cell r="AR87">
            <v>1375000</v>
          </cell>
        </row>
        <row r="88">
          <cell r="B88" t="str">
            <v>پخت کلاچ پراید</v>
          </cell>
          <cell r="C88" t="str">
            <v>قالب تعمیری</v>
          </cell>
          <cell r="AF88">
            <v>1.5</v>
          </cell>
          <cell r="AR88">
            <v>1125000</v>
          </cell>
        </row>
        <row r="89">
          <cell r="B89" t="str">
            <v>قالب پخت کلاچ پژو 405</v>
          </cell>
          <cell r="C89" t="str">
            <v>قالب تعمیری</v>
          </cell>
          <cell r="AF89">
            <v>1.5</v>
          </cell>
          <cell r="AR89">
            <v>1125000</v>
          </cell>
        </row>
        <row r="90">
          <cell r="B90" t="str">
            <v>قالب پخت کلاچ پژو 405</v>
          </cell>
          <cell r="C90" t="str">
            <v>قالب تعمیری</v>
          </cell>
          <cell r="AF90">
            <v>1.5</v>
          </cell>
          <cell r="AR90">
            <v>1125000</v>
          </cell>
        </row>
        <row r="91">
          <cell r="B91" t="str">
            <v>قالب شیم پژو 405</v>
          </cell>
          <cell r="C91" t="str">
            <v>قالب تعمیری</v>
          </cell>
          <cell r="AF91">
            <v>1</v>
          </cell>
          <cell r="AR91">
            <v>750000</v>
          </cell>
        </row>
        <row r="92">
          <cell r="B92" t="str">
            <v>ساب کونیک</v>
          </cell>
          <cell r="C92" t="str">
            <v>قطعه نو</v>
          </cell>
          <cell r="AF92">
            <v>5</v>
          </cell>
          <cell r="AR92">
            <v>3750000</v>
          </cell>
        </row>
        <row r="93">
          <cell r="B93" t="str">
            <v>پرچ زنی</v>
          </cell>
          <cell r="C93" t="str">
            <v>قطعه تعمیری</v>
          </cell>
          <cell r="AF93">
            <v>1</v>
          </cell>
          <cell r="AR93">
            <v>750000</v>
          </cell>
        </row>
        <row r="94">
          <cell r="B94" t="str">
            <v>پرس پخت</v>
          </cell>
          <cell r="C94" t="str">
            <v>قطعه تعمیری</v>
          </cell>
          <cell r="AF94">
            <v>1</v>
          </cell>
          <cell r="AR94">
            <v>750000</v>
          </cell>
        </row>
        <row r="95">
          <cell r="B95" t="str">
            <v>پرس پخت</v>
          </cell>
          <cell r="C95" t="str">
            <v>قطعه تعمیری</v>
          </cell>
          <cell r="AF95">
            <v>2</v>
          </cell>
          <cell r="AR95">
            <v>1500000</v>
          </cell>
        </row>
        <row r="96">
          <cell r="B96" t="str">
            <v>برش جمعی عقب ریو</v>
          </cell>
          <cell r="C96" t="str">
            <v>قطعه نو</v>
          </cell>
          <cell r="AF96">
            <v>2</v>
          </cell>
          <cell r="AR96">
            <v>1500000</v>
          </cell>
        </row>
        <row r="97">
          <cell r="B97" t="str">
            <v>پرس پخت</v>
          </cell>
          <cell r="C97" t="str">
            <v>قطعه تعمیری</v>
          </cell>
          <cell r="AF97">
            <v>2</v>
          </cell>
          <cell r="AR97">
            <v>1500000</v>
          </cell>
        </row>
        <row r="98">
          <cell r="B98" t="str">
            <v>پخت کلاچ پژو 206 TU5</v>
          </cell>
          <cell r="C98" t="str">
            <v>قالب تعمیری</v>
          </cell>
          <cell r="AF98">
            <v>2</v>
          </cell>
          <cell r="AR98">
            <v>1500000</v>
          </cell>
        </row>
        <row r="99">
          <cell r="B99" t="str">
            <v xml:space="preserve">پخت کلاچ پراید سکو </v>
          </cell>
          <cell r="C99" t="str">
            <v>قالب تعمیری</v>
          </cell>
          <cell r="AF99">
            <v>2</v>
          </cell>
          <cell r="AR99">
            <v>1500000</v>
          </cell>
        </row>
        <row r="100">
          <cell r="B100" t="str">
            <v>دستگاه پشم فلز آلمانی</v>
          </cell>
          <cell r="C100" t="str">
            <v>قطعه نو</v>
          </cell>
          <cell r="AF100">
            <v>6</v>
          </cell>
          <cell r="AR100">
            <v>4500000</v>
          </cell>
        </row>
        <row r="101">
          <cell r="B101" t="str">
            <v>پخت کلاچ پژو 206 TU5</v>
          </cell>
          <cell r="C101" t="str">
            <v>قالب تعمیری</v>
          </cell>
          <cell r="AF101">
            <v>2</v>
          </cell>
          <cell r="AR101">
            <v>1500000</v>
          </cell>
        </row>
        <row r="102">
          <cell r="B102" t="str">
            <v xml:space="preserve">پخت کلاچ پراید سکو </v>
          </cell>
          <cell r="C102" t="str">
            <v>قالب تعمیری</v>
          </cell>
          <cell r="AF102">
            <v>2</v>
          </cell>
          <cell r="AR102">
            <v>1500000</v>
          </cell>
        </row>
        <row r="103">
          <cell r="B103" t="str">
            <v>ساب کلاچ</v>
          </cell>
          <cell r="C103" t="str">
            <v>قطعه نو</v>
          </cell>
          <cell r="AF103">
            <v>10</v>
          </cell>
          <cell r="AR103">
            <v>7500000</v>
          </cell>
        </row>
        <row r="104">
          <cell r="B104" t="str">
            <v>ویوینگ</v>
          </cell>
          <cell r="C104" t="str">
            <v>قطعه تعمیری</v>
          </cell>
          <cell r="AF104">
            <v>2</v>
          </cell>
          <cell r="AR104">
            <v>1500000</v>
          </cell>
        </row>
        <row r="105">
          <cell r="B105" t="str">
            <v>قالب پراید خاردار</v>
          </cell>
          <cell r="C105" t="str">
            <v>قالب تعمیری</v>
          </cell>
          <cell r="AF105">
            <v>4</v>
          </cell>
          <cell r="AR105">
            <v>3000000</v>
          </cell>
        </row>
        <row r="106">
          <cell r="B106" t="str">
            <v>ویوینگ</v>
          </cell>
          <cell r="C106" t="str">
            <v>قطعه تعمیری</v>
          </cell>
          <cell r="AF106">
            <v>2</v>
          </cell>
          <cell r="AR106">
            <v>1500000</v>
          </cell>
        </row>
        <row r="107">
          <cell r="B107" t="str">
            <v>قالب پخت کلاچ پیکان آرژانتینی</v>
          </cell>
          <cell r="C107" t="str">
            <v>قالب تعمیری</v>
          </cell>
          <cell r="AF107">
            <v>8</v>
          </cell>
          <cell r="AR107">
            <v>6000000</v>
          </cell>
        </row>
        <row r="108">
          <cell r="B108" t="str">
            <v>ویوینگ</v>
          </cell>
          <cell r="C108" t="str">
            <v>قطعه نو</v>
          </cell>
          <cell r="AF108">
            <v>2</v>
          </cell>
          <cell r="AR108">
            <v>1500000</v>
          </cell>
        </row>
        <row r="109">
          <cell r="B109" t="str">
            <v>دستگاه پشم فلز چینی</v>
          </cell>
          <cell r="C109" t="str">
            <v>قطعه نو</v>
          </cell>
          <cell r="AF109">
            <v>10</v>
          </cell>
          <cell r="AR109">
            <v>7500000</v>
          </cell>
        </row>
        <row r="110">
          <cell r="B110" t="str">
            <v>پین عقب پژو 405</v>
          </cell>
          <cell r="C110" t="str">
            <v>قطعه نو</v>
          </cell>
          <cell r="AF110">
            <v>7.5</v>
          </cell>
          <cell r="AR110">
            <v>5625000</v>
          </cell>
        </row>
        <row r="111">
          <cell r="B111" t="str">
            <v>قالب پخت کلاچ پیکان</v>
          </cell>
          <cell r="C111" t="str">
            <v>قالب تعمیری</v>
          </cell>
          <cell r="AF111">
            <v>7.5</v>
          </cell>
          <cell r="AR111">
            <v>5625000</v>
          </cell>
        </row>
        <row r="112">
          <cell r="B112" t="str">
            <v>دستگاه پشم فلز</v>
          </cell>
          <cell r="C112" t="str">
            <v>قطعه تعمیری</v>
          </cell>
          <cell r="AF112">
            <v>6.5</v>
          </cell>
          <cell r="AR112">
            <v>4875000</v>
          </cell>
        </row>
        <row r="113">
          <cell r="B113" t="str">
            <v>قالب جلو ریو</v>
          </cell>
          <cell r="C113" t="str">
            <v>قالب تعمیری</v>
          </cell>
          <cell r="AF113">
            <v>11</v>
          </cell>
          <cell r="AR113">
            <v>16500000</v>
          </cell>
        </row>
        <row r="114">
          <cell r="B114" t="str">
            <v>قالب 309 سوراخدار</v>
          </cell>
          <cell r="C114" t="str">
            <v>قالب تعمیری</v>
          </cell>
          <cell r="AF114">
            <v>5.5</v>
          </cell>
          <cell r="AR114">
            <v>8250000</v>
          </cell>
        </row>
        <row r="115">
          <cell r="B115" t="str">
            <v>پخت کلاچ پراید</v>
          </cell>
          <cell r="C115" t="str">
            <v>قالب تعمیری</v>
          </cell>
          <cell r="AF115">
            <v>2</v>
          </cell>
          <cell r="AR115">
            <v>3000000</v>
          </cell>
        </row>
        <row r="116">
          <cell r="B116" t="str">
            <v>پخت کلاچ پراید</v>
          </cell>
          <cell r="C116" t="str">
            <v>قالب تعمیری</v>
          </cell>
          <cell r="AF116">
            <v>7.5</v>
          </cell>
          <cell r="AR116">
            <v>5625000</v>
          </cell>
        </row>
        <row r="117">
          <cell r="B117" t="str">
            <v>قالب پخت کلاچ پژو 405</v>
          </cell>
          <cell r="C117" t="str">
            <v>قالب تعمیری</v>
          </cell>
          <cell r="AF117">
            <v>3.5</v>
          </cell>
          <cell r="AR117">
            <v>2625000</v>
          </cell>
        </row>
        <row r="118">
          <cell r="B118" t="str">
            <v>ساب کلاچ</v>
          </cell>
          <cell r="C118" t="str">
            <v>قطعه نو</v>
          </cell>
          <cell r="AF118">
            <v>8</v>
          </cell>
          <cell r="AR118">
            <v>6000000</v>
          </cell>
        </row>
        <row r="119">
          <cell r="B119" t="str">
            <v>Hammer Mill Machine</v>
          </cell>
          <cell r="C119" t="str">
            <v>دستگاه نو</v>
          </cell>
          <cell r="AF119">
            <v>12</v>
          </cell>
          <cell r="AR119">
            <v>9000000</v>
          </cell>
        </row>
        <row r="120">
          <cell r="B120" t="str">
            <v>ساب کونیک</v>
          </cell>
          <cell r="C120" t="str">
            <v>قطعه نو</v>
          </cell>
          <cell r="AF120">
            <v>8</v>
          </cell>
          <cell r="AR120">
            <v>6000000</v>
          </cell>
        </row>
        <row r="121">
          <cell r="B121" t="str">
            <v>دستگاه پشم فلز چینی</v>
          </cell>
          <cell r="C121" t="str">
            <v>قطعه نو</v>
          </cell>
          <cell r="AF121">
            <v>12</v>
          </cell>
          <cell r="AR121">
            <v>9000000</v>
          </cell>
        </row>
        <row r="122">
          <cell r="B122" t="str">
            <v>برش جمعی عقب ریو</v>
          </cell>
          <cell r="C122" t="str">
            <v>قطعه نو</v>
          </cell>
          <cell r="AF122">
            <v>4</v>
          </cell>
          <cell r="AR122">
            <v>3000000</v>
          </cell>
        </row>
        <row r="123">
          <cell r="B123" t="str">
            <v>دستگاه ساب سمباده ای</v>
          </cell>
          <cell r="C123" t="str">
            <v>قطعه تعمیری</v>
          </cell>
          <cell r="AF123">
            <v>2</v>
          </cell>
          <cell r="AR123">
            <v>1500000</v>
          </cell>
        </row>
        <row r="124">
          <cell r="B124" t="str">
            <v>پمپ</v>
          </cell>
          <cell r="C124" t="str">
            <v>قطعه نو</v>
          </cell>
          <cell r="AF124">
            <v>4</v>
          </cell>
          <cell r="AR124">
            <v>3000000</v>
          </cell>
        </row>
        <row r="125">
          <cell r="B125" t="str">
            <v>برش جمعی عقب ریو</v>
          </cell>
          <cell r="C125" t="str">
            <v>قطعه نو</v>
          </cell>
          <cell r="AF125">
            <v>4</v>
          </cell>
          <cell r="AR125">
            <v>3000000</v>
          </cell>
        </row>
        <row r="126">
          <cell r="B126" t="str">
            <v>پخت کلاچ پراید</v>
          </cell>
          <cell r="C126" t="str">
            <v>قالب تعمیری</v>
          </cell>
          <cell r="AF126">
            <v>1</v>
          </cell>
          <cell r="AR126">
            <v>750000</v>
          </cell>
        </row>
        <row r="127">
          <cell r="B127" t="str">
            <v xml:space="preserve">پخت کلاچ پراید سکو </v>
          </cell>
          <cell r="C127" t="str">
            <v>قالب تعمیری</v>
          </cell>
          <cell r="AF127">
            <v>3</v>
          </cell>
          <cell r="AR127">
            <v>2250000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AF128">
            <v>2</v>
          </cell>
          <cell r="AR128">
            <v>1500000</v>
          </cell>
        </row>
        <row r="129">
          <cell r="B129" t="str">
            <v>قالب 309 سوراخدار</v>
          </cell>
          <cell r="C129" t="str">
            <v>قالب تعمیری</v>
          </cell>
          <cell r="AF129">
            <v>2</v>
          </cell>
          <cell r="AR129">
            <v>1500000</v>
          </cell>
        </row>
        <row r="130">
          <cell r="B130" t="str">
            <v>قالب شیم پژو 405</v>
          </cell>
          <cell r="C130" t="str">
            <v>قالب تعمیری</v>
          </cell>
          <cell r="AF130">
            <v>1</v>
          </cell>
          <cell r="AR130">
            <v>750000</v>
          </cell>
        </row>
        <row r="131">
          <cell r="B131" t="str">
            <v>قالب پژو 405 دیسکی</v>
          </cell>
          <cell r="C131" t="str">
            <v>قالب تعمیری</v>
          </cell>
          <cell r="AF131">
            <v>2</v>
          </cell>
          <cell r="AR131">
            <v>1500000</v>
          </cell>
        </row>
        <row r="132">
          <cell r="B132" t="str">
            <v>دریل سوراخکاری</v>
          </cell>
          <cell r="C132" t="str">
            <v>قطعه نو</v>
          </cell>
          <cell r="AF132">
            <v>3</v>
          </cell>
          <cell r="AR132">
            <v>2250000</v>
          </cell>
        </row>
        <row r="133">
          <cell r="B133" t="str">
            <v>دریل سوراخکاری</v>
          </cell>
          <cell r="C133" t="str">
            <v>قطعه تعمیری</v>
          </cell>
          <cell r="AF133">
            <v>3</v>
          </cell>
          <cell r="AR133">
            <v>2250000</v>
          </cell>
        </row>
        <row r="134">
          <cell r="B134" t="str">
            <v>دریل سوراخکاری</v>
          </cell>
          <cell r="C134" t="str">
            <v>قطعه تعمیری</v>
          </cell>
          <cell r="AF134">
            <v>2</v>
          </cell>
          <cell r="AR134">
            <v>1500000</v>
          </cell>
        </row>
        <row r="135">
          <cell r="B135" t="str">
            <v>فرز 7103</v>
          </cell>
          <cell r="C135" t="str">
            <v>قطعه نو</v>
          </cell>
          <cell r="AF135">
            <v>1</v>
          </cell>
          <cell r="AR135">
            <v>750000</v>
          </cell>
        </row>
        <row r="136">
          <cell r="B136" t="str">
            <v xml:space="preserve">پخت کلاچ پراید سکو </v>
          </cell>
          <cell r="C136" t="str">
            <v>قالب تعمیری</v>
          </cell>
          <cell r="AF136">
            <v>3</v>
          </cell>
          <cell r="AR136">
            <v>2250000</v>
          </cell>
        </row>
        <row r="137">
          <cell r="B137" t="str">
            <v>قالب پخت کلاچ پیکان آرژانتینی</v>
          </cell>
          <cell r="C137" t="str">
            <v>قالب تعمیری</v>
          </cell>
          <cell r="AF137">
            <v>2.5</v>
          </cell>
          <cell r="AR137">
            <v>1875000</v>
          </cell>
        </row>
        <row r="138">
          <cell r="B138" t="str">
            <v>قالب 309 سوراخدار</v>
          </cell>
          <cell r="C138" t="str">
            <v>قالب تعمیری</v>
          </cell>
          <cell r="AF138">
            <v>1</v>
          </cell>
          <cell r="AR138">
            <v>750000</v>
          </cell>
        </row>
        <row r="139">
          <cell r="B139" t="str">
            <v>قالب پژو 405 دیسکی</v>
          </cell>
          <cell r="C139" t="str">
            <v>قالب تعمیری</v>
          </cell>
          <cell r="AF139">
            <v>2</v>
          </cell>
          <cell r="AR139">
            <v>1500000</v>
          </cell>
        </row>
        <row r="140">
          <cell r="B140" t="str">
            <v>قالب جلو ریو</v>
          </cell>
          <cell r="C140" t="str">
            <v>قالب تعمیری</v>
          </cell>
          <cell r="AF140">
            <v>6</v>
          </cell>
          <cell r="AR140">
            <v>4500000</v>
          </cell>
        </row>
        <row r="141">
          <cell r="B141" t="str">
            <v>قالب پخت کلاچ پیکان آرژانتینی</v>
          </cell>
          <cell r="C141" t="str">
            <v>قالب تعمیری</v>
          </cell>
          <cell r="AF141">
            <v>1</v>
          </cell>
          <cell r="AR141">
            <v>750000</v>
          </cell>
        </row>
        <row r="142">
          <cell r="B142" t="str">
            <v>پخت عقب پژو 405 شمشی پایه کوتاه</v>
          </cell>
          <cell r="C142" t="str">
            <v>قالب نو</v>
          </cell>
          <cell r="AF142">
            <v>4</v>
          </cell>
          <cell r="AR142">
            <v>3000000</v>
          </cell>
        </row>
        <row r="143">
          <cell r="B143" t="str">
            <v>پخت عقب پژو 405 شمشی پایه کوتاه</v>
          </cell>
          <cell r="C143" t="str">
            <v>قالب نو</v>
          </cell>
          <cell r="AF143">
            <v>6</v>
          </cell>
          <cell r="AR143">
            <v>4500000</v>
          </cell>
        </row>
        <row r="144">
          <cell r="B144" t="str">
            <v>قالب شیم پژو 405</v>
          </cell>
          <cell r="C144" t="str">
            <v>قالب تعمیری</v>
          </cell>
          <cell r="AF144">
            <v>3</v>
          </cell>
          <cell r="AR144">
            <v>2250000</v>
          </cell>
        </row>
        <row r="145">
          <cell r="B145" t="str">
            <v>دستگاه پشم فلز چینی</v>
          </cell>
          <cell r="C145" t="str">
            <v>قطعه نو</v>
          </cell>
          <cell r="AF145">
            <v>2</v>
          </cell>
          <cell r="AR145">
            <v>1500000</v>
          </cell>
        </row>
        <row r="146">
          <cell r="B146" t="str">
            <v>پخت کلاچ پراید</v>
          </cell>
          <cell r="C146" t="str">
            <v>قالب تعمیری</v>
          </cell>
          <cell r="AF146">
            <v>11</v>
          </cell>
          <cell r="AR146">
            <v>16500000</v>
          </cell>
        </row>
        <row r="147">
          <cell r="B147" t="str">
            <v>قالب پخت کلاچ پیکان</v>
          </cell>
          <cell r="C147" t="str">
            <v>قالب تعمیری</v>
          </cell>
          <cell r="AF147">
            <v>6.5</v>
          </cell>
          <cell r="AR147">
            <v>9750000</v>
          </cell>
        </row>
        <row r="148">
          <cell r="B148" t="str">
            <v>قالب پخت کلاچ پیکان</v>
          </cell>
          <cell r="C148" t="str">
            <v>قالب تعمیری</v>
          </cell>
          <cell r="AF148">
            <v>4.5</v>
          </cell>
          <cell r="AR148">
            <v>6750000</v>
          </cell>
        </row>
        <row r="149">
          <cell r="B149" t="str">
            <v>پین عقب پژو 405</v>
          </cell>
          <cell r="C149" t="str">
            <v>قطعه نو</v>
          </cell>
          <cell r="AF149">
            <v>7.5</v>
          </cell>
          <cell r="AR149">
            <v>5625000</v>
          </cell>
        </row>
        <row r="150">
          <cell r="B150" t="str">
            <v>ساب کلاچ</v>
          </cell>
          <cell r="C150" t="str">
            <v>قطعه تعمیری</v>
          </cell>
          <cell r="AF150">
            <v>3</v>
          </cell>
          <cell r="AR150">
            <v>2250000</v>
          </cell>
        </row>
        <row r="151">
          <cell r="B151" t="str">
            <v>قالب پخت کلاچ پژو 405</v>
          </cell>
          <cell r="C151" t="str">
            <v>قالب تعمیری</v>
          </cell>
          <cell r="AF151">
            <v>5.5</v>
          </cell>
          <cell r="AR151">
            <v>4125000</v>
          </cell>
        </row>
        <row r="152">
          <cell r="B152" t="str">
            <v>قالب پخت کلاچ پژو 405</v>
          </cell>
          <cell r="C152" t="str">
            <v>قالب تعمیری</v>
          </cell>
          <cell r="AF152">
            <v>5.5</v>
          </cell>
          <cell r="AR152">
            <v>4125000</v>
          </cell>
        </row>
        <row r="153">
          <cell r="B153" t="str">
            <v>دستگاه پشم فلز</v>
          </cell>
          <cell r="C153" t="str">
            <v>قطعه تعمیری</v>
          </cell>
          <cell r="AF153">
            <v>1.5</v>
          </cell>
          <cell r="AR153">
            <v>1125000</v>
          </cell>
        </row>
        <row r="154">
          <cell r="B154" t="str">
            <v>پخت عقب پژو 405 شمشی پایه کوتاه</v>
          </cell>
          <cell r="C154" t="str">
            <v>قالب نو</v>
          </cell>
          <cell r="AF154">
            <v>5</v>
          </cell>
          <cell r="AR154">
            <v>3750000</v>
          </cell>
        </row>
        <row r="155">
          <cell r="B155" t="str">
            <v>پخت کلاچ پراید</v>
          </cell>
          <cell r="C155" t="str">
            <v>قالب تعمیری</v>
          </cell>
          <cell r="AF155">
            <v>4</v>
          </cell>
          <cell r="AR155">
            <v>3000000</v>
          </cell>
        </row>
        <row r="156">
          <cell r="B156" t="str">
            <v>ویوینگ</v>
          </cell>
          <cell r="C156" t="str">
            <v>قطعه نو</v>
          </cell>
          <cell r="AF156">
            <v>2</v>
          </cell>
          <cell r="AR156">
            <v>1500000</v>
          </cell>
        </row>
        <row r="157">
          <cell r="B157" t="str">
            <v>Hammer Mill Machine</v>
          </cell>
          <cell r="C157" t="str">
            <v>دستگاه نو</v>
          </cell>
          <cell r="AF157">
            <v>3.5</v>
          </cell>
          <cell r="AR157">
            <v>2625000</v>
          </cell>
        </row>
        <row r="158">
          <cell r="B158" t="str">
            <v>Hammer Mill Machine</v>
          </cell>
          <cell r="C158" t="str">
            <v>دستگاه نو</v>
          </cell>
          <cell r="AF158">
            <v>12</v>
          </cell>
          <cell r="AR158">
            <v>9000000</v>
          </cell>
        </row>
        <row r="159">
          <cell r="B159" t="str">
            <v>Hammer Mill Machine</v>
          </cell>
          <cell r="C159" t="str">
            <v>دستگاه نو</v>
          </cell>
          <cell r="AF159">
            <v>12</v>
          </cell>
          <cell r="AR159">
            <v>9000000</v>
          </cell>
        </row>
        <row r="160">
          <cell r="B160" t="str">
            <v>Hammer Mill Machine</v>
          </cell>
          <cell r="C160" t="str">
            <v>دستگاه نو</v>
          </cell>
          <cell r="AF160">
            <v>12</v>
          </cell>
          <cell r="AR160">
            <v>9000000</v>
          </cell>
        </row>
        <row r="161">
          <cell r="B161" t="str">
            <v>دستگاه پشم فلز چینی</v>
          </cell>
          <cell r="C161" t="str">
            <v>قطعه نو</v>
          </cell>
          <cell r="AF161">
            <v>9</v>
          </cell>
          <cell r="AR161">
            <v>6750000</v>
          </cell>
        </row>
        <row r="162">
          <cell r="B162" t="str">
            <v>برش جمعی عقب ریو</v>
          </cell>
          <cell r="C162" t="str">
            <v>قطعه نو</v>
          </cell>
          <cell r="AF162">
            <v>3</v>
          </cell>
          <cell r="AR162">
            <v>2250000</v>
          </cell>
        </row>
        <row r="163">
          <cell r="B163" t="str">
            <v>قالب جلو ریو</v>
          </cell>
          <cell r="C163" t="str">
            <v>قالب تعمیری</v>
          </cell>
          <cell r="AF163">
            <v>2</v>
          </cell>
          <cell r="AR163">
            <v>1500000</v>
          </cell>
        </row>
        <row r="164">
          <cell r="B164" t="str">
            <v>دستگاه پشم فلز</v>
          </cell>
          <cell r="C164" t="str">
            <v>قطعه تعمیری</v>
          </cell>
          <cell r="AF164">
            <v>5</v>
          </cell>
          <cell r="AR164">
            <v>3750000</v>
          </cell>
        </row>
        <row r="165">
          <cell r="B165" t="str">
            <v>قالب شیم پژو 405</v>
          </cell>
          <cell r="C165" t="str">
            <v>قالب نو</v>
          </cell>
          <cell r="AF165">
            <v>4</v>
          </cell>
          <cell r="AR165">
            <v>3000000</v>
          </cell>
        </row>
        <row r="166">
          <cell r="B166" t="str">
            <v>لیفتراک</v>
          </cell>
          <cell r="C166" t="str">
            <v>قطعه تعمیری</v>
          </cell>
          <cell r="AF166">
            <v>3</v>
          </cell>
          <cell r="AR166">
            <v>2250000</v>
          </cell>
        </row>
        <row r="167">
          <cell r="B167" t="str">
            <v>لیفتراک</v>
          </cell>
          <cell r="C167" t="str">
            <v>قطعه تعمیری</v>
          </cell>
          <cell r="AF167">
            <v>6</v>
          </cell>
          <cell r="AR167">
            <v>4500000</v>
          </cell>
        </row>
        <row r="168">
          <cell r="B168" t="str">
            <v>قالب پخت کلاچ پیکان آرژانتینی</v>
          </cell>
          <cell r="C168" t="str">
            <v>قالب تعمیری</v>
          </cell>
          <cell r="AF168">
            <v>2</v>
          </cell>
          <cell r="AR168">
            <v>1500000</v>
          </cell>
        </row>
        <row r="169">
          <cell r="B169" t="str">
            <v>ویوینگ</v>
          </cell>
          <cell r="C169" t="str">
            <v>قطعه تعمیری</v>
          </cell>
          <cell r="AF169">
            <v>1.5</v>
          </cell>
          <cell r="AR169">
            <v>1125000</v>
          </cell>
        </row>
        <row r="170">
          <cell r="B170" t="str">
            <v>لیفتراک</v>
          </cell>
          <cell r="C170" t="str">
            <v>قطعه تعمیری</v>
          </cell>
          <cell r="AF170">
            <v>2.5</v>
          </cell>
          <cell r="AR170">
            <v>1875000</v>
          </cell>
        </row>
        <row r="171">
          <cell r="B171" t="str">
            <v>قالب پژو 405 دیسکی</v>
          </cell>
          <cell r="C171" t="str">
            <v>قالب تعمیری</v>
          </cell>
          <cell r="AF171">
            <v>5</v>
          </cell>
          <cell r="AR171">
            <v>3750000</v>
          </cell>
        </row>
        <row r="172">
          <cell r="B172" t="str">
            <v>قالب پژو 405 دیسکی</v>
          </cell>
          <cell r="C172" t="str">
            <v>قالب تعمیری</v>
          </cell>
          <cell r="AF172">
            <v>1</v>
          </cell>
          <cell r="AR172">
            <v>750000</v>
          </cell>
        </row>
        <row r="173">
          <cell r="B173" t="str">
            <v>قالب پخت کلاچ پیکان</v>
          </cell>
          <cell r="C173" t="str">
            <v>قالب تعمیری</v>
          </cell>
          <cell r="AF173">
            <v>1</v>
          </cell>
          <cell r="AR173">
            <v>750000</v>
          </cell>
        </row>
        <row r="174">
          <cell r="B174" t="str">
            <v>پخت کلاچ پراید</v>
          </cell>
          <cell r="C174" t="str">
            <v>قالب تعمیری</v>
          </cell>
          <cell r="AF174">
            <v>11</v>
          </cell>
          <cell r="AR174">
            <v>8250000</v>
          </cell>
        </row>
        <row r="175">
          <cell r="B175" t="str">
            <v>پخت کلاچ پراید</v>
          </cell>
          <cell r="C175" t="str">
            <v>قالب تعمیری</v>
          </cell>
          <cell r="AF175">
            <v>8</v>
          </cell>
          <cell r="AR175">
            <v>6000000</v>
          </cell>
        </row>
        <row r="176">
          <cell r="B176" t="str">
            <v>پین عقب پژو 405</v>
          </cell>
          <cell r="C176" t="str">
            <v>قطعه نو</v>
          </cell>
          <cell r="AF176">
            <v>7.5</v>
          </cell>
          <cell r="AR176">
            <v>5625000</v>
          </cell>
        </row>
        <row r="177">
          <cell r="B177" t="str">
            <v>پخت عقب پژو 405 شمشی پایه کوتاه</v>
          </cell>
          <cell r="C177" t="str">
            <v>قالب نو</v>
          </cell>
          <cell r="AF177">
            <v>6.5</v>
          </cell>
          <cell r="AR177">
            <v>4875000</v>
          </cell>
        </row>
        <row r="178">
          <cell r="B178" t="str">
            <v>قالب عقب F12</v>
          </cell>
          <cell r="C178" t="str">
            <v>قالب تعمیری</v>
          </cell>
          <cell r="AF178">
            <v>11</v>
          </cell>
          <cell r="AR178">
            <v>8250000</v>
          </cell>
        </row>
        <row r="179">
          <cell r="B179" t="str">
            <v>Hammer Mill Machine</v>
          </cell>
          <cell r="C179" t="str">
            <v>دستگاه نو</v>
          </cell>
          <cell r="AF179">
            <v>11</v>
          </cell>
          <cell r="AR179">
            <v>8250000</v>
          </cell>
        </row>
        <row r="180">
          <cell r="B180" t="str">
            <v>پخت کلاچ پراید</v>
          </cell>
          <cell r="C180" t="str">
            <v>قالب تعمیری</v>
          </cell>
          <cell r="AF180">
            <v>2</v>
          </cell>
          <cell r="AR180">
            <v>3000000</v>
          </cell>
        </row>
        <row r="181">
          <cell r="B181" t="str">
            <v>قالب 309 سوراخدار</v>
          </cell>
          <cell r="C181" t="str">
            <v>قالب تعمیری</v>
          </cell>
          <cell r="AF181">
            <v>3</v>
          </cell>
          <cell r="AR181">
            <v>4500000</v>
          </cell>
        </row>
        <row r="182">
          <cell r="B182" t="str">
            <v>قالب پخت کلاچ پژو 405</v>
          </cell>
          <cell r="C182" t="str">
            <v>قالب تعمیری</v>
          </cell>
          <cell r="AF182">
            <v>6</v>
          </cell>
          <cell r="AR182">
            <v>9000000</v>
          </cell>
        </row>
        <row r="183">
          <cell r="B183" t="str">
            <v>قالب پخت کلاچ پیکان</v>
          </cell>
          <cell r="C183" t="str">
            <v>قالب تعمیری</v>
          </cell>
          <cell r="AF183">
            <v>6.5</v>
          </cell>
          <cell r="AR183">
            <v>9750000</v>
          </cell>
        </row>
        <row r="184">
          <cell r="B184" t="str">
            <v>پخت کلاچ پراید</v>
          </cell>
          <cell r="C184" t="str">
            <v>قالب تعمیری</v>
          </cell>
          <cell r="AF184">
            <v>4.5</v>
          </cell>
          <cell r="AR184">
            <v>6750000</v>
          </cell>
        </row>
        <row r="185">
          <cell r="B185" t="str">
            <v>Hammer Mill Machine</v>
          </cell>
          <cell r="C185" t="str">
            <v>دستگاه نو</v>
          </cell>
          <cell r="AF185">
            <v>10</v>
          </cell>
          <cell r="AR185">
            <v>7500000</v>
          </cell>
        </row>
        <row r="186">
          <cell r="B186" t="str">
            <v>Hammer Mill Machine</v>
          </cell>
          <cell r="C186" t="str">
            <v>دستگاه نو</v>
          </cell>
          <cell r="AF186">
            <v>10</v>
          </cell>
          <cell r="AR186">
            <v>7500000</v>
          </cell>
        </row>
        <row r="187">
          <cell r="B187" t="str">
            <v>Hammer Mill Machine</v>
          </cell>
          <cell r="C187" t="str">
            <v>دستگاه نو</v>
          </cell>
          <cell r="AF187">
            <v>10</v>
          </cell>
          <cell r="AR187">
            <v>7500000</v>
          </cell>
        </row>
        <row r="188">
          <cell r="B188" t="str">
            <v>دستگاه پشم فلز چینی</v>
          </cell>
          <cell r="C188" t="str">
            <v>قطعه نو</v>
          </cell>
          <cell r="AF188">
            <v>8</v>
          </cell>
          <cell r="AR188">
            <v>6000000</v>
          </cell>
        </row>
        <row r="189">
          <cell r="B189" t="str">
            <v>قالب پژو 405 دیسکی</v>
          </cell>
          <cell r="C189" t="str">
            <v>قالب تعمیری</v>
          </cell>
          <cell r="AF189">
            <v>4</v>
          </cell>
          <cell r="AR189">
            <v>3000000</v>
          </cell>
        </row>
        <row r="190">
          <cell r="B190" t="str">
            <v>قالب پخت کلاچ پژو 405</v>
          </cell>
          <cell r="C190" t="str">
            <v>قالب تعمیری</v>
          </cell>
          <cell r="AF190">
            <v>3</v>
          </cell>
          <cell r="AR190">
            <v>2250000</v>
          </cell>
        </row>
        <row r="191">
          <cell r="B191" t="str">
            <v>قالب شیم پژو 405</v>
          </cell>
          <cell r="C191" t="str">
            <v>قالب تعمیری</v>
          </cell>
          <cell r="AF191">
            <v>1</v>
          </cell>
          <cell r="AR191">
            <v>750000</v>
          </cell>
        </row>
        <row r="192">
          <cell r="B192" t="str">
            <v>قالب جلو ریو</v>
          </cell>
          <cell r="C192" t="str">
            <v>قالب تعمیری</v>
          </cell>
          <cell r="AF192">
            <v>7</v>
          </cell>
          <cell r="AR192">
            <v>5250000</v>
          </cell>
        </row>
        <row r="193">
          <cell r="B193" t="str">
            <v>قالب پراید خاردار</v>
          </cell>
          <cell r="C193" t="str">
            <v>قالب تعمیری</v>
          </cell>
          <cell r="AF193">
            <v>1</v>
          </cell>
          <cell r="AR193">
            <v>750000</v>
          </cell>
        </row>
        <row r="194">
          <cell r="B194" t="str">
            <v>قالب شیم پژو 405</v>
          </cell>
          <cell r="C194" t="str">
            <v>قالب تعمیری</v>
          </cell>
          <cell r="AF194">
            <v>2</v>
          </cell>
          <cell r="AR194">
            <v>1500000</v>
          </cell>
        </row>
        <row r="195">
          <cell r="B195" t="str">
            <v>قالب جلو ریو</v>
          </cell>
          <cell r="C195" t="str">
            <v>قالب تعمیری</v>
          </cell>
          <cell r="AF195">
            <v>4</v>
          </cell>
          <cell r="AR195">
            <v>3000000</v>
          </cell>
        </row>
        <row r="196">
          <cell r="B196" t="str">
            <v>قالب پخت کلاچ پیکان</v>
          </cell>
          <cell r="C196" t="str">
            <v>قالب تعمیری</v>
          </cell>
          <cell r="AF196">
            <v>1</v>
          </cell>
          <cell r="AR196">
            <v>750000</v>
          </cell>
        </row>
        <row r="197">
          <cell r="B197" t="str">
            <v>قالب 309 سوراخدار</v>
          </cell>
          <cell r="C197" t="str">
            <v>قالب تعمیری</v>
          </cell>
          <cell r="AF197">
            <v>1</v>
          </cell>
          <cell r="AR197">
            <v>750000</v>
          </cell>
        </row>
        <row r="198">
          <cell r="B198" t="str">
            <v>قالب جلو ریو</v>
          </cell>
          <cell r="C198" t="str">
            <v>قالب تعمیری</v>
          </cell>
          <cell r="AF198">
            <v>2</v>
          </cell>
          <cell r="AR198">
            <v>1500000</v>
          </cell>
        </row>
        <row r="199">
          <cell r="B199" t="str">
            <v>قالب پخت کلاچ پیکان</v>
          </cell>
          <cell r="C199" t="str">
            <v>قالب تعمیری</v>
          </cell>
          <cell r="AF199">
            <v>4</v>
          </cell>
          <cell r="AR199">
            <v>3000000</v>
          </cell>
        </row>
        <row r="200">
          <cell r="B200" t="str">
            <v>قالب 309 سوراخدار</v>
          </cell>
          <cell r="C200" t="str">
            <v>قالب تعمیری</v>
          </cell>
          <cell r="AF200">
            <v>1</v>
          </cell>
          <cell r="AR200">
            <v>750000</v>
          </cell>
        </row>
        <row r="201">
          <cell r="B201" t="str">
            <v>قالب جلو ریو</v>
          </cell>
          <cell r="C201" t="str">
            <v>قالب تعمیری</v>
          </cell>
          <cell r="AF201">
            <v>1</v>
          </cell>
          <cell r="AR201">
            <v>750000</v>
          </cell>
        </row>
        <row r="202">
          <cell r="B202" t="str">
            <v>پخت کلاچ پراید</v>
          </cell>
          <cell r="C202" t="str">
            <v>قالب تعمیری</v>
          </cell>
          <cell r="AF202">
            <v>11</v>
          </cell>
          <cell r="AR202">
            <v>16500000</v>
          </cell>
        </row>
        <row r="203">
          <cell r="B203" t="str">
            <v>قالب پخت کلاچ پژو 405</v>
          </cell>
          <cell r="C203" t="str">
            <v>قالب تعمیری</v>
          </cell>
          <cell r="AF203">
            <v>5</v>
          </cell>
          <cell r="AR203">
            <v>7500000</v>
          </cell>
        </row>
        <row r="204">
          <cell r="B204" t="str">
            <v>قالب عقب F12</v>
          </cell>
          <cell r="C204" t="str">
            <v>قالب تعمیری</v>
          </cell>
          <cell r="AF204">
            <v>9</v>
          </cell>
          <cell r="AR204">
            <v>6750000</v>
          </cell>
        </row>
        <row r="205">
          <cell r="B205" t="str">
            <v>قالب عقب F12</v>
          </cell>
          <cell r="C205" t="str">
            <v>قالب تعمیری</v>
          </cell>
          <cell r="AF205">
            <v>2</v>
          </cell>
          <cell r="AR205">
            <v>1500000</v>
          </cell>
        </row>
        <row r="206">
          <cell r="B206" t="str">
            <v>پخت کلاچ پراید</v>
          </cell>
          <cell r="C206" t="str">
            <v>قالب تعمیری</v>
          </cell>
          <cell r="AF206">
            <v>11</v>
          </cell>
          <cell r="AR206">
            <v>8250000</v>
          </cell>
        </row>
        <row r="207">
          <cell r="B207" t="str">
            <v>قالب جلو ریو</v>
          </cell>
          <cell r="C207" t="str">
            <v>قالب تعمیری</v>
          </cell>
          <cell r="AF207">
            <v>4</v>
          </cell>
          <cell r="AR207">
            <v>3000000</v>
          </cell>
        </row>
        <row r="208">
          <cell r="B208" t="str">
            <v>قالب پخت کلاچ پیکان</v>
          </cell>
          <cell r="C208" t="str">
            <v>قالب تعمیری</v>
          </cell>
          <cell r="AF208">
            <v>2</v>
          </cell>
          <cell r="AR208">
            <v>1500000</v>
          </cell>
        </row>
        <row r="209">
          <cell r="B209" t="str">
            <v>قالب پخت کلاچ پژو 405</v>
          </cell>
          <cell r="C209" t="str">
            <v>قالب تعمیری</v>
          </cell>
          <cell r="AF209">
            <v>5</v>
          </cell>
          <cell r="AR209">
            <v>3750000</v>
          </cell>
        </row>
        <row r="210">
          <cell r="B210" t="str">
            <v>پین عقب پژو 405</v>
          </cell>
          <cell r="C210" t="str">
            <v>قطعه نو</v>
          </cell>
          <cell r="AF210">
            <v>7.5</v>
          </cell>
          <cell r="AR210">
            <v>5625000</v>
          </cell>
        </row>
        <row r="211">
          <cell r="B211" t="str">
            <v>Hammer Mill Machine</v>
          </cell>
          <cell r="C211" t="str">
            <v>دستگاه نو</v>
          </cell>
          <cell r="AF211">
            <v>5</v>
          </cell>
          <cell r="AR211">
            <v>3750000</v>
          </cell>
        </row>
        <row r="212">
          <cell r="B212" t="str">
            <v>Hammer Mill Machine</v>
          </cell>
          <cell r="C212" t="str">
            <v>دستگاه نو</v>
          </cell>
          <cell r="AF212">
            <v>4.166666666666667</v>
          </cell>
          <cell r="AR212">
            <v>3125000</v>
          </cell>
        </row>
        <row r="213">
          <cell r="B213" t="str">
            <v>لیفتراک</v>
          </cell>
          <cell r="C213" t="str">
            <v>قطعه تعمیری</v>
          </cell>
          <cell r="AF213">
            <v>1.8333333333333333</v>
          </cell>
          <cell r="AR213">
            <v>1375000</v>
          </cell>
        </row>
        <row r="214">
          <cell r="B214" t="str">
            <v>قالب 309 سوراخدار</v>
          </cell>
          <cell r="C214" t="str">
            <v>قالب تعمیری</v>
          </cell>
          <cell r="AF214">
            <v>6</v>
          </cell>
          <cell r="AR214">
            <v>4500000</v>
          </cell>
        </row>
        <row r="215">
          <cell r="B215" t="str">
            <v>پخت عقب پژو 405 شمشی پایه کوتاه</v>
          </cell>
          <cell r="C215" t="str">
            <v>قالب نو</v>
          </cell>
          <cell r="AF215">
            <v>3</v>
          </cell>
          <cell r="AR215">
            <v>2250000</v>
          </cell>
        </row>
        <row r="216">
          <cell r="B216" t="str">
            <v>قالب پخت کلاچ پژو 405</v>
          </cell>
          <cell r="C216" t="str">
            <v>قالب تعمیری</v>
          </cell>
          <cell r="AF216">
            <v>1</v>
          </cell>
          <cell r="AR216">
            <v>750000</v>
          </cell>
        </row>
        <row r="217">
          <cell r="B217" t="str">
            <v>Hammer Mill Machine</v>
          </cell>
          <cell r="C217" t="str">
            <v>دستگاه نو</v>
          </cell>
          <cell r="AF217">
            <v>11</v>
          </cell>
          <cell r="AR217">
            <v>8250000</v>
          </cell>
        </row>
        <row r="218">
          <cell r="B218" t="str">
            <v>Hammer Mill Machine</v>
          </cell>
          <cell r="C218" t="str">
            <v>دستگاه نو</v>
          </cell>
          <cell r="AF218">
            <v>11</v>
          </cell>
          <cell r="AR218">
            <v>8250000</v>
          </cell>
        </row>
        <row r="219">
          <cell r="B219" t="str">
            <v>Hammer Mill Machine</v>
          </cell>
          <cell r="C219" t="str">
            <v>دستگاه نو</v>
          </cell>
          <cell r="AF219">
            <v>11</v>
          </cell>
          <cell r="AR219">
            <v>8250000</v>
          </cell>
        </row>
        <row r="220">
          <cell r="B220" t="str">
            <v>قالب پژو 405 دیسکی</v>
          </cell>
          <cell r="C220" t="str">
            <v>قالب تعمیری</v>
          </cell>
          <cell r="AF220">
            <v>11</v>
          </cell>
          <cell r="AR220">
            <v>8250000</v>
          </cell>
        </row>
        <row r="221">
          <cell r="B221" t="str">
            <v>قالب 309 سوراخدار</v>
          </cell>
          <cell r="C221" t="str">
            <v>قالب تعمیری</v>
          </cell>
          <cell r="AF221">
            <v>3</v>
          </cell>
          <cell r="AR221">
            <v>2250000</v>
          </cell>
        </row>
        <row r="222">
          <cell r="B222" t="str">
            <v>پخت عقب پژو 405 شمشی پایه کوتاه</v>
          </cell>
          <cell r="C222" t="str">
            <v>قالب نو</v>
          </cell>
          <cell r="AF222">
            <v>3</v>
          </cell>
          <cell r="AR222">
            <v>2250000</v>
          </cell>
        </row>
        <row r="223">
          <cell r="B223" t="str">
            <v>قالب شیم پژو 405</v>
          </cell>
          <cell r="C223" t="str">
            <v>قالب تعمیری</v>
          </cell>
          <cell r="AF223">
            <v>2</v>
          </cell>
          <cell r="AR223">
            <v>1500000</v>
          </cell>
        </row>
        <row r="224">
          <cell r="B224" t="str">
            <v>قالب پخت کلاچ پیکان</v>
          </cell>
          <cell r="C224" t="str">
            <v>قالب تعمیری</v>
          </cell>
          <cell r="AF224">
            <v>1</v>
          </cell>
          <cell r="AR224">
            <v>750000</v>
          </cell>
        </row>
        <row r="225">
          <cell r="B225" t="str">
            <v>Hammer Mill Machine</v>
          </cell>
          <cell r="C225" t="str">
            <v>دستگاه نو</v>
          </cell>
          <cell r="AF225">
            <v>11</v>
          </cell>
          <cell r="AR225">
            <v>8250000</v>
          </cell>
        </row>
        <row r="226">
          <cell r="B226" t="str">
            <v>پخت عقب پژو 405 شمشی پایه کوتاه</v>
          </cell>
          <cell r="C226" t="str">
            <v>قالب نو</v>
          </cell>
          <cell r="AF226">
            <v>3.8333333333333335</v>
          </cell>
          <cell r="AR226">
            <v>2875000</v>
          </cell>
        </row>
        <row r="227">
          <cell r="B227" t="str">
            <v>قالب شیم ریو</v>
          </cell>
          <cell r="C227" t="str">
            <v>قالب تعمیری</v>
          </cell>
          <cell r="AF227">
            <v>2.75</v>
          </cell>
          <cell r="AR227">
            <v>2062500</v>
          </cell>
        </row>
        <row r="228">
          <cell r="B228" t="str">
            <v>Hammer Mill Machine</v>
          </cell>
          <cell r="C228" t="str">
            <v>دستگاه نو</v>
          </cell>
          <cell r="AF228">
            <v>5</v>
          </cell>
          <cell r="AR228">
            <v>3750000</v>
          </cell>
        </row>
        <row r="229">
          <cell r="B229" t="str">
            <v>اصول 5S</v>
          </cell>
          <cell r="C229" t="str">
            <v>نظافت</v>
          </cell>
          <cell r="AF229">
            <v>1</v>
          </cell>
          <cell r="AR229">
            <v>750000</v>
          </cell>
        </row>
        <row r="230">
          <cell r="B230" t="str">
            <v>پخت کلاچ پراید</v>
          </cell>
          <cell r="C230" t="str">
            <v>قالب تعمیری</v>
          </cell>
          <cell r="AF230">
            <v>7.5</v>
          </cell>
          <cell r="AR230">
            <v>11250000</v>
          </cell>
        </row>
        <row r="231">
          <cell r="B231" t="str">
            <v>پین عقب پژو 405</v>
          </cell>
          <cell r="C231" t="str">
            <v>قطعه نو</v>
          </cell>
          <cell r="AF231">
            <v>4</v>
          </cell>
          <cell r="AR231">
            <v>3000000</v>
          </cell>
        </row>
        <row r="232">
          <cell r="B232" t="str">
            <v>قالب پخت کلاچ پیکان</v>
          </cell>
          <cell r="C232" t="str">
            <v>قالب تعمیری</v>
          </cell>
          <cell r="AF232">
            <v>6</v>
          </cell>
          <cell r="AR232">
            <v>9000000</v>
          </cell>
        </row>
        <row r="233">
          <cell r="B233" t="str">
            <v>قالب پخت کلاچ پیکان</v>
          </cell>
          <cell r="C233" t="str">
            <v>قالب تعمیری</v>
          </cell>
          <cell r="AF233">
            <v>1.5</v>
          </cell>
          <cell r="AR233">
            <v>2250000</v>
          </cell>
        </row>
        <row r="234">
          <cell r="B234" t="str">
            <v>قالب پخت کلاچ پژو 405</v>
          </cell>
          <cell r="C234" t="str">
            <v>قالب تعمیری</v>
          </cell>
          <cell r="AF234">
            <v>6.5</v>
          </cell>
          <cell r="AR234">
            <v>4875000</v>
          </cell>
        </row>
        <row r="235">
          <cell r="B235" t="str">
            <v>اصول 5S</v>
          </cell>
          <cell r="C235" t="str">
            <v>نظافت</v>
          </cell>
          <cell r="AF235">
            <v>1</v>
          </cell>
          <cell r="AR235">
            <v>750000</v>
          </cell>
        </row>
        <row r="236">
          <cell r="B236" t="str">
            <v>قالب عقب F12</v>
          </cell>
          <cell r="C236" t="str">
            <v>قالب تعمیری</v>
          </cell>
          <cell r="AF236">
            <v>3.5</v>
          </cell>
          <cell r="AR236">
            <v>2625000</v>
          </cell>
        </row>
        <row r="237">
          <cell r="B237" t="str">
            <v>ویوینگ</v>
          </cell>
          <cell r="C237" t="str">
            <v>قطعه تعمیری</v>
          </cell>
          <cell r="AF237">
            <v>0.5</v>
          </cell>
          <cell r="AR237">
            <v>375000</v>
          </cell>
        </row>
        <row r="238">
          <cell r="B238" t="str">
            <v>اصول 5S</v>
          </cell>
          <cell r="C238" t="str">
            <v>نظافت</v>
          </cell>
          <cell r="AF238">
            <v>1</v>
          </cell>
          <cell r="AR238">
            <v>750000</v>
          </cell>
        </row>
        <row r="239">
          <cell r="B239" t="str">
            <v>ویوینگ</v>
          </cell>
          <cell r="C239" t="str">
            <v>قطعه تعمیری</v>
          </cell>
          <cell r="AF239">
            <v>2</v>
          </cell>
          <cell r="AR239">
            <v>1500000</v>
          </cell>
        </row>
        <row r="240">
          <cell r="B240" t="str">
            <v>قالب جلو ریو</v>
          </cell>
          <cell r="C240" t="str">
            <v>قالب تعمیری</v>
          </cell>
          <cell r="AF240">
            <v>2</v>
          </cell>
          <cell r="AR240">
            <v>1500000</v>
          </cell>
        </row>
        <row r="241">
          <cell r="B241" t="str">
            <v>Hammer Mill Machine</v>
          </cell>
          <cell r="C241" t="str">
            <v>دستگاه نو</v>
          </cell>
          <cell r="AF241">
            <v>2</v>
          </cell>
          <cell r="AR241">
            <v>1500000</v>
          </cell>
        </row>
        <row r="242">
          <cell r="B242" t="str">
            <v>اصول 5S</v>
          </cell>
          <cell r="C242" t="str">
            <v>نظافت</v>
          </cell>
          <cell r="AF242">
            <v>1.5</v>
          </cell>
          <cell r="AR242">
            <v>1125000</v>
          </cell>
        </row>
        <row r="243">
          <cell r="B243" t="str">
            <v>قالب جلو ریو</v>
          </cell>
          <cell r="C243" t="str">
            <v>قالب تعمیری</v>
          </cell>
          <cell r="AF243">
            <v>3</v>
          </cell>
          <cell r="AR243">
            <v>2250000</v>
          </cell>
        </row>
        <row r="244">
          <cell r="B244" t="str">
            <v>قالب پژو 405 دیسکی</v>
          </cell>
          <cell r="C244" t="str">
            <v>قالب تعمیری</v>
          </cell>
          <cell r="AF244">
            <v>1</v>
          </cell>
          <cell r="AR244">
            <v>750000</v>
          </cell>
        </row>
        <row r="245">
          <cell r="B245" t="str">
            <v>قالب پژو 405 دیسکی</v>
          </cell>
          <cell r="C245" t="str">
            <v>قالب تعمیری</v>
          </cell>
          <cell r="AF245">
            <v>1</v>
          </cell>
          <cell r="AR245">
            <v>750000</v>
          </cell>
        </row>
        <row r="246">
          <cell r="B246" t="str">
            <v>اصول 5S</v>
          </cell>
          <cell r="C246" t="str">
            <v>نظافت</v>
          </cell>
          <cell r="AF246">
            <v>2</v>
          </cell>
          <cell r="AR246">
            <v>1500000</v>
          </cell>
        </row>
        <row r="247">
          <cell r="B247" t="str">
            <v>Hammer Mill Machine</v>
          </cell>
          <cell r="C247" t="str">
            <v>دستگاه نو</v>
          </cell>
          <cell r="AF247">
            <v>8</v>
          </cell>
          <cell r="AR247">
            <v>6000000</v>
          </cell>
        </row>
        <row r="248">
          <cell r="B248" t="str">
            <v>Hammer Mill Machine</v>
          </cell>
          <cell r="C248" t="str">
            <v>دستگاه نو</v>
          </cell>
          <cell r="AF248">
            <v>8</v>
          </cell>
          <cell r="AR248">
            <v>6000000</v>
          </cell>
        </row>
        <row r="249">
          <cell r="B249" t="str">
            <v>Hammer Mill Machine</v>
          </cell>
          <cell r="C249" t="str">
            <v>دستگاه نو</v>
          </cell>
          <cell r="AF249">
            <v>8</v>
          </cell>
          <cell r="AR249">
            <v>6000000</v>
          </cell>
        </row>
        <row r="250">
          <cell r="B250" t="str">
            <v>قالب پژو 405 دیسکی</v>
          </cell>
          <cell r="C250" t="str">
            <v>قالب تعمیری</v>
          </cell>
          <cell r="AF250">
            <v>7</v>
          </cell>
          <cell r="AR250">
            <v>5250000</v>
          </cell>
        </row>
        <row r="251">
          <cell r="B251" t="str">
            <v>دستگاه چسب زنی</v>
          </cell>
          <cell r="C251" t="str">
            <v>قطعه نو</v>
          </cell>
          <cell r="AF251">
            <v>1</v>
          </cell>
          <cell r="AR251">
            <v>750000</v>
          </cell>
        </row>
        <row r="252">
          <cell r="B252" t="str">
            <v>قالب شیم پژو 405</v>
          </cell>
          <cell r="C252" t="str">
            <v>قالب تعمیری</v>
          </cell>
          <cell r="AF252">
            <v>2</v>
          </cell>
          <cell r="AR252">
            <v>1500000</v>
          </cell>
        </row>
        <row r="253">
          <cell r="B253" t="str">
            <v>قالب جلو ریو</v>
          </cell>
          <cell r="C253" t="str">
            <v>قالب تعمیری</v>
          </cell>
          <cell r="AF253">
            <v>2</v>
          </cell>
          <cell r="AR253">
            <v>1500000</v>
          </cell>
        </row>
        <row r="254">
          <cell r="B254" t="str">
            <v>قالب پخت کلاچ پژو 405</v>
          </cell>
          <cell r="C254" t="str">
            <v>قالب تعمیری</v>
          </cell>
          <cell r="AF254">
            <v>1</v>
          </cell>
          <cell r="AR254">
            <v>750000</v>
          </cell>
        </row>
        <row r="255">
          <cell r="B255" t="str">
            <v>اصول 5S</v>
          </cell>
          <cell r="C255" t="str">
            <v>نظافت</v>
          </cell>
          <cell r="AF255">
            <v>2</v>
          </cell>
          <cell r="AR255">
            <v>1500000</v>
          </cell>
        </row>
        <row r="256">
          <cell r="B256" t="str">
            <v>قالب پخت کلاچ پژو 405</v>
          </cell>
          <cell r="C256" t="str">
            <v>قالب تعمیری</v>
          </cell>
          <cell r="AF256">
            <v>5</v>
          </cell>
          <cell r="AR256">
            <v>3750000</v>
          </cell>
        </row>
        <row r="257">
          <cell r="B257" t="str">
            <v>قالب شیم پژو 405</v>
          </cell>
          <cell r="C257" t="str">
            <v>قالب تعمیری</v>
          </cell>
          <cell r="AF257">
            <v>2</v>
          </cell>
          <cell r="AR257">
            <v>1500000</v>
          </cell>
        </row>
        <row r="258">
          <cell r="B258" t="str">
            <v>اصول 5S</v>
          </cell>
          <cell r="C258" t="str">
            <v>نظافت</v>
          </cell>
          <cell r="AF258">
            <v>1</v>
          </cell>
          <cell r="AR258">
            <v>750000</v>
          </cell>
        </row>
        <row r="259">
          <cell r="B259" t="str">
            <v>پین عقب پژو 405</v>
          </cell>
          <cell r="C259" t="str">
            <v>قطعه نو</v>
          </cell>
          <cell r="AF259">
            <v>7.5</v>
          </cell>
          <cell r="AR259">
            <v>5625000</v>
          </cell>
        </row>
        <row r="260">
          <cell r="B260" t="str">
            <v>پخت عقب پژو 405 شمشی پایه کوتاه</v>
          </cell>
          <cell r="C260" t="str">
            <v>قالب نو</v>
          </cell>
          <cell r="AF260">
            <v>6.5</v>
          </cell>
          <cell r="AR260">
            <v>4875000</v>
          </cell>
        </row>
        <row r="261">
          <cell r="B261" t="str">
            <v>قالب پخت کلاچ پژو 405</v>
          </cell>
          <cell r="C261" t="str">
            <v>قالب تعمیری</v>
          </cell>
          <cell r="AF261">
            <v>11</v>
          </cell>
          <cell r="AR261">
            <v>8250000</v>
          </cell>
        </row>
        <row r="262">
          <cell r="B262" t="str">
            <v>قالب پخت کلاچ پیکان</v>
          </cell>
          <cell r="C262" t="str">
            <v>قالب تعمیری</v>
          </cell>
          <cell r="AF262">
            <v>11</v>
          </cell>
          <cell r="AR262">
            <v>16500000</v>
          </cell>
        </row>
        <row r="263">
          <cell r="B263" t="str">
            <v>قالب پخت کلاچ پژو 405</v>
          </cell>
          <cell r="C263" t="str">
            <v>قالب تعمیری</v>
          </cell>
          <cell r="AF263">
            <v>6</v>
          </cell>
          <cell r="AR263">
            <v>4500000</v>
          </cell>
        </row>
        <row r="264">
          <cell r="B264" t="str">
            <v>پخت کلاچ پراید</v>
          </cell>
          <cell r="C264" t="str">
            <v>قالب تعمیری</v>
          </cell>
          <cell r="AF264">
            <v>4</v>
          </cell>
          <cell r="AR264">
            <v>3000000</v>
          </cell>
        </row>
        <row r="265">
          <cell r="B265" t="str">
            <v>قالب شیم پژو 405</v>
          </cell>
          <cell r="C265" t="str">
            <v>قالب تعمیری</v>
          </cell>
          <cell r="AF265">
            <v>1</v>
          </cell>
          <cell r="AR265">
            <v>750000</v>
          </cell>
        </row>
        <row r="266">
          <cell r="B266" t="str">
            <v>قالب عقب F12</v>
          </cell>
          <cell r="C266" t="str">
            <v>قالب تعمیری</v>
          </cell>
          <cell r="AF266">
            <v>4.5</v>
          </cell>
          <cell r="AR266">
            <v>3375000</v>
          </cell>
        </row>
        <row r="267">
          <cell r="B267" t="str">
            <v>دستگاه پشم فلز آلمانی</v>
          </cell>
          <cell r="C267" t="str">
            <v>قطعه نو</v>
          </cell>
          <cell r="AF267">
            <v>1</v>
          </cell>
          <cell r="AR267">
            <v>750000</v>
          </cell>
        </row>
        <row r="268">
          <cell r="B268" t="str">
            <v>قالب پخت کلاچ پیکان</v>
          </cell>
          <cell r="C268" t="str">
            <v>قالب تعمیری</v>
          </cell>
          <cell r="AF268">
            <v>5.5</v>
          </cell>
          <cell r="AR268">
            <v>4125000</v>
          </cell>
        </row>
        <row r="269">
          <cell r="B269" t="str">
            <v>Hammer Mill Machine</v>
          </cell>
          <cell r="C269" t="str">
            <v>دستگاه نو</v>
          </cell>
          <cell r="AF269">
            <v>3.8333333333333335</v>
          </cell>
          <cell r="AR269">
            <v>2875000</v>
          </cell>
        </row>
        <row r="270">
          <cell r="B270" t="str">
            <v>میکس چینی</v>
          </cell>
          <cell r="C270" t="str">
            <v>قطعه نو</v>
          </cell>
          <cell r="AF270">
            <v>3.3333333333333335</v>
          </cell>
          <cell r="AR270">
            <v>2500000</v>
          </cell>
        </row>
        <row r="271">
          <cell r="B271" t="str">
            <v xml:space="preserve">دستگاه سنگ پشم فلز آلمانی </v>
          </cell>
          <cell r="C271" t="str">
            <v>قطعه تعمیری</v>
          </cell>
          <cell r="AF271">
            <v>3.8333333333333335</v>
          </cell>
          <cell r="AR271">
            <v>2875000</v>
          </cell>
        </row>
        <row r="272">
          <cell r="B272" t="str">
            <v>قالب پژو 405 دیسکی</v>
          </cell>
          <cell r="C272" t="str">
            <v>قالب تعمیری</v>
          </cell>
          <cell r="AF272">
            <v>2</v>
          </cell>
          <cell r="AR272">
            <v>1500000</v>
          </cell>
        </row>
        <row r="273">
          <cell r="B273" t="str">
            <v>پخت کلاچ پراید</v>
          </cell>
          <cell r="C273" t="str">
            <v>قالب تعمیری</v>
          </cell>
          <cell r="AF273">
            <v>4</v>
          </cell>
          <cell r="AR273">
            <v>3000000</v>
          </cell>
        </row>
        <row r="274">
          <cell r="B274" t="str">
            <v>قالب پخت کلاچ پژو 405</v>
          </cell>
          <cell r="C274" t="str">
            <v>قالب تعمیری</v>
          </cell>
          <cell r="AF274">
            <v>2</v>
          </cell>
          <cell r="AR274">
            <v>1500000</v>
          </cell>
        </row>
        <row r="275">
          <cell r="B275" t="str">
            <v>پخت عقب پژو 405 شمشی پایه کوتاه</v>
          </cell>
          <cell r="C275" t="str">
            <v>قالب نو</v>
          </cell>
          <cell r="AF275">
            <v>2</v>
          </cell>
          <cell r="AR275">
            <v>1500000</v>
          </cell>
        </row>
        <row r="276">
          <cell r="B276" t="str">
            <v>قالب جلو ریو</v>
          </cell>
          <cell r="C276" t="str">
            <v>قالب تعمیری</v>
          </cell>
          <cell r="AF276">
            <v>4</v>
          </cell>
          <cell r="AR276">
            <v>3000000</v>
          </cell>
        </row>
        <row r="277">
          <cell r="B277" t="str">
            <v>قالب جلو ریو</v>
          </cell>
          <cell r="C277" t="str">
            <v>قالب تعمیری</v>
          </cell>
          <cell r="AF277">
            <v>2</v>
          </cell>
          <cell r="AR277">
            <v>1500000</v>
          </cell>
        </row>
        <row r="278">
          <cell r="B278" t="str">
            <v>قالب شمشی عقب ریو</v>
          </cell>
          <cell r="C278" t="str">
            <v>قالب نو</v>
          </cell>
          <cell r="AF278">
            <v>1</v>
          </cell>
          <cell r="AR278">
            <v>750000</v>
          </cell>
        </row>
        <row r="279">
          <cell r="B279" t="str">
            <v>قالب پژو 405 دیسکی</v>
          </cell>
          <cell r="C279" t="str">
            <v>قالب تعمیری</v>
          </cell>
          <cell r="AF279">
            <v>3</v>
          </cell>
          <cell r="AR279">
            <v>2250000</v>
          </cell>
        </row>
        <row r="280">
          <cell r="B280" t="str">
            <v>قالب 309 بدون سوراخ</v>
          </cell>
          <cell r="C280" t="str">
            <v>قالب تعمیری</v>
          </cell>
          <cell r="AF280">
            <v>1</v>
          </cell>
          <cell r="AR280">
            <v>750000</v>
          </cell>
        </row>
        <row r="281">
          <cell r="B281" t="str">
            <v>قالب پخت کلاچ پیکان</v>
          </cell>
          <cell r="C281" t="str">
            <v>قالب تعمیری</v>
          </cell>
          <cell r="AF281">
            <v>11</v>
          </cell>
          <cell r="AR281">
            <v>16500000</v>
          </cell>
        </row>
        <row r="282">
          <cell r="B282" t="str">
            <v>قالب پخت کلاچ پیکان</v>
          </cell>
          <cell r="C282" t="str">
            <v>قالب تعمیری</v>
          </cell>
          <cell r="AF282">
            <v>8</v>
          </cell>
          <cell r="AR282">
            <v>12000000</v>
          </cell>
        </row>
        <row r="283">
          <cell r="B283" t="str">
            <v>قالب پخت کلاچ پیکان آرژانتینی</v>
          </cell>
          <cell r="C283" t="str">
            <v>قالب تعمیری</v>
          </cell>
          <cell r="AF283">
            <v>3</v>
          </cell>
          <cell r="AR283">
            <v>4500000</v>
          </cell>
        </row>
        <row r="284">
          <cell r="B284" t="str">
            <v>قالب پخت کلاچ پیکان</v>
          </cell>
          <cell r="C284" t="str">
            <v>قالب تعمیری</v>
          </cell>
          <cell r="AF284">
            <v>11</v>
          </cell>
          <cell r="AR284">
            <v>16500000</v>
          </cell>
        </row>
        <row r="285">
          <cell r="B285" t="str">
            <v>پخت عقب پژو 405 شمشی پایه کوتاه</v>
          </cell>
          <cell r="C285" t="str">
            <v>قالب نو</v>
          </cell>
          <cell r="AF285">
            <v>6.333333333333333</v>
          </cell>
          <cell r="AR285">
            <v>4750000</v>
          </cell>
        </row>
        <row r="286">
          <cell r="B286" t="str">
            <v>پخت عقب پژو 405 شمشی پایه کوتاه</v>
          </cell>
          <cell r="C286" t="str">
            <v>قالب نو</v>
          </cell>
          <cell r="AF286">
            <v>6.333333333333333</v>
          </cell>
          <cell r="AR286">
            <v>4750000</v>
          </cell>
        </row>
        <row r="287">
          <cell r="B287" t="str">
            <v>Hammer Mill Machine</v>
          </cell>
          <cell r="C287" t="str">
            <v>دستگاه نو</v>
          </cell>
          <cell r="AF287">
            <v>12</v>
          </cell>
          <cell r="AR287">
            <v>9000000</v>
          </cell>
        </row>
        <row r="288">
          <cell r="B288" t="str">
            <v>Hammer Mill Machine</v>
          </cell>
          <cell r="C288" t="str">
            <v>دستگاه نو</v>
          </cell>
          <cell r="AF288">
            <v>12</v>
          </cell>
          <cell r="AR288">
            <v>9000000</v>
          </cell>
        </row>
        <row r="289">
          <cell r="B289" t="str">
            <v>Hammer Mill Machine</v>
          </cell>
          <cell r="C289" t="str">
            <v>دستگاه نو</v>
          </cell>
          <cell r="AF289">
            <v>12</v>
          </cell>
          <cell r="AR289">
            <v>9000000</v>
          </cell>
        </row>
        <row r="290">
          <cell r="B290" t="str">
            <v>قالب پژو 405 دیسکی</v>
          </cell>
          <cell r="C290" t="str">
            <v>قالب تعمیری</v>
          </cell>
          <cell r="AF290">
            <v>3</v>
          </cell>
          <cell r="AR290">
            <v>2250000</v>
          </cell>
        </row>
        <row r="291">
          <cell r="B291" t="str">
            <v>ساب کلاچ</v>
          </cell>
          <cell r="C291" t="str">
            <v>قطعه نو</v>
          </cell>
          <cell r="AF291">
            <v>5</v>
          </cell>
          <cell r="AR291">
            <v>3750000</v>
          </cell>
        </row>
        <row r="292">
          <cell r="B292" t="str">
            <v>قالب پژو 405 دیسکی</v>
          </cell>
          <cell r="C292" t="str">
            <v>قالب تعمیری</v>
          </cell>
          <cell r="AF292">
            <v>4</v>
          </cell>
          <cell r="AR292">
            <v>3000000</v>
          </cell>
        </row>
        <row r="293">
          <cell r="B293" t="str">
            <v>قالب پخت کلاچ پژو 405</v>
          </cell>
          <cell r="C293" t="str">
            <v>قالب تعمیری</v>
          </cell>
          <cell r="AF293">
            <v>11</v>
          </cell>
          <cell r="AR293">
            <v>8250000</v>
          </cell>
        </row>
        <row r="294">
          <cell r="B294" t="str">
            <v>قالب پخت کلاچ پیکان</v>
          </cell>
          <cell r="C294" t="str">
            <v>قالب تعمیری</v>
          </cell>
          <cell r="AF294">
            <v>11</v>
          </cell>
          <cell r="AR294">
            <v>8250000</v>
          </cell>
        </row>
        <row r="295">
          <cell r="B295" t="str">
            <v>Hammer Mill Machine</v>
          </cell>
          <cell r="C295" t="str">
            <v>دستگاه نو</v>
          </cell>
          <cell r="AF295">
            <v>12</v>
          </cell>
          <cell r="AR295">
            <v>9000000</v>
          </cell>
        </row>
        <row r="296">
          <cell r="B296" t="str">
            <v>Hammer Mill Machine</v>
          </cell>
          <cell r="C296" t="str">
            <v>دستگاه نو</v>
          </cell>
          <cell r="AF296">
            <v>12</v>
          </cell>
          <cell r="AR296">
            <v>9000000</v>
          </cell>
        </row>
        <row r="297">
          <cell r="B297" t="str">
            <v>قالب جلو ریو</v>
          </cell>
          <cell r="C297" t="str">
            <v>قالب تعمیری</v>
          </cell>
          <cell r="AF297">
            <v>12</v>
          </cell>
          <cell r="AR297">
            <v>9000000</v>
          </cell>
        </row>
        <row r="298">
          <cell r="B298" t="str">
            <v>لنت دنیای مس</v>
          </cell>
          <cell r="C298" t="str">
            <v>قطعه نو</v>
          </cell>
          <cell r="AF298">
            <v>12</v>
          </cell>
          <cell r="AR298">
            <v>9000000</v>
          </cell>
        </row>
        <row r="299">
          <cell r="B299" t="str">
            <v>Hammer Mill Machine</v>
          </cell>
          <cell r="C299" t="str">
            <v>دستگاه نو</v>
          </cell>
          <cell r="AF299">
            <v>12</v>
          </cell>
          <cell r="AR299">
            <v>9000000</v>
          </cell>
        </row>
        <row r="300">
          <cell r="B300" t="str">
            <v>Hammer Mill Machine</v>
          </cell>
          <cell r="C300" t="str">
            <v>دستگاه نو</v>
          </cell>
          <cell r="AF300">
            <v>12</v>
          </cell>
          <cell r="AR300">
            <v>9000000</v>
          </cell>
        </row>
        <row r="301">
          <cell r="B301" t="str">
            <v>قالب جلو ریو</v>
          </cell>
          <cell r="C301" t="str">
            <v>قالب تعمیری</v>
          </cell>
          <cell r="AF301">
            <v>12</v>
          </cell>
          <cell r="AR301">
            <v>9000000</v>
          </cell>
        </row>
        <row r="302">
          <cell r="B302" t="str">
            <v>لنت دنیای مس</v>
          </cell>
          <cell r="C302" t="str">
            <v>قطعه نو</v>
          </cell>
          <cell r="AF302">
            <v>12</v>
          </cell>
          <cell r="AR302">
            <v>9000000</v>
          </cell>
        </row>
        <row r="303">
          <cell r="B303" t="str">
            <v>ویوینگ</v>
          </cell>
          <cell r="C303" t="str">
            <v>قطعه تعمیری</v>
          </cell>
          <cell r="AF303">
            <v>2.3333333333333335</v>
          </cell>
          <cell r="AR303">
            <v>1750000</v>
          </cell>
        </row>
        <row r="304">
          <cell r="B304" t="str">
            <v xml:space="preserve">دستگاه سنگ پشم فلز آلمانی </v>
          </cell>
          <cell r="C304" t="str">
            <v>قطعه نو</v>
          </cell>
          <cell r="AF304">
            <v>3.3333333333333335</v>
          </cell>
          <cell r="AR304">
            <v>2500000</v>
          </cell>
        </row>
        <row r="305">
          <cell r="B305" t="str">
            <v>دستگاه پشم فلز آلمانی</v>
          </cell>
          <cell r="C305" t="str">
            <v>قطعه نو</v>
          </cell>
          <cell r="AF305">
            <v>2</v>
          </cell>
          <cell r="AR305">
            <v>1500000</v>
          </cell>
        </row>
        <row r="306">
          <cell r="B306" t="str">
            <v>قالب جلو ریو</v>
          </cell>
          <cell r="C306" t="str">
            <v>قالب تعمیری</v>
          </cell>
          <cell r="AF306">
            <v>3.3333333333333335</v>
          </cell>
          <cell r="AR306">
            <v>2500000</v>
          </cell>
        </row>
        <row r="307">
          <cell r="B307" t="str">
            <v>ساب</v>
          </cell>
          <cell r="C307" t="str">
            <v>قطعه نو</v>
          </cell>
          <cell r="AF307">
            <v>2</v>
          </cell>
          <cell r="AR307">
            <v>1500000</v>
          </cell>
        </row>
        <row r="308">
          <cell r="B308" t="str">
            <v>دریل سوراخکاری</v>
          </cell>
          <cell r="C308" t="str">
            <v>قطعه تعمیری</v>
          </cell>
          <cell r="AF308">
            <v>2</v>
          </cell>
          <cell r="AR308">
            <v>1500000</v>
          </cell>
        </row>
        <row r="309">
          <cell r="B309" t="str">
            <v>برش جمعی عقب</v>
          </cell>
          <cell r="C309" t="str">
            <v>قطعه تعمیری</v>
          </cell>
          <cell r="AF309">
            <v>2.5</v>
          </cell>
          <cell r="AR309">
            <v>1875000</v>
          </cell>
        </row>
        <row r="310">
          <cell r="B310" t="str">
            <v>سری نقطه جوش</v>
          </cell>
          <cell r="C310" t="str">
            <v>قطعه تعمیری</v>
          </cell>
          <cell r="AF310">
            <v>3.1666666666666665</v>
          </cell>
          <cell r="AR310">
            <v>2375000</v>
          </cell>
        </row>
        <row r="311">
          <cell r="B311" t="str">
            <v>ویوینگ</v>
          </cell>
          <cell r="C311" t="str">
            <v>قطعه تعمیری</v>
          </cell>
          <cell r="AF311">
            <v>1.3333333333333333</v>
          </cell>
          <cell r="AR311">
            <v>1000000</v>
          </cell>
        </row>
        <row r="312">
          <cell r="B312" t="str">
            <v>قالب پخت کلاچ پژو 405</v>
          </cell>
          <cell r="C312" t="str">
            <v>قالب تعمیری</v>
          </cell>
          <cell r="AF312">
            <v>2</v>
          </cell>
          <cell r="AR312">
            <v>1500000</v>
          </cell>
        </row>
        <row r="313">
          <cell r="B313" t="str">
            <v>قالب پخت کلاچ پیکان</v>
          </cell>
          <cell r="C313" t="str">
            <v>قالب تعمیری</v>
          </cell>
          <cell r="AF313">
            <v>3</v>
          </cell>
          <cell r="AR313">
            <v>2250000</v>
          </cell>
        </row>
        <row r="314">
          <cell r="B314" t="str">
            <v>قالب شیم ریو</v>
          </cell>
          <cell r="C314" t="str">
            <v>قالب تعمیری</v>
          </cell>
          <cell r="AF314">
            <v>1</v>
          </cell>
          <cell r="AR314">
            <v>750000</v>
          </cell>
        </row>
        <row r="315">
          <cell r="B315" t="str">
            <v>قالب پخت کلاچ پیکان</v>
          </cell>
          <cell r="C315" t="str">
            <v>قالب تعمیری</v>
          </cell>
          <cell r="AF315">
            <v>5</v>
          </cell>
          <cell r="AR315">
            <v>3750000</v>
          </cell>
        </row>
        <row r="316">
          <cell r="B316" t="str">
            <v>قالب شیم پژو 405</v>
          </cell>
          <cell r="C316" t="str">
            <v>قالب تعمیری</v>
          </cell>
          <cell r="AF316">
            <v>4</v>
          </cell>
          <cell r="AR316">
            <v>3000000</v>
          </cell>
        </row>
        <row r="317">
          <cell r="B317" t="str">
            <v>قالب شیم پژو 405</v>
          </cell>
          <cell r="C317" t="str">
            <v>قالب تعمیری</v>
          </cell>
          <cell r="AF317">
            <v>2</v>
          </cell>
          <cell r="AR317">
            <v>1500000</v>
          </cell>
        </row>
        <row r="318">
          <cell r="B318" t="str">
            <v>قالب جلو ریو</v>
          </cell>
          <cell r="C318" t="str">
            <v>قالب تعمیری</v>
          </cell>
          <cell r="AF318">
            <v>3</v>
          </cell>
          <cell r="AR318">
            <v>2250000</v>
          </cell>
        </row>
        <row r="319">
          <cell r="B319" t="str">
            <v>قالب جلو ریو</v>
          </cell>
          <cell r="C319" t="str">
            <v>قالب تعمیری</v>
          </cell>
          <cell r="AF319">
            <v>2</v>
          </cell>
          <cell r="AR319">
            <v>1500000</v>
          </cell>
        </row>
        <row r="320">
          <cell r="B320" t="str">
            <v>قالب پخت کلاچ پژو 405</v>
          </cell>
          <cell r="C320" t="str">
            <v>قالب تعمیری</v>
          </cell>
          <cell r="AF320">
            <v>2.5</v>
          </cell>
          <cell r="AR320">
            <v>1875000</v>
          </cell>
        </row>
        <row r="321">
          <cell r="B321" t="str">
            <v>قالب پخت کلاچ پژو 405</v>
          </cell>
          <cell r="C321" t="str">
            <v>قالب تعمیری</v>
          </cell>
          <cell r="AF321">
            <v>4</v>
          </cell>
          <cell r="AR321">
            <v>3000000</v>
          </cell>
        </row>
        <row r="322">
          <cell r="B322" t="str">
            <v>قالب پخت کلاچ پژو 405</v>
          </cell>
          <cell r="C322" t="str">
            <v>قالب تعمیری</v>
          </cell>
          <cell r="AF322">
            <v>4.5</v>
          </cell>
          <cell r="AR322">
            <v>3375000</v>
          </cell>
        </row>
        <row r="323">
          <cell r="B323" t="str">
            <v>قالب پخت کلاچ پیکان</v>
          </cell>
          <cell r="C323" t="str">
            <v>قالب تعمیری</v>
          </cell>
          <cell r="AF323">
            <v>9</v>
          </cell>
          <cell r="AR323">
            <v>13500000</v>
          </cell>
        </row>
        <row r="324">
          <cell r="B324" t="str">
            <v>قالب پخت کلاچ پیکان آرژانتینی</v>
          </cell>
          <cell r="C324" t="str">
            <v>قالب تعمیری</v>
          </cell>
          <cell r="AF324">
            <v>2</v>
          </cell>
          <cell r="AR324">
            <v>3000000</v>
          </cell>
        </row>
        <row r="325">
          <cell r="B325" t="str">
            <v>قالب پخت کلاچ پیکان آرژانتینی</v>
          </cell>
          <cell r="C325" t="str">
            <v>قالب تعمیری</v>
          </cell>
          <cell r="AF325">
            <v>5.5</v>
          </cell>
          <cell r="AR325">
            <v>8250000</v>
          </cell>
        </row>
        <row r="326">
          <cell r="B326" t="str">
            <v>پخت کلاچ پراید</v>
          </cell>
          <cell r="C326" t="str">
            <v>قالب تعمیری</v>
          </cell>
          <cell r="AF326">
            <v>5.5</v>
          </cell>
          <cell r="AR326">
            <v>8250000</v>
          </cell>
        </row>
        <row r="327">
          <cell r="B327" t="str">
            <v xml:space="preserve">دستگاه مهر زنی </v>
          </cell>
          <cell r="C327" t="str">
            <v>قطعه نو</v>
          </cell>
          <cell r="AF327">
            <v>1.5</v>
          </cell>
          <cell r="AR327">
            <v>1125000</v>
          </cell>
        </row>
        <row r="328">
          <cell r="B328" t="str">
            <v xml:space="preserve">دستگاه سنگ پشم فلز آلمانی </v>
          </cell>
          <cell r="C328" t="str">
            <v>قطعه نو</v>
          </cell>
          <cell r="AF328">
            <v>3</v>
          </cell>
          <cell r="AR328">
            <v>2250000</v>
          </cell>
        </row>
        <row r="329">
          <cell r="B329" t="str">
            <v>قالب شمشی عقب ریو</v>
          </cell>
          <cell r="C329" t="str">
            <v>قالب نو</v>
          </cell>
          <cell r="AF329">
            <v>3</v>
          </cell>
          <cell r="AR329">
            <v>2250000</v>
          </cell>
        </row>
        <row r="330">
          <cell r="B330" t="str">
            <v>قالب پخت کلاچ پژو 405</v>
          </cell>
          <cell r="C330" t="str">
            <v>قالب تعمیری</v>
          </cell>
          <cell r="AF330">
            <v>11</v>
          </cell>
          <cell r="AR330">
            <v>16500000</v>
          </cell>
        </row>
        <row r="331">
          <cell r="B331" t="str">
            <v>قالب پخت کلاچ پیکان</v>
          </cell>
          <cell r="C331" t="str">
            <v>قالب تعمیری</v>
          </cell>
          <cell r="AF331">
            <v>1.5</v>
          </cell>
          <cell r="AR331">
            <v>1125000</v>
          </cell>
        </row>
        <row r="332">
          <cell r="B332" t="str">
            <v>قالب پخت کلاچ پژو 405</v>
          </cell>
          <cell r="C332" t="str">
            <v>قالب تعمیری</v>
          </cell>
          <cell r="AF332">
            <v>1.5</v>
          </cell>
          <cell r="AR332">
            <v>1125000</v>
          </cell>
        </row>
        <row r="333">
          <cell r="B333" t="str">
            <v>قالب شمشی عقب ریو</v>
          </cell>
          <cell r="C333" t="str">
            <v>قالب نو</v>
          </cell>
          <cell r="AF333">
            <v>3</v>
          </cell>
          <cell r="AR333">
            <v>2250000</v>
          </cell>
        </row>
        <row r="334">
          <cell r="B334" t="str">
            <v>قالب پخت کلاچ پیکان آرژانتینی</v>
          </cell>
          <cell r="C334" t="str">
            <v>قالب تعمیری</v>
          </cell>
          <cell r="AF334">
            <v>1.5</v>
          </cell>
          <cell r="AR334">
            <v>1125000</v>
          </cell>
        </row>
        <row r="335">
          <cell r="B335" t="str">
            <v>پخت کلاچ پراید</v>
          </cell>
          <cell r="C335" t="str">
            <v>قالب تعمیری</v>
          </cell>
          <cell r="AF335">
            <v>1.5</v>
          </cell>
          <cell r="AR335">
            <v>1125000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AF336">
            <v>1.5</v>
          </cell>
          <cell r="AR336">
            <v>1125000</v>
          </cell>
        </row>
        <row r="337">
          <cell r="B337" t="str">
            <v>قالب پخت کلاچ پژو 405</v>
          </cell>
          <cell r="C337" t="str">
            <v>قالب تعمیری</v>
          </cell>
          <cell r="AF337">
            <v>11</v>
          </cell>
          <cell r="AR337">
            <v>8250000</v>
          </cell>
        </row>
        <row r="338">
          <cell r="B338" t="str">
            <v>قالب پخت کلاچ پیکان آرژانتینی</v>
          </cell>
          <cell r="C338" t="str">
            <v>قالب تعمیری</v>
          </cell>
          <cell r="AF338">
            <v>11</v>
          </cell>
          <cell r="AR338">
            <v>8250000</v>
          </cell>
        </row>
        <row r="339">
          <cell r="B339" t="str">
            <v>قالب پخت کلاچ پیکان آرژانتینی</v>
          </cell>
          <cell r="C339" t="str">
            <v>قالب تعمیری</v>
          </cell>
          <cell r="AF339">
            <v>7.5</v>
          </cell>
          <cell r="AR339">
            <v>5625000</v>
          </cell>
        </row>
        <row r="340">
          <cell r="B340" t="str">
            <v>قالب عقب F12</v>
          </cell>
          <cell r="C340" t="str">
            <v>قالب تعمیری</v>
          </cell>
          <cell r="AF340">
            <v>3.5</v>
          </cell>
          <cell r="AR340">
            <v>2625000</v>
          </cell>
        </row>
        <row r="341">
          <cell r="B341" t="str">
            <v>پخت عقب پژو 405 شمشی پایه کوتاه</v>
          </cell>
          <cell r="C341" t="str">
            <v>قالب نو</v>
          </cell>
          <cell r="AF341">
            <v>3.25</v>
          </cell>
          <cell r="AR341">
            <v>2437500</v>
          </cell>
        </row>
        <row r="342">
          <cell r="B342" t="str">
            <v>قالب پخت کلاچ پیکان</v>
          </cell>
          <cell r="C342" t="str">
            <v>قالب تعمیری</v>
          </cell>
          <cell r="AF342">
            <v>2.0833333333333335</v>
          </cell>
          <cell r="AR342">
            <v>1562500</v>
          </cell>
        </row>
        <row r="343">
          <cell r="B343" t="str">
            <v>قالب پخت کلاچ پیکان</v>
          </cell>
          <cell r="C343" t="str">
            <v>قالب تعمیری</v>
          </cell>
          <cell r="AF343">
            <v>1</v>
          </cell>
          <cell r="AR343">
            <v>750000</v>
          </cell>
        </row>
        <row r="344">
          <cell r="B344" t="str">
            <v>قالب پخت کلاچ پژو 405</v>
          </cell>
          <cell r="C344" t="str">
            <v>قالب تعمیری</v>
          </cell>
          <cell r="AF344">
            <v>2</v>
          </cell>
          <cell r="AR344">
            <v>1500000</v>
          </cell>
        </row>
        <row r="345">
          <cell r="B345" t="str">
            <v>قالب شمشی عقب ریو</v>
          </cell>
          <cell r="C345" t="str">
            <v>قالب نو</v>
          </cell>
          <cell r="AF345">
            <v>3</v>
          </cell>
          <cell r="AR345">
            <v>2250000</v>
          </cell>
        </row>
        <row r="346">
          <cell r="B346" t="str">
            <v>پخت کلاچ پراید</v>
          </cell>
          <cell r="C346" t="str">
            <v>قالب تعمیری</v>
          </cell>
          <cell r="AF346">
            <v>1</v>
          </cell>
          <cell r="AR346">
            <v>750000</v>
          </cell>
        </row>
        <row r="347">
          <cell r="B347" t="str">
            <v>قالب پخت کلاچ پیکان</v>
          </cell>
          <cell r="C347" t="str">
            <v>قالب تعمیری</v>
          </cell>
          <cell r="AF347">
            <v>2</v>
          </cell>
          <cell r="AR347">
            <v>1500000</v>
          </cell>
        </row>
        <row r="348">
          <cell r="B348" t="str">
            <v>قالب پخت کلاچ پژو 405</v>
          </cell>
          <cell r="C348" t="str">
            <v>قالب تعمیری</v>
          </cell>
          <cell r="AF348">
            <v>3.5</v>
          </cell>
          <cell r="AR348">
            <v>2625000</v>
          </cell>
        </row>
        <row r="349">
          <cell r="B349" t="str">
            <v>قالب پخت کلاچ پیکان</v>
          </cell>
          <cell r="C349" t="str">
            <v>قالب تعمیری</v>
          </cell>
          <cell r="AF349">
            <v>4</v>
          </cell>
          <cell r="AR349">
            <v>3000000</v>
          </cell>
        </row>
        <row r="350">
          <cell r="B350" t="str">
            <v>قالب پخت کلاچ پیکان</v>
          </cell>
          <cell r="C350" t="str">
            <v>قالب تعمیری</v>
          </cell>
          <cell r="AF350">
            <v>3.5</v>
          </cell>
          <cell r="AR350">
            <v>2625000</v>
          </cell>
        </row>
        <row r="351">
          <cell r="B351" t="str">
            <v>قالب پخت کلاچ پژو 405</v>
          </cell>
          <cell r="C351" t="str">
            <v>قالب تعمیری</v>
          </cell>
          <cell r="AF351">
            <v>8</v>
          </cell>
          <cell r="AR351">
            <v>6000000</v>
          </cell>
        </row>
        <row r="352">
          <cell r="B352" t="str">
            <v>قالب پخت کلاچ پیکان آرژانتینی</v>
          </cell>
          <cell r="C352" t="str">
            <v>قالب تعمیری</v>
          </cell>
          <cell r="AF352">
            <v>3</v>
          </cell>
          <cell r="AR352">
            <v>2250000</v>
          </cell>
        </row>
        <row r="353">
          <cell r="B353" t="str">
            <v>برش جمعی جدید</v>
          </cell>
          <cell r="C353" t="str">
            <v>قطعه نو</v>
          </cell>
          <cell r="AF353">
            <v>3</v>
          </cell>
          <cell r="AR353">
            <v>2250000</v>
          </cell>
        </row>
        <row r="354">
          <cell r="B354" t="str">
            <v>پین عقب پژو 405</v>
          </cell>
          <cell r="C354" t="str">
            <v>قطعه نو</v>
          </cell>
          <cell r="AF354">
            <v>7.5</v>
          </cell>
          <cell r="AR354">
            <v>5625000</v>
          </cell>
        </row>
        <row r="355">
          <cell r="B355" t="str">
            <v>آغشته کاری</v>
          </cell>
          <cell r="C355" t="str">
            <v>قطعه تعمیری</v>
          </cell>
          <cell r="AF355">
            <v>2</v>
          </cell>
          <cell r="AR355">
            <v>1500000</v>
          </cell>
        </row>
        <row r="356">
          <cell r="B356" t="str">
            <v>ویوینگ</v>
          </cell>
          <cell r="C356" t="str">
            <v>قطعه تعمیری</v>
          </cell>
          <cell r="AF356">
            <v>2</v>
          </cell>
          <cell r="AR356">
            <v>1500000</v>
          </cell>
        </row>
        <row r="357">
          <cell r="B357" t="str">
            <v>ابزار زنی</v>
          </cell>
          <cell r="C357" t="str">
            <v>قطعه تعمیری</v>
          </cell>
          <cell r="AF357">
            <v>2.5</v>
          </cell>
          <cell r="AR357">
            <v>1875000</v>
          </cell>
        </row>
        <row r="358">
          <cell r="B358" t="str">
            <v>آغشته کاری</v>
          </cell>
          <cell r="C358" t="str">
            <v>قطعه تعمیری</v>
          </cell>
          <cell r="AF358">
            <v>2</v>
          </cell>
          <cell r="AR358">
            <v>1500000</v>
          </cell>
        </row>
        <row r="359">
          <cell r="B359" t="str">
            <v>سری نقطه جوش</v>
          </cell>
          <cell r="C359" t="str">
            <v>قطعه تعمیری</v>
          </cell>
          <cell r="AF359">
            <v>2.5</v>
          </cell>
          <cell r="AR359">
            <v>1875000</v>
          </cell>
        </row>
        <row r="360">
          <cell r="B360" t="str">
            <v>قالب پخت کلاچ پژو 405</v>
          </cell>
          <cell r="C360" t="str">
            <v>قالب تعمیری</v>
          </cell>
          <cell r="AF360">
            <v>1.6666666666666667</v>
          </cell>
          <cell r="AR360">
            <v>2500000</v>
          </cell>
        </row>
        <row r="361">
          <cell r="B361" t="str">
            <v>قالب پخت کلاچ پژو 405</v>
          </cell>
          <cell r="C361" t="str">
            <v>قالب تعمیری</v>
          </cell>
          <cell r="AF361">
            <v>9.3333333333333339</v>
          </cell>
          <cell r="AR361">
            <v>14000000</v>
          </cell>
        </row>
        <row r="362">
          <cell r="B362" t="str">
            <v>پین عقب پژو 405</v>
          </cell>
          <cell r="C362" t="str">
            <v>قطعه نو</v>
          </cell>
          <cell r="AF362">
            <v>7.5</v>
          </cell>
          <cell r="AR362">
            <v>5625000</v>
          </cell>
        </row>
        <row r="363">
          <cell r="B363" t="str">
            <v>پین عقب پژو 405</v>
          </cell>
          <cell r="C363" t="str">
            <v>قطعه نو</v>
          </cell>
          <cell r="AF363">
            <v>7.5</v>
          </cell>
          <cell r="AR363">
            <v>5625000</v>
          </cell>
        </row>
        <row r="364">
          <cell r="B364" t="str">
            <v>قالب پخت کلاچ پیکان</v>
          </cell>
          <cell r="C364" t="str">
            <v>قالب تعمیری</v>
          </cell>
          <cell r="AF364">
            <v>3.25</v>
          </cell>
          <cell r="AR364">
            <v>2437500</v>
          </cell>
        </row>
        <row r="365">
          <cell r="B365" t="str">
            <v>قالب عقب F12</v>
          </cell>
          <cell r="C365" t="str">
            <v>قالب تعمیری</v>
          </cell>
          <cell r="AF365">
            <v>3.25</v>
          </cell>
          <cell r="AR365">
            <v>2437500</v>
          </cell>
        </row>
        <row r="366">
          <cell r="B366" t="str">
            <v>قالب پخت کلاچ پژو 405</v>
          </cell>
          <cell r="C366" t="str">
            <v>قالب تعمیری</v>
          </cell>
          <cell r="AF366">
            <v>5.5</v>
          </cell>
          <cell r="AR366">
            <v>4125000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AF367">
            <v>5.5</v>
          </cell>
          <cell r="AR367">
            <v>4125000</v>
          </cell>
        </row>
        <row r="368">
          <cell r="B368" t="str">
            <v>پخت کلاچ پراید</v>
          </cell>
          <cell r="C368" t="str">
            <v>قالب تعمیری</v>
          </cell>
          <cell r="AF368">
            <v>5.5</v>
          </cell>
          <cell r="AR368">
            <v>4125000</v>
          </cell>
        </row>
        <row r="369">
          <cell r="B369" t="str">
            <v>اصول 5S</v>
          </cell>
          <cell r="C369" t="str">
            <v>نظافت</v>
          </cell>
          <cell r="AF369">
            <v>2</v>
          </cell>
          <cell r="AR369">
            <v>1500000</v>
          </cell>
        </row>
        <row r="370">
          <cell r="B370" t="str">
            <v>اصول 5S</v>
          </cell>
          <cell r="C370" t="str">
            <v>نظافت</v>
          </cell>
          <cell r="AF370">
            <v>2</v>
          </cell>
          <cell r="AR370">
            <v>1500000</v>
          </cell>
        </row>
        <row r="371">
          <cell r="B371" t="str">
            <v>دستگاه پخ زنی</v>
          </cell>
          <cell r="C371" t="str">
            <v>دستگاه تعمیری</v>
          </cell>
          <cell r="AF371">
            <v>3</v>
          </cell>
          <cell r="AR371">
            <v>2250000</v>
          </cell>
        </row>
        <row r="372">
          <cell r="B372" t="str">
            <v>قالب پژو 405 دیسکی</v>
          </cell>
          <cell r="C372" t="str">
            <v>قالب تعمیری</v>
          </cell>
          <cell r="AF372">
            <v>1</v>
          </cell>
          <cell r="AR372">
            <v>750000</v>
          </cell>
        </row>
        <row r="373">
          <cell r="B373" t="str">
            <v>پخت کلاچ پراید</v>
          </cell>
          <cell r="C373" t="str">
            <v>قالب تعمیری</v>
          </cell>
          <cell r="AF373">
            <v>9.5</v>
          </cell>
          <cell r="AR373">
            <v>14250000</v>
          </cell>
        </row>
        <row r="374">
          <cell r="B374" t="str">
            <v>پخت کلاچ پراید</v>
          </cell>
          <cell r="C374" t="str">
            <v>قالب تعمیری</v>
          </cell>
          <cell r="AF374">
            <v>6.5</v>
          </cell>
          <cell r="AR374">
            <v>9750000</v>
          </cell>
        </row>
        <row r="375">
          <cell r="B375" t="str">
            <v>پخت کلاچ پراید</v>
          </cell>
          <cell r="C375" t="str">
            <v>قالب تعمیری</v>
          </cell>
          <cell r="AF375">
            <v>4.5</v>
          </cell>
          <cell r="AR375">
            <v>3375000</v>
          </cell>
        </row>
        <row r="376">
          <cell r="B376" t="str">
            <v>آسیاب پشم فلز</v>
          </cell>
          <cell r="C376" t="str">
            <v>قطعه تعمیری</v>
          </cell>
          <cell r="AF376">
            <v>2.5</v>
          </cell>
          <cell r="AR376">
            <v>1875000</v>
          </cell>
        </row>
        <row r="377">
          <cell r="B377" t="str">
            <v>قالب پخت کلاچ پژو 405</v>
          </cell>
          <cell r="C377" t="str">
            <v>قالب تعمیری</v>
          </cell>
          <cell r="AF377">
            <v>4</v>
          </cell>
          <cell r="AR377">
            <v>3000000</v>
          </cell>
        </row>
        <row r="378">
          <cell r="B378" t="str">
            <v>پخت کلاچ پراید</v>
          </cell>
          <cell r="C378" t="str">
            <v>قالب تعمیری</v>
          </cell>
          <cell r="AF378">
            <v>3.5</v>
          </cell>
          <cell r="AR378">
            <v>2625000</v>
          </cell>
        </row>
        <row r="379">
          <cell r="B379" t="str">
            <v>پخت کلاچ پراید</v>
          </cell>
          <cell r="C379" t="str">
            <v>قالب تعمیری</v>
          </cell>
          <cell r="AF379">
            <v>3</v>
          </cell>
          <cell r="AR379">
            <v>2250000</v>
          </cell>
        </row>
        <row r="380">
          <cell r="B380" t="str">
            <v>اصول 5S</v>
          </cell>
          <cell r="C380" t="str">
            <v>نظافت</v>
          </cell>
          <cell r="AF380">
            <v>1</v>
          </cell>
          <cell r="AR380">
            <v>750000</v>
          </cell>
        </row>
        <row r="381">
          <cell r="B381" t="str">
            <v>قالب پخت کلاچ پژو 405</v>
          </cell>
          <cell r="C381" t="str">
            <v>قالب تعمیری</v>
          </cell>
          <cell r="AF381">
            <v>1.5</v>
          </cell>
          <cell r="AR381">
            <v>1125000</v>
          </cell>
        </row>
        <row r="382">
          <cell r="B382" t="str">
            <v>پخت مترو K</v>
          </cell>
          <cell r="C382" t="str">
            <v>قالب تعمیری</v>
          </cell>
          <cell r="AF382">
            <v>1.1666666666666667</v>
          </cell>
          <cell r="AR382">
            <v>875000</v>
          </cell>
        </row>
        <row r="383">
          <cell r="B383" t="str">
            <v>پخت مترو K</v>
          </cell>
          <cell r="C383" t="str">
            <v>قالب تعمیری</v>
          </cell>
          <cell r="AF383">
            <v>1.1666666666666667</v>
          </cell>
          <cell r="AR383">
            <v>875000</v>
          </cell>
        </row>
        <row r="384">
          <cell r="B384" t="str">
            <v>پخت مترو K</v>
          </cell>
          <cell r="C384" t="str">
            <v>قالب تعمیری</v>
          </cell>
          <cell r="AF384">
            <v>1.1666666666666667</v>
          </cell>
          <cell r="AR384">
            <v>875000</v>
          </cell>
        </row>
        <row r="385">
          <cell r="B385" t="str">
            <v>اصول 5S</v>
          </cell>
          <cell r="C385" t="str">
            <v>نظافت</v>
          </cell>
          <cell r="AF385">
            <v>3</v>
          </cell>
          <cell r="AR385">
            <v>2250000</v>
          </cell>
        </row>
        <row r="386">
          <cell r="B386" t="str">
            <v>عقب بنز 74</v>
          </cell>
          <cell r="C386" t="str">
            <v>قالب تعمیری</v>
          </cell>
          <cell r="AF386">
            <v>1</v>
          </cell>
          <cell r="AR386">
            <v>750000</v>
          </cell>
        </row>
        <row r="387">
          <cell r="B387" t="str">
            <v>عقب بنز 74</v>
          </cell>
          <cell r="C387" t="str">
            <v>قالب تعمیری</v>
          </cell>
          <cell r="AF387">
            <v>1</v>
          </cell>
          <cell r="AR387">
            <v>750000</v>
          </cell>
        </row>
        <row r="388">
          <cell r="B388" t="str">
            <v>عقب بنز 74</v>
          </cell>
          <cell r="C388" t="str">
            <v>قالب تعمیری</v>
          </cell>
          <cell r="AF388">
            <v>4</v>
          </cell>
          <cell r="AR388">
            <v>3000000</v>
          </cell>
        </row>
        <row r="389">
          <cell r="B389" t="str">
            <v>قالب شیم پژو 405</v>
          </cell>
          <cell r="C389" t="str">
            <v>قالب تعمیری</v>
          </cell>
          <cell r="AF389">
            <v>1</v>
          </cell>
          <cell r="AR389">
            <v>750000</v>
          </cell>
        </row>
        <row r="390">
          <cell r="B390" t="str">
            <v>اصول 5S</v>
          </cell>
          <cell r="C390" t="str">
            <v>نظافت</v>
          </cell>
          <cell r="AF390">
            <v>1</v>
          </cell>
          <cell r="AR390">
            <v>750000</v>
          </cell>
        </row>
        <row r="391">
          <cell r="B391" t="str">
            <v>قالب پخت کلاچ پیکان آرژانتینی</v>
          </cell>
          <cell r="C391" t="str">
            <v>قالب تعمیری</v>
          </cell>
          <cell r="AF391">
            <v>9</v>
          </cell>
          <cell r="AR391">
            <v>6750000</v>
          </cell>
        </row>
        <row r="392">
          <cell r="B392" t="str">
            <v>قالب شیم پژو 405</v>
          </cell>
          <cell r="C392" t="str">
            <v>قالب تعمیری</v>
          </cell>
          <cell r="AF392">
            <v>1</v>
          </cell>
          <cell r="AR392">
            <v>750000</v>
          </cell>
        </row>
        <row r="393">
          <cell r="B393" t="str">
            <v>قالب پخت کلاچ پژو 405</v>
          </cell>
          <cell r="C393" t="str">
            <v>قالب تعمیری</v>
          </cell>
          <cell r="AF393">
            <v>1</v>
          </cell>
          <cell r="AR393">
            <v>750000</v>
          </cell>
        </row>
        <row r="394">
          <cell r="B394" t="str">
            <v>قالب پخت کلاچ پیکان آرژانتینی</v>
          </cell>
          <cell r="C394" t="str">
            <v>قالب تعمیری</v>
          </cell>
          <cell r="AF394">
            <v>4</v>
          </cell>
          <cell r="AR394">
            <v>3000000</v>
          </cell>
        </row>
        <row r="395">
          <cell r="B395" t="str">
            <v>قالب پخت کلاچ پژو 405</v>
          </cell>
          <cell r="C395" t="str">
            <v>قالب تعمیری</v>
          </cell>
          <cell r="AF395">
            <v>2</v>
          </cell>
          <cell r="AR395">
            <v>1500000</v>
          </cell>
        </row>
        <row r="396">
          <cell r="B396" t="str">
            <v>اصول 5S</v>
          </cell>
          <cell r="C396" t="str">
            <v>نظافت</v>
          </cell>
          <cell r="AF396">
            <v>2</v>
          </cell>
          <cell r="AR396">
            <v>1500000</v>
          </cell>
        </row>
        <row r="397">
          <cell r="B397" t="str">
            <v>ویوینگ</v>
          </cell>
          <cell r="C397" t="str">
            <v>قطعه تعمیری</v>
          </cell>
          <cell r="AF397">
            <v>2</v>
          </cell>
          <cell r="AR397">
            <v>1500000</v>
          </cell>
        </row>
        <row r="398">
          <cell r="B398" t="str">
            <v>پخت مترو K</v>
          </cell>
          <cell r="C398" t="str">
            <v>قالب تعمیری</v>
          </cell>
          <cell r="AF398">
            <v>2</v>
          </cell>
          <cell r="AR398">
            <v>1500000</v>
          </cell>
        </row>
        <row r="399">
          <cell r="B399" t="str">
            <v>دستگاه پشم فلز</v>
          </cell>
          <cell r="C399" t="str">
            <v>قطعه تعمیری</v>
          </cell>
          <cell r="AF399">
            <v>2</v>
          </cell>
          <cell r="AR399">
            <v>1500000</v>
          </cell>
        </row>
        <row r="400">
          <cell r="B400" t="str">
            <v>ابزار زنی</v>
          </cell>
          <cell r="C400" t="str">
            <v>قطعه تعمیری</v>
          </cell>
          <cell r="AF400">
            <v>2</v>
          </cell>
          <cell r="AR400">
            <v>1500000</v>
          </cell>
        </row>
        <row r="401">
          <cell r="B401" t="str">
            <v>Hammer Mill Machine</v>
          </cell>
          <cell r="C401" t="str">
            <v>دستگاه نو</v>
          </cell>
          <cell r="AF401">
            <v>3</v>
          </cell>
          <cell r="AR401">
            <v>2250000</v>
          </cell>
        </row>
        <row r="402">
          <cell r="B402" t="str">
            <v>Hammer Mill Machine</v>
          </cell>
          <cell r="C402" t="str">
            <v>دستگاه نو</v>
          </cell>
          <cell r="AF402">
            <v>6.5</v>
          </cell>
          <cell r="AR402">
            <v>4875000</v>
          </cell>
        </row>
        <row r="403">
          <cell r="B403" t="str">
            <v>اصول 5S</v>
          </cell>
          <cell r="C403" t="str">
            <v>نظافت</v>
          </cell>
          <cell r="AF403">
            <v>1</v>
          </cell>
          <cell r="AR403">
            <v>750000</v>
          </cell>
        </row>
        <row r="404">
          <cell r="B404" t="str">
            <v>قالب عقب F12</v>
          </cell>
          <cell r="C404" t="str">
            <v>قالب تعمیری</v>
          </cell>
          <cell r="AF404">
            <v>7.5</v>
          </cell>
          <cell r="AR404">
            <v>5625000</v>
          </cell>
        </row>
        <row r="405">
          <cell r="B405" t="str">
            <v>Hammer Mill Machine</v>
          </cell>
          <cell r="C405" t="str">
            <v>دستگاه نو</v>
          </cell>
          <cell r="AF405">
            <v>8</v>
          </cell>
          <cell r="AR405">
            <v>6000000</v>
          </cell>
        </row>
        <row r="406">
          <cell r="B406" t="str">
            <v>Hammer Mill Machine</v>
          </cell>
          <cell r="C406" t="str">
            <v>دستگاه نو</v>
          </cell>
          <cell r="AF406">
            <v>8</v>
          </cell>
          <cell r="AR406">
            <v>6000000</v>
          </cell>
        </row>
        <row r="407">
          <cell r="B407" t="str">
            <v>تسمه تست کششی</v>
          </cell>
          <cell r="C407" t="str">
            <v>قطعه نو</v>
          </cell>
          <cell r="AF407">
            <v>8</v>
          </cell>
          <cell r="AR407">
            <v>6000000</v>
          </cell>
        </row>
        <row r="408">
          <cell r="B408" t="str">
            <v>لنت دنیای مس</v>
          </cell>
          <cell r="C408" t="str">
            <v>قطعه نو</v>
          </cell>
          <cell r="AF408">
            <v>8</v>
          </cell>
          <cell r="AR408">
            <v>6000000</v>
          </cell>
        </row>
        <row r="409">
          <cell r="B409" t="str">
            <v>پین عقب پژو 405</v>
          </cell>
          <cell r="C409" t="str">
            <v>قطعه نو</v>
          </cell>
          <cell r="AF409">
            <v>7.5</v>
          </cell>
          <cell r="AR409">
            <v>5625000</v>
          </cell>
        </row>
        <row r="410">
          <cell r="B410" t="str">
            <v>قالب پخت کلاچ پژو 405</v>
          </cell>
          <cell r="C410" t="str">
            <v>قالب تعمیری</v>
          </cell>
          <cell r="AF410">
            <v>2</v>
          </cell>
          <cell r="AR410">
            <v>1500000</v>
          </cell>
        </row>
        <row r="411">
          <cell r="B411" t="str">
            <v>دستگاه ساب کلاچ</v>
          </cell>
          <cell r="C411" t="str">
            <v>قطعه تعمیری</v>
          </cell>
          <cell r="AF411">
            <v>9</v>
          </cell>
          <cell r="AR411">
            <v>6750000</v>
          </cell>
        </row>
        <row r="412">
          <cell r="B412" t="str">
            <v>قالب عقب F12</v>
          </cell>
          <cell r="C412" t="str">
            <v>قالب تعمیری</v>
          </cell>
          <cell r="AF412">
            <v>4</v>
          </cell>
          <cell r="AR412">
            <v>3000000</v>
          </cell>
        </row>
        <row r="413">
          <cell r="B413" t="str">
            <v>آسیاب پشم فلز</v>
          </cell>
          <cell r="C413" t="str">
            <v>قطعه تعمیری</v>
          </cell>
          <cell r="AF413">
            <v>1</v>
          </cell>
          <cell r="AR413">
            <v>750000</v>
          </cell>
        </row>
        <row r="414">
          <cell r="B414" t="str">
            <v>قالب پخت کلاچ پژو 405</v>
          </cell>
          <cell r="C414" t="str">
            <v>قالب تعمیری</v>
          </cell>
          <cell r="AF414">
            <v>1.5</v>
          </cell>
          <cell r="AR414">
            <v>1125000</v>
          </cell>
        </row>
        <row r="415">
          <cell r="B415" t="str">
            <v>قالب عقب F12</v>
          </cell>
          <cell r="C415" t="str">
            <v>قالب تعمیری</v>
          </cell>
          <cell r="AF415">
            <v>4.5</v>
          </cell>
          <cell r="AR415">
            <v>3375000</v>
          </cell>
        </row>
        <row r="416">
          <cell r="B416" t="str">
            <v>قالب شیم پژو 405</v>
          </cell>
          <cell r="C416" t="str">
            <v>قالب تعمیری</v>
          </cell>
          <cell r="AF416">
            <v>6.5</v>
          </cell>
          <cell r="AR416">
            <v>4875000</v>
          </cell>
        </row>
        <row r="417">
          <cell r="B417" t="str">
            <v>قالب پخت کلاچ پیکان آرژانتینی</v>
          </cell>
          <cell r="C417" t="str">
            <v>قالب تعمیری</v>
          </cell>
          <cell r="AF417">
            <v>5</v>
          </cell>
          <cell r="AR417">
            <v>3750000</v>
          </cell>
        </row>
        <row r="418">
          <cell r="B418" t="str">
            <v>قالب پخت کلاچ پژو 405</v>
          </cell>
          <cell r="C418" t="str">
            <v>قالب تعمیری</v>
          </cell>
          <cell r="AF418">
            <v>5</v>
          </cell>
          <cell r="AR418">
            <v>3750000</v>
          </cell>
        </row>
        <row r="419">
          <cell r="B419" t="str">
            <v>سری نقطه جوش</v>
          </cell>
          <cell r="C419" t="str">
            <v>قطعه تعمیری</v>
          </cell>
          <cell r="AF419">
            <v>1</v>
          </cell>
          <cell r="AR419">
            <v>750000</v>
          </cell>
        </row>
        <row r="420">
          <cell r="B420" t="str">
            <v>پخت کلاچ پراید</v>
          </cell>
          <cell r="C420" t="str">
            <v>قالب تعمیری</v>
          </cell>
          <cell r="AF420">
            <v>8.1666666666666661</v>
          </cell>
          <cell r="AR420">
            <v>12250000</v>
          </cell>
        </row>
        <row r="421">
          <cell r="B421" t="str">
            <v>قالب پخت کلاچ پیکان</v>
          </cell>
          <cell r="C421" t="str">
            <v>قالب تعمیری</v>
          </cell>
          <cell r="AF421">
            <v>2.5</v>
          </cell>
          <cell r="AR421">
            <v>3750000</v>
          </cell>
        </row>
        <row r="422">
          <cell r="B422" t="str">
            <v>قالب پخت کلاچ پژو 405</v>
          </cell>
          <cell r="C422" t="str">
            <v>قالب تعمیری</v>
          </cell>
          <cell r="AF422">
            <v>6</v>
          </cell>
          <cell r="AR422">
            <v>4500000</v>
          </cell>
        </row>
        <row r="423">
          <cell r="B423" t="str">
            <v>گیوتین 50 تن</v>
          </cell>
          <cell r="C423" t="str">
            <v>دستگاه تعمیری</v>
          </cell>
          <cell r="AF423">
            <v>3</v>
          </cell>
          <cell r="AR423">
            <v>2250000</v>
          </cell>
        </row>
        <row r="424">
          <cell r="B424" t="str">
            <v>قالب پخت کلاچ پیکان</v>
          </cell>
          <cell r="C424" t="str">
            <v>قالب تعمیری</v>
          </cell>
          <cell r="AF424">
            <v>2</v>
          </cell>
          <cell r="AR424">
            <v>1500000</v>
          </cell>
        </row>
        <row r="425">
          <cell r="B425" t="str">
            <v>قالب شمشی عقب ریو</v>
          </cell>
          <cell r="C425" t="str">
            <v>قالب نو</v>
          </cell>
          <cell r="AF425">
            <v>2</v>
          </cell>
          <cell r="AR425">
            <v>1500000</v>
          </cell>
        </row>
        <row r="426">
          <cell r="B426" t="str">
            <v>پخت عقب پژو 405 شمشی پایه کوتاه</v>
          </cell>
          <cell r="C426" t="str">
            <v>قالب نو</v>
          </cell>
          <cell r="AF426">
            <v>4</v>
          </cell>
          <cell r="AR426">
            <v>3000000</v>
          </cell>
        </row>
        <row r="427">
          <cell r="B427" t="str">
            <v>پخت کلاچ پژو 206 TU5</v>
          </cell>
          <cell r="C427" t="str">
            <v>قالب تعمیری</v>
          </cell>
          <cell r="AF427">
            <v>4</v>
          </cell>
          <cell r="AR427">
            <v>3000000</v>
          </cell>
        </row>
        <row r="428">
          <cell r="B428" t="str">
            <v>دستگاه پشم فلز</v>
          </cell>
          <cell r="C428" t="str">
            <v>قطعه نو</v>
          </cell>
          <cell r="AF428">
            <v>3</v>
          </cell>
          <cell r="AR428">
            <v>2250000</v>
          </cell>
        </row>
        <row r="429">
          <cell r="B429" t="str">
            <v>دستگاه پشم فلز</v>
          </cell>
          <cell r="C429" t="str">
            <v>قطعه نو</v>
          </cell>
          <cell r="AF429">
            <v>2</v>
          </cell>
          <cell r="AR429">
            <v>1500000</v>
          </cell>
        </row>
        <row r="430">
          <cell r="B430" t="str">
            <v>دستگاه پشم فلز</v>
          </cell>
          <cell r="C430" t="str">
            <v>قطعه نو</v>
          </cell>
          <cell r="AF430">
            <v>2</v>
          </cell>
          <cell r="AR430">
            <v>1500000</v>
          </cell>
        </row>
        <row r="431">
          <cell r="B431" t="str">
            <v>عقب بنز 74</v>
          </cell>
          <cell r="C431" t="str">
            <v>قالب تعمیری</v>
          </cell>
          <cell r="AF431">
            <v>2</v>
          </cell>
          <cell r="AR431">
            <v>1500000</v>
          </cell>
        </row>
        <row r="432">
          <cell r="B432" t="str">
            <v>عقب بنز 74</v>
          </cell>
          <cell r="C432" t="str">
            <v>قالب تعمیری</v>
          </cell>
          <cell r="AF432">
            <v>1</v>
          </cell>
          <cell r="AR432">
            <v>750000</v>
          </cell>
        </row>
        <row r="433">
          <cell r="B433" t="str">
            <v>پخت کلاچ پژو 206 TU5</v>
          </cell>
          <cell r="C433" t="str">
            <v>قالب تعمیری</v>
          </cell>
          <cell r="AF433">
            <v>1</v>
          </cell>
          <cell r="AR433">
            <v>750000</v>
          </cell>
        </row>
        <row r="434">
          <cell r="B434" t="str">
            <v>پخت کلاچ پژو 206 TU5</v>
          </cell>
          <cell r="C434" t="str">
            <v>قالب تعمیری</v>
          </cell>
          <cell r="AF434">
            <v>4</v>
          </cell>
          <cell r="AR434">
            <v>3000000</v>
          </cell>
        </row>
        <row r="435">
          <cell r="B435" t="str">
            <v>دستگاه پشم فلز</v>
          </cell>
          <cell r="C435" t="str">
            <v>قطعه نو</v>
          </cell>
          <cell r="AF435">
            <v>1</v>
          </cell>
          <cell r="AR435">
            <v>750000</v>
          </cell>
        </row>
        <row r="436">
          <cell r="B436" t="str">
            <v>دستگاه پشم فلز</v>
          </cell>
          <cell r="C436" t="str">
            <v>قطعه نو</v>
          </cell>
          <cell r="AF436">
            <v>1</v>
          </cell>
          <cell r="AR436">
            <v>750000</v>
          </cell>
        </row>
        <row r="437">
          <cell r="B437" t="str">
            <v>قالب شمشی عقب ریو</v>
          </cell>
          <cell r="C437" t="str">
            <v>قالب نو</v>
          </cell>
          <cell r="AF437">
            <v>1</v>
          </cell>
          <cell r="AR437">
            <v>750000</v>
          </cell>
        </row>
        <row r="438">
          <cell r="B438" t="str">
            <v>Hammer Mill Machine</v>
          </cell>
          <cell r="C438" t="str">
            <v>دستگاه نو</v>
          </cell>
          <cell r="AF438">
            <v>11</v>
          </cell>
          <cell r="AR438">
            <v>8250000</v>
          </cell>
        </row>
        <row r="439">
          <cell r="B439" t="str">
            <v>Hammer Mill Machine</v>
          </cell>
          <cell r="C439" t="str">
            <v>دستگاه نو</v>
          </cell>
          <cell r="AF439">
            <v>11</v>
          </cell>
          <cell r="AR439">
            <v>8250000</v>
          </cell>
        </row>
        <row r="440">
          <cell r="B440" t="str">
            <v>لنت دنیای مس</v>
          </cell>
          <cell r="C440" t="str">
            <v>قطعه نو</v>
          </cell>
          <cell r="AF440">
            <v>11</v>
          </cell>
          <cell r="AR440">
            <v>8250000</v>
          </cell>
        </row>
        <row r="441">
          <cell r="B441" t="str">
            <v>قلم پین پژو 405</v>
          </cell>
          <cell r="C441" t="str">
            <v>قطعه تعمیری</v>
          </cell>
          <cell r="AF441">
            <v>2</v>
          </cell>
          <cell r="AR441">
            <v>1500000</v>
          </cell>
        </row>
        <row r="442">
          <cell r="B442" t="str">
            <v>قلم پین L90</v>
          </cell>
          <cell r="C442" t="str">
            <v>قطعه تعمیری</v>
          </cell>
          <cell r="AF442">
            <v>2</v>
          </cell>
          <cell r="AR442">
            <v>1500000</v>
          </cell>
        </row>
        <row r="443">
          <cell r="B443" t="str">
            <v xml:space="preserve">دستگاه مهر زنی </v>
          </cell>
          <cell r="C443" t="str">
            <v>قطعه نو</v>
          </cell>
          <cell r="AF443">
            <v>1</v>
          </cell>
          <cell r="AR443">
            <v>750000</v>
          </cell>
        </row>
        <row r="444">
          <cell r="B444" t="str">
            <v>دستگاه پشم فلز</v>
          </cell>
          <cell r="C444" t="str">
            <v>قطعه نو</v>
          </cell>
          <cell r="AF444">
            <v>6</v>
          </cell>
          <cell r="AR444">
            <v>4500000</v>
          </cell>
        </row>
        <row r="445">
          <cell r="B445" t="str">
            <v>قالب پخت کلاچ پیکان</v>
          </cell>
          <cell r="C445" t="str">
            <v>قالب تعمیری</v>
          </cell>
          <cell r="AF445">
            <v>7.5</v>
          </cell>
          <cell r="AR445">
            <v>11250000</v>
          </cell>
        </row>
        <row r="446">
          <cell r="B446" t="str">
            <v>قالب عقب F12</v>
          </cell>
          <cell r="C446" t="str">
            <v>قالب تعمیری</v>
          </cell>
          <cell r="AF446">
            <v>6.333333333333333</v>
          </cell>
          <cell r="AR446">
            <v>4750000</v>
          </cell>
        </row>
        <row r="447">
          <cell r="B447" t="str">
            <v>قالب پخت کلاچ پژو 405</v>
          </cell>
          <cell r="C447" t="str">
            <v>قالب تعمیری</v>
          </cell>
          <cell r="AF447">
            <v>9</v>
          </cell>
          <cell r="AR447">
            <v>6750000</v>
          </cell>
        </row>
        <row r="448">
          <cell r="B448" t="str">
            <v>قالب شیم پژو 405</v>
          </cell>
          <cell r="C448" t="str">
            <v>قالب تعمیری</v>
          </cell>
          <cell r="AF448">
            <v>5.5</v>
          </cell>
          <cell r="AR448">
            <v>4125000</v>
          </cell>
        </row>
        <row r="449">
          <cell r="B449" t="str">
            <v>قالب شیم ریو</v>
          </cell>
          <cell r="C449" t="str">
            <v>قالب تعمیری</v>
          </cell>
          <cell r="AF449">
            <v>5.5</v>
          </cell>
          <cell r="AR449">
            <v>4125000</v>
          </cell>
        </row>
        <row r="450">
          <cell r="B450" t="str">
            <v>Hammer Mill Machine</v>
          </cell>
          <cell r="C450" t="str">
            <v>دستگاه نو</v>
          </cell>
          <cell r="AF450">
            <v>8</v>
          </cell>
          <cell r="AR450">
            <v>6000000</v>
          </cell>
        </row>
        <row r="451">
          <cell r="B451" t="str">
            <v>ویوینگ</v>
          </cell>
          <cell r="C451" t="str">
            <v>قطعه تعمیری</v>
          </cell>
          <cell r="AF451">
            <v>3</v>
          </cell>
          <cell r="AR451">
            <v>2250000</v>
          </cell>
        </row>
        <row r="452">
          <cell r="B452" t="str">
            <v>قالب پخت کلاچ پژو 405</v>
          </cell>
          <cell r="C452" t="str">
            <v>قالب تعمیری</v>
          </cell>
          <cell r="AF452">
            <v>11</v>
          </cell>
          <cell r="AR452">
            <v>16500000</v>
          </cell>
        </row>
        <row r="453">
          <cell r="B453" t="str">
            <v>قالب پخت کلاچ پژو 405</v>
          </cell>
          <cell r="C453" t="str">
            <v>قالب تعمیری</v>
          </cell>
          <cell r="AF453">
            <v>5.5</v>
          </cell>
          <cell r="AR453">
            <v>8250000</v>
          </cell>
        </row>
        <row r="454">
          <cell r="B454" t="str">
            <v>CNC 7203</v>
          </cell>
          <cell r="C454" t="str">
            <v>دستگاه تعمیری</v>
          </cell>
          <cell r="AF454">
            <v>5.5</v>
          </cell>
          <cell r="AR454">
            <v>8250000</v>
          </cell>
        </row>
        <row r="455">
          <cell r="B455" t="str">
            <v>CNC 7204</v>
          </cell>
          <cell r="C455" t="str">
            <v>دستگاه تعمیری</v>
          </cell>
          <cell r="AF455">
            <v>5.5</v>
          </cell>
          <cell r="AR455">
            <v>8250000</v>
          </cell>
        </row>
        <row r="456">
          <cell r="B456" t="str">
            <v>ساب کونیک</v>
          </cell>
          <cell r="C456" t="str">
            <v>قطعه نو</v>
          </cell>
          <cell r="AF456">
            <v>5.5</v>
          </cell>
          <cell r="AR456">
            <v>4125000</v>
          </cell>
        </row>
        <row r="457">
          <cell r="B457" t="str">
            <v>پین عقب پژو 405</v>
          </cell>
          <cell r="C457" t="str">
            <v>قطعه نو</v>
          </cell>
          <cell r="AF457">
            <v>7.5</v>
          </cell>
          <cell r="AR457">
            <v>5625000</v>
          </cell>
        </row>
        <row r="458">
          <cell r="B458" t="str">
            <v>ساب کونیک</v>
          </cell>
          <cell r="C458" t="str">
            <v>قطعه نو</v>
          </cell>
          <cell r="AF458">
            <v>3.5</v>
          </cell>
          <cell r="AR458">
            <v>2625000</v>
          </cell>
        </row>
        <row r="459">
          <cell r="B459" t="str">
            <v>پین عقب پژو 405</v>
          </cell>
          <cell r="C459" t="str">
            <v>قطعه نو</v>
          </cell>
          <cell r="AF459">
            <v>3.5</v>
          </cell>
          <cell r="AR459">
            <v>2625000</v>
          </cell>
        </row>
        <row r="460">
          <cell r="B460" t="str">
            <v>برش جمعی عقب</v>
          </cell>
          <cell r="C460" t="str">
            <v>قطعه تعمیری</v>
          </cell>
          <cell r="AF460">
            <v>2</v>
          </cell>
          <cell r="AR460">
            <v>1500000</v>
          </cell>
        </row>
        <row r="461">
          <cell r="B461" t="str">
            <v>ابزار زنی</v>
          </cell>
          <cell r="C461" t="str">
            <v>قطعه تعمیری</v>
          </cell>
          <cell r="AF461">
            <v>1.5</v>
          </cell>
          <cell r="AR461">
            <v>1125000</v>
          </cell>
        </row>
        <row r="462">
          <cell r="B462" t="str">
            <v>ویوینگ</v>
          </cell>
          <cell r="C462" t="str">
            <v>قطعه نو</v>
          </cell>
          <cell r="AF462">
            <v>1.5</v>
          </cell>
          <cell r="AR462">
            <v>1125000</v>
          </cell>
        </row>
        <row r="463">
          <cell r="B463" t="str">
            <v>ویوینگ</v>
          </cell>
          <cell r="C463" t="str">
            <v>قطعه نو</v>
          </cell>
          <cell r="AF463">
            <v>1.5</v>
          </cell>
          <cell r="AR463">
            <v>1125000</v>
          </cell>
        </row>
        <row r="464">
          <cell r="B464" t="str">
            <v>ویوینگ</v>
          </cell>
          <cell r="C464" t="str">
            <v>قطعه نو</v>
          </cell>
          <cell r="AF464">
            <v>2</v>
          </cell>
          <cell r="AR464">
            <v>1500000</v>
          </cell>
        </row>
        <row r="465">
          <cell r="B465" t="str">
            <v xml:space="preserve">دستگاه سنگ پشم فلز آلمانی </v>
          </cell>
          <cell r="C465" t="str">
            <v>قطعه نو</v>
          </cell>
          <cell r="AF465">
            <v>2</v>
          </cell>
          <cell r="AR465">
            <v>1500000</v>
          </cell>
        </row>
        <row r="466">
          <cell r="B466" t="str">
            <v>قالب پخت کلاچ پژو 405</v>
          </cell>
          <cell r="C466" t="str">
            <v>قالب تعمیری</v>
          </cell>
          <cell r="AF466">
            <v>1</v>
          </cell>
          <cell r="AR466">
            <v>750000</v>
          </cell>
        </row>
        <row r="467">
          <cell r="B467" t="str">
            <v>عقب بنز 74</v>
          </cell>
          <cell r="C467" t="str">
            <v>قالب تعمیری</v>
          </cell>
          <cell r="AF467">
            <v>2</v>
          </cell>
          <cell r="AR467">
            <v>1500000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AF468">
            <v>2</v>
          </cell>
          <cell r="AR468">
            <v>1500000</v>
          </cell>
        </row>
        <row r="469">
          <cell r="B469" t="str">
            <v>قالب پخت کلاچ پژو 405</v>
          </cell>
          <cell r="C469" t="str">
            <v>قالب تعمیری</v>
          </cell>
          <cell r="AF469">
            <v>3</v>
          </cell>
          <cell r="AR469">
            <v>2250000</v>
          </cell>
        </row>
        <row r="470">
          <cell r="B470" t="str">
            <v>قالب جلو ریو</v>
          </cell>
          <cell r="C470" t="str">
            <v>قالب تعمیری</v>
          </cell>
          <cell r="AF470">
            <v>2</v>
          </cell>
          <cell r="AR470">
            <v>1500000</v>
          </cell>
        </row>
        <row r="471">
          <cell r="B471" t="str">
            <v>عقب بنز 74</v>
          </cell>
          <cell r="C471" t="str">
            <v>قالب تعمیری</v>
          </cell>
          <cell r="AF471">
            <v>2</v>
          </cell>
          <cell r="AR471">
            <v>1500000</v>
          </cell>
        </row>
        <row r="472">
          <cell r="B472" t="str">
            <v>عقب بنز 74</v>
          </cell>
          <cell r="C472" t="str">
            <v>قالب تعمیری</v>
          </cell>
          <cell r="AF472">
            <v>2</v>
          </cell>
          <cell r="AR472">
            <v>1500000</v>
          </cell>
        </row>
        <row r="473">
          <cell r="B473" t="str">
            <v>ویوینگ</v>
          </cell>
          <cell r="C473" t="str">
            <v>قطعه نو</v>
          </cell>
          <cell r="AF473">
            <v>1.5</v>
          </cell>
          <cell r="AR473">
            <v>1125000</v>
          </cell>
        </row>
        <row r="474">
          <cell r="B474" t="str">
            <v>ویوینگ</v>
          </cell>
          <cell r="C474" t="str">
            <v>قطعه نو</v>
          </cell>
          <cell r="AF474">
            <v>1</v>
          </cell>
          <cell r="AR474">
            <v>750000</v>
          </cell>
        </row>
        <row r="475">
          <cell r="B475" t="str">
            <v>قالب پخت کلاچ پژو 405</v>
          </cell>
          <cell r="C475" t="str">
            <v>قالب تعمیری</v>
          </cell>
          <cell r="AF475">
            <v>1</v>
          </cell>
          <cell r="AR475">
            <v>750000</v>
          </cell>
        </row>
        <row r="476">
          <cell r="B476" t="str">
            <v>قالب پخت کلاچ پژو 405</v>
          </cell>
          <cell r="C476" t="str">
            <v>قالب تعمیری</v>
          </cell>
          <cell r="AF476">
            <v>1</v>
          </cell>
          <cell r="AR476">
            <v>750000</v>
          </cell>
        </row>
        <row r="477">
          <cell r="B477" t="str">
            <v>Hammer Mill Machine</v>
          </cell>
          <cell r="C477" t="str">
            <v>دستگاه نو</v>
          </cell>
          <cell r="AF477">
            <v>12</v>
          </cell>
          <cell r="AR477">
            <v>9000000</v>
          </cell>
        </row>
        <row r="478">
          <cell r="B478" t="str">
            <v>Hammer Mill Machine</v>
          </cell>
          <cell r="C478" t="str">
            <v>دستگاه نو</v>
          </cell>
          <cell r="AF478">
            <v>12</v>
          </cell>
          <cell r="AR478">
            <v>9000000</v>
          </cell>
        </row>
        <row r="479">
          <cell r="B479" t="str">
            <v>برش توری BPW تاجدار</v>
          </cell>
          <cell r="C479" t="str">
            <v>قالب تعمیری</v>
          </cell>
          <cell r="AF479">
            <v>12</v>
          </cell>
          <cell r="AR479">
            <v>9000000</v>
          </cell>
        </row>
        <row r="480">
          <cell r="B480" t="str">
            <v>برش توری BPW تاجدار</v>
          </cell>
          <cell r="C480" t="str">
            <v>قالب تعمیری</v>
          </cell>
          <cell r="AF480">
            <v>8</v>
          </cell>
          <cell r="AR480">
            <v>6000000</v>
          </cell>
        </row>
        <row r="481">
          <cell r="B481" t="str">
            <v>قالب شمشی عقب ریو</v>
          </cell>
          <cell r="C481" t="str">
            <v>قالب نو</v>
          </cell>
          <cell r="AF481">
            <v>4</v>
          </cell>
          <cell r="AR481">
            <v>3000000</v>
          </cell>
        </row>
        <row r="482">
          <cell r="B482" t="str">
            <v>قالب پخت کلاچ پژو 405</v>
          </cell>
          <cell r="C482" t="str">
            <v>قالب تعمیری</v>
          </cell>
          <cell r="AF482">
            <v>3.6666666666666665</v>
          </cell>
          <cell r="AR482">
            <v>2750000</v>
          </cell>
        </row>
        <row r="483">
          <cell r="B483" t="str">
            <v>پخت کلاچ پراید</v>
          </cell>
          <cell r="C483" t="str">
            <v>قالب تعمیری</v>
          </cell>
          <cell r="AF483">
            <v>3.6666666666666665</v>
          </cell>
          <cell r="AR483">
            <v>2750000</v>
          </cell>
        </row>
        <row r="484">
          <cell r="B484" t="str">
            <v>پخت کلاچ پراید</v>
          </cell>
          <cell r="C484" t="str">
            <v>قالب تعمیری</v>
          </cell>
          <cell r="AF484">
            <v>3.6666666666666665</v>
          </cell>
          <cell r="AR484">
            <v>2750000</v>
          </cell>
        </row>
        <row r="485">
          <cell r="B485" t="str">
            <v>قالب پخت کلاچ پیکان</v>
          </cell>
          <cell r="C485" t="str">
            <v>قالب تعمیری</v>
          </cell>
          <cell r="AF485">
            <v>6</v>
          </cell>
          <cell r="AR485">
            <v>9000000</v>
          </cell>
        </row>
        <row r="486">
          <cell r="B486" t="str">
            <v>قالب عقب F12</v>
          </cell>
          <cell r="C486" t="str">
            <v>قالب تعمیری</v>
          </cell>
          <cell r="AF486">
            <v>4.5</v>
          </cell>
          <cell r="AR486">
            <v>6750000</v>
          </cell>
        </row>
        <row r="487">
          <cell r="B487" t="str">
            <v>قالب پخت کلاچ پژو 405</v>
          </cell>
          <cell r="C487" t="str">
            <v>قالب تعمیری</v>
          </cell>
          <cell r="AF487">
            <v>2.5</v>
          </cell>
          <cell r="AR487">
            <v>3750000</v>
          </cell>
        </row>
        <row r="488">
          <cell r="B488" t="str">
            <v>پخت عقب پژو 405 شمشی پایه کوتاه</v>
          </cell>
          <cell r="C488" t="str">
            <v>قالب نو</v>
          </cell>
          <cell r="AF488">
            <v>4.833333333333333</v>
          </cell>
          <cell r="AR488">
            <v>7250000</v>
          </cell>
        </row>
        <row r="489">
          <cell r="B489" t="str">
            <v>قالب پخت کلاچ پیکان</v>
          </cell>
          <cell r="C489" t="str">
            <v>قالب تعمیری</v>
          </cell>
          <cell r="AF489">
            <v>3.5</v>
          </cell>
          <cell r="AR489">
            <v>2625000</v>
          </cell>
        </row>
        <row r="490">
          <cell r="B490" t="str">
            <v>پخت کلاچ پراید</v>
          </cell>
          <cell r="C490" t="str">
            <v>قالب تعمیری</v>
          </cell>
          <cell r="AF490">
            <v>6.5</v>
          </cell>
          <cell r="AR490">
            <v>4875000</v>
          </cell>
        </row>
        <row r="491">
          <cell r="B491" t="str">
            <v>قالب شیم ریو</v>
          </cell>
          <cell r="C491" t="str">
            <v>قالب تعمیری</v>
          </cell>
          <cell r="AF491">
            <v>4.5</v>
          </cell>
          <cell r="AR491">
            <v>3375000</v>
          </cell>
        </row>
        <row r="492">
          <cell r="B492" t="str">
            <v>دستگاه پشم فلز آلمانی</v>
          </cell>
          <cell r="C492" t="str">
            <v>قطعه نو</v>
          </cell>
          <cell r="AF492">
            <v>6.5</v>
          </cell>
          <cell r="AR492">
            <v>4875000</v>
          </cell>
        </row>
        <row r="493">
          <cell r="B493" t="str">
            <v>قالب شمشی عقب ریو</v>
          </cell>
          <cell r="C493" t="str">
            <v>قالب نو</v>
          </cell>
          <cell r="AF493">
            <v>6.333333333333333</v>
          </cell>
          <cell r="AR493">
            <v>4750000</v>
          </cell>
        </row>
        <row r="494">
          <cell r="B494" t="str">
            <v>دستگاه پشم فلز</v>
          </cell>
          <cell r="C494" t="str">
            <v>قطعه نو</v>
          </cell>
          <cell r="AF494">
            <v>2</v>
          </cell>
          <cell r="AR494">
            <v>1500000</v>
          </cell>
        </row>
        <row r="495">
          <cell r="B495" t="str">
            <v>Hammer Mill Machine</v>
          </cell>
          <cell r="C495" t="str">
            <v>دستگاه نو</v>
          </cell>
          <cell r="AF495">
            <v>8</v>
          </cell>
          <cell r="AR495">
            <v>6000000</v>
          </cell>
        </row>
        <row r="496">
          <cell r="B496" t="str">
            <v>قالب پخت کلاچ پژو 405</v>
          </cell>
          <cell r="C496" t="str">
            <v>قالب تعمیری</v>
          </cell>
          <cell r="AF496">
            <v>3.5</v>
          </cell>
          <cell r="AR496">
            <v>2625000</v>
          </cell>
        </row>
        <row r="497">
          <cell r="B497" t="str">
            <v>قالب پخت کلاچ پژو 405</v>
          </cell>
          <cell r="C497" t="str">
            <v>قالب تعمیری</v>
          </cell>
          <cell r="AF497">
            <v>4.5</v>
          </cell>
          <cell r="AR497">
            <v>3375000</v>
          </cell>
        </row>
        <row r="498">
          <cell r="B498" t="str">
            <v>قالب شمشی عقب ریو</v>
          </cell>
          <cell r="C498" t="str">
            <v>قالب نو</v>
          </cell>
          <cell r="AF498">
            <v>3</v>
          </cell>
          <cell r="AR498">
            <v>2250000</v>
          </cell>
        </row>
        <row r="499">
          <cell r="B499" t="str">
            <v>دستگاه پرس پخت</v>
          </cell>
          <cell r="C499" t="str">
            <v>قطعه تعمیری</v>
          </cell>
          <cell r="AF499">
            <v>2</v>
          </cell>
          <cell r="AR499">
            <v>1500000</v>
          </cell>
        </row>
        <row r="500">
          <cell r="B500" t="str">
            <v>دستگاه پرس پخت</v>
          </cell>
          <cell r="C500" t="str">
            <v>قطعه تعمیری</v>
          </cell>
          <cell r="AF500">
            <v>6</v>
          </cell>
          <cell r="AR500">
            <v>4500000</v>
          </cell>
        </row>
        <row r="501">
          <cell r="B501" t="str">
            <v>قالب پخت کلاچ پژو 405</v>
          </cell>
          <cell r="C501" t="str">
            <v>قالب تعمیری</v>
          </cell>
          <cell r="AF501">
            <v>5</v>
          </cell>
          <cell r="AR501">
            <v>3750000</v>
          </cell>
        </row>
        <row r="502">
          <cell r="B502" t="str">
            <v>لنت دنیای مس</v>
          </cell>
          <cell r="C502" t="str">
            <v>قطعه نو</v>
          </cell>
          <cell r="AF502">
            <v>1</v>
          </cell>
          <cell r="AR502">
            <v>750000</v>
          </cell>
        </row>
        <row r="503">
          <cell r="B503" t="str">
            <v>قالب برشی SAF</v>
          </cell>
          <cell r="C503" t="str">
            <v>قالب تعمیری</v>
          </cell>
          <cell r="AF503">
            <v>1</v>
          </cell>
          <cell r="AR503">
            <v>750000</v>
          </cell>
        </row>
        <row r="504">
          <cell r="B504" t="str">
            <v>قالب برشی SAF</v>
          </cell>
          <cell r="C504" t="str">
            <v>قالب تعمیری</v>
          </cell>
          <cell r="AF504">
            <v>1</v>
          </cell>
          <cell r="AR504">
            <v>750000</v>
          </cell>
        </row>
        <row r="505">
          <cell r="B505" t="str">
            <v>پخت کلاچ پراید</v>
          </cell>
          <cell r="C505" t="str">
            <v>قالب تعمیری</v>
          </cell>
          <cell r="AF505">
            <v>3</v>
          </cell>
          <cell r="AR505">
            <v>2250000</v>
          </cell>
        </row>
        <row r="506">
          <cell r="B506" t="str">
            <v>قالب شمشی عقب ریو</v>
          </cell>
          <cell r="C506" t="str">
            <v>قالب نو</v>
          </cell>
          <cell r="AF506">
            <v>3</v>
          </cell>
          <cell r="AR506">
            <v>2250000</v>
          </cell>
        </row>
        <row r="507">
          <cell r="B507" t="str">
            <v>قالب برشی SAF</v>
          </cell>
          <cell r="C507" t="str">
            <v>قالب تعمیری</v>
          </cell>
          <cell r="AF507">
            <v>2</v>
          </cell>
          <cell r="AR507">
            <v>1500000</v>
          </cell>
        </row>
        <row r="508">
          <cell r="B508" t="str">
            <v>قالب پژو 405 دیسکی</v>
          </cell>
          <cell r="C508" t="str">
            <v>قالب تعمیری</v>
          </cell>
          <cell r="AF508">
            <v>3</v>
          </cell>
          <cell r="AR508">
            <v>2250000</v>
          </cell>
        </row>
        <row r="509">
          <cell r="B509" t="str">
            <v>دستگاه پرس پخت</v>
          </cell>
          <cell r="C509" t="str">
            <v>قطعه تعمیری</v>
          </cell>
          <cell r="AF509">
            <v>3</v>
          </cell>
          <cell r="AR509">
            <v>2250000</v>
          </cell>
        </row>
        <row r="510">
          <cell r="B510" t="str">
            <v>برش توری BPW تاجدار</v>
          </cell>
          <cell r="C510" t="str">
            <v>قالب تعمیری</v>
          </cell>
          <cell r="AF510">
            <v>12</v>
          </cell>
          <cell r="AR510">
            <v>9000000</v>
          </cell>
        </row>
        <row r="511">
          <cell r="B511" t="str">
            <v>Hammer Mill Machine</v>
          </cell>
          <cell r="C511" t="str">
            <v>دستگاه نو</v>
          </cell>
          <cell r="AF511">
            <v>12</v>
          </cell>
          <cell r="AR511">
            <v>9000000</v>
          </cell>
        </row>
        <row r="512">
          <cell r="B512" t="str">
            <v>Hammer Mill Machine</v>
          </cell>
          <cell r="C512" t="str">
            <v>دستگاه نو</v>
          </cell>
          <cell r="AF512">
            <v>12</v>
          </cell>
          <cell r="AR512">
            <v>9000000</v>
          </cell>
        </row>
        <row r="513">
          <cell r="B513" t="str">
            <v>تیغ فرز</v>
          </cell>
          <cell r="C513" t="str">
            <v>قطعه تعمیری</v>
          </cell>
          <cell r="AF513">
            <v>5</v>
          </cell>
          <cell r="AR513">
            <v>3750000</v>
          </cell>
        </row>
        <row r="514">
          <cell r="B514" t="str">
            <v>قالب پژو 405 دیسکی</v>
          </cell>
          <cell r="C514" t="str">
            <v>قالب تعمیری</v>
          </cell>
          <cell r="AF514">
            <v>4</v>
          </cell>
          <cell r="AR514">
            <v>3000000</v>
          </cell>
        </row>
        <row r="515">
          <cell r="B515" t="str">
            <v>ویوینگ</v>
          </cell>
          <cell r="C515" t="str">
            <v>قطعه تعمیری</v>
          </cell>
          <cell r="AF515">
            <v>2</v>
          </cell>
          <cell r="AR515">
            <v>1500000</v>
          </cell>
        </row>
        <row r="516">
          <cell r="B516" t="str">
            <v>ویوینگ</v>
          </cell>
          <cell r="C516" t="str">
            <v>قطعه نو</v>
          </cell>
          <cell r="AF516">
            <v>1</v>
          </cell>
          <cell r="AR516">
            <v>750000</v>
          </cell>
        </row>
        <row r="517">
          <cell r="B517" t="str">
            <v>ویوینگ</v>
          </cell>
          <cell r="C517" t="str">
            <v>قطعه تعمیری</v>
          </cell>
          <cell r="AF517">
            <v>7.5</v>
          </cell>
          <cell r="AR517">
            <v>5625000</v>
          </cell>
        </row>
        <row r="518">
          <cell r="B518" t="str">
            <v>لنت فولاد خراسان</v>
          </cell>
          <cell r="C518" t="str">
            <v>قطعه تعمیری</v>
          </cell>
          <cell r="AF518">
            <v>4.95</v>
          </cell>
          <cell r="AR518">
            <v>3712500</v>
          </cell>
        </row>
        <row r="519">
          <cell r="B519" t="str">
            <v>قالب پخت کلاچ پژو 405</v>
          </cell>
          <cell r="C519" t="str">
            <v>قالب تعمیری</v>
          </cell>
          <cell r="AF519">
            <v>2.75</v>
          </cell>
          <cell r="AR519">
            <v>2062500</v>
          </cell>
        </row>
        <row r="520">
          <cell r="B520" t="str">
            <v>قالب پخت کلاچ پژو 405</v>
          </cell>
          <cell r="C520" t="str">
            <v>قالب تعمیری</v>
          </cell>
          <cell r="AF520">
            <v>2.75</v>
          </cell>
          <cell r="AR520">
            <v>2062500</v>
          </cell>
        </row>
        <row r="521">
          <cell r="B521" t="str">
            <v>قالب پخت کلاچ پژو 405</v>
          </cell>
          <cell r="C521" t="str">
            <v>قالب تعمیری</v>
          </cell>
          <cell r="AF521">
            <v>2.75</v>
          </cell>
          <cell r="AR521">
            <v>2062500</v>
          </cell>
        </row>
        <row r="522">
          <cell r="B522" t="str">
            <v>پخت کلاچ پراید</v>
          </cell>
          <cell r="C522" t="str">
            <v>قالب تعمیری</v>
          </cell>
          <cell r="AF522">
            <v>2.75</v>
          </cell>
          <cell r="AR522">
            <v>2062500</v>
          </cell>
        </row>
        <row r="523">
          <cell r="B523" t="str">
            <v>دستگاه پشم فلز آلمانی</v>
          </cell>
          <cell r="C523" t="str">
            <v>قطعه نو</v>
          </cell>
          <cell r="AF523">
            <v>11</v>
          </cell>
          <cell r="AR523">
            <v>8250000</v>
          </cell>
        </row>
        <row r="524">
          <cell r="B524" t="str">
            <v>قالب شمشی عقب ریو</v>
          </cell>
          <cell r="C524" t="str">
            <v>قالب نو</v>
          </cell>
          <cell r="AF524">
            <v>4</v>
          </cell>
          <cell r="AR524">
            <v>3000000</v>
          </cell>
        </row>
        <row r="525">
          <cell r="B525" t="str">
            <v>دستگاه پشم فلز آلمانی</v>
          </cell>
          <cell r="C525" t="str">
            <v>قطعه نو</v>
          </cell>
          <cell r="AF525">
            <v>3.3333333333333335</v>
          </cell>
          <cell r="AR525">
            <v>2500000</v>
          </cell>
        </row>
        <row r="526">
          <cell r="B526" t="str">
            <v>پخت کلاچ پراید</v>
          </cell>
          <cell r="C526" t="str">
            <v>قالب تعمیری</v>
          </cell>
          <cell r="AF526">
            <v>7</v>
          </cell>
          <cell r="AR526">
            <v>5250000</v>
          </cell>
        </row>
        <row r="527">
          <cell r="B527" t="str">
            <v>صفحه قالب 50*50</v>
          </cell>
          <cell r="C527" t="str">
            <v>قالب تعمیری</v>
          </cell>
          <cell r="AF527">
            <v>4</v>
          </cell>
          <cell r="AR527">
            <v>3000000</v>
          </cell>
        </row>
        <row r="528">
          <cell r="B528" t="str">
            <v>قالب پخت کلاچ پژو 405</v>
          </cell>
          <cell r="C528" t="str">
            <v>قالب تعمیری</v>
          </cell>
          <cell r="AF528">
            <v>4.5</v>
          </cell>
          <cell r="AR528">
            <v>3375000</v>
          </cell>
        </row>
        <row r="529">
          <cell r="B529" t="str">
            <v>قالب پخت کلاچ پیکان آرژانتینی</v>
          </cell>
          <cell r="C529" t="str">
            <v>قالب تعمیری</v>
          </cell>
          <cell r="AF529">
            <v>4.5</v>
          </cell>
          <cell r="AR529">
            <v>3375000</v>
          </cell>
        </row>
        <row r="530">
          <cell r="B530" t="str">
            <v>قالب پخت کلاچ پیکان</v>
          </cell>
          <cell r="C530" t="str">
            <v>قالب تعمیری</v>
          </cell>
          <cell r="AF530">
            <v>2</v>
          </cell>
          <cell r="AR530">
            <v>1500000</v>
          </cell>
        </row>
        <row r="531">
          <cell r="B531" t="str">
            <v>ویوینگ</v>
          </cell>
          <cell r="C531" t="str">
            <v>قطعه نو</v>
          </cell>
          <cell r="AF531">
            <v>5</v>
          </cell>
          <cell r="AR531">
            <v>3750000</v>
          </cell>
        </row>
        <row r="532">
          <cell r="B532" t="str">
            <v>کولر</v>
          </cell>
          <cell r="C532" t="str">
            <v>قطعه تعمیری</v>
          </cell>
          <cell r="AF532">
            <v>2</v>
          </cell>
          <cell r="AR532">
            <v>1500000</v>
          </cell>
        </row>
        <row r="533">
          <cell r="B533" t="str">
            <v>پرس پخت</v>
          </cell>
          <cell r="C533" t="str">
            <v>قطعه نو</v>
          </cell>
          <cell r="AF533">
            <v>4</v>
          </cell>
          <cell r="AR533">
            <v>3000000</v>
          </cell>
        </row>
        <row r="534">
          <cell r="B534" t="str">
            <v>Hammer Mill Machine</v>
          </cell>
          <cell r="C534" t="str">
            <v>دستگاه نو</v>
          </cell>
          <cell r="AF534">
            <v>12</v>
          </cell>
          <cell r="AR534">
            <v>9000000</v>
          </cell>
        </row>
        <row r="535">
          <cell r="B535" t="str">
            <v>Hammer Mill Machine</v>
          </cell>
          <cell r="C535" t="str">
            <v>دستگاه نو</v>
          </cell>
          <cell r="AF535">
            <v>12</v>
          </cell>
          <cell r="AR535">
            <v>9000000</v>
          </cell>
        </row>
        <row r="536">
          <cell r="B536" t="str">
            <v>قالب جلو ریو</v>
          </cell>
          <cell r="C536" t="str">
            <v>قالب تعمیری</v>
          </cell>
          <cell r="AF536">
            <v>12</v>
          </cell>
          <cell r="AR536">
            <v>9000000</v>
          </cell>
        </row>
        <row r="537">
          <cell r="B537" t="str">
            <v>لنت دنیای مس</v>
          </cell>
          <cell r="C537" t="str">
            <v>قطعه نو</v>
          </cell>
          <cell r="AF537">
            <v>12</v>
          </cell>
          <cell r="AR537">
            <v>9000000</v>
          </cell>
        </row>
        <row r="538">
          <cell r="B538" t="str">
            <v>قالب پخت کلاچ پژو 405</v>
          </cell>
          <cell r="C538" t="str">
            <v>قالب تعمیری</v>
          </cell>
          <cell r="AF538">
            <v>11</v>
          </cell>
          <cell r="AR538">
            <v>8250000</v>
          </cell>
        </row>
        <row r="539">
          <cell r="B539" t="str">
            <v>قالب پخت کلاچ پیکان آرژانتینی</v>
          </cell>
          <cell r="C539" t="str">
            <v>قالب تعمیری</v>
          </cell>
          <cell r="AF539">
            <v>11</v>
          </cell>
          <cell r="AR539">
            <v>8250000</v>
          </cell>
        </row>
        <row r="540">
          <cell r="B540" t="str">
            <v>قالب پخت کلاچ پیکان</v>
          </cell>
          <cell r="C540" t="str">
            <v>قالب تعمیری</v>
          </cell>
          <cell r="AF540">
            <v>11</v>
          </cell>
          <cell r="AR540">
            <v>8250000</v>
          </cell>
        </row>
        <row r="541">
          <cell r="B541" t="str">
            <v>قالب شمشی عقب ریو</v>
          </cell>
          <cell r="C541" t="str">
            <v>قالب نو</v>
          </cell>
          <cell r="AF541">
            <v>3</v>
          </cell>
          <cell r="AR541">
            <v>2250000</v>
          </cell>
        </row>
        <row r="542">
          <cell r="B542" t="str">
            <v>کولر</v>
          </cell>
          <cell r="C542" t="str">
            <v>دستگاه تعمیری</v>
          </cell>
          <cell r="AF542">
            <v>3</v>
          </cell>
          <cell r="AR542">
            <v>2250000</v>
          </cell>
        </row>
        <row r="543">
          <cell r="B543" t="str">
            <v>کولر</v>
          </cell>
          <cell r="C543" t="str">
            <v>دستگاه تعمیری</v>
          </cell>
          <cell r="AF543">
            <v>3</v>
          </cell>
          <cell r="AR543">
            <v>2250000</v>
          </cell>
        </row>
        <row r="544">
          <cell r="B544" t="str">
            <v>کولر</v>
          </cell>
          <cell r="C544" t="str">
            <v>قطعه تعمیری</v>
          </cell>
          <cell r="AF544">
            <v>1.5</v>
          </cell>
          <cell r="AR544">
            <v>1125000</v>
          </cell>
        </row>
        <row r="545">
          <cell r="B545" t="str">
            <v>شمش پراید</v>
          </cell>
          <cell r="C545" t="str">
            <v>قالب نو</v>
          </cell>
          <cell r="AF545">
            <v>1.5</v>
          </cell>
          <cell r="AR545">
            <v>1125000</v>
          </cell>
        </row>
        <row r="546">
          <cell r="B546" t="str">
            <v>قالب شمشی عقب ریو</v>
          </cell>
          <cell r="C546" t="str">
            <v>قالب نو</v>
          </cell>
          <cell r="AF546">
            <v>5</v>
          </cell>
          <cell r="AR546">
            <v>3750000</v>
          </cell>
        </row>
        <row r="547">
          <cell r="B547" t="str">
            <v>ویوینگ</v>
          </cell>
          <cell r="C547" t="str">
            <v>قطعه نو</v>
          </cell>
          <cell r="AF547">
            <v>2</v>
          </cell>
          <cell r="AR547">
            <v>1500000</v>
          </cell>
        </row>
        <row r="548">
          <cell r="B548" t="str">
            <v>پخت عقب پژو 405 شمشی پایه کوتاه</v>
          </cell>
          <cell r="C548" t="str">
            <v>قالب نو</v>
          </cell>
          <cell r="AF548">
            <v>11</v>
          </cell>
          <cell r="AR548">
            <v>16500000</v>
          </cell>
        </row>
        <row r="549">
          <cell r="B549" t="str">
            <v>پخت عقب پژو 405 شمشی پایه کوتاه</v>
          </cell>
          <cell r="C549" t="str">
            <v>قالب نو</v>
          </cell>
          <cell r="AF549">
            <v>11</v>
          </cell>
          <cell r="AR549">
            <v>16500000</v>
          </cell>
        </row>
        <row r="550">
          <cell r="B550" t="str">
            <v>دستگاه پشم فلز آلمانی</v>
          </cell>
          <cell r="C550" t="str">
            <v>قطعه نو</v>
          </cell>
          <cell r="AF550">
            <v>11</v>
          </cell>
          <cell r="AR550">
            <v>8250000</v>
          </cell>
        </row>
        <row r="551">
          <cell r="B551" t="str">
            <v>دستگاه پشم فلز آلمانی</v>
          </cell>
          <cell r="C551" t="str">
            <v>قطعه نو</v>
          </cell>
          <cell r="AF551">
            <v>2.8333333333333335</v>
          </cell>
          <cell r="AR551">
            <v>2125000</v>
          </cell>
        </row>
        <row r="552">
          <cell r="B552" t="str">
            <v>قالب عقب F12</v>
          </cell>
          <cell r="C552" t="str">
            <v>قالب نو</v>
          </cell>
          <cell r="AF552">
            <v>3.5</v>
          </cell>
          <cell r="AR552">
            <v>2625000</v>
          </cell>
        </row>
        <row r="553">
          <cell r="B553" t="str">
            <v>قالب عقب F12</v>
          </cell>
          <cell r="C553" t="str">
            <v>قالب نو</v>
          </cell>
          <cell r="AF553">
            <v>3.5</v>
          </cell>
          <cell r="AR553">
            <v>2625000</v>
          </cell>
        </row>
        <row r="554">
          <cell r="B554" t="str">
            <v>قالب عقب F12</v>
          </cell>
          <cell r="C554" t="str">
            <v>قالب نو</v>
          </cell>
          <cell r="AF554">
            <v>7.5</v>
          </cell>
          <cell r="AR554">
            <v>5625000</v>
          </cell>
        </row>
        <row r="555">
          <cell r="B555" t="str">
            <v>قالب پخت کلاچ پیکان</v>
          </cell>
          <cell r="C555" t="str">
            <v>قالب تعمیری</v>
          </cell>
          <cell r="AF555">
            <v>2.5</v>
          </cell>
          <cell r="AR555">
            <v>1875000</v>
          </cell>
        </row>
        <row r="556">
          <cell r="B556" t="str">
            <v>قالب پخت کلاچ پیکان</v>
          </cell>
          <cell r="C556" t="str">
            <v>قالب تعمیری</v>
          </cell>
          <cell r="AF556">
            <v>8.5</v>
          </cell>
          <cell r="AR556">
            <v>6375000</v>
          </cell>
        </row>
        <row r="557">
          <cell r="B557" t="str">
            <v>صفحه قالب 50*50</v>
          </cell>
          <cell r="C557" t="str">
            <v>قالب تعمیری</v>
          </cell>
          <cell r="AF557">
            <v>7</v>
          </cell>
          <cell r="AR557">
            <v>5250000</v>
          </cell>
        </row>
        <row r="558">
          <cell r="B558" t="str">
            <v>قالب پراید خاردار</v>
          </cell>
          <cell r="C558" t="str">
            <v>قالب تعمیری</v>
          </cell>
          <cell r="AF558">
            <v>3</v>
          </cell>
          <cell r="AR558">
            <v>2250000</v>
          </cell>
        </row>
        <row r="559">
          <cell r="B559" t="str">
            <v>قالب جلو ریو</v>
          </cell>
          <cell r="C559" t="str">
            <v>قالب تعمیری</v>
          </cell>
          <cell r="AF559">
            <v>1</v>
          </cell>
          <cell r="AR559">
            <v>750000</v>
          </cell>
        </row>
        <row r="560">
          <cell r="B560" t="str">
            <v>برش جمعی عقب</v>
          </cell>
          <cell r="C560" t="str">
            <v>قطعه تعمیری</v>
          </cell>
          <cell r="AF560">
            <v>2</v>
          </cell>
          <cell r="AR560">
            <v>1500000</v>
          </cell>
        </row>
        <row r="561">
          <cell r="B561" t="str">
            <v>سری نقطه جوش</v>
          </cell>
          <cell r="C561" t="str">
            <v>قطعه تعمیری</v>
          </cell>
          <cell r="AF561">
            <v>4</v>
          </cell>
          <cell r="AR561">
            <v>3000000</v>
          </cell>
        </row>
        <row r="562">
          <cell r="B562" t="str">
            <v>پخت کلاچ پراید</v>
          </cell>
          <cell r="C562" t="str">
            <v>قالب تعمیری</v>
          </cell>
          <cell r="AF562">
            <v>2.5</v>
          </cell>
          <cell r="AR562">
            <v>1875000</v>
          </cell>
        </row>
        <row r="563">
          <cell r="B563" t="str">
            <v>قالب پخت کلاچ پیکان</v>
          </cell>
          <cell r="C563" t="str">
            <v>قالب تعمیری</v>
          </cell>
          <cell r="AF563">
            <v>2.5</v>
          </cell>
          <cell r="AR563">
            <v>1875000</v>
          </cell>
        </row>
        <row r="564">
          <cell r="B564" t="str">
            <v>Hammer Mill Machine</v>
          </cell>
          <cell r="C564" t="str">
            <v>دستگاه نو</v>
          </cell>
          <cell r="AF564">
            <v>12</v>
          </cell>
          <cell r="AR564">
            <v>9000000</v>
          </cell>
        </row>
        <row r="565">
          <cell r="B565" t="str">
            <v>Hammer Mill Machine</v>
          </cell>
          <cell r="C565" t="str">
            <v>دستگاه نو</v>
          </cell>
          <cell r="AF565">
            <v>12</v>
          </cell>
          <cell r="AR565">
            <v>9000000</v>
          </cell>
        </row>
        <row r="566">
          <cell r="B566" t="str">
            <v>قالب پژو 405 دیسکی</v>
          </cell>
          <cell r="C566" t="str">
            <v>قالب تعمیری</v>
          </cell>
          <cell r="AF566">
            <v>8</v>
          </cell>
          <cell r="AR566">
            <v>6000000</v>
          </cell>
        </row>
        <row r="567">
          <cell r="B567" t="str">
            <v>آغشته کاری</v>
          </cell>
          <cell r="C567" t="str">
            <v>قطعه تعمیری</v>
          </cell>
          <cell r="AF567">
            <v>1</v>
          </cell>
          <cell r="AR567">
            <v>750000</v>
          </cell>
        </row>
        <row r="568">
          <cell r="B568" t="str">
            <v>برش جمعی عقب</v>
          </cell>
          <cell r="C568" t="str">
            <v>قطعه تعمیری</v>
          </cell>
          <cell r="AF568">
            <v>1</v>
          </cell>
          <cell r="AR568">
            <v>750000</v>
          </cell>
        </row>
        <row r="569">
          <cell r="B569" t="str">
            <v>کولر</v>
          </cell>
          <cell r="C569" t="str">
            <v>قطعه تعمیری</v>
          </cell>
          <cell r="AF569">
            <v>1</v>
          </cell>
          <cell r="AR569">
            <v>750000</v>
          </cell>
        </row>
        <row r="570">
          <cell r="B570" t="str">
            <v>لنت دنیای مس</v>
          </cell>
          <cell r="C570" t="str">
            <v>قطعه نو</v>
          </cell>
          <cell r="AF570">
            <v>12</v>
          </cell>
          <cell r="AR570">
            <v>9000000</v>
          </cell>
        </row>
        <row r="571">
          <cell r="B571" t="str">
            <v>قالب پخت کلاچ پیکان آرژانتینی</v>
          </cell>
          <cell r="C571" t="str">
            <v>قالب تعمیری</v>
          </cell>
          <cell r="AF571">
            <v>11</v>
          </cell>
          <cell r="AR571">
            <v>8250000</v>
          </cell>
        </row>
        <row r="572">
          <cell r="B572" t="str">
            <v>پرس پخت</v>
          </cell>
          <cell r="C572" t="str">
            <v>قطعه نو</v>
          </cell>
          <cell r="AF572">
            <v>2</v>
          </cell>
          <cell r="AR572">
            <v>1500000</v>
          </cell>
        </row>
        <row r="573">
          <cell r="B573" t="str">
            <v>پرس پخت</v>
          </cell>
          <cell r="C573" t="str">
            <v>قطعه نو</v>
          </cell>
          <cell r="AF573">
            <v>2</v>
          </cell>
          <cell r="AR573">
            <v>1500000</v>
          </cell>
        </row>
        <row r="574">
          <cell r="B574" t="str">
            <v>پرس پخت</v>
          </cell>
          <cell r="C574" t="str">
            <v>قطعه نو</v>
          </cell>
          <cell r="AF574">
            <v>2</v>
          </cell>
          <cell r="AR574">
            <v>1500000</v>
          </cell>
        </row>
        <row r="575">
          <cell r="B575" t="str">
            <v>ویوینگ</v>
          </cell>
          <cell r="C575" t="str">
            <v>قطعه تعمیری</v>
          </cell>
          <cell r="AF575">
            <v>2</v>
          </cell>
          <cell r="AR575">
            <v>1500000</v>
          </cell>
        </row>
        <row r="576">
          <cell r="B576" t="str">
            <v>آغشته کاری</v>
          </cell>
          <cell r="C576" t="str">
            <v>قطعه تعمیری</v>
          </cell>
          <cell r="AF576">
            <v>2</v>
          </cell>
          <cell r="AR576">
            <v>1500000</v>
          </cell>
        </row>
        <row r="577">
          <cell r="B577" t="str">
            <v>قالب پخت کلاچ پیکان آرژانتینی</v>
          </cell>
          <cell r="C577" t="str">
            <v>قالب تعمیری</v>
          </cell>
          <cell r="AF577">
            <v>2</v>
          </cell>
          <cell r="AR577">
            <v>1500000</v>
          </cell>
        </row>
        <row r="578">
          <cell r="B578" t="str">
            <v>قالب پخت کلاچ پیکان</v>
          </cell>
          <cell r="C578" t="str">
            <v>قالب تعمیری</v>
          </cell>
          <cell r="AF578">
            <v>1</v>
          </cell>
          <cell r="AR578">
            <v>750000</v>
          </cell>
        </row>
        <row r="579">
          <cell r="B579" t="str">
            <v>قالب پخت کلاچ پیکان</v>
          </cell>
          <cell r="C579" t="str">
            <v>قالب تعمیری</v>
          </cell>
          <cell r="AF579">
            <v>5</v>
          </cell>
          <cell r="AR579">
            <v>3750000</v>
          </cell>
        </row>
        <row r="580">
          <cell r="B580" t="str">
            <v>قالب پخت کلاچ پیکان</v>
          </cell>
          <cell r="C580" t="str">
            <v>قالب تعمیری</v>
          </cell>
          <cell r="AF580">
            <v>1</v>
          </cell>
          <cell r="AR580">
            <v>750000</v>
          </cell>
        </row>
        <row r="581">
          <cell r="B581" t="str">
            <v>قالب عقب F12</v>
          </cell>
          <cell r="C581" t="str">
            <v>قالب نو</v>
          </cell>
          <cell r="AF581">
            <v>1.5</v>
          </cell>
          <cell r="AR581">
            <v>1125000</v>
          </cell>
        </row>
        <row r="582">
          <cell r="B582" t="str">
            <v>قالب پخت کلاچ پیکان</v>
          </cell>
          <cell r="C582" t="str">
            <v>قالب تعمیری</v>
          </cell>
          <cell r="AF582">
            <v>1</v>
          </cell>
          <cell r="AR582">
            <v>750000</v>
          </cell>
        </row>
        <row r="583">
          <cell r="B583" t="str">
            <v>قالب پخت کلاچ پیکان</v>
          </cell>
          <cell r="C583" t="str">
            <v>قالب تعمیری</v>
          </cell>
          <cell r="AF583">
            <v>5</v>
          </cell>
          <cell r="AR583">
            <v>3750000</v>
          </cell>
        </row>
        <row r="584">
          <cell r="B584" t="str">
            <v>قالب پخت کلاچ پیکان</v>
          </cell>
          <cell r="C584" t="str">
            <v>قالب تعمیری</v>
          </cell>
          <cell r="AF584">
            <v>1</v>
          </cell>
          <cell r="AR584">
            <v>750000</v>
          </cell>
        </row>
        <row r="585">
          <cell r="B585" t="str">
            <v>قالب عقب F12</v>
          </cell>
          <cell r="C585" t="str">
            <v>قالب نو</v>
          </cell>
          <cell r="AF585">
            <v>1.5</v>
          </cell>
          <cell r="AR585">
            <v>1125000</v>
          </cell>
        </row>
        <row r="586">
          <cell r="B586" t="str">
            <v>پرس 160 تن</v>
          </cell>
          <cell r="C586" t="str">
            <v>دستگاه تعمیری</v>
          </cell>
          <cell r="AF586">
            <v>7.5</v>
          </cell>
          <cell r="AR586">
            <v>5625000</v>
          </cell>
        </row>
        <row r="587">
          <cell r="B587" t="str">
            <v>قالب اکسپرس</v>
          </cell>
          <cell r="C587" t="str">
            <v>قالب تعمیری</v>
          </cell>
          <cell r="AF587">
            <v>7.5</v>
          </cell>
          <cell r="AR587">
            <v>11250000</v>
          </cell>
        </row>
        <row r="588">
          <cell r="B588" t="str">
            <v>قالب پخت کلاچ پژو 405</v>
          </cell>
          <cell r="C588" t="str">
            <v>قالب تعمیری</v>
          </cell>
          <cell r="AF588">
            <v>7.5</v>
          </cell>
          <cell r="AR588">
            <v>11250000</v>
          </cell>
        </row>
        <row r="589">
          <cell r="B589" t="str">
            <v>دستگاه پشم فلز آلمانی</v>
          </cell>
          <cell r="C589" t="str">
            <v>قطعه نو</v>
          </cell>
          <cell r="AF589">
            <v>6.5</v>
          </cell>
          <cell r="AR589">
            <v>4875000</v>
          </cell>
        </row>
        <row r="590">
          <cell r="B590" t="str">
            <v>اصول 5S</v>
          </cell>
          <cell r="C590" t="str">
            <v>نظافت</v>
          </cell>
          <cell r="AF590">
            <v>1</v>
          </cell>
          <cell r="AR590">
            <v>750000</v>
          </cell>
        </row>
        <row r="591">
          <cell r="B591" t="str">
            <v>دستگاه ساب کلاچ</v>
          </cell>
          <cell r="C591" t="str">
            <v>قطعه تعمیری</v>
          </cell>
          <cell r="AF591">
            <v>6.5</v>
          </cell>
          <cell r="AR591">
            <v>4875000</v>
          </cell>
        </row>
        <row r="592">
          <cell r="B592" t="str">
            <v>اصول 5S</v>
          </cell>
          <cell r="C592" t="str">
            <v>نظافت</v>
          </cell>
          <cell r="AF592">
            <v>1</v>
          </cell>
          <cell r="AR592">
            <v>750000</v>
          </cell>
        </row>
        <row r="593">
          <cell r="B593" t="str">
            <v>قالب پخت کلاچ پیکان</v>
          </cell>
          <cell r="C593" t="str">
            <v>قالب تعمیری</v>
          </cell>
          <cell r="AF593">
            <v>4</v>
          </cell>
          <cell r="AR593">
            <v>3000000</v>
          </cell>
        </row>
        <row r="594">
          <cell r="B594" t="str">
            <v>قالب پخت کلاچ پیکان</v>
          </cell>
          <cell r="C594" t="str">
            <v>قالب تعمیری</v>
          </cell>
          <cell r="AF594">
            <v>2</v>
          </cell>
          <cell r="AR594">
            <v>1500000</v>
          </cell>
        </row>
        <row r="595">
          <cell r="B595" t="str">
            <v>اصول 5S</v>
          </cell>
          <cell r="C595" t="str">
            <v>نظافت</v>
          </cell>
          <cell r="AF595">
            <v>1.5</v>
          </cell>
          <cell r="AR595">
            <v>1125000</v>
          </cell>
        </row>
        <row r="596">
          <cell r="B596" t="str">
            <v>قالب جلو ریو</v>
          </cell>
          <cell r="C596" t="str">
            <v>قالب تعمیری</v>
          </cell>
          <cell r="AF596">
            <v>2</v>
          </cell>
          <cell r="AR596">
            <v>1500000</v>
          </cell>
        </row>
        <row r="597">
          <cell r="B597" t="str">
            <v>قالب پخت کلاچ پیکان</v>
          </cell>
          <cell r="C597" t="str">
            <v>قالب تعمیری</v>
          </cell>
          <cell r="AF597">
            <v>4</v>
          </cell>
          <cell r="AR597">
            <v>3000000</v>
          </cell>
        </row>
        <row r="598">
          <cell r="B598" t="str">
            <v>اصول 5S</v>
          </cell>
          <cell r="C598" t="str">
            <v>نظافت</v>
          </cell>
          <cell r="AF598">
            <v>1</v>
          </cell>
          <cell r="AR598">
            <v>750000</v>
          </cell>
        </row>
        <row r="599">
          <cell r="B599" t="str">
            <v>قالب پخت کلاچ پیکان آرژانتینی</v>
          </cell>
          <cell r="C599" t="str">
            <v>قالب تعمیری</v>
          </cell>
          <cell r="AF599">
            <v>2</v>
          </cell>
          <cell r="AR599">
            <v>1500000</v>
          </cell>
        </row>
        <row r="600">
          <cell r="B600" t="str">
            <v>ابزار زنی</v>
          </cell>
          <cell r="C600" t="str">
            <v>قطعه نو</v>
          </cell>
          <cell r="AF600">
            <v>4</v>
          </cell>
          <cell r="AR600">
            <v>3000000</v>
          </cell>
        </row>
        <row r="601">
          <cell r="B601" t="str">
            <v>اصول 5S</v>
          </cell>
          <cell r="C601" t="str">
            <v>نظافت</v>
          </cell>
          <cell r="AF601">
            <v>1</v>
          </cell>
          <cell r="AR601">
            <v>750000</v>
          </cell>
        </row>
        <row r="602">
          <cell r="B602" t="str">
            <v>قالب پخت کلاچ پیکان</v>
          </cell>
          <cell r="C602" t="str">
            <v>قالب تعمیری</v>
          </cell>
          <cell r="AF602">
            <v>2</v>
          </cell>
          <cell r="AR602">
            <v>1500000</v>
          </cell>
        </row>
        <row r="603">
          <cell r="B603" t="str">
            <v>قالب عقب F12</v>
          </cell>
          <cell r="C603" t="str">
            <v>قالب نو</v>
          </cell>
          <cell r="AF603">
            <v>4</v>
          </cell>
          <cell r="AR603">
            <v>3000000</v>
          </cell>
        </row>
        <row r="604">
          <cell r="B604" t="str">
            <v>اصول 5S</v>
          </cell>
          <cell r="C604" t="str">
            <v>نظافت</v>
          </cell>
          <cell r="AF604">
            <v>1</v>
          </cell>
          <cell r="AR604">
            <v>750000</v>
          </cell>
        </row>
        <row r="605">
          <cell r="B605" t="str">
            <v>قالب پژو 405 دیسکی</v>
          </cell>
          <cell r="C605" t="str">
            <v>قالب تعمیری</v>
          </cell>
          <cell r="AF605">
            <v>2</v>
          </cell>
          <cell r="AR605">
            <v>1500000</v>
          </cell>
        </row>
        <row r="606">
          <cell r="B606" t="str">
            <v>قالب پراید خاردار</v>
          </cell>
          <cell r="C606" t="str">
            <v>قالب تعمیری</v>
          </cell>
          <cell r="AF606">
            <v>2</v>
          </cell>
          <cell r="AR606">
            <v>1500000</v>
          </cell>
        </row>
        <row r="607">
          <cell r="B607" t="str">
            <v>قالب پراید خاردار</v>
          </cell>
          <cell r="C607" t="str">
            <v>قالب تعمیری</v>
          </cell>
          <cell r="AF607">
            <v>2</v>
          </cell>
          <cell r="AR607">
            <v>1500000</v>
          </cell>
        </row>
        <row r="608">
          <cell r="B608" t="str">
            <v>پخت عقب پژو 405 شمشی پایه کوتاه</v>
          </cell>
          <cell r="C608" t="str">
            <v>قالب نو</v>
          </cell>
          <cell r="AF608">
            <v>1.5</v>
          </cell>
          <cell r="AR608">
            <v>1125000</v>
          </cell>
        </row>
        <row r="609">
          <cell r="B609" t="str">
            <v>قالب پخت کلاچ پیکان</v>
          </cell>
          <cell r="C609" t="str">
            <v>قالب تعمیری</v>
          </cell>
          <cell r="AF609">
            <v>1.5</v>
          </cell>
          <cell r="AR609">
            <v>1125000</v>
          </cell>
        </row>
        <row r="610">
          <cell r="B610" t="str">
            <v>قالب پخت کلاچ پیکان</v>
          </cell>
          <cell r="C610" t="str">
            <v>قالب تعمیری</v>
          </cell>
          <cell r="AF610">
            <v>2</v>
          </cell>
          <cell r="AR610">
            <v>1500000</v>
          </cell>
        </row>
        <row r="611">
          <cell r="B611" t="str">
            <v>اصول 5S</v>
          </cell>
          <cell r="C611" t="str">
            <v>نظافت</v>
          </cell>
          <cell r="AF611">
            <v>1</v>
          </cell>
          <cell r="AR611">
            <v>750000</v>
          </cell>
        </row>
        <row r="612">
          <cell r="B612" t="str">
            <v>قالب پخت کلاچ پیکان</v>
          </cell>
          <cell r="C612" t="str">
            <v>قالب تعمیری</v>
          </cell>
          <cell r="AF612">
            <v>2.5</v>
          </cell>
          <cell r="AR612">
            <v>1875000</v>
          </cell>
        </row>
        <row r="613">
          <cell r="B613" t="str">
            <v>قالب پراید خاردار</v>
          </cell>
          <cell r="C613" t="str">
            <v>قالب تعمیری</v>
          </cell>
          <cell r="AF613">
            <v>2</v>
          </cell>
          <cell r="AR613">
            <v>1500000</v>
          </cell>
        </row>
        <row r="614">
          <cell r="B614" t="str">
            <v>قالب پژو 405 دیسکی</v>
          </cell>
          <cell r="C614" t="str">
            <v>قالب تعمیری</v>
          </cell>
          <cell r="AF614">
            <v>2</v>
          </cell>
          <cell r="AR614">
            <v>1500000</v>
          </cell>
        </row>
        <row r="615">
          <cell r="B615" t="str">
            <v>قالب پراید خاردار</v>
          </cell>
          <cell r="C615" t="str">
            <v>قالب تعمیری</v>
          </cell>
          <cell r="AF615">
            <v>3</v>
          </cell>
          <cell r="AR615">
            <v>2250000</v>
          </cell>
        </row>
        <row r="616">
          <cell r="B616" t="str">
            <v>ابزار زنی</v>
          </cell>
          <cell r="C616" t="str">
            <v>قطعه نو</v>
          </cell>
          <cell r="AF616">
            <v>2</v>
          </cell>
          <cell r="AR616">
            <v>1500000</v>
          </cell>
        </row>
        <row r="617">
          <cell r="B617" t="str">
            <v>قالب اکسپرس</v>
          </cell>
          <cell r="C617" t="str">
            <v>قالب تعمیری</v>
          </cell>
          <cell r="AF617">
            <v>10.5</v>
          </cell>
          <cell r="AR617">
            <v>15750000</v>
          </cell>
        </row>
        <row r="618">
          <cell r="B618" t="str">
            <v>قالب پخت کلاچ پیکان</v>
          </cell>
          <cell r="C618" t="str">
            <v>قالب تعمیری</v>
          </cell>
          <cell r="AF618">
            <v>11</v>
          </cell>
        </row>
        <row r="619">
          <cell r="B619" t="str">
            <v>قالب پخت کلاچ پژو 405</v>
          </cell>
          <cell r="C619" t="str">
            <v>قالب تعمیری</v>
          </cell>
          <cell r="AF619">
            <v>11</v>
          </cell>
          <cell r="AR619">
            <v>16500000</v>
          </cell>
        </row>
        <row r="620">
          <cell r="B620" t="str">
            <v>قالب پژو 405 دیسکی</v>
          </cell>
          <cell r="C620" t="str">
            <v>قالب تعمیری</v>
          </cell>
          <cell r="AF620">
            <v>2</v>
          </cell>
        </row>
        <row r="621">
          <cell r="B621" t="str">
            <v>قالب پخت کلاچ پژو 405</v>
          </cell>
          <cell r="C621" t="str">
            <v>قالب تعمیری</v>
          </cell>
          <cell r="AF621">
            <v>9</v>
          </cell>
        </row>
        <row r="622">
          <cell r="B622" t="str">
            <v>لنت دنیای مس</v>
          </cell>
          <cell r="C622" t="str">
            <v>قطعه نو</v>
          </cell>
          <cell r="AF622">
            <v>3.5</v>
          </cell>
        </row>
        <row r="623">
          <cell r="B623" t="str">
            <v>دستگاه پشم فلز آلمانی</v>
          </cell>
          <cell r="C623" t="str">
            <v>قطعه نو</v>
          </cell>
          <cell r="AF623">
            <v>7.5</v>
          </cell>
        </row>
        <row r="624">
          <cell r="B624" t="str">
            <v>پرس 160 تن</v>
          </cell>
          <cell r="C624" t="str">
            <v>دستگاه تعمیری</v>
          </cell>
          <cell r="AF624">
            <v>2</v>
          </cell>
        </row>
        <row r="625">
          <cell r="B625" t="str">
            <v>دستگاه پشم فلز چینی</v>
          </cell>
          <cell r="C625" t="str">
            <v>قطعه نو</v>
          </cell>
          <cell r="AF625">
            <v>3</v>
          </cell>
        </row>
        <row r="626">
          <cell r="B626" t="str">
            <v>پین عقب پژو 405</v>
          </cell>
          <cell r="C626" t="str">
            <v>قطعه نو</v>
          </cell>
          <cell r="AF626">
            <v>7.5</v>
          </cell>
        </row>
        <row r="627">
          <cell r="B627" t="str">
            <v>قالب عقب F12</v>
          </cell>
          <cell r="C627" t="str">
            <v>قالب نو</v>
          </cell>
          <cell r="AF627">
            <v>3</v>
          </cell>
        </row>
        <row r="628">
          <cell r="B628" t="str">
            <v xml:space="preserve">کنترل شعاع عقب </v>
          </cell>
          <cell r="C628" t="str">
            <v>قطعه نو</v>
          </cell>
          <cell r="AF628">
            <v>1.1666666666666667</v>
          </cell>
        </row>
        <row r="629">
          <cell r="B629" t="str">
            <v>ویوینگ</v>
          </cell>
          <cell r="C629" t="str">
            <v>قطعه تعمیری</v>
          </cell>
          <cell r="AF629">
            <v>0.83333333333333337</v>
          </cell>
        </row>
        <row r="630">
          <cell r="B630" t="str">
            <v>دستگاه پشم فلز آلمانی</v>
          </cell>
          <cell r="C630" t="str">
            <v>قطعه نو</v>
          </cell>
          <cell r="AF630">
            <v>1.3333333333333333</v>
          </cell>
        </row>
        <row r="631">
          <cell r="B631" t="str">
            <v>پخت کلاچ پراید</v>
          </cell>
          <cell r="C631" t="str">
            <v>قالب تعمیری</v>
          </cell>
          <cell r="AF631">
            <v>1</v>
          </cell>
        </row>
        <row r="632">
          <cell r="B632" t="str">
            <v>قالب پخت کلاچ پژو 405</v>
          </cell>
          <cell r="C632" t="str">
            <v>قالب تعمیری</v>
          </cell>
          <cell r="AF632">
            <v>1</v>
          </cell>
        </row>
        <row r="633">
          <cell r="B633" t="str">
            <v>پخت کلاچ پراید</v>
          </cell>
          <cell r="C633" t="str">
            <v>قالب تعمیری</v>
          </cell>
          <cell r="AF633">
            <v>0.5</v>
          </cell>
        </row>
        <row r="634">
          <cell r="B634" t="str">
            <v>قالب پخت کلاچ پژو 405</v>
          </cell>
          <cell r="C634" t="str">
            <v>قالب تعمیری</v>
          </cell>
          <cell r="AF634">
            <v>0.5</v>
          </cell>
        </row>
        <row r="635">
          <cell r="B635" t="str">
            <v>قالب پژو 405 دیسکی</v>
          </cell>
          <cell r="C635" t="str">
            <v>قالب تعمیری</v>
          </cell>
          <cell r="AF635">
            <v>1</v>
          </cell>
        </row>
        <row r="636">
          <cell r="B636" t="str">
            <v>قالب پژو 405 دیسکی</v>
          </cell>
          <cell r="C636" t="str">
            <v>قالب تعمیری</v>
          </cell>
          <cell r="AF636">
            <v>6</v>
          </cell>
        </row>
        <row r="637">
          <cell r="B637" t="str">
            <v>قالب پخت کلاچ پیکان</v>
          </cell>
          <cell r="C637" t="str">
            <v>قالب تعمیری</v>
          </cell>
          <cell r="AF637">
            <v>9</v>
          </cell>
        </row>
        <row r="638">
          <cell r="B638" t="str">
            <v>Hammer Mill Machine</v>
          </cell>
          <cell r="C638" t="str">
            <v>دستگاه نو</v>
          </cell>
          <cell r="AF638">
            <v>8</v>
          </cell>
          <cell r="AR638">
            <v>6000000</v>
          </cell>
        </row>
        <row r="639">
          <cell r="B639" t="str">
            <v>Hammer Mill Machine</v>
          </cell>
          <cell r="C639" t="str">
            <v>دستگاه نو</v>
          </cell>
          <cell r="AF639">
            <v>8</v>
          </cell>
          <cell r="AR639">
            <v>6000000</v>
          </cell>
        </row>
        <row r="640">
          <cell r="B640" t="str">
            <v>قالب پخت کلاچ پیکان</v>
          </cell>
          <cell r="C640" t="str">
            <v>قالب تعمیری</v>
          </cell>
          <cell r="AF640">
            <v>8</v>
          </cell>
          <cell r="AR640">
            <v>6000000</v>
          </cell>
        </row>
        <row r="641">
          <cell r="B641" t="str">
            <v>لنت دنیای مس</v>
          </cell>
          <cell r="C641" t="str">
            <v>قطعه نو</v>
          </cell>
          <cell r="AF641">
            <v>4</v>
          </cell>
          <cell r="AR641">
            <v>3000000</v>
          </cell>
        </row>
        <row r="642">
          <cell r="B642" t="str">
            <v>ساب کلاچ</v>
          </cell>
          <cell r="C642" t="str">
            <v>قطعه نو</v>
          </cell>
          <cell r="AF642">
            <v>4</v>
          </cell>
          <cell r="AR642">
            <v>3000000</v>
          </cell>
        </row>
        <row r="643">
          <cell r="B643" t="str">
            <v>قالب پخت کلاچ پیکان آرژانتینی</v>
          </cell>
          <cell r="C643" t="str">
            <v>قالب تعمیری</v>
          </cell>
          <cell r="AF643">
            <v>8</v>
          </cell>
          <cell r="AR643">
            <v>6000000</v>
          </cell>
        </row>
        <row r="644">
          <cell r="B644" t="str">
            <v>Hammer Mill Machine</v>
          </cell>
          <cell r="C644" t="str">
            <v>دستگاه نو</v>
          </cell>
          <cell r="AF644">
            <v>12</v>
          </cell>
          <cell r="AR644">
            <v>9000000</v>
          </cell>
        </row>
        <row r="645">
          <cell r="B645" t="str">
            <v>Hammer Mill Machine</v>
          </cell>
          <cell r="C645" t="str">
            <v>دستگاه نو</v>
          </cell>
          <cell r="AF645">
            <v>12</v>
          </cell>
          <cell r="AR645">
            <v>9000000</v>
          </cell>
        </row>
        <row r="646">
          <cell r="B646" t="str">
            <v>قالب پخت کلاچ پیکان</v>
          </cell>
          <cell r="C646" t="str">
            <v>قالب تعمیری</v>
          </cell>
          <cell r="AF646">
            <v>5</v>
          </cell>
          <cell r="AR646">
            <v>3750000</v>
          </cell>
        </row>
        <row r="647">
          <cell r="B647" t="str">
            <v>قالب پخت کلاچ پیکان آرژانتینی</v>
          </cell>
          <cell r="C647" t="str">
            <v>قالب تعمیری</v>
          </cell>
          <cell r="AF647">
            <v>12</v>
          </cell>
          <cell r="AR647">
            <v>9000000</v>
          </cell>
        </row>
        <row r="648">
          <cell r="B648" t="str">
            <v>دستگاه ساب</v>
          </cell>
          <cell r="C648" t="str">
            <v>قطعه نو</v>
          </cell>
          <cell r="AF648">
            <v>7</v>
          </cell>
          <cell r="AR648">
            <v>5250000</v>
          </cell>
        </row>
      </sheetData>
      <sheetData sheetId="2">
        <row r="4">
          <cell r="B4" t="str">
            <v>شابلون پژو 405 دیسکی</v>
          </cell>
          <cell r="C4" t="str">
            <v>قطعه تعمیری</v>
          </cell>
          <cell r="AF4">
            <v>1.8333333333333333</v>
          </cell>
          <cell r="AR4">
            <v>1375000</v>
          </cell>
        </row>
        <row r="5">
          <cell r="B5" t="str">
            <v>برش جمعی عقب ریو</v>
          </cell>
          <cell r="C5" t="str">
            <v>قطعه نو</v>
          </cell>
          <cell r="AF5">
            <v>4.5</v>
          </cell>
          <cell r="AR5">
            <v>3375000</v>
          </cell>
        </row>
        <row r="6">
          <cell r="B6" t="str">
            <v>دستگاه پرس 600 تن</v>
          </cell>
          <cell r="C6" t="str">
            <v>قطعه تعمیری</v>
          </cell>
          <cell r="AF6">
            <v>3</v>
          </cell>
          <cell r="AR6">
            <v>2250000</v>
          </cell>
        </row>
        <row r="7">
          <cell r="B7" t="str">
            <v>Hammer Mill Machine</v>
          </cell>
          <cell r="C7" t="str">
            <v>دستگاه نو</v>
          </cell>
          <cell r="AF7">
            <v>6.5</v>
          </cell>
          <cell r="AR7">
            <v>4875000</v>
          </cell>
        </row>
        <row r="8">
          <cell r="B8" t="str">
            <v>Hammer Mill Machine</v>
          </cell>
          <cell r="C8" t="str">
            <v>دستگاه نو</v>
          </cell>
          <cell r="AF8">
            <v>9</v>
          </cell>
          <cell r="AR8">
            <v>6750000</v>
          </cell>
        </row>
        <row r="9">
          <cell r="B9" t="str">
            <v>برش جمعی عقب ریو</v>
          </cell>
          <cell r="C9" t="str">
            <v>قطعه نو</v>
          </cell>
          <cell r="AF9">
            <v>1</v>
          </cell>
          <cell r="AR9">
            <v>750000</v>
          </cell>
        </row>
        <row r="10">
          <cell r="B10" t="str">
            <v>بمبوری</v>
          </cell>
          <cell r="C10" t="str">
            <v>قطعه تعمیری</v>
          </cell>
          <cell r="AF10">
            <v>1</v>
          </cell>
          <cell r="AR10">
            <v>750000</v>
          </cell>
        </row>
        <row r="11">
          <cell r="B11" t="str">
            <v>Hammer Mill Machine</v>
          </cell>
          <cell r="C11" t="str">
            <v>دستگاه نو</v>
          </cell>
          <cell r="AF11">
            <v>7</v>
          </cell>
          <cell r="AR11">
            <v>5250000</v>
          </cell>
        </row>
        <row r="12">
          <cell r="B12" t="str">
            <v>Hammer Mill Machine</v>
          </cell>
          <cell r="C12" t="str">
            <v>دستگاه نو</v>
          </cell>
          <cell r="AF12">
            <v>3</v>
          </cell>
          <cell r="AR12">
            <v>2250000</v>
          </cell>
        </row>
        <row r="13">
          <cell r="B13" t="str">
            <v>قالب پژو 405 دیسکی</v>
          </cell>
          <cell r="C13" t="str">
            <v>قالب تعمیری</v>
          </cell>
          <cell r="AF13">
            <v>7</v>
          </cell>
          <cell r="AR13">
            <v>5250000</v>
          </cell>
        </row>
        <row r="14">
          <cell r="B14" t="str">
            <v>Hammer Mill Machine</v>
          </cell>
          <cell r="C14" t="str">
            <v>دستگاه نو</v>
          </cell>
          <cell r="AF14">
            <v>7</v>
          </cell>
          <cell r="AR14">
            <v>5250000</v>
          </cell>
        </row>
        <row r="15">
          <cell r="B15" t="str">
            <v>قالب پخت کلاچ پیکان آرژانتینی</v>
          </cell>
          <cell r="C15" t="str">
            <v>قالب تعمیری</v>
          </cell>
          <cell r="H15" t="str">
            <v>MC30241-02s</v>
          </cell>
          <cell r="AF15">
            <v>4</v>
          </cell>
          <cell r="AR15">
            <v>3000000</v>
          </cell>
        </row>
        <row r="16">
          <cell r="B16" t="str">
            <v>Hammer Mill Machine</v>
          </cell>
          <cell r="C16" t="str">
            <v>دستگاه نو</v>
          </cell>
          <cell r="AF16">
            <v>12</v>
          </cell>
          <cell r="AR16">
            <v>9000000</v>
          </cell>
        </row>
        <row r="17">
          <cell r="B17" t="str">
            <v>قالب پخت کلاچ پیکان آرژانتینی</v>
          </cell>
          <cell r="C17" t="str">
            <v>قالب تعمیری</v>
          </cell>
          <cell r="H17" t="str">
            <v>MC30241-02s</v>
          </cell>
          <cell r="AF17">
            <v>5</v>
          </cell>
          <cell r="AR17">
            <v>3750000</v>
          </cell>
        </row>
        <row r="18">
          <cell r="B18" t="str">
            <v>قالب پژو 405 دیسکی</v>
          </cell>
          <cell r="C18" t="str">
            <v>قالب تعمیری</v>
          </cell>
          <cell r="AF18">
            <v>12</v>
          </cell>
          <cell r="AR18">
            <v>9000000</v>
          </cell>
        </row>
        <row r="19">
          <cell r="B19" t="str">
            <v>Hammer Mill Machine</v>
          </cell>
          <cell r="C19" t="str">
            <v>دستگاه نو</v>
          </cell>
          <cell r="AF19">
            <v>12</v>
          </cell>
          <cell r="AR19">
            <v>9000000</v>
          </cell>
        </row>
        <row r="20">
          <cell r="B20" t="str">
            <v>قالب پژو 405 دیسکی</v>
          </cell>
          <cell r="C20" t="str">
            <v>قالب تعمیری</v>
          </cell>
          <cell r="AF20">
            <v>7</v>
          </cell>
          <cell r="AR20">
            <v>5250000</v>
          </cell>
        </row>
        <row r="21">
          <cell r="B21" t="str">
            <v>لیفتراک</v>
          </cell>
          <cell r="C21" t="str">
            <v>قطعه تعمیری</v>
          </cell>
          <cell r="AF21">
            <v>5</v>
          </cell>
          <cell r="AR21">
            <v>3750000</v>
          </cell>
        </row>
        <row r="22">
          <cell r="B22" t="str">
            <v>برش جمعی عقب ریو</v>
          </cell>
          <cell r="C22" t="str">
            <v>قطعه نو</v>
          </cell>
          <cell r="AF22">
            <v>3.3333333333333335</v>
          </cell>
          <cell r="AR22">
            <v>2500000</v>
          </cell>
        </row>
        <row r="23">
          <cell r="B23" t="str">
            <v>قالب پخت کلاچ پیکان آرژانتینی</v>
          </cell>
          <cell r="C23" t="str">
            <v>قالب تعمیری</v>
          </cell>
          <cell r="H23" t="str">
            <v>04S</v>
          </cell>
          <cell r="AF23">
            <v>2.6666666666666665</v>
          </cell>
          <cell r="AR23">
            <v>2000000</v>
          </cell>
        </row>
        <row r="24">
          <cell r="B24" t="str">
            <v>Hammer Mill Machine</v>
          </cell>
          <cell r="C24" t="str">
            <v>دستگاه نو</v>
          </cell>
          <cell r="AF24">
            <v>6.5</v>
          </cell>
          <cell r="AR24">
            <v>4875000</v>
          </cell>
        </row>
        <row r="25">
          <cell r="B25" t="str">
            <v>پخت کلاچ پراید</v>
          </cell>
          <cell r="C25" t="str">
            <v>قالب تعمیری</v>
          </cell>
          <cell r="H25" t="str">
            <v>01S</v>
          </cell>
          <cell r="AF25">
            <v>9</v>
          </cell>
          <cell r="AR25">
            <v>6750000</v>
          </cell>
        </row>
        <row r="26">
          <cell r="B26" t="str">
            <v>قالب لودری 70028</v>
          </cell>
          <cell r="C26" t="str">
            <v>قالب تعمیری</v>
          </cell>
          <cell r="H26">
            <v>70028</v>
          </cell>
          <cell r="AF26">
            <v>2</v>
          </cell>
          <cell r="AR26">
            <v>1500000</v>
          </cell>
        </row>
        <row r="27">
          <cell r="B27" t="str">
            <v>قالب پخت کلاچ پیکان آرژانتینی</v>
          </cell>
          <cell r="C27" t="str">
            <v>قالب تعمیری</v>
          </cell>
          <cell r="H27" t="str">
            <v>04S</v>
          </cell>
          <cell r="AF27">
            <v>2</v>
          </cell>
          <cell r="AR27">
            <v>1500000</v>
          </cell>
        </row>
        <row r="28">
          <cell r="B28" t="str">
            <v>قالب شمشی عقب ریو</v>
          </cell>
          <cell r="C28" t="str">
            <v>قالب نو</v>
          </cell>
          <cell r="AF28">
            <v>4</v>
          </cell>
          <cell r="AR28">
            <v>3000000</v>
          </cell>
        </row>
        <row r="29">
          <cell r="B29" t="str">
            <v>قالب پراید خاردار</v>
          </cell>
          <cell r="C29" t="str">
            <v>قالب تعمیری</v>
          </cell>
          <cell r="H29" t="str">
            <v>ML21355-01s</v>
          </cell>
          <cell r="AF29">
            <v>4</v>
          </cell>
          <cell r="AR29">
            <v>3000000</v>
          </cell>
        </row>
        <row r="30">
          <cell r="B30" t="str">
            <v>قالب عقب F12</v>
          </cell>
          <cell r="C30" t="str">
            <v>قالب نو</v>
          </cell>
          <cell r="AF30">
            <v>11</v>
          </cell>
          <cell r="AR30">
            <v>8250000</v>
          </cell>
        </row>
        <row r="31">
          <cell r="B31" t="str">
            <v>ساب کونیک</v>
          </cell>
          <cell r="C31" t="str">
            <v>قطعه نو</v>
          </cell>
          <cell r="AF31">
            <v>3</v>
          </cell>
          <cell r="AR31">
            <v>2250000</v>
          </cell>
        </row>
        <row r="32">
          <cell r="B32" t="str">
            <v>ساب کونیک</v>
          </cell>
          <cell r="C32" t="str">
            <v>قطعه نو</v>
          </cell>
          <cell r="AF32">
            <v>3</v>
          </cell>
          <cell r="AR32">
            <v>2250000</v>
          </cell>
        </row>
        <row r="33">
          <cell r="B33" t="str">
            <v>برش جمعی عقب ریو</v>
          </cell>
          <cell r="C33" t="str">
            <v>قطعه نو</v>
          </cell>
          <cell r="AF33">
            <v>3</v>
          </cell>
          <cell r="AR33">
            <v>2250000</v>
          </cell>
        </row>
        <row r="34">
          <cell r="B34" t="str">
            <v>بمبوری</v>
          </cell>
          <cell r="C34" t="str">
            <v>قطعه تعمیری</v>
          </cell>
          <cell r="AF34">
            <v>3</v>
          </cell>
          <cell r="AR34">
            <v>2250000</v>
          </cell>
        </row>
        <row r="35">
          <cell r="B35" t="str">
            <v>بمبوری</v>
          </cell>
          <cell r="C35" t="str">
            <v>قطعه تعمیری</v>
          </cell>
          <cell r="AF35">
            <v>5</v>
          </cell>
          <cell r="AR35">
            <v>3750000</v>
          </cell>
        </row>
        <row r="36">
          <cell r="B36" t="str">
            <v>ساب سمباده ای</v>
          </cell>
          <cell r="C36" t="str">
            <v>قطعه تعمیری</v>
          </cell>
          <cell r="AF36">
            <v>2</v>
          </cell>
          <cell r="AR36">
            <v>1500000</v>
          </cell>
        </row>
        <row r="37">
          <cell r="B37" t="str">
            <v>ساب سمباده ای</v>
          </cell>
          <cell r="C37" t="str">
            <v>قطعه تعمیری</v>
          </cell>
          <cell r="AF37">
            <v>2.5</v>
          </cell>
          <cell r="AR37">
            <v>1875000</v>
          </cell>
        </row>
        <row r="38">
          <cell r="B38" t="str">
            <v>برش جمعی عقب ریو</v>
          </cell>
          <cell r="C38" t="str">
            <v>قطعه نو</v>
          </cell>
          <cell r="AF38">
            <v>1.5</v>
          </cell>
          <cell r="AR38">
            <v>1125000</v>
          </cell>
        </row>
        <row r="39">
          <cell r="B39" t="str">
            <v>قالب پخت کلاچ پژو 405</v>
          </cell>
          <cell r="C39" t="str">
            <v>قالب تعمیری</v>
          </cell>
          <cell r="H39" t="str">
            <v>Mc30243-04s</v>
          </cell>
          <cell r="AF39">
            <v>6.5</v>
          </cell>
          <cell r="AR39">
            <v>9750000</v>
          </cell>
        </row>
        <row r="40">
          <cell r="B40" t="str">
            <v>قالب پخت کلاچ پژو 405</v>
          </cell>
          <cell r="C40" t="str">
            <v>قالب تعمیری</v>
          </cell>
          <cell r="H40" t="str">
            <v>03s</v>
          </cell>
          <cell r="AF40">
            <v>5.5</v>
          </cell>
          <cell r="AR40">
            <v>8250000</v>
          </cell>
        </row>
        <row r="41">
          <cell r="B41" t="str">
            <v>قالب پخت کلاچ پژو 405</v>
          </cell>
          <cell r="C41" t="str">
            <v>قالب تعمیری</v>
          </cell>
          <cell r="H41" t="str">
            <v>03s</v>
          </cell>
          <cell r="AF41">
            <v>10</v>
          </cell>
          <cell r="AR41">
            <v>15000000</v>
          </cell>
        </row>
        <row r="42">
          <cell r="B42" t="str">
            <v>Hammer Mill Machine</v>
          </cell>
          <cell r="C42" t="str">
            <v>دستگاه نو</v>
          </cell>
          <cell r="AF42">
            <v>5.5</v>
          </cell>
          <cell r="AR42">
            <v>8250000</v>
          </cell>
        </row>
        <row r="43">
          <cell r="B43" t="str">
            <v>Hammer Mill Machine</v>
          </cell>
          <cell r="C43" t="str">
            <v>دستگاه نو</v>
          </cell>
          <cell r="AF43">
            <v>3</v>
          </cell>
          <cell r="AR43">
            <v>4500000</v>
          </cell>
        </row>
        <row r="44">
          <cell r="B44" t="str">
            <v>ساب کونیک</v>
          </cell>
          <cell r="C44" t="str">
            <v>قطعه نو</v>
          </cell>
          <cell r="AF44">
            <v>2</v>
          </cell>
          <cell r="AR44">
            <v>1500000</v>
          </cell>
        </row>
        <row r="45">
          <cell r="B45" t="str">
            <v>قالب پخت کلاچ پیکان آرژانتینی</v>
          </cell>
          <cell r="C45" t="str">
            <v>قالب تعمیری</v>
          </cell>
          <cell r="H45" t="str">
            <v>04S</v>
          </cell>
          <cell r="AF45">
            <v>2</v>
          </cell>
          <cell r="AR45">
            <v>1500000</v>
          </cell>
        </row>
        <row r="46">
          <cell r="B46" t="str">
            <v>قالب شمشی عقب ریو</v>
          </cell>
          <cell r="C46" t="str">
            <v>قالب نو</v>
          </cell>
          <cell r="AF46">
            <v>4</v>
          </cell>
          <cell r="AR46">
            <v>3000000</v>
          </cell>
        </row>
        <row r="47">
          <cell r="B47" t="str">
            <v>قالب پراید خاردار</v>
          </cell>
          <cell r="C47" t="str">
            <v>قالب تعمیری</v>
          </cell>
          <cell r="H47" t="str">
            <v>ML21355-01s</v>
          </cell>
          <cell r="AF47">
            <v>4</v>
          </cell>
          <cell r="AR47">
            <v>3000000</v>
          </cell>
        </row>
        <row r="48">
          <cell r="B48" t="str">
            <v>دستگاه پشم فلز چینی</v>
          </cell>
          <cell r="C48" t="str">
            <v>قطعه نو</v>
          </cell>
          <cell r="AF48">
            <v>5.833333333333333</v>
          </cell>
          <cell r="AR48">
            <v>4375000</v>
          </cell>
        </row>
        <row r="49">
          <cell r="B49" t="str">
            <v>قالب عقب F12</v>
          </cell>
          <cell r="C49" t="str">
            <v>قالب نو</v>
          </cell>
          <cell r="AF49">
            <v>11</v>
          </cell>
          <cell r="AR49">
            <v>8250000</v>
          </cell>
        </row>
        <row r="50">
          <cell r="B50" t="str">
            <v>دستگاه پرس 600 تن</v>
          </cell>
          <cell r="C50" t="str">
            <v>قطعه تعمیری</v>
          </cell>
          <cell r="AF50">
            <v>7.5</v>
          </cell>
          <cell r="AR50">
            <v>5625000</v>
          </cell>
        </row>
        <row r="51">
          <cell r="B51" t="str">
            <v>قالب لودری 70028</v>
          </cell>
          <cell r="C51" t="str">
            <v>قالب تعمیری</v>
          </cell>
          <cell r="H51">
            <v>70028</v>
          </cell>
          <cell r="AF51">
            <v>5</v>
          </cell>
          <cell r="AR51">
            <v>3750000</v>
          </cell>
        </row>
        <row r="52">
          <cell r="B52" t="str">
            <v>قالب پخت کلاچ پژو 405</v>
          </cell>
          <cell r="C52" t="str">
            <v>قالب تعمیری</v>
          </cell>
          <cell r="H52" t="str">
            <v>03s</v>
          </cell>
          <cell r="AF52">
            <v>6</v>
          </cell>
          <cell r="AR52">
            <v>4500000</v>
          </cell>
        </row>
        <row r="53">
          <cell r="B53" t="str">
            <v>Hammer Mill Machine</v>
          </cell>
          <cell r="C53" t="str">
            <v>دستگاه نو</v>
          </cell>
          <cell r="AF53">
            <v>6.5</v>
          </cell>
          <cell r="AR53">
            <v>4875000</v>
          </cell>
        </row>
        <row r="54">
          <cell r="B54" t="str">
            <v>قالب شمشی عقب ریو</v>
          </cell>
          <cell r="C54" t="str">
            <v>قالب نو</v>
          </cell>
          <cell r="AF54">
            <v>7.5</v>
          </cell>
          <cell r="AR54">
            <v>11250000</v>
          </cell>
        </row>
        <row r="55">
          <cell r="B55" t="str">
            <v>Hammer Mill Machine</v>
          </cell>
          <cell r="C55" t="str">
            <v>دستگاه نو</v>
          </cell>
          <cell r="AF55">
            <v>3.5</v>
          </cell>
          <cell r="AR55">
            <v>5250000</v>
          </cell>
        </row>
        <row r="56">
          <cell r="B56" t="str">
            <v>ویوینگ</v>
          </cell>
          <cell r="C56" t="str">
            <v>قطعه تعمیری</v>
          </cell>
          <cell r="AF56">
            <v>5</v>
          </cell>
          <cell r="AR56">
            <v>3750000</v>
          </cell>
        </row>
        <row r="57">
          <cell r="B57" t="str">
            <v>سری نقطه جوش</v>
          </cell>
          <cell r="C57" t="str">
            <v>قطعه تعمیری</v>
          </cell>
          <cell r="AF57">
            <v>1</v>
          </cell>
          <cell r="AR57">
            <v>750000</v>
          </cell>
        </row>
        <row r="58">
          <cell r="B58" t="str">
            <v>پخت کلاچ 911 دور بزرگ</v>
          </cell>
          <cell r="C58" t="str">
            <v>قالب تعمیری</v>
          </cell>
          <cell r="H58">
            <v>1</v>
          </cell>
          <cell r="AF58">
            <v>3</v>
          </cell>
          <cell r="AR58">
            <v>2250000</v>
          </cell>
        </row>
        <row r="59">
          <cell r="B59" t="str">
            <v>بمبوری</v>
          </cell>
          <cell r="C59" t="str">
            <v>قطعه تعمیری</v>
          </cell>
          <cell r="AF59">
            <v>5</v>
          </cell>
          <cell r="AR59">
            <v>3750000</v>
          </cell>
        </row>
        <row r="60">
          <cell r="B60" t="str">
            <v>قالب پراید خاردار</v>
          </cell>
          <cell r="C60" t="str">
            <v>قالب تعمیری</v>
          </cell>
          <cell r="H60" t="str">
            <v>ML21355-01s</v>
          </cell>
          <cell r="AF60">
            <v>2.5</v>
          </cell>
          <cell r="AR60">
            <v>1875000</v>
          </cell>
        </row>
        <row r="61">
          <cell r="B61" t="str">
            <v>قالب پخت کلاچ پژو 405</v>
          </cell>
          <cell r="C61" t="str">
            <v>قالب تعمیری</v>
          </cell>
          <cell r="H61" t="str">
            <v>03s</v>
          </cell>
          <cell r="AF61">
            <v>2.5</v>
          </cell>
          <cell r="AR61">
            <v>1875000</v>
          </cell>
        </row>
        <row r="62">
          <cell r="B62" t="str">
            <v>ویوینگ</v>
          </cell>
          <cell r="C62" t="str">
            <v>قطعه تعمیری</v>
          </cell>
          <cell r="AF62">
            <v>12</v>
          </cell>
          <cell r="AR62">
            <v>9000000</v>
          </cell>
        </row>
        <row r="63">
          <cell r="B63" t="str">
            <v>قالب پراید خاردار</v>
          </cell>
          <cell r="C63" t="str">
            <v>قالب تعمیری</v>
          </cell>
          <cell r="H63" t="str">
            <v>ML21355-01s</v>
          </cell>
          <cell r="AF63">
            <v>12</v>
          </cell>
          <cell r="AR63">
            <v>9000000</v>
          </cell>
        </row>
        <row r="64">
          <cell r="B64" t="str">
            <v>Hammer Mill Machine</v>
          </cell>
          <cell r="C64" t="str">
            <v>دستگاه نو</v>
          </cell>
          <cell r="AF64">
            <v>12</v>
          </cell>
          <cell r="AR64">
            <v>9000000</v>
          </cell>
        </row>
        <row r="65">
          <cell r="B65" t="str">
            <v>قالب پژو 405 دیسکی</v>
          </cell>
          <cell r="C65" t="str">
            <v>قالب تعمیری</v>
          </cell>
          <cell r="AF65">
            <v>12</v>
          </cell>
          <cell r="AR65">
            <v>9000000</v>
          </cell>
        </row>
        <row r="66">
          <cell r="B66" t="str">
            <v>قالب لودری 70028</v>
          </cell>
          <cell r="C66" t="str">
            <v>قالب تعمیری</v>
          </cell>
          <cell r="H66">
            <v>70028</v>
          </cell>
          <cell r="AF66">
            <v>2</v>
          </cell>
          <cell r="AR66">
            <v>1500000</v>
          </cell>
        </row>
        <row r="67">
          <cell r="B67" t="str">
            <v>قالب پژو 405 دیسکی</v>
          </cell>
          <cell r="C67" t="str">
            <v>قالب تعمیری</v>
          </cell>
          <cell r="AF67">
            <v>2</v>
          </cell>
          <cell r="AR67">
            <v>1500000</v>
          </cell>
        </row>
        <row r="68">
          <cell r="B68" t="str">
            <v>پخت کلاچ 911 دور بزرگ</v>
          </cell>
          <cell r="C68" t="str">
            <v>قالب تعمیری</v>
          </cell>
          <cell r="H68">
            <v>1</v>
          </cell>
          <cell r="AF68">
            <v>2</v>
          </cell>
          <cell r="AR68">
            <v>1500000</v>
          </cell>
        </row>
        <row r="69">
          <cell r="B69" t="str">
            <v>پخت کلاچ 911 دور بزرگ</v>
          </cell>
          <cell r="C69" t="str">
            <v>قالب تعمیری</v>
          </cell>
          <cell r="H69">
            <v>1</v>
          </cell>
          <cell r="AF69">
            <v>3</v>
          </cell>
          <cell r="AR69">
            <v>2250000</v>
          </cell>
        </row>
        <row r="70">
          <cell r="B70" t="str">
            <v>قالب نیسان آریا</v>
          </cell>
          <cell r="C70" t="str">
            <v>قالب تعمیری</v>
          </cell>
          <cell r="H70" t="str">
            <v>FD30303</v>
          </cell>
          <cell r="AF70">
            <v>3</v>
          </cell>
          <cell r="AR70">
            <v>2250000</v>
          </cell>
        </row>
        <row r="71">
          <cell r="B71" t="str">
            <v>قالب پژو 405 دیسکی</v>
          </cell>
          <cell r="C71" t="str">
            <v>قالب تعمیری</v>
          </cell>
          <cell r="AF71">
            <v>2.5</v>
          </cell>
          <cell r="AR71">
            <v>1875000</v>
          </cell>
        </row>
        <row r="72">
          <cell r="B72" t="str">
            <v>قالب لودری 70028</v>
          </cell>
          <cell r="C72" t="str">
            <v>قالب تعمیری</v>
          </cell>
          <cell r="H72">
            <v>70028</v>
          </cell>
          <cell r="AF72">
            <v>3</v>
          </cell>
          <cell r="AR72">
            <v>2250000</v>
          </cell>
        </row>
        <row r="73">
          <cell r="B73" t="str">
            <v>قالب پخت کلاچ پژو 405</v>
          </cell>
          <cell r="C73" t="str">
            <v>قالب تعمیری</v>
          </cell>
          <cell r="H73" t="str">
            <v>03s</v>
          </cell>
          <cell r="AF73">
            <v>11</v>
          </cell>
          <cell r="AR73">
            <v>8250000</v>
          </cell>
        </row>
        <row r="74">
          <cell r="B74" t="str">
            <v>دستگاه پشم فلز چینی</v>
          </cell>
          <cell r="C74" t="str">
            <v>قطعه نو</v>
          </cell>
          <cell r="AF74">
            <v>6.5</v>
          </cell>
          <cell r="AR74">
            <v>4875000</v>
          </cell>
        </row>
        <row r="75">
          <cell r="B75" t="str">
            <v>قالب عقب F12</v>
          </cell>
          <cell r="C75" t="str">
            <v>قالب نو</v>
          </cell>
          <cell r="AF75">
            <v>5.5</v>
          </cell>
          <cell r="AR75">
            <v>4125000</v>
          </cell>
        </row>
        <row r="76">
          <cell r="B76" t="str">
            <v>عقب بنز 74</v>
          </cell>
          <cell r="C76" t="str">
            <v>قالب تعمیری</v>
          </cell>
          <cell r="AF76">
            <v>5.5</v>
          </cell>
          <cell r="AR76">
            <v>4125000</v>
          </cell>
        </row>
        <row r="77">
          <cell r="B77" t="str">
            <v>دستگاه پشم فلز</v>
          </cell>
          <cell r="C77" t="str">
            <v>قطعه تعمیری</v>
          </cell>
          <cell r="AF77">
            <v>5</v>
          </cell>
          <cell r="AR77">
            <v>3750000</v>
          </cell>
        </row>
        <row r="78">
          <cell r="B78" t="str">
            <v>دستگاه پشم فلز</v>
          </cell>
          <cell r="C78" t="str">
            <v>قطعه تعمیری</v>
          </cell>
          <cell r="AF78">
            <v>4</v>
          </cell>
          <cell r="AR78">
            <v>3000000</v>
          </cell>
        </row>
        <row r="79">
          <cell r="B79" t="str">
            <v>قالب پخت کلاچ پژو 405</v>
          </cell>
          <cell r="C79" t="str">
            <v>قالب تعمیری</v>
          </cell>
          <cell r="H79" t="str">
            <v>03s</v>
          </cell>
          <cell r="AF79">
            <v>2</v>
          </cell>
          <cell r="AR79">
            <v>1500000</v>
          </cell>
        </row>
        <row r="80">
          <cell r="B80" t="str">
            <v>دستگاه ساب الماسه</v>
          </cell>
          <cell r="C80" t="str">
            <v>قطعه تعمیری</v>
          </cell>
          <cell r="AF80">
            <v>3</v>
          </cell>
          <cell r="AR80">
            <v>2250000</v>
          </cell>
        </row>
        <row r="81">
          <cell r="B81" t="str">
            <v>قالب پخت کلاچ پیکان آرژانتینی</v>
          </cell>
          <cell r="C81" t="str">
            <v>قالب تعمیری</v>
          </cell>
          <cell r="H81" t="str">
            <v>MC30241-02s</v>
          </cell>
          <cell r="AF81">
            <v>2</v>
          </cell>
          <cell r="AR81">
            <v>1500000</v>
          </cell>
        </row>
        <row r="82">
          <cell r="B82" t="str">
            <v>بمبوری</v>
          </cell>
          <cell r="C82" t="str">
            <v>قطعه تعمیری</v>
          </cell>
          <cell r="AF82">
            <v>2.5</v>
          </cell>
          <cell r="AR82">
            <v>1875000</v>
          </cell>
        </row>
        <row r="83">
          <cell r="B83" t="str">
            <v>Hammer Mill Machine</v>
          </cell>
          <cell r="C83" t="str">
            <v>دستگاه نو</v>
          </cell>
          <cell r="AF83">
            <v>1.5</v>
          </cell>
          <cell r="AR83">
            <v>1125000</v>
          </cell>
        </row>
        <row r="84">
          <cell r="B84" t="str">
            <v>دستگاه پرس 600 تن</v>
          </cell>
          <cell r="C84" t="str">
            <v>قطعه تعمیری</v>
          </cell>
          <cell r="AF84">
            <v>4.5</v>
          </cell>
          <cell r="AR84">
            <v>3375000</v>
          </cell>
        </row>
        <row r="85">
          <cell r="B85" t="str">
            <v>پین عقب L90 معمولی</v>
          </cell>
          <cell r="C85" t="str">
            <v>قطعه نو</v>
          </cell>
          <cell r="AF85">
            <v>7.5</v>
          </cell>
          <cell r="AR85">
            <v>5625000</v>
          </cell>
        </row>
        <row r="86">
          <cell r="B86" t="str">
            <v>ویوینگ</v>
          </cell>
          <cell r="C86" t="str">
            <v>قطعه تعمیری</v>
          </cell>
          <cell r="AF86">
            <v>11</v>
          </cell>
          <cell r="AR86">
            <v>8250000</v>
          </cell>
        </row>
        <row r="87">
          <cell r="B87" t="str">
            <v>قالب پراید خاردار</v>
          </cell>
          <cell r="C87" t="str">
            <v>قالب تعمیری</v>
          </cell>
          <cell r="H87" t="str">
            <v>ML21355-01s</v>
          </cell>
          <cell r="AF87">
            <v>4</v>
          </cell>
          <cell r="AR87">
            <v>3000000</v>
          </cell>
        </row>
        <row r="88">
          <cell r="B88" t="str">
            <v>قلم پین L90</v>
          </cell>
          <cell r="C88" t="str">
            <v>قطعه تعمیری</v>
          </cell>
          <cell r="AF88">
            <v>2</v>
          </cell>
          <cell r="AR88">
            <v>1500000</v>
          </cell>
        </row>
        <row r="89">
          <cell r="B89" t="str">
            <v>ابزار زنی</v>
          </cell>
          <cell r="C89" t="str">
            <v>قطعه نو</v>
          </cell>
          <cell r="AF89">
            <v>5</v>
          </cell>
          <cell r="AR89">
            <v>3750000</v>
          </cell>
        </row>
        <row r="90">
          <cell r="B90" t="str">
            <v>قالب پخت کلاچ پیکان آرژانتینی</v>
          </cell>
          <cell r="C90" t="str">
            <v>قالب تعمیری</v>
          </cell>
          <cell r="H90" t="str">
            <v>MC30241-02s</v>
          </cell>
          <cell r="AF90">
            <v>7</v>
          </cell>
          <cell r="AR90">
            <v>5250000</v>
          </cell>
        </row>
        <row r="91">
          <cell r="B91" t="str">
            <v>ابزار زنی</v>
          </cell>
          <cell r="C91" t="str">
            <v>قطعه نو</v>
          </cell>
          <cell r="AF91">
            <v>4</v>
          </cell>
          <cell r="AR91">
            <v>3000000</v>
          </cell>
        </row>
        <row r="92">
          <cell r="B92" t="str">
            <v>ابزار زنی</v>
          </cell>
          <cell r="C92" t="str">
            <v>قطعه نو</v>
          </cell>
          <cell r="AF92">
            <v>11</v>
          </cell>
          <cell r="AR92">
            <v>8250000</v>
          </cell>
        </row>
        <row r="93">
          <cell r="B93" t="str">
            <v>قالب پخت کلاچ پژو 405</v>
          </cell>
          <cell r="C93" t="str">
            <v>قالب تعمیری</v>
          </cell>
          <cell r="H93" t="str">
            <v>03s</v>
          </cell>
          <cell r="AF93">
            <v>11</v>
          </cell>
          <cell r="AR93">
            <v>16500000</v>
          </cell>
        </row>
        <row r="94">
          <cell r="B94" t="str">
            <v>Hammer Mill Machine</v>
          </cell>
          <cell r="C94" t="str">
            <v>دستگاه نو</v>
          </cell>
          <cell r="AF94">
            <v>2</v>
          </cell>
          <cell r="AR94">
            <v>3000000</v>
          </cell>
        </row>
        <row r="95">
          <cell r="B95" t="str">
            <v>قالب پخت کلاچ پژو 405</v>
          </cell>
          <cell r="C95" t="str">
            <v>قالب تعمیری</v>
          </cell>
          <cell r="H95" t="str">
            <v>03s</v>
          </cell>
          <cell r="AF95">
            <v>11</v>
          </cell>
          <cell r="AR95">
            <v>16500000</v>
          </cell>
        </row>
        <row r="96">
          <cell r="B96" t="str">
            <v>Hammer Mill Machine</v>
          </cell>
          <cell r="C96" t="str">
            <v>دستگاه نو</v>
          </cell>
          <cell r="AF96">
            <v>1</v>
          </cell>
          <cell r="AR96">
            <v>1500000</v>
          </cell>
        </row>
        <row r="97">
          <cell r="B97" t="str">
            <v>قالب لودری 70028</v>
          </cell>
          <cell r="C97" t="str">
            <v>قالب تعمیری</v>
          </cell>
          <cell r="H97">
            <v>70028</v>
          </cell>
          <cell r="AF97">
            <v>3</v>
          </cell>
          <cell r="AR97">
            <v>2250000</v>
          </cell>
        </row>
        <row r="98">
          <cell r="B98" t="str">
            <v>بمبوری</v>
          </cell>
          <cell r="C98" t="str">
            <v>قطعه تعمیری</v>
          </cell>
          <cell r="AF98">
            <v>1</v>
          </cell>
          <cell r="AR98">
            <v>750000</v>
          </cell>
        </row>
        <row r="99">
          <cell r="B99" t="str">
            <v>بمبوری</v>
          </cell>
          <cell r="C99" t="str">
            <v>قطعه تعمیری</v>
          </cell>
          <cell r="AF99">
            <v>1</v>
          </cell>
          <cell r="AR99">
            <v>750000</v>
          </cell>
        </row>
        <row r="100">
          <cell r="B100" t="str">
            <v>پخت کلاچ پژو 206 TU5</v>
          </cell>
          <cell r="C100" t="str">
            <v>قالب تعمیری</v>
          </cell>
          <cell r="H100" t="str">
            <v>MC30334-01s</v>
          </cell>
          <cell r="AF100">
            <v>4</v>
          </cell>
          <cell r="AR100">
            <v>3000000</v>
          </cell>
        </row>
        <row r="101">
          <cell r="B101" t="str">
            <v>قالب پخت کلاچ پژو 405</v>
          </cell>
          <cell r="C101" t="str">
            <v>قالب تعمیری</v>
          </cell>
          <cell r="H101" t="str">
            <v>03s</v>
          </cell>
          <cell r="AF101">
            <v>0.5</v>
          </cell>
          <cell r="AR101">
            <v>375000</v>
          </cell>
        </row>
        <row r="102">
          <cell r="B102" t="str">
            <v>Hammer Mill Machine</v>
          </cell>
          <cell r="C102" t="str">
            <v>دستگاه نو</v>
          </cell>
          <cell r="AF102">
            <v>7.5</v>
          </cell>
          <cell r="AR102">
            <v>11250000</v>
          </cell>
        </row>
        <row r="103">
          <cell r="B103" t="str">
            <v>قالب پخت کلاچ پژو 405</v>
          </cell>
          <cell r="C103" t="str">
            <v>قالب تعمیری</v>
          </cell>
          <cell r="H103" t="str">
            <v>03s</v>
          </cell>
          <cell r="AF103">
            <v>3.5</v>
          </cell>
          <cell r="AR103">
            <v>5250000</v>
          </cell>
        </row>
        <row r="104">
          <cell r="B104" t="str">
            <v>قالب پخت کلاچ پژو 405</v>
          </cell>
          <cell r="C104" t="str">
            <v>قالب تعمیری</v>
          </cell>
          <cell r="H104" t="str">
            <v>Mc30243-04s</v>
          </cell>
          <cell r="AF104">
            <v>4.5</v>
          </cell>
          <cell r="AR104">
            <v>3375000</v>
          </cell>
        </row>
        <row r="105">
          <cell r="B105" t="str">
            <v>دستگاه پرس پخت</v>
          </cell>
          <cell r="C105" t="str">
            <v>قطعه تعمیری</v>
          </cell>
          <cell r="AF105">
            <v>3</v>
          </cell>
          <cell r="AR105">
            <v>2250000</v>
          </cell>
        </row>
        <row r="106">
          <cell r="B106" t="str">
            <v>دستگاه ساب الماسه</v>
          </cell>
          <cell r="C106" t="str">
            <v>قطعه تعمیری</v>
          </cell>
          <cell r="AF106">
            <v>3.5</v>
          </cell>
          <cell r="AR106">
            <v>2625000</v>
          </cell>
        </row>
        <row r="107">
          <cell r="B107" t="str">
            <v>پخت کلاچ پژو 206 TU5</v>
          </cell>
          <cell r="C107" t="str">
            <v>قالب تعمیری</v>
          </cell>
          <cell r="H107" t="str">
            <v>MC30334-01s</v>
          </cell>
          <cell r="AF107">
            <v>2</v>
          </cell>
          <cell r="AR107">
            <v>1500000</v>
          </cell>
        </row>
        <row r="108">
          <cell r="B108" t="str">
            <v>قالب پراید خاردار</v>
          </cell>
          <cell r="C108" t="str">
            <v>قالب تعمیری</v>
          </cell>
          <cell r="H108" t="str">
            <v>ML21355-01s</v>
          </cell>
          <cell r="AF108">
            <v>4</v>
          </cell>
          <cell r="AR108">
            <v>3000000</v>
          </cell>
        </row>
        <row r="109">
          <cell r="B109" t="str">
            <v>قالب پخت کلاچ پیکان آرژانتینی</v>
          </cell>
          <cell r="C109" t="str">
            <v>قالب تعمیری</v>
          </cell>
          <cell r="H109" t="str">
            <v>MC30241-02s</v>
          </cell>
          <cell r="AF109">
            <v>2</v>
          </cell>
          <cell r="AR109">
            <v>1500000</v>
          </cell>
        </row>
        <row r="110">
          <cell r="B110" t="str">
            <v>عقب بنز 74</v>
          </cell>
          <cell r="C110" t="str">
            <v>قالب تعمیری</v>
          </cell>
          <cell r="AF110">
            <v>11</v>
          </cell>
          <cell r="AR110">
            <v>8250000</v>
          </cell>
        </row>
        <row r="111">
          <cell r="B111" t="str">
            <v>قالب پخت کلاچ پژو 405</v>
          </cell>
          <cell r="C111" t="str">
            <v>قالب تعمیری</v>
          </cell>
          <cell r="H111" t="str">
            <v>03s</v>
          </cell>
          <cell r="AF111">
            <v>11</v>
          </cell>
          <cell r="AR111">
            <v>16500000</v>
          </cell>
        </row>
        <row r="112">
          <cell r="B112" t="str">
            <v>قالب پخت کلاچ پژو 405</v>
          </cell>
          <cell r="C112" t="str">
            <v>قالب تعمیری</v>
          </cell>
          <cell r="H112" t="str">
            <v>Mc30243-04s</v>
          </cell>
          <cell r="AF112">
            <v>7</v>
          </cell>
          <cell r="AR112">
            <v>10500000</v>
          </cell>
        </row>
        <row r="113">
          <cell r="B113" t="str">
            <v>قالب پخت کلاچ پیکان</v>
          </cell>
          <cell r="C113" t="str">
            <v>قالب تعمیری</v>
          </cell>
          <cell r="H113" t="str">
            <v>07s</v>
          </cell>
          <cell r="AF113">
            <v>11</v>
          </cell>
          <cell r="AR113">
            <v>16500000</v>
          </cell>
        </row>
        <row r="114">
          <cell r="B114" t="str">
            <v>ویوینگ</v>
          </cell>
          <cell r="C114" t="str">
            <v>قطعه تعمیری</v>
          </cell>
          <cell r="AF114">
            <v>5</v>
          </cell>
          <cell r="AR114">
            <v>3750000</v>
          </cell>
        </row>
        <row r="115">
          <cell r="B115" t="str">
            <v>ابزار زنی</v>
          </cell>
          <cell r="C115" t="str">
            <v>قطعه نو</v>
          </cell>
          <cell r="AF115">
            <v>12</v>
          </cell>
          <cell r="AR115">
            <v>9000000</v>
          </cell>
        </row>
        <row r="116">
          <cell r="B116" t="str">
            <v>ابزار زنی</v>
          </cell>
          <cell r="C116" t="str">
            <v>قطعه نو</v>
          </cell>
          <cell r="AF116">
            <v>12</v>
          </cell>
          <cell r="AR116">
            <v>9000000</v>
          </cell>
        </row>
        <row r="117">
          <cell r="B117" t="str">
            <v>ابزار زنی</v>
          </cell>
          <cell r="C117" t="str">
            <v>قطعه نو</v>
          </cell>
          <cell r="AF117">
            <v>12</v>
          </cell>
          <cell r="AR117">
            <v>9000000</v>
          </cell>
        </row>
        <row r="118">
          <cell r="B118" t="str">
            <v>پین عقب L90 معمولی</v>
          </cell>
          <cell r="C118" t="str">
            <v>قطعه نو</v>
          </cell>
          <cell r="AF118">
            <v>7.5</v>
          </cell>
          <cell r="AR118">
            <v>5625000</v>
          </cell>
        </row>
        <row r="119">
          <cell r="B119" t="str">
            <v>قالب پخت کلاچ پژو 405</v>
          </cell>
          <cell r="C119" t="str">
            <v>قالب تعمیری</v>
          </cell>
          <cell r="H119" t="str">
            <v>Mc30243-04s</v>
          </cell>
          <cell r="AF119">
            <v>11</v>
          </cell>
          <cell r="AR119">
            <v>8250000</v>
          </cell>
        </row>
        <row r="120">
          <cell r="B120" t="str">
            <v>قالب پخت کلاچ پژو 405</v>
          </cell>
          <cell r="C120" t="str">
            <v>قالب تعمیری</v>
          </cell>
          <cell r="H120" t="str">
            <v>Mc30243-04s</v>
          </cell>
          <cell r="AF120">
            <v>7.5</v>
          </cell>
          <cell r="AR120">
            <v>5625000</v>
          </cell>
        </row>
        <row r="121">
          <cell r="B121" t="str">
            <v>قالب لودری 70028</v>
          </cell>
          <cell r="C121" t="str">
            <v>قالب تعمیری</v>
          </cell>
          <cell r="H121">
            <v>70028</v>
          </cell>
          <cell r="AF121">
            <v>1.5</v>
          </cell>
          <cell r="AR121">
            <v>1125000</v>
          </cell>
        </row>
        <row r="122">
          <cell r="B122" t="str">
            <v>دستگاه پشم فلز چینی</v>
          </cell>
          <cell r="C122" t="str">
            <v>قطعه نو</v>
          </cell>
          <cell r="AF122">
            <v>5</v>
          </cell>
          <cell r="AR122">
            <v>3750000</v>
          </cell>
        </row>
        <row r="123">
          <cell r="B123" t="str">
            <v>قالب پخت کلاچ پژو 405</v>
          </cell>
          <cell r="C123" t="str">
            <v>قالب تعمیری</v>
          </cell>
          <cell r="H123" t="str">
            <v>Mc30243-04s</v>
          </cell>
          <cell r="AF123">
            <v>7</v>
          </cell>
          <cell r="AR123">
            <v>5250000</v>
          </cell>
        </row>
        <row r="124">
          <cell r="B124" t="str">
            <v>اصول 5S</v>
          </cell>
          <cell r="C124" t="str">
            <v>نظافت</v>
          </cell>
          <cell r="AF124">
            <v>0.5</v>
          </cell>
          <cell r="AR124">
            <v>375000</v>
          </cell>
        </row>
        <row r="125">
          <cell r="B125" t="str">
            <v>قالب پخت کلاچ پژو 405</v>
          </cell>
          <cell r="C125" t="str">
            <v>قالب تعمیری</v>
          </cell>
          <cell r="H125" t="str">
            <v>Mc30243-04s</v>
          </cell>
          <cell r="AF125">
            <v>7</v>
          </cell>
          <cell r="AR125">
            <v>5250000</v>
          </cell>
        </row>
        <row r="126">
          <cell r="B126" t="str">
            <v>اصول 5S</v>
          </cell>
          <cell r="C126" t="str">
            <v>نظافت</v>
          </cell>
          <cell r="AF126">
            <v>0.5</v>
          </cell>
          <cell r="AR126">
            <v>375000</v>
          </cell>
        </row>
        <row r="127">
          <cell r="B127" t="str">
            <v>ویوینگ</v>
          </cell>
          <cell r="C127" t="str">
            <v>قطعه تعمیری</v>
          </cell>
          <cell r="AF127">
            <v>1</v>
          </cell>
          <cell r="AR127">
            <v>750000</v>
          </cell>
        </row>
        <row r="128">
          <cell r="B128" t="str">
            <v>قالب پخت کلاچ پیکان آرژانتینی</v>
          </cell>
          <cell r="C128" t="str">
            <v>قالب تعمیری</v>
          </cell>
          <cell r="H128" t="str">
            <v>04S</v>
          </cell>
          <cell r="AF128">
            <v>2</v>
          </cell>
          <cell r="AR128">
            <v>1500000</v>
          </cell>
        </row>
        <row r="129">
          <cell r="B129" t="str">
            <v>قالب جلو ریو</v>
          </cell>
          <cell r="C129" t="str">
            <v>قالب تعمیری</v>
          </cell>
          <cell r="AF129">
            <v>2</v>
          </cell>
          <cell r="AR129">
            <v>1500000</v>
          </cell>
        </row>
        <row r="130">
          <cell r="B130" t="str">
            <v>اصول 5S</v>
          </cell>
          <cell r="C130" t="str">
            <v>نظافت</v>
          </cell>
          <cell r="AF130">
            <v>1</v>
          </cell>
          <cell r="AR130">
            <v>750000</v>
          </cell>
        </row>
        <row r="131">
          <cell r="B131" t="str">
            <v>پین عقب L90 معمولی</v>
          </cell>
          <cell r="C131" t="str">
            <v>قطعه نو</v>
          </cell>
          <cell r="AF131">
            <v>7.5</v>
          </cell>
          <cell r="AR131">
            <v>5625000</v>
          </cell>
        </row>
        <row r="132">
          <cell r="B132" t="str">
            <v>اصول 5S</v>
          </cell>
          <cell r="C132" t="str">
            <v>نظافت</v>
          </cell>
          <cell r="AF132">
            <v>0.5</v>
          </cell>
          <cell r="AR132">
            <v>375000</v>
          </cell>
        </row>
        <row r="133">
          <cell r="B133" t="str">
            <v>دستگاه ساب الماسه</v>
          </cell>
          <cell r="C133" t="str">
            <v>قطعه تعمیری</v>
          </cell>
          <cell r="AF133">
            <v>2</v>
          </cell>
          <cell r="AR133">
            <v>1500000</v>
          </cell>
        </row>
        <row r="134">
          <cell r="B134" t="str">
            <v>ویوینگ</v>
          </cell>
          <cell r="C134" t="str">
            <v>قطعه تعمیری</v>
          </cell>
          <cell r="AF134">
            <v>2</v>
          </cell>
          <cell r="AR134">
            <v>1500000</v>
          </cell>
        </row>
        <row r="135">
          <cell r="B135" t="str">
            <v xml:space="preserve">وایر کات </v>
          </cell>
          <cell r="C135" t="str">
            <v>دستگاه تعمیری</v>
          </cell>
          <cell r="AF135">
            <v>2</v>
          </cell>
          <cell r="AR135">
            <v>1500000</v>
          </cell>
        </row>
        <row r="136">
          <cell r="B136" t="str">
            <v>اصول 5S</v>
          </cell>
          <cell r="C136" t="str">
            <v>نظافت</v>
          </cell>
          <cell r="AF136">
            <v>0.5</v>
          </cell>
          <cell r="AR136">
            <v>375000</v>
          </cell>
        </row>
        <row r="137">
          <cell r="B137" t="str">
            <v>ابزار زنی</v>
          </cell>
          <cell r="C137" t="str">
            <v>قطعه نو</v>
          </cell>
          <cell r="AF137">
            <v>4</v>
          </cell>
          <cell r="AR137">
            <v>3000000</v>
          </cell>
        </row>
        <row r="138">
          <cell r="B138" t="str">
            <v>ابزار زنی</v>
          </cell>
          <cell r="C138" t="str">
            <v>قطعه نو</v>
          </cell>
          <cell r="AF138">
            <v>4</v>
          </cell>
          <cell r="AR138">
            <v>3000000</v>
          </cell>
        </row>
        <row r="139">
          <cell r="B139" t="str">
            <v>قالب پخت کلاچ پژو 405</v>
          </cell>
          <cell r="C139" t="str">
            <v>قالب تعمیری</v>
          </cell>
          <cell r="H139" t="str">
            <v>03s</v>
          </cell>
          <cell r="AF139">
            <v>7.5</v>
          </cell>
          <cell r="AR139">
            <v>11250000</v>
          </cell>
        </row>
        <row r="140">
          <cell r="B140" t="str">
            <v>پخت کلاچ پراید</v>
          </cell>
          <cell r="C140" t="str">
            <v>قالب تعمیری</v>
          </cell>
          <cell r="H140" t="str">
            <v>08s</v>
          </cell>
          <cell r="AF140">
            <v>7.5</v>
          </cell>
          <cell r="AR140">
            <v>11250000</v>
          </cell>
        </row>
        <row r="141">
          <cell r="B141" t="str">
            <v>پخت کلاچ پراید</v>
          </cell>
          <cell r="C141" t="str">
            <v>قالب تعمیری</v>
          </cell>
          <cell r="H141" t="str">
            <v>08s</v>
          </cell>
          <cell r="AF141">
            <v>10</v>
          </cell>
          <cell r="AR141">
            <v>15000000</v>
          </cell>
        </row>
        <row r="142">
          <cell r="B142" t="str">
            <v>قالب پخت کلاچ پژو 405</v>
          </cell>
          <cell r="C142" t="str">
            <v>قالب تعمیری</v>
          </cell>
          <cell r="H142" t="str">
            <v>03s</v>
          </cell>
          <cell r="AF142">
            <v>10</v>
          </cell>
          <cell r="AR142">
            <v>15000000</v>
          </cell>
        </row>
        <row r="143">
          <cell r="B143" t="str">
            <v>پین عقب L90 معمولی</v>
          </cell>
          <cell r="C143" t="str">
            <v>قطعه نو</v>
          </cell>
          <cell r="AF143">
            <v>7.5</v>
          </cell>
          <cell r="AR143">
            <v>5625000</v>
          </cell>
        </row>
        <row r="144">
          <cell r="B144" t="str">
            <v>دستگاه پشم فلز چینی</v>
          </cell>
          <cell r="C144" t="str">
            <v>قطعه نو</v>
          </cell>
          <cell r="AF144">
            <v>7.333333333333333</v>
          </cell>
          <cell r="AR144">
            <v>5500000</v>
          </cell>
        </row>
        <row r="145">
          <cell r="B145" t="str">
            <v>پخت کلاچ پراید</v>
          </cell>
          <cell r="C145" t="str">
            <v>قالب تعمیری</v>
          </cell>
          <cell r="H145" t="str">
            <v>08s</v>
          </cell>
          <cell r="AF145">
            <v>10</v>
          </cell>
          <cell r="AR145">
            <v>7500000</v>
          </cell>
        </row>
        <row r="146">
          <cell r="B146" t="str">
            <v>قالب جلو ریو</v>
          </cell>
          <cell r="C146" t="str">
            <v>قالب تعمیری</v>
          </cell>
          <cell r="AF146">
            <v>2</v>
          </cell>
          <cell r="AR146">
            <v>1500000</v>
          </cell>
        </row>
        <row r="147">
          <cell r="B147" t="str">
            <v>ابزار زنی</v>
          </cell>
          <cell r="C147" t="str">
            <v>قطعه نو</v>
          </cell>
          <cell r="AF147">
            <v>7</v>
          </cell>
          <cell r="AR147">
            <v>5250000</v>
          </cell>
        </row>
        <row r="148">
          <cell r="B148" t="str">
            <v>قالب پخت کلاچ پژو 405</v>
          </cell>
          <cell r="C148" t="str">
            <v>قالب تعمیری</v>
          </cell>
          <cell r="H148" t="str">
            <v>Mc30243-04s</v>
          </cell>
          <cell r="AF148">
            <v>3</v>
          </cell>
          <cell r="AR148">
            <v>2250000</v>
          </cell>
        </row>
        <row r="149">
          <cell r="B149" t="str">
            <v>دستگاه پشم فلز چینی</v>
          </cell>
          <cell r="C149" t="str">
            <v>قطعه نو</v>
          </cell>
          <cell r="AF149">
            <v>3</v>
          </cell>
          <cell r="AR149">
            <v>2250000</v>
          </cell>
        </row>
        <row r="150">
          <cell r="B150" t="str">
            <v>برش توری SAF</v>
          </cell>
          <cell r="C150" t="str">
            <v>قالب تعمیری</v>
          </cell>
          <cell r="AF150">
            <v>1</v>
          </cell>
          <cell r="AR150">
            <v>750000</v>
          </cell>
        </row>
        <row r="151">
          <cell r="B151" t="str">
            <v>قالب پخت کلاچ پیکان</v>
          </cell>
          <cell r="C151" t="str">
            <v>قالب تعمیری</v>
          </cell>
          <cell r="H151" t="str">
            <v>05S</v>
          </cell>
          <cell r="AF151">
            <v>3</v>
          </cell>
          <cell r="AR151">
            <v>2250000</v>
          </cell>
        </row>
        <row r="152">
          <cell r="B152" t="str">
            <v>آغشته کاری</v>
          </cell>
          <cell r="C152" t="str">
            <v>قطعه نو</v>
          </cell>
          <cell r="AF152">
            <v>3</v>
          </cell>
          <cell r="AR152">
            <v>2250000</v>
          </cell>
        </row>
        <row r="153">
          <cell r="B153" t="str">
            <v xml:space="preserve">وایر کات </v>
          </cell>
          <cell r="C153" t="str">
            <v>دستگاه تعمیری</v>
          </cell>
          <cell r="AF153">
            <v>1.5</v>
          </cell>
          <cell r="AR153">
            <v>1125000</v>
          </cell>
        </row>
        <row r="154">
          <cell r="B154" t="str">
            <v>دریل رادیال</v>
          </cell>
          <cell r="C154" t="str">
            <v>دستگاه تعمیری</v>
          </cell>
          <cell r="AF154">
            <v>1.5</v>
          </cell>
          <cell r="AR154">
            <v>1125000</v>
          </cell>
        </row>
        <row r="155">
          <cell r="B155" t="str">
            <v>Hammer Mill Machine</v>
          </cell>
          <cell r="C155" t="str">
            <v>دستگاه نو</v>
          </cell>
          <cell r="AF155">
            <v>9</v>
          </cell>
          <cell r="AR155">
            <v>6750000</v>
          </cell>
        </row>
        <row r="156">
          <cell r="B156" t="str">
            <v>بمبوری</v>
          </cell>
          <cell r="C156" t="str">
            <v>قطعه تعمیری</v>
          </cell>
          <cell r="AF156">
            <v>2</v>
          </cell>
          <cell r="AR156">
            <v>1500000</v>
          </cell>
        </row>
        <row r="157">
          <cell r="B157" t="str">
            <v>ابزار زنی</v>
          </cell>
          <cell r="C157" t="str">
            <v>قطعه تعمیری</v>
          </cell>
          <cell r="AF157">
            <v>2</v>
          </cell>
          <cell r="AR157">
            <v>1500000</v>
          </cell>
        </row>
        <row r="158">
          <cell r="B158" t="str">
            <v xml:space="preserve">دستگاه بسته بندی </v>
          </cell>
          <cell r="C158" t="str">
            <v>قطعه تعمیری</v>
          </cell>
          <cell r="AF158">
            <v>3</v>
          </cell>
          <cell r="AR158">
            <v>2250000</v>
          </cell>
        </row>
        <row r="159">
          <cell r="B159" t="str">
            <v>آغشته کاری</v>
          </cell>
          <cell r="C159" t="str">
            <v>قطعه تعمیری</v>
          </cell>
          <cell r="AF159">
            <v>12</v>
          </cell>
          <cell r="AR159">
            <v>9000000</v>
          </cell>
        </row>
        <row r="160">
          <cell r="B160" t="str">
            <v>دستگاه CNC</v>
          </cell>
          <cell r="C160" t="str">
            <v>قطعه نو</v>
          </cell>
          <cell r="AF160">
            <v>12</v>
          </cell>
          <cell r="AR160">
            <v>9000000</v>
          </cell>
        </row>
        <row r="161">
          <cell r="B161" t="str">
            <v>دستگاه وایر 7604</v>
          </cell>
          <cell r="C161" t="str">
            <v>دستگاه تعمیری</v>
          </cell>
          <cell r="AF161">
            <v>12</v>
          </cell>
          <cell r="AR161">
            <v>9000000</v>
          </cell>
        </row>
        <row r="162">
          <cell r="B162" t="str">
            <v>پخت کلاچ پراید</v>
          </cell>
          <cell r="C162" t="str">
            <v>قالب تعمیری</v>
          </cell>
          <cell r="H162" t="str">
            <v>MC30246-09S</v>
          </cell>
          <cell r="AF162">
            <v>1</v>
          </cell>
          <cell r="AR162">
            <v>750000</v>
          </cell>
        </row>
        <row r="163">
          <cell r="B163" t="str">
            <v>قالب جلو ریو</v>
          </cell>
          <cell r="C163" t="str">
            <v>قالب تعمیری</v>
          </cell>
          <cell r="AF163">
            <v>1</v>
          </cell>
          <cell r="AR163">
            <v>750000</v>
          </cell>
        </row>
        <row r="164">
          <cell r="B164" t="str">
            <v>قالب جلو ریو</v>
          </cell>
          <cell r="C164" t="str">
            <v>قالب تعمیری</v>
          </cell>
          <cell r="AF164">
            <v>8</v>
          </cell>
          <cell r="AR164">
            <v>6000000</v>
          </cell>
        </row>
        <row r="165">
          <cell r="B165" t="str">
            <v>قالب پخت کلاچ پژو 405</v>
          </cell>
          <cell r="C165" t="str">
            <v>قالب تعمیری</v>
          </cell>
          <cell r="H165" t="str">
            <v>Mc30243-04s</v>
          </cell>
          <cell r="AF165">
            <v>2.5</v>
          </cell>
          <cell r="AR165">
            <v>3750000</v>
          </cell>
        </row>
        <row r="166">
          <cell r="B166" t="str">
            <v>شابلون پژو 405 دیسکی</v>
          </cell>
          <cell r="C166" t="str">
            <v>قطعه تعمیری</v>
          </cell>
          <cell r="AF166">
            <v>5</v>
          </cell>
          <cell r="AR166">
            <v>7500000</v>
          </cell>
        </row>
        <row r="167">
          <cell r="B167" t="str">
            <v>بمبوری</v>
          </cell>
          <cell r="C167" t="str">
            <v>قطعه تعمیری</v>
          </cell>
          <cell r="AF167">
            <v>7.5</v>
          </cell>
          <cell r="AR167">
            <v>11250000</v>
          </cell>
        </row>
        <row r="168">
          <cell r="B168" t="str">
            <v>دستگاه پرس</v>
          </cell>
          <cell r="C168" t="str">
            <v>قطعه تعمیری</v>
          </cell>
          <cell r="AF168">
            <v>11</v>
          </cell>
          <cell r="AR168">
            <v>16500000</v>
          </cell>
        </row>
        <row r="169">
          <cell r="B169" t="str">
            <v>دستگاه پرس 600 تن</v>
          </cell>
          <cell r="C169" t="str">
            <v>قطعه تعمیری</v>
          </cell>
          <cell r="AF169">
            <v>11</v>
          </cell>
          <cell r="AR169">
            <v>8250000</v>
          </cell>
        </row>
        <row r="170">
          <cell r="B170" t="str">
            <v>ابزار زنی</v>
          </cell>
          <cell r="C170" t="str">
            <v>قطعه نو</v>
          </cell>
          <cell r="AF170">
            <v>9</v>
          </cell>
          <cell r="AR170">
            <v>6750000</v>
          </cell>
        </row>
        <row r="171">
          <cell r="B171" t="str">
            <v xml:space="preserve">پخت کلاچ پراید سکو </v>
          </cell>
          <cell r="C171" t="str">
            <v>قالب تعمیری</v>
          </cell>
          <cell r="H171" t="str">
            <v xml:space="preserve">MC30357-01S </v>
          </cell>
          <cell r="AF171">
            <v>2</v>
          </cell>
          <cell r="AR171">
            <v>1500000</v>
          </cell>
        </row>
        <row r="172">
          <cell r="B172" t="str">
            <v>قالب پخت کلاچ پیکان</v>
          </cell>
          <cell r="C172" t="str">
            <v>قالب تعمیری</v>
          </cell>
          <cell r="H172" t="str">
            <v>05S</v>
          </cell>
          <cell r="AF172">
            <v>9</v>
          </cell>
          <cell r="AR172">
            <v>6750000</v>
          </cell>
        </row>
        <row r="173">
          <cell r="B173" t="str">
            <v>پخت کلاچ پراید</v>
          </cell>
          <cell r="C173" t="str">
            <v>قالب تعمیری</v>
          </cell>
          <cell r="AF173">
            <v>2</v>
          </cell>
          <cell r="AR173">
            <v>1500000</v>
          </cell>
        </row>
        <row r="174">
          <cell r="B174" t="str">
            <v>دستگاه پشم فلز چینی</v>
          </cell>
          <cell r="C174" t="str">
            <v>قطعه نو</v>
          </cell>
          <cell r="AF174">
            <v>3</v>
          </cell>
          <cell r="AR174">
            <v>2250000</v>
          </cell>
        </row>
        <row r="175">
          <cell r="B175" t="str">
            <v>صنایع مس</v>
          </cell>
          <cell r="C175" t="str">
            <v>قطعه نو</v>
          </cell>
          <cell r="AF175">
            <v>3.3333333333333335</v>
          </cell>
          <cell r="AR175">
            <v>2500000</v>
          </cell>
        </row>
        <row r="176">
          <cell r="B176" t="str">
            <v>ساب کلاچ</v>
          </cell>
          <cell r="C176" t="str">
            <v>قطعه نو</v>
          </cell>
          <cell r="AF176">
            <v>5.5</v>
          </cell>
          <cell r="AR176">
            <v>4125000</v>
          </cell>
        </row>
        <row r="177">
          <cell r="B177" t="str">
            <v>قالب پخت کلاچ پیکان</v>
          </cell>
          <cell r="C177" t="str">
            <v>قالب تعمیری</v>
          </cell>
          <cell r="H177" t="str">
            <v>05S</v>
          </cell>
          <cell r="AF177">
            <v>5.5</v>
          </cell>
          <cell r="AR177">
            <v>4125000</v>
          </cell>
        </row>
        <row r="178">
          <cell r="B178" t="str">
            <v>دستگاه پرس 600 تن</v>
          </cell>
          <cell r="C178" t="str">
            <v>قطعه تعمیری</v>
          </cell>
          <cell r="AF178">
            <v>11</v>
          </cell>
          <cell r="AR178">
            <v>8250000</v>
          </cell>
        </row>
        <row r="179">
          <cell r="B179" t="str">
            <v>قالب پخت کلاچ پیکان آرژانتینی</v>
          </cell>
          <cell r="C179" t="str">
            <v>قالب تعمیری</v>
          </cell>
          <cell r="H179" t="str">
            <v>04S</v>
          </cell>
          <cell r="AF179">
            <v>9</v>
          </cell>
          <cell r="AR179">
            <v>6750000</v>
          </cell>
        </row>
        <row r="180">
          <cell r="B180" t="str">
            <v>دستگاه CNC</v>
          </cell>
          <cell r="C180" t="str">
            <v>قطعه تعمیری</v>
          </cell>
          <cell r="AF180">
            <v>9</v>
          </cell>
          <cell r="AR180">
            <v>6750000</v>
          </cell>
        </row>
        <row r="181">
          <cell r="B181" t="str">
            <v>شرکت فرش</v>
          </cell>
          <cell r="C181" t="str">
            <v>قطعه تعمیری</v>
          </cell>
          <cell r="AF181">
            <v>5</v>
          </cell>
          <cell r="AR181">
            <v>3750000</v>
          </cell>
        </row>
        <row r="182">
          <cell r="B182" t="str">
            <v>شرکت فرش</v>
          </cell>
          <cell r="C182" t="str">
            <v>قطعه تعمیری</v>
          </cell>
          <cell r="AF182">
            <v>3</v>
          </cell>
          <cell r="AR182">
            <v>2250000</v>
          </cell>
        </row>
        <row r="183">
          <cell r="B183" t="str">
            <v>کولر سالن</v>
          </cell>
          <cell r="C183" t="str">
            <v>قطعه تعمیری</v>
          </cell>
          <cell r="AF183">
            <v>1.5</v>
          </cell>
          <cell r="AR183">
            <v>1125000</v>
          </cell>
        </row>
        <row r="184">
          <cell r="B184" t="str">
            <v>آغشته کاری</v>
          </cell>
          <cell r="C184" t="str">
            <v>قطعه نو</v>
          </cell>
          <cell r="AF184">
            <v>1</v>
          </cell>
          <cell r="AR184">
            <v>750000</v>
          </cell>
        </row>
        <row r="185">
          <cell r="B185" t="str">
            <v>قالب جلو ریو</v>
          </cell>
          <cell r="C185" t="str">
            <v>قالب تعمیری</v>
          </cell>
          <cell r="AF185">
            <v>2.5</v>
          </cell>
          <cell r="AR185">
            <v>1875000</v>
          </cell>
        </row>
        <row r="186">
          <cell r="B186" t="str">
            <v xml:space="preserve">پخت کلاچ پراید سکو </v>
          </cell>
          <cell r="C186" t="str">
            <v>قالب تعمیری</v>
          </cell>
          <cell r="H186" t="str">
            <v xml:space="preserve">MC30357-01S </v>
          </cell>
          <cell r="AF186">
            <v>0.5</v>
          </cell>
          <cell r="AR186">
            <v>375000</v>
          </cell>
        </row>
        <row r="187">
          <cell r="B187" t="str">
            <v>پخت کلاچ پیکان المانی</v>
          </cell>
          <cell r="C187" t="str">
            <v>قالب تعمیری</v>
          </cell>
          <cell r="H187" t="str">
            <v>FC30359-02S</v>
          </cell>
          <cell r="AF187">
            <v>2</v>
          </cell>
          <cell r="AR187">
            <v>1500000</v>
          </cell>
        </row>
        <row r="188">
          <cell r="B188" t="str">
            <v>پخت کلاچ پیکان انگلیسی</v>
          </cell>
          <cell r="C188" t="str">
            <v>قالب تعمیری</v>
          </cell>
          <cell r="H188" t="str">
            <v>FC30360-02S</v>
          </cell>
          <cell r="AF188">
            <v>1</v>
          </cell>
          <cell r="AR188">
            <v>750000</v>
          </cell>
        </row>
        <row r="189">
          <cell r="B189" t="str">
            <v>پرس پخت کلاچ</v>
          </cell>
          <cell r="C189" t="str">
            <v>قطعه نو</v>
          </cell>
          <cell r="AF189">
            <v>4</v>
          </cell>
          <cell r="AR189">
            <v>3000000</v>
          </cell>
        </row>
        <row r="190">
          <cell r="B190" t="str">
            <v>برش جمعی عقب پیکان</v>
          </cell>
          <cell r="C190" t="str">
            <v>قطعه تعمیری</v>
          </cell>
          <cell r="AF190">
            <v>1.5</v>
          </cell>
          <cell r="AR190">
            <v>1125000</v>
          </cell>
        </row>
        <row r="191">
          <cell r="B191" t="str">
            <v>ویوینگ</v>
          </cell>
          <cell r="C191" t="str">
            <v>قطعه تعمیری</v>
          </cell>
          <cell r="AF191">
            <v>2</v>
          </cell>
          <cell r="AR191">
            <v>1500000</v>
          </cell>
        </row>
        <row r="192">
          <cell r="B192" t="str">
            <v>پین عقب L90 معمولی</v>
          </cell>
          <cell r="C192" t="str">
            <v>قطعه نو</v>
          </cell>
          <cell r="AF192">
            <v>7.5</v>
          </cell>
          <cell r="AR192">
            <v>5625000</v>
          </cell>
        </row>
        <row r="193">
          <cell r="B193" t="str">
            <v>ابزار زنی</v>
          </cell>
          <cell r="C193" t="str">
            <v>قطعه نو</v>
          </cell>
          <cell r="AF193">
            <v>11</v>
          </cell>
          <cell r="AR193">
            <v>8250000</v>
          </cell>
        </row>
        <row r="194">
          <cell r="B194" t="str">
            <v>صنایع مس</v>
          </cell>
          <cell r="C194" t="str">
            <v>قطعه نو</v>
          </cell>
          <cell r="AF194">
            <v>3.5</v>
          </cell>
          <cell r="AR194">
            <v>2625000</v>
          </cell>
        </row>
        <row r="195">
          <cell r="B195" t="str">
            <v>پخت کلاچ پراید</v>
          </cell>
          <cell r="C195" t="str">
            <v>قالب تعمیری</v>
          </cell>
          <cell r="AF195">
            <v>10</v>
          </cell>
          <cell r="AR195">
            <v>7500000</v>
          </cell>
        </row>
        <row r="196">
          <cell r="B196" t="str">
            <v>قالب توری بادسان</v>
          </cell>
          <cell r="C196" t="str">
            <v>قالب تعمیری</v>
          </cell>
          <cell r="AF196">
            <v>1</v>
          </cell>
          <cell r="AR196">
            <v>750000</v>
          </cell>
        </row>
        <row r="197">
          <cell r="B197" t="str">
            <v>بمبوری</v>
          </cell>
          <cell r="C197" t="str">
            <v>قطعه تعمیری</v>
          </cell>
          <cell r="AF197">
            <v>4.5</v>
          </cell>
          <cell r="AR197">
            <v>6750000</v>
          </cell>
        </row>
        <row r="198">
          <cell r="B198" t="str">
            <v>دستگاه پشم فلز چینی</v>
          </cell>
          <cell r="C198" t="str">
            <v>قطعه نو</v>
          </cell>
          <cell r="AF198">
            <v>6.5</v>
          </cell>
          <cell r="AR198">
            <v>9750000</v>
          </cell>
        </row>
        <row r="199">
          <cell r="B199" t="str">
            <v>دستگاه ساب الماسه</v>
          </cell>
          <cell r="C199" t="str">
            <v>قطعه نو</v>
          </cell>
          <cell r="AF199">
            <v>4</v>
          </cell>
          <cell r="AR199">
            <v>3000000</v>
          </cell>
        </row>
        <row r="200">
          <cell r="B200" t="str">
            <v>دریل یزدخواستی کلاچ</v>
          </cell>
          <cell r="C200" t="str">
            <v>قطعه نو</v>
          </cell>
          <cell r="AF200">
            <v>6</v>
          </cell>
          <cell r="AR200">
            <v>4500000</v>
          </cell>
        </row>
        <row r="201">
          <cell r="B201" t="str">
            <v>دستگاه چسب زنی</v>
          </cell>
          <cell r="C201" t="str">
            <v>قطعه تعمیری</v>
          </cell>
          <cell r="AF201">
            <v>1</v>
          </cell>
          <cell r="AR201">
            <v>750000</v>
          </cell>
        </row>
        <row r="202">
          <cell r="B202" t="str">
            <v>ساب کلاچ</v>
          </cell>
          <cell r="C202" t="str">
            <v>قطعه نو</v>
          </cell>
          <cell r="AF202">
            <v>4.5</v>
          </cell>
          <cell r="AR202">
            <v>3375000</v>
          </cell>
        </row>
        <row r="203">
          <cell r="B203" t="str">
            <v>ساب کلاچ</v>
          </cell>
          <cell r="C203" t="str">
            <v>قطعه نو</v>
          </cell>
          <cell r="AF203">
            <v>5.5</v>
          </cell>
          <cell r="AR203">
            <v>4125000</v>
          </cell>
        </row>
        <row r="204">
          <cell r="B204" t="str">
            <v>دستگاه مهر زنی</v>
          </cell>
          <cell r="C204" t="str">
            <v>قطعه تعمیری</v>
          </cell>
          <cell r="AF204">
            <v>9</v>
          </cell>
          <cell r="AR204">
            <v>6750000</v>
          </cell>
        </row>
        <row r="205">
          <cell r="B205" t="str">
            <v>دستگاه چسب زنی</v>
          </cell>
          <cell r="C205" t="str">
            <v>قطعه تعمیری</v>
          </cell>
          <cell r="AF205">
            <v>5</v>
          </cell>
          <cell r="AR205">
            <v>3750000</v>
          </cell>
        </row>
        <row r="206">
          <cell r="B206" t="str">
            <v>قلم ریو</v>
          </cell>
          <cell r="C206" t="str">
            <v>قطعه تعمیری</v>
          </cell>
          <cell r="AF206">
            <v>2</v>
          </cell>
          <cell r="AR206">
            <v>1500000</v>
          </cell>
        </row>
        <row r="207">
          <cell r="B207" t="str">
            <v>دستگاه چسب زنی</v>
          </cell>
          <cell r="C207" t="str">
            <v>قطعه تعمیری</v>
          </cell>
          <cell r="AF207">
            <v>4</v>
          </cell>
          <cell r="AR207">
            <v>3000000</v>
          </cell>
        </row>
        <row r="208">
          <cell r="B208" t="str">
            <v>آغشته کاری</v>
          </cell>
          <cell r="C208" t="str">
            <v>قطعه نو</v>
          </cell>
          <cell r="AF208">
            <v>1</v>
          </cell>
          <cell r="AR208">
            <v>750000</v>
          </cell>
        </row>
        <row r="209">
          <cell r="B209" t="str">
            <v>قالب پخت کلاچ پژو 405</v>
          </cell>
          <cell r="C209" t="str">
            <v>قالب تعمیری</v>
          </cell>
          <cell r="H209" t="str">
            <v>03s</v>
          </cell>
          <cell r="AF209">
            <v>1</v>
          </cell>
          <cell r="AR209">
            <v>750000</v>
          </cell>
        </row>
        <row r="210">
          <cell r="B210" t="str">
            <v>پخت کلاچ پیکان المانی</v>
          </cell>
          <cell r="C210" t="str">
            <v>قالب تعمیری</v>
          </cell>
          <cell r="H210" t="str">
            <v>FC30359-02S</v>
          </cell>
          <cell r="AF210">
            <v>2.5</v>
          </cell>
          <cell r="AR210">
            <v>1875000</v>
          </cell>
        </row>
        <row r="211">
          <cell r="B211" t="str">
            <v>پخت کلاچ تیبا راست</v>
          </cell>
          <cell r="C211" t="str">
            <v>قالب تعمیری</v>
          </cell>
          <cell r="H211" t="str">
            <v>FC30278-03S</v>
          </cell>
          <cell r="AF211">
            <v>2.5</v>
          </cell>
          <cell r="AR211">
            <v>1875000</v>
          </cell>
        </row>
        <row r="212">
          <cell r="B212" t="str">
            <v>قالب توری بادسان</v>
          </cell>
          <cell r="C212" t="str">
            <v>قالب تعمیری</v>
          </cell>
          <cell r="AF212">
            <v>0.5</v>
          </cell>
          <cell r="AR212">
            <v>375000</v>
          </cell>
        </row>
        <row r="213">
          <cell r="B213" t="str">
            <v>قالب توری بادسان</v>
          </cell>
          <cell r="C213" t="str">
            <v>قالب تعمیری</v>
          </cell>
          <cell r="AF213">
            <v>2</v>
          </cell>
          <cell r="AR213">
            <v>1500000</v>
          </cell>
        </row>
        <row r="214">
          <cell r="B214" t="str">
            <v>پخت کلاچ پراید</v>
          </cell>
          <cell r="C214" t="str">
            <v>قالب تعمیری</v>
          </cell>
          <cell r="H214" t="str">
            <v>08s</v>
          </cell>
          <cell r="AF214">
            <v>11</v>
          </cell>
          <cell r="AR214">
            <v>16500000</v>
          </cell>
        </row>
        <row r="215">
          <cell r="B215" t="str">
            <v>پخت کلاچ پراید</v>
          </cell>
          <cell r="C215" t="str">
            <v>قالب تعمیری</v>
          </cell>
          <cell r="H215" t="str">
            <v>08s</v>
          </cell>
          <cell r="AF215">
            <v>11</v>
          </cell>
          <cell r="AR215">
            <v>16500000</v>
          </cell>
        </row>
        <row r="216">
          <cell r="B216" t="str">
            <v>دستگاه پشم فلز چینی</v>
          </cell>
          <cell r="C216" t="str">
            <v>قطعه نو</v>
          </cell>
          <cell r="AF216">
            <v>11</v>
          </cell>
          <cell r="AR216">
            <v>16500000</v>
          </cell>
        </row>
        <row r="217">
          <cell r="B217" t="str">
            <v>قالب پخت کلاچ پیکان</v>
          </cell>
          <cell r="C217" t="str">
            <v>قالب تعمیری</v>
          </cell>
          <cell r="H217" t="str">
            <v>05S</v>
          </cell>
          <cell r="AF217">
            <v>9</v>
          </cell>
          <cell r="AR217">
            <v>13500000</v>
          </cell>
        </row>
        <row r="218">
          <cell r="B218" t="str">
            <v>ابزار زنی</v>
          </cell>
          <cell r="C218" t="str">
            <v>قطعه نو</v>
          </cell>
          <cell r="AF218">
            <v>11</v>
          </cell>
          <cell r="AR218">
            <v>8250000</v>
          </cell>
        </row>
        <row r="219">
          <cell r="B219" t="str">
            <v>دریل یزدخواستی کلاچ</v>
          </cell>
          <cell r="C219" t="str">
            <v>قطعه نو</v>
          </cell>
          <cell r="AF219">
            <v>10</v>
          </cell>
          <cell r="AR219">
            <v>7500000</v>
          </cell>
        </row>
        <row r="220">
          <cell r="B220" t="str">
            <v>دستگاه پرس 600 تن</v>
          </cell>
          <cell r="C220" t="str">
            <v>قطعه تعمیری</v>
          </cell>
          <cell r="AF220">
            <v>11</v>
          </cell>
          <cell r="AR220">
            <v>8250000</v>
          </cell>
        </row>
        <row r="221">
          <cell r="B221" t="str">
            <v>صنایع مس</v>
          </cell>
          <cell r="C221" t="str">
            <v>قطعه نو</v>
          </cell>
          <cell r="AF221">
            <v>4</v>
          </cell>
          <cell r="AR221">
            <v>3000000</v>
          </cell>
        </row>
        <row r="222">
          <cell r="B222" t="str">
            <v>دستگاه پشم فلز چینی</v>
          </cell>
          <cell r="C222" t="str">
            <v>قطعه نو</v>
          </cell>
          <cell r="AF222">
            <v>1.8333333333333333</v>
          </cell>
          <cell r="AR222">
            <v>1375000</v>
          </cell>
        </row>
        <row r="223">
          <cell r="B223" t="str">
            <v>پین عقب ریو</v>
          </cell>
          <cell r="C223" t="str">
            <v>قطعه نو</v>
          </cell>
          <cell r="AF223">
            <v>7.5</v>
          </cell>
          <cell r="AR223">
            <v>5625000</v>
          </cell>
        </row>
        <row r="224">
          <cell r="B224" t="str">
            <v>دستگاه پشم فلز چینی</v>
          </cell>
          <cell r="C224" t="str">
            <v>قطعه نو</v>
          </cell>
          <cell r="AF224">
            <v>2</v>
          </cell>
          <cell r="AR224">
            <v>1500000</v>
          </cell>
        </row>
        <row r="225">
          <cell r="B225" t="str">
            <v>ساب کلاچ</v>
          </cell>
          <cell r="C225" t="str">
            <v>قطعه نو</v>
          </cell>
          <cell r="AF225">
            <v>3.5</v>
          </cell>
          <cell r="AR225">
            <v>2625000</v>
          </cell>
        </row>
        <row r="226">
          <cell r="B226" t="str">
            <v>قالب شمشی عقب پیکان</v>
          </cell>
          <cell r="C226" t="str">
            <v>قالب نو</v>
          </cell>
          <cell r="AF226">
            <v>5.5</v>
          </cell>
          <cell r="AR226">
            <v>4125000</v>
          </cell>
        </row>
        <row r="227">
          <cell r="B227" t="str">
            <v>پخت کلاچ پراید</v>
          </cell>
          <cell r="C227" t="str">
            <v>قالب تعمیری</v>
          </cell>
          <cell r="H227" t="str">
            <v>08s</v>
          </cell>
          <cell r="AF227">
            <v>7.5</v>
          </cell>
          <cell r="AR227">
            <v>11250000</v>
          </cell>
        </row>
        <row r="228">
          <cell r="B228" t="str">
            <v>صنایع مس</v>
          </cell>
          <cell r="C228" t="str">
            <v>قطعه نو</v>
          </cell>
          <cell r="AF228">
            <v>3.5</v>
          </cell>
          <cell r="AR228">
            <v>5250000</v>
          </cell>
        </row>
        <row r="229">
          <cell r="B229" t="str">
            <v>پخت کلاچ پراید</v>
          </cell>
          <cell r="C229" t="str">
            <v>قالب تعمیری</v>
          </cell>
          <cell r="AF229">
            <v>4</v>
          </cell>
          <cell r="AR229">
            <v>3000000</v>
          </cell>
        </row>
        <row r="230">
          <cell r="B230" t="str">
            <v>قالب BPW تاجدار</v>
          </cell>
          <cell r="C230" t="str">
            <v>قالب تعمیری</v>
          </cell>
          <cell r="AF230">
            <v>2</v>
          </cell>
          <cell r="AR230">
            <v>1500000</v>
          </cell>
        </row>
        <row r="231">
          <cell r="B231" t="str">
            <v>قالب پخت کلاچ پژو 405</v>
          </cell>
          <cell r="C231" t="str">
            <v>قالب تعمیری</v>
          </cell>
          <cell r="H231" t="str">
            <v>Mc30243-04s</v>
          </cell>
          <cell r="AF231">
            <v>5</v>
          </cell>
          <cell r="AR231">
            <v>3750000</v>
          </cell>
        </row>
        <row r="232">
          <cell r="B232" t="str">
            <v>دستگاه مهر زنی</v>
          </cell>
          <cell r="C232" t="str">
            <v>قطعه تعمیری</v>
          </cell>
          <cell r="AF232">
            <v>8</v>
          </cell>
          <cell r="AR232">
            <v>6000000</v>
          </cell>
        </row>
        <row r="233">
          <cell r="B233" t="str">
            <v>قالب BPW تاجدار</v>
          </cell>
          <cell r="C233" t="str">
            <v>قالب تعمیری</v>
          </cell>
          <cell r="AF233">
            <v>6</v>
          </cell>
          <cell r="AR233">
            <v>4500000</v>
          </cell>
        </row>
        <row r="234">
          <cell r="B234" t="str">
            <v>پرس 50 تن</v>
          </cell>
          <cell r="C234" t="str">
            <v>قطعه نو</v>
          </cell>
          <cell r="AF234">
            <v>6</v>
          </cell>
          <cell r="AR234">
            <v>4500000</v>
          </cell>
        </row>
        <row r="235">
          <cell r="B235" t="str">
            <v>پخت کلاچ پیکان انگلیسی</v>
          </cell>
          <cell r="C235" t="str">
            <v>قالب تعمیری</v>
          </cell>
          <cell r="H235" t="str">
            <v>FC30360-02S</v>
          </cell>
          <cell r="AF235">
            <v>2.5</v>
          </cell>
          <cell r="AR235">
            <v>1875000</v>
          </cell>
        </row>
        <row r="236">
          <cell r="B236" t="str">
            <v>قالب پیلسان</v>
          </cell>
          <cell r="C236" t="str">
            <v>قالب تعمیری</v>
          </cell>
          <cell r="AF236">
            <v>4</v>
          </cell>
          <cell r="AR236">
            <v>3000000</v>
          </cell>
        </row>
        <row r="237">
          <cell r="B237" t="str">
            <v>ساب کونیک</v>
          </cell>
          <cell r="C237" t="str">
            <v>قطعه تعمیری</v>
          </cell>
          <cell r="AF237">
            <v>1</v>
          </cell>
          <cell r="AR237">
            <v>750000</v>
          </cell>
        </row>
        <row r="238">
          <cell r="B238" t="str">
            <v>ساب الماس</v>
          </cell>
          <cell r="C238" t="str">
            <v>قطعه تعمیری</v>
          </cell>
          <cell r="AF238">
            <v>1.5</v>
          </cell>
          <cell r="AR238">
            <v>1125000</v>
          </cell>
        </row>
        <row r="239">
          <cell r="B239" t="str">
            <v>قالب پخت کلاچ پیکان</v>
          </cell>
          <cell r="C239" t="str">
            <v>قالب تعمیری</v>
          </cell>
          <cell r="H239" t="str">
            <v>05S</v>
          </cell>
          <cell r="AF239">
            <v>11</v>
          </cell>
          <cell r="AR239">
            <v>16500000</v>
          </cell>
        </row>
        <row r="240">
          <cell r="B240" t="str">
            <v>صنایع مس</v>
          </cell>
          <cell r="C240" t="str">
            <v>قطعه نو</v>
          </cell>
          <cell r="AF240">
            <v>11</v>
          </cell>
          <cell r="AR240">
            <v>16500000</v>
          </cell>
        </row>
        <row r="241">
          <cell r="B241" t="str">
            <v>دستگاه پشم فلز چینی</v>
          </cell>
          <cell r="C241" t="str">
            <v>قطعه نو</v>
          </cell>
          <cell r="AF241">
            <v>6.333333333333333</v>
          </cell>
          <cell r="AR241">
            <v>4750000</v>
          </cell>
        </row>
        <row r="242">
          <cell r="B242" t="str">
            <v>قالب پخت کلاچ پژو 405</v>
          </cell>
          <cell r="C242" t="str">
            <v>قالب تعمیری</v>
          </cell>
          <cell r="H242" t="str">
            <v>Mc30243-04s</v>
          </cell>
          <cell r="AF242">
            <v>11</v>
          </cell>
          <cell r="AR242">
            <v>8250000</v>
          </cell>
        </row>
        <row r="243">
          <cell r="B243" t="str">
            <v>قالب پخت کلاچ پژو 405</v>
          </cell>
          <cell r="C243" t="str">
            <v>قالب تعمیری</v>
          </cell>
          <cell r="H243" t="str">
            <v>Mc30243-04s</v>
          </cell>
          <cell r="AF243">
            <v>11</v>
          </cell>
          <cell r="AR243">
            <v>8250000</v>
          </cell>
        </row>
        <row r="244">
          <cell r="B244" t="str">
            <v>دستگاه پشم فلز چینی</v>
          </cell>
          <cell r="C244" t="str">
            <v>قطعه نو</v>
          </cell>
          <cell r="AF244">
            <v>11</v>
          </cell>
          <cell r="AR244">
            <v>16500000</v>
          </cell>
        </row>
        <row r="245">
          <cell r="B245" t="str">
            <v>پین عقب ریو</v>
          </cell>
          <cell r="C245" t="str">
            <v>قطعه نو</v>
          </cell>
          <cell r="AF245">
            <v>7.5</v>
          </cell>
          <cell r="AR245">
            <v>5625000</v>
          </cell>
        </row>
        <row r="246">
          <cell r="B246" t="str">
            <v>دستگاه پشم فلز چینی</v>
          </cell>
          <cell r="C246" t="str">
            <v>قطعه نو</v>
          </cell>
          <cell r="AF246">
            <v>7.5</v>
          </cell>
          <cell r="AR246">
            <v>5625000</v>
          </cell>
        </row>
        <row r="247">
          <cell r="B247" t="str">
            <v>ابزار زنی</v>
          </cell>
          <cell r="C247" t="str">
            <v>قطعه نو</v>
          </cell>
          <cell r="AF247">
            <v>3.5</v>
          </cell>
          <cell r="AR247">
            <v>2625000</v>
          </cell>
        </row>
        <row r="248">
          <cell r="B248" t="str">
            <v>دستگاه پشم فلز چینی</v>
          </cell>
          <cell r="C248" t="str">
            <v>قطعه نو</v>
          </cell>
          <cell r="AF248">
            <v>7.5</v>
          </cell>
          <cell r="AR248">
            <v>5625000</v>
          </cell>
        </row>
        <row r="249">
          <cell r="B249" t="str">
            <v>کلمپ زنی</v>
          </cell>
          <cell r="C249" t="str">
            <v>دستگاه تعمیری</v>
          </cell>
          <cell r="AF249">
            <v>7.5</v>
          </cell>
          <cell r="AR249">
            <v>5625000</v>
          </cell>
        </row>
        <row r="250">
          <cell r="B250" t="str">
            <v>ویوینگ</v>
          </cell>
          <cell r="C250" t="str">
            <v>قطعه تعمیری</v>
          </cell>
          <cell r="AF250">
            <v>1.5</v>
          </cell>
          <cell r="AR250">
            <v>1125000</v>
          </cell>
        </row>
        <row r="251">
          <cell r="B251" t="str">
            <v>ابزار زنی</v>
          </cell>
          <cell r="C251" t="str">
            <v>قطعه نو</v>
          </cell>
          <cell r="AF251">
            <v>2</v>
          </cell>
          <cell r="AR251">
            <v>1500000</v>
          </cell>
        </row>
        <row r="252">
          <cell r="B252" t="str">
            <v>دریل یزدخواستی کلاچ</v>
          </cell>
          <cell r="C252" t="str">
            <v>قطعه نو</v>
          </cell>
          <cell r="AF252">
            <v>6.5</v>
          </cell>
          <cell r="AR252">
            <v>4875000</v>
          </cell>
        </row>
        <row r="253">
          <cell r="B253" t="str">
            <v>شات پلاس</v>
          </cell>
          <cell r="C253" t="str">
            <v>قطعه تعمیری</v>
          </cell>
          <cell r="AF253">
            <v>1.5</v>
          </cell>
          <cell r="AR253">
            <v>1125000</v>
          </cell>
        </row>
        <row r="254">
          <cell r="B254" t="str">
            <v>ویوینگ</v>
          </cell>
          <cell r="C254" t="str">
            <v>قطعه تعمیری</v>
          </cell>
          <cell r="AF254">
            <v>3</v>
          </cell>
          <cell r="AR254">
            <v>2250000</v>
          </cell>
        </row>
        <row r="255">
          <cell r="B255" t="str">
            <v>دستگاه مهر زنی</v>
          </cell>
          <cell r="C255" t="str">
            <v>قطعه تعمیری</v>
          </cell>
          <cell r="AF255">
            <v>12</v>
          </cell>
          <cell r="AR255">
            <v>9000000</v>
          </cell>
        </row>
        <row r="256">
          <cell r="B256" t="str">
            <v>ویوینگ</v>
          </cell>
          <cell r="C256" t="str">
            <v>قطعه تعمیری</v>
          </cell>
          <cell r="AF256">
            <v>6</v>
          </cell>
          <cell r="AR256">
            <v>4500000</v>
          </cell>
        </row>
        <row r="257">
          <cell r="B257" t="str">
            <v>دستگاه مهر زنی</v>
          </cell>
          <cell r="C257" t="str">
            <v>قطعه تعمیری</v>
          </cell>
          <cell r="AF257">
            <v>9</v>
          </cell>
          <cell r="AR257">
            <v>6750000</v>
          </cell>
        </row>
        <row r="258">
          <cell r="B258" t="str">
            <v xml:space="preserve">پخت کلاچ پراید سکو </v>
          </cell>
          <cell r="C258" t="str">
            <v>قالب تعمیری</v>
          </cell>
          <cell r="H258" t="str">
            <v xml:space="preserve">MC30357-01S </v>
          </cell>
          <cell r="AF258">
            <v>3</v>
          </cell>
          <cell r="AR258">
            <v>2250000</v>
          </cell>
        </row>
        <row r="259">
          <cell r="B259" t="str">
            <v>پخت کلاچ 911 دور بزرگ</v>
          </cell>
          <cell r="C259" t="str">
            <v>قالب تعمیری</v>
          </cell>
          <cell r="H259">
            <v>1</v>
          </cell>
          <cell r="AF259">
            <v>6</v>
          </cell>
          <cell r="AR259">
            <v>4500000</v>
          </cell>
        </row>
        <row r="260">
          <cell r="B260" t="str">
            <v>قالب پخت کلاچ پیکان آرژانتینی</v>
          </cell>
          <cell r="C260" t="str">
            <v>قالب تعمیری</v>
          </cell>
          <cell r="H260" t="str">
            <v>04S</v>
          </cell>
          <cell r="AF260">
            <v>1</v>
          </cell>
          <cell r="AR260">
            <v>750000</v>
          </cell>
        </row>
        <row r="261">
          <cell r="B261" t="str">
            <v>پخت کلاچ 911 دور بزرگ</v>
          </cell>
          <cell r="C261" t="str">
            <v>قالب تعمیری</v>
          </cell>
          <cell r="H261">
            <v>1</v>
          </cell>
          <cell r="AF261">
            <v>1</v>
          </cell>
          <cell r="AR261">
            <v>750000</v>
          </cell>
        </row>
        <row r="262">
          <cell r="B262" t="str">
            <v>قالب پخت کلاچ پیکان</v>
          </cell>
          <cell r="C262" t="str">
            <v>قالب تعمیری</v>
          </cell>
          <cell r="H262" t="str">
            <v>05S</v>
          </cell>
          <cell r="AF262">
            <v>11</v>
          </cell>
          <cell r="AR262">
            <v>16500000</v>
          </cell>
        </row>
        <row r="263">
          <cell r="B263" t="str">
            <v>پین عقب ریو</v>
          </cell>
          <cell r="C263" t="str">
            <v>قطعه نو</v>
          </cell>
          <cell r="AF263">
            <v>7.5</v>
          </cell>
          <cell r="AR263">
            <v>5625000</v>
          </cell>
        </row>
        <row r="264">
          <cell r="B264" t="str">
            <v>دستگاه پشم فلز چینی</v>
          </cell>
          <cell r="C264" t="str">
            <v>قطعه نو</v>
          </cell>
          <cell r="AF264">
            <v>6.333333333333333</v>
          </cell>
          <cell r="AR264">
            <v>4750000</v>
          </cell>
        </row>
        <row r="265">
          <cell r="B265" t="str">
            <v>قالب پخت کلاچ پژو 405</v>
          </cell>
          <cell r="C265" t="str">
            <v>قالب تعمیری</v>
          </cell>
          <cell r="H265" t="str">
            <v>Mc30243-04s</v>
          </cell>
          <cell r="AF265">
            <v>11</v>
          </cell>
          <cell r="AR265">
            <v>8250000</v>
          </cell>
        </row>
        <row r="266">
          <cell r="B266" t="str">
            <v>Hammer Mill Machine</v>
          </cell>
          <cell r="C266" t="str">
            <v>دستگاه نو</v>
          </cell>
          <cell r="AF266">
            <v>11</v>
          </cell>
          <cell r="AR266">
            <v>8250000</v>
          </cell>
        </row>
        <row r="267">
          <cell r="B267" t="str">
            <v>دستگاه پشم فلز چینی</v>
          </cell>
          <cell r="C267" t="str">
            <v>قطعه نو</v>
          </cell>
          <cell r="AF267">
            <v>4.5</v>
          </cell>
          <cell r="AR267">
            <v>6750000</v>
          </cell>
        </row>
        <row r="268">
          <cell r="B268" t="str">
            <v>دستگاه CNC 7204</v>
          </cell>
          <cell r="C268" t="str">
            <v>دستگاه تعمیری</v>
          </cell>
          <cell r="AF268">
            <v>6.5</v>
          </cell>
          <cell r="AR268">
            <v>4875000</v>
          </cell>
        </row>
        <row r="269">
          <cell r="B269" t="str">
            <v>شابلون پراید دیسکی</v>
          </cell>
          <cell r="C269" t="str">
            <v>قطعه تعمیری</v>
          </cell>
          <cell r="AF269">
            <v>4.5</v>
          </cell>
          <cell r="AR269">
            <v>3375000</v>
          </cell>
        </row>
        <row r="270">
          <cell r="B270" t="str">
            <v>دستگاه مهر زنی</v>
          </cell>
          <cell r="C270" t="str">
            <v>قطعه تعمیری</v>
          </cell>
          <cell r="AF270">
            <v>6.5</v>
          </cell>
          <cell r="AR270">
            <v>4875000</v>
          </cell>
        </row>
        <row r="271">
          <cell r="B271" t="str">
            <v>صنایع مس</v>
          </cell>
          <cell r="C271" t="str">
            <v>قطعه نو</v>
          </cell>
          <cell r="AF271">
            <v>5.5</v>
          </cell>
          <cell r="AR271">
            <v>8250000</v>
          </cell>
        </row>
        <row r="272">
          <cell r="B272" t="str">
            <v>دستگاه CNC 7203</v>
          </cell>
          <cell r="C272" t="str">
            <v>دستگاه تعمیری</v>
          </cell>
          <cell r="AF272">
            <v>3.5</v>
          </cell>
          <cell r="AR272">
            <v>2625000</v>
          </cell>
        </row>
        <row r="273">
          <cell r="B273" t="str">
            <v>صنایع مس</v>
          </cell>
          <cell r="C273" t="str">
            <v>قطعه نو</v>
          </cell>
          <cell r="AF273">
            <v>2</v>
          </cell>
          <cell r="AR273">
            <v>3000000</v>
          </cell>
        </row>
        <row r="274">
          <cell r="B274" t="str">
            <v>قالب پخت کلاچ پیکان</v>
          </cell>
          <cell r="C274" t="str">
            <v>قالب تعمیری</v>
          </cell>
          <cell r="H274" t="str">
            <v>05S</v>
          </cell>
          <cell r="AF274">
            <v>8</v>
          </cell>
          <cell r="AR274">
            <v>6000000</v>
          </cell>
        </row>
        <row r="275">
          <cell r="B275" t="str">
            <v>ساب کلاچ</v>
          </cell>
          <cell r="C275" t="str">
            <v>قطعه نو</v>
          </cell>
          <cell r="AF275">
            <v>2</v>
          </cell>
          <cell r="AR275">
            <v>1500000</v>
          </cell>
        </row>
        <row r="276">
          <cell r="B276" t="str">
            <v>برش جمعی عقب ریو</v>
          </cell>
          <cell r="C276" t="str">
            <v>قطعه نو</v>
          </cell>
          <cell r="AF276">
            <v>1</v>
          </cell>
          <cell r="AR276">
            <v>750000</v>
          </cell>
        </row>
        <row r="277">
          <cell r="B277" t="str">
            <v>دستگاه پشم فلز</v>
          </cell>
          <cell r="C277" t="str">
            <v>قطعه تعمیری</v>
          </cell>
          <cell r="AF277">
            <v>2</v>
          </cell>
          <cell r="AR277">
            <v>1500000</v>
          </cell>
        </row>
        <row r="278">
          <cell r="B278" t="str">
            <v>دریل یزدخواستی کلاچ</v>
          </cell>
          <cell r="C278" t="str">
            <v>قطعه نو</v>
          </cell>
          <cell r="AF278">
            <v>7.5</v>
          </cell>
          <cell r="AR278">
            <v>5625000</v>
          </cell>
        </row>
        <row r="279">
          <cell r="B279" t="str">
            <v>دریل یزدخواستی کلاچ</v>
          </cell>
          <cell r="C279" t="str">
            <v>قطعه نو</v>
          </cell>
          <cell r="AF279">
            <v>1.5</v>
          </cell>
          <cell r="AR279">
            <v>1125000</v>
          </cell>
        </row>
        <row r="280">
          <cell r="B280" t="str">
            <v>قالب پخت کلاچ پیکان آرژانتینی</v>
          </cell>
          <cell r="C280" t="str">
            <v>قالب تعمیری</v>
          </cell>
          <cell r="H280" t="str">
            <v>04S</v>
          </cell>
          <cell r="AF280">
            <v>12</v>
          </cell>
          <cell r="AR280">
            <v>9000000</v>
          </cell>
        </row>
        <row r="281">
          <cell r="B281" t="str">
            <v>دستگاه مهر زنی</v>
          </cell>
          <cell r="C281" t="str">
            <v>قطعه تعمیری</v>
          </cell>
          <cell r="AF281">
            <v>10</v>
          </cell>
          <cell r="AR281">
            <v>7500000</v>
          </cell>
        </row>
        <row r="282">
          <cell r="B282" t="str">
            <v>صنایع مس</v>
          </cell>
          <cell r="C282" t="str">
            <v>قطعه نو</v>
          </cell>
          <cell r="AF282">
            <v>2</v>
          </cell>
          <cell r="AR282">
            <v>1500000</v>
          </cell>
        </row>
        <row r="283">
          <cell r="B283" t="str">
            <v>دستگاه پرس 600 تن</v>
          </cell>
          <cell r="C283" t="str">
            <v>قطعه تعمیری</v>
          </cell>
          <cell r="AF283">
            <v>9</v>
          </cell>
          <cell r="AR283">
            <v>6750000</v>
          </cell>
        </row>
        <row r="284">
          <cell r="B284" t="str">
            <v>پخت کلاچ 911 دور بزرگ</v>
          </cell>
          <cell r="C284" t="str">
            <v>قالب تعمیری</v>
          </cell>
          <cell r="H284">
            <v>1</v>
          </cell>
          <cell r="AF284">
            <v>0.5</v>
          </cell>
          <cell r="AR284">
            <v>375000</v>
          </cell>
        </row>
        <row r="285">
          <cell r="B285" t="str">
            <v xml:space="preserve">پخت کلاچ پراید سکو </v>
          </cell>
          <cell r="C285" t="str">
            <v>قالب تعمیری</v>
          </cell>
          <cell r="H285" t="str">
            <v xml:space="preserve">MC30357-01S </v>
          </cell>
          <cell r="AF285">
            <v>0.5</v>
          </cell>
          <cell r="AR285">
            <v>375000</v>
          </cell>
        </row>
        <row r="286">
          <cell r="B286" t="str">
            <v>پخت کلاچ تیبا راست</v>
          </cell>
          <cell r="C286" t="str">
            <v>قالب تعمیری</v>
          </cell>
          <cell r="H286" t="str">
            <v>FC30278-03S</v>
          </cell>
          <cell r="AF286">
            <v>0.5</v>
          </cell>
          <cell r="AR286">
            <v>375000</v>
          </cell>
        </row>
        <row r="287">
          <cell r="B287" t="str">
            <v>پخت کلاچ پیکان المانی</v>
          </cell>
          <cell r="C287" t="str">
            <v>قالب تعمیری</v>
          </cell>
          <cell r="H287" t="str">
            <v>FC30359-02S</v>
          </cell>
          <cell r="AF287">
            <v>0.5</v>
          </cell>
          <cell r="AR287">
            <v>375000</v>
          </cell>
        </row>
        <row r="288">
          <cell r="B288" t="str">
            <v>پخت کلاچ پیکان انگلیسی</v>
          </cell>
          <cell r="C288" t="str">
            <v>قالب تعمیری</v>
          </cell>
          <cell r="H288" t="str">
            <v>FC30360-02S</v>
          </cell>
          <cell r="AF288">
            <v>0.5</v>
          </cell>
          <cell r="AR288">
            <v>375000</v>
          </cell>
        </row>
        <row r="289">
          <cell r="B289" t="str">
            <v>قالب پخت کلاچ پیکان آرژانتینی</v>
          </cell>
          <cell r="C289" t="str">
            <v>قالب تعمیری</v>
          </cell>
          <cell r="H289" t="str">
            <v>04S</v>
          </cell>
          <cell r="AF289">
            <v>2</v>
          </cell>
          <cell r="AR289">
            <v>1500000</v>
          </cell>
        </row>
        <row r="290">
          <cell r="B290" t="str">
            <v>قالب پخت کلاچ پیکان آرژانتینی</v>
          </cell>
          <cell r="C290" t="str">
            <v>قالب تعمیری</v>
          </cell>
          <cell r="H290" t="str">
            <v>04S</v>
          </cell>
          <cell r="AF290">
            <v>1</v>
          </cell>
          <cell r="AR290">
            <v>750000</v>
          </cell>
        </row>
        <row r="291">
          <cell r="B291" t="str">
            <v>صنایع مس</v>
          </cell>
          <cell r="C291" t="str">
            <v>قطعه نو</v>
          </cell>
          <cell r="AF291">
            <v>1</v>
          </cell>
          <cell r="AR291">
            <v>750000</v>
          </cell>
        </row>
        <row r="292">
          <cell r="B292" t="str">
            <v>ابزار زنی</v>
          </cell>
          <cell r="C292" t="str">
            <v>قطعه نو</v>
          </cell>
          <cell r="AF292">
            <v>3</v>
          </cell>
          <cell r="AR292">
            <v>2250000</v>
          </cell>
        </row>
        <row r="293">
          <cell r="B293" t="str">
            <v>دستگاه پشم فلز چینی</v>
          </cell>
          <cell r="C293" t="str">
            <v>قطعه نو</v>
          </cell>
          <cell r="AF293">
            <v>3</v>
          </cell>
          <cell r="AR293">
            <v>4500000</v>
          </cell>
        </row>
        <row r="294">
          <cell r="B294" t="str">
            <v>قالب پخت کلاچ پیکان</v>
          </cell>
          <cell r="C294" t="str">
            <v>قالب تعمیری</v>
          </cell>
          <cell r="H294" t="str">
            <v>05S</v>
          </cell>
          <cell r="AF294">
            <v>9</v>
          </cell>
          <cell r="AR294">
            <v>13500000</v>
          </cell>
        </row>
        <row r="295">
          <cell r="B295" t="str">
            <v>پین عقب ریو</v>
          </cell>
          <cell r="C295" t="str">
            <v>قطعه نو</v>
          </cell>
          <cell r="AF295">
            <v>7.5</v>
          </cell>
          <cell r="AR295">
            <v>5625000</v>
          </cell>
        </row>
        <row r="296">
          <cell r="B296" t="str">
            <v>دستگاه پشم فلز چینی</v>
          </cell>
          <cell r="C296" t="str">
            <v>قطعه نو</v>
          </cell>
          <cell r="AF296">
            <v>6.333333333333333</v>
          </cell>
          <cell r="AR296">
            <v>4750000</v>
          </cell>
        </row>
        <row r="297">
          <cell r="B297" t="str">
            <v>پخت کلاچ پراید</v>
          </cell>
          <cell r="C297" t="str">
            <v>قالب تعمیری</v>
          </cell>
          <cell r="AF297">
            <v>11</v>
          </cell>
          <cell r="AR297">
            <v>8250000</v>
          </cell>
        </row>
        <row r="298">
          <cell r="B298" t="str">
            <v>قالب پخت کلاچ پژو 405</v>
          </cell>
          <cell r="C298" t="str">
            <v>قالب تعمیری</v>
          </cell>
          <cell r="H298" t="str">
            <v>Mc30243-04s</v>
          </cell>
          <cell r="AF298">
            <v>5.5</v>
          </cell>
          <cell r="AR298">
            <v>4125000</v>
          </cell>
        </row>
        <row r="299">
          <cell r="B299" t="str">
            <v>برش جمعی عقب ریو</v>
          </cell>
          <cell r="C299" t="str">
            <v>قطعه نو</v>
          </cell>
          <cell r="AF299">
            <v>5.5</v>
          </cell>
          <cell r="AR299">
            <v>4125000</v>
          </cell>
        </row>
        <row r="300">
          <cell r="B300" t="str">
            <v>پرس 50 تن</v>
          </cell>
          <cell r="C300" t="str">
            <v>قطعه نو</v>
          </cell>
          <cell r="AF300">
            <v>2</v>
          </cell>
          <cell r="AR300">
            <v>1500000</v>
          </cell>
        </row>
        <row r="301">
          <cell r="B301" t="str">
            <v>سری نقطه جوش</v>
          </cell>
          <cell r="C301" t="str">
            <v>قطعه تعمیری</v>
          </cell>
          <cell r="AF301">
            <v>1</v>
          </cell>
          <cell r="AR301">
            <v>750000</v>
          </cell>
        </row>
        <row r="302">
          <cell r="B302" t="str">
            <v>ابزار زنی</v>
          </cell>
          <cell r="C302" t="str">
            <v>قطعه نو</v>
          </cell>
          <cell r="AF302">
            <v>4</v>
          </cell>
          <cell r="AR302">
            <v>3000000</v>
          </cell>
        </row>
        <row r="303">
          <cell r="B303" t="str">
            <v>ابزار زنی</v>
          </cell>
          <cell r="C303" t="str">
            <v>قطعه نو</v>
          </cell>
          <cell r="AF303">
            <v>4</v>
          </cell>
          <cell r="AR303">
            <v>3000000</v>
          </cell>
        </row>
        <row r="304">
          <cell r="B304" t="str">
            <v>دستگاه مهر زنی</v>
          </cell>
          <cell r="C304" t="str">
            <v>قطعه تعمیری</v>
          </cell>
          <cell r="AF304">
            <v>2.5</v>
          </cell>
          <cell r="AR304">
            <v>1875000</v>
          </cell>
        </row>
        <row r="305">
          <cell r="B305" t="str">
            <v>کلمپ زنی</v>
          </cell>
          <cell r="C305" t="str">
            <v>دستگاه تعمیری</v>
          </cell>
          <cell r="AF305">
            <v>5</v>
          </cell>
          <cell r="AR305">
            <v>3750000</v>
          </cell>
        </row>
        <row r="306">
          <cell r="B306" t="str">
            <v>دستگاه ساب کلاچ</v>
          </cell>
          <cell r="C306" t="str">
            <v>قطعه تعمیری</v>
          </cell>
          <cell r="AF306">
            <v>3.5</v>
          </cell>
          <cell r="AR306">
            <v>2625000</v>
          </cell>
        </row>
        <row r="307">
          <cell r="B307" t="str">
            <v>دستگاه مهر زنی</v>
          </cell>
          <cell r="C307" t="str">
            <v>قطعه تعمیری</v>
          </cell>
          <cell r="AF307">
            <v>2</v>
          </cell>
          <cell r="AR307">
            <v>1500000</v>
          </cell>
        </row>
        <row r="308">
          <cell r="B308" t="str">
            <v>دستگاه پشم فلز چینی</v>
          </cell>
          <cell r="C308" t="str">
            <v>قطعه نو</v>
          </cell>
          <cell r="AF308">
            <v>2</v>
          </cell>
          <cell r="AR308">
            <v>1500000</v>
          </cell>
        </row>
        <row r="309">
          <cell r="B309" t="str">
            <v>ابزار زنی</v>
          </cell>
          <cell r="C309" t="str">
            <v>قطعه نو</v>
          </cell>
          <cell r="AF309">
            <v>2</v>
          </cell>
          <cell r="AR309">
            <v>1500000</v>
          </cell>
        </row>
        <row r="310">
          <cell r="B310" t="str">
            <v>قالب پخت کلاچ پیکان آرژانتینی</v>
          </cell>
          <cell r="C310" t="str">
            <v>قالب تعمیری</v>
          </cell>
          <cell r="H310" t="str">
            <v>04S</v>
          </cell>
          <cell r="AF310">
            <v>3</v>
          </cell>
          <cell r="AR310">
            <v>2250000</v>
          </cell>
        </row>
        <row r="311">
          <cell r="B311" t="str">
            <v>قالب پخت کلاچ پیکان آرژانتینی</v>
          </cell>
          <cell r="C311" t="str">
            <v>قالب تعمیری</v>
          </cell>
          <cell r="H311" t="str">
            <v>04S</v>
          </cell>
          <cell r="AF311">
            <v>9</v>
          </cell>
          <cell r="AR311">
            <v>6750000</v>
          </cell>
        </row>
        <row r="312">
          <cell r="B312" t="str">
            <v>صنایع مس</v>
          </cell>
          <cell r="C312" t="str">
            <v>قطعه نو</v>
          </cell>
          <cell r="AF312">
            <v>12</v>
          </cell>
          <cell r="AR312">
            <v>9000000</v>
          </cell>
        </row>
        <row r="313">
          <cell r="B313" t="str">
            <v>دستگاه پرس 600 تن</v>
          </cell>
          <cell r="C313" t="str">
            <v>قطعه تعمیری</v>
          </cell>
          <cell r="AF313">
            <v>12</v>
          </cell>
          <cell r="AR313">
            <v>9000000</v>
          </cell>
        </row>
        <row r="314">
          <cell r="B314" t="str">
            <v>قالب سوراخکاری 70028</v>
          </cell>
          <cell r="C314" t="str">
            <v>قالب تعمیری</v>
          </cell>
          <cell r="AF314">
            <v>8</v>
          </cell>
          <cell r="AR314">
            <v>6000000</v>
          </cell>
        </row>
        <row r="315">
          <cell r="B315" t="str">
            <v>قالب جلو ریو</v>
          </cell>
          <cell r="C315" t="str">
            <v>قالب تعمیری</v>
          </cell>
          <cell r="AF315">
            <v>2</v>
          </cell>
          <cell r="AR315">
            <v>1500000</v>
          </cell>
        </row>
        <row r="316">
          <cell r="B316" t="str">
            <v>قالب تیبا خزینه چپ</v>
          </cell>
          <cell r="C316" t="str">
            <v>قالب تعمیری</v>
          </cell>
          <cell r="H316" t="str">
            <v>FC30278-01S</v>
          </cell>
          <cell r="AF316">
            <v>5</v>
          </cell>
          <cell r="AR316">
            <v>3750000</v>
          </cell>
        </row>
        <row r="317">
          <cell r="B317" t="str">
            <v>قالب پخت کلاچ پیکان آرژانتینی</v>
          </cell>
          <cell r="C317" t="str">
            <v>قالب تعمیری</v>
          </cell>
          <cell r="H317" t="str">
            <v>04S</v>
          </cell>
          <cell r="AF317">
            <v>2.5</v>
          </cell>
          <cell r="AR317">
            <v>1875000</v>
          </cell>
        </row>
        <row r="318">
          <cell r="B318" t="str">
            <v>ابزار زنی</v>
          </cell>
          <cell r="C318" t="str">
            <v>قطعه نو</v>
          </cell>
          <cell r="AF318">
            <v>1</v>
          </cell>
          <cell r="AR318">
            <v>750000</v>
          </cell>
        </row>
        <row r="319">
          <cell r="B319" t="str">
            <v>صنایع مس</v>
          </cell>
          <cell r="C319" t="str">
            <v>قطعه نو</v>
          </cell>
          <cell r="AF319">
            <v>11</v>
          </cell>
          <cell r="AR319">
            <v>16500000</v>
          </cell>
        </row>
        <row r="320">
          <cell r="B320" t="str">
            <v>دستگاه ساب کلاچ</v>
          </cell>
          <cell r="C320" t="str">
            <v>قطعه تعمیری</v>
          </cell>
          <cell r="AF320">
            <v>11</v>
          </cell>
          <cell r="AR320">
            <v>8250000</v>
          </cell>
        </row>
        <row r="321">
          <cell r="B321" t="str">
            <v>صنایع مس</v>
          </cell>
          <cell r="C321" t="str">
            <v>قطعه نو</v>
          </cell>
          <cell r="AF321">
            <v>6.333333333333333</v>
          </cell>
          <cell r="AR321">
            <v>4750000</v>
          </cell>
        </row>
        <row r="322">
          <cell r="B322" t="str">
            <v>قالب پخت کلاچ پژو 405</v>
          </cell>
          <cell r="C322" t="str">
            <v>قالب تعمیری</v>
          </cell>
          <cell r="H322" t="str">
            <v>Mc30243-04s</v>
          </cell>
          <cell r="AF322">
            <v>11</v>
          </cell>
          <cell r="AR322">
            <v>16500000</v>
          </cell>
        </row>
        <row r="323">
          <cell r="B323" t="str">
            <v>قالب سوراخکاری 70028</v>
          </cell>
          <cell r="C323" t="str">
            <v>قالب تعمیری</v>
          </cell>
          <cell r="AF323">
            <v>11</v>
          </cell>
          <cell r="AR323">
            <v>16500000</v>
          </cell>
        </row>
        <row r="324">
          <cell r="B324" t="str">
            <v>برش جمعی عقب ریو</v>
          </cell>
          <cell r="C324" t="str">
            <v>قطعه نو</v>
          </cell>
          <cell r="AF324">
            <v>7.5</v>
          </cell>
          <cell r="AR324">
            <v>5625000</v>
          </cell>
        </row>
        <row r="325">
          <cell r="B325" t="str">
            <v>شمش پراید</v>
          </cell>
          <cell r="C325" t="str">
            <v>قالب نو</v>
          </cell>
          <cell r="AF325">
            <v>3.5</v>
          </cell>
          <cell r="AR325">
            <v>2625000</v>
          </cell>
        </row>
        <row r="326">
          <cell r="B326" t="str">
            <v>قالب پخت کلاچ پیکان</v>
          </cell>
          <cell r="C326" t="str">
            <v>قالب تعمیری</v>
          </cell>
          <cell r="H326" t="str">
            <v>05S</v>
          </cell>
          <cell r="AF326">
            <v>1</v>
          </cell>
          <cell r="AR326">
            <v>1500000</v>
          </cell>
        </row>
        <row r="327">
          <cell r="B327" t="str">
            <v>قالب پخت کلاچ پیکان آرژانتینی</v>
          </cell>
          <cell r="C327" t="str">
            <v>قالب تعمیری</v>
          </cell>
          <cell r="H327" t="str">
            <v>MC30241-02s</v>
          </cell>
          <cell r="AF327">
            <v>10</v>
          </cell>
          <cell r="AR327">
            <v>15000000</v>
          </cell>
        </row>
        <row r="328">
          <cell r="B328" t="str">
            <v>ابزار زنی</v>
          </cell>
          <cell r="C328" t="str">
            <v>قطعه نو</v>
          </cell>
          <cell r="AF328">
            <v>7</v>
          </cell>
          <cell r="AR328">
            <v>5250000</v>
          </cell>
        </row>
        <row r="329">
          <cell r="B329" t="str">
            <v>شمش پراید</v>
          </cell>
          <cell r="C329" t="str">
            <v>قالب نو</v>
          </cell>
          <cell r="AF329">
            <v>2</v>
          </cell>
          <cell r="AR329">
            <v>1500000</v>
          </cell>
        </row>
        <row r="330">
          <cell r="B330" t="str">
            <v>دستگاه پرس 600 تن</v>
          </cell>
          <cell r="C330" t="str">
            <v>قطعه تعمیری</v>
          </cell>
          <cell r="AF330">
            <v>2</v>
          </cell>
          <cell r="AR330">
            <v>1500000</v>
          </cell>
        </row>
        <row r="331">
          <cell r="B331" t="str">
            <v>پین عقب ریو</v>
          </cell>
          <cell r="C331" t="str">
            <v>قطعه نو</v>
          </cell>
          <cell r="AF331">
            <v>7.5</v>
          </cell>
          <cell r="AR331">
            <v>5625000</v>
          </cell>
        </row>
        <row r="332">
          <cell r="B332" t="str">
            <v>آغشته کاری</v>
          </cell>
          <cell r="C332" t="str">
            <v>قطعه نو</v>
          </cell>
          <cell r="AF332">
            <v>2</v>
          </cell>
          <cell r="AR332">
            <v>1500000</v>
          </cell>
        </row>
        <row r="333">
          <cell r="B333" t="str">
            <v>قالب توری پگاسوز</v>
          </cell>
          <cell r="C333" t="str">
            <v>قالب تعمیری</v>
          </cell>
          <cell r="AF333">
            <v>12</v>
          </cell>
          <cell r="AR333">
            <v>9000000</v>
          </cell>
        </row>
        <row r="334">
          <cell r="B334" t="str">
            <v>صنایع مس</v>
          </cell>
          <cell r="C334" t="str">
            <v>قطعه نو</v>
          </cell>
          <cell r="AF334">
            <v>12</v>
          </cell>
          <cell r="AR334">
            <v>9000000</v>
          </cell>
        </row>
        <row r="335">
          <cell r="B335" t="str">
            <v>آغشته کاری</v>
          </cell>
          <cell r="C335" t="str">
            <v>قطعه نو</v>
          </cell>
          <cell r="AF335">
            <v>1</v>
          </cell>
          <cell r="AR335">
            <v>750000</v>
          </cell>
        </row>
        <row r="336">
          <cell r="B336" t="str">
            <v>قالب پخت کلاچ پیکان آرژانتینی</v>
          </cell>
          <cell r="C336" t="str">
            <v>قالب تعمیری</v>
          </cell>
          <cell r="H336" t="str">
            <v>04S</v>
          </cell>
          <cell r="AF336">
            <v>3</v>
          </cell>
          <cell r="AR336">
            <v>2250000</v>
          </cell>
        </row>
        <row r="337">
          <cell r="B337" t="str">
            <v>قالب جلو ریو</v>
          </cell>
          <cell r="C337" t="str">
            <v>قالب تعمیری</v>
          </cell>
          <cell r="AF337">
            <v>5</v>
          </cell>
          <cell r="AR337">
            <v>3750000</v>
          </cell>
        </row>
        <row r="338">
          <cell r="B338" t="str">
            <v>کلاچ مینی بوس 309 سوراخدار</v>
          </cell>
          <cell r="C338" t="str">
            <v>قالب تعمیری</v>
          </cell>
          <cell r="H338" t="str">
            <v>MC30250-02S</v>
          </cell>
          <cell r="AF338">
            <v>3</v>
          </cell>
          <cell r="AR338">
            <v>2250000</v>
          </cell>
        </row>
        <row r="339">
          <cell r="B339" t="str">
            <v>دستگاه پشم فلز چینی</v>
          </cell>
          <cell r="C339" t="str">
            <v>قطعه نو</v>
          </cell>
          <cell r="AF339">
            <v>1</v>
          </cell>
          <cell r="AR339">
            <v>750000</v>
          </cell>
        </row>
        <row r="340">
          <cell r="B340" t="str">
            <v>صنایع مس</v>
          </cell>
          <cell r="C340" t="str">
            <v>قطعه نو</v>
          </cell>
          <cell r="AF340">
            <v>1</v>
          </cell>
          <cell r="AR340">
            <v>750000</v>
          </cell>
        </row>
        <row r="341">
          <cell r="B341" t="str">
            <v>پخت کلاچ پراید</v>
          </cell>
          <cell r="C341" t="str">
            <v>قالب تعمیری</v>
          </cell>
          <cell r="AF341">
            <v>3</v>
          </cell>
          <cell r="AR341">
            <v>2250000</v>
          </cell>
        </row>
        <row r="342">
          <cell r="B342" t="str">
            <v>شمش پراید</v>
          </cell>
          <cell r="C342" t="str">
            <v>قالب نو</v>
          </cell>
          <cell r="AF342">
            <v>1</v>
          </cell>
          <cell r="AR342">
            <v>750000</v>
          </cell>
        </row>
        <row r="343">
          <cell r="B343" t="str">
            <v>پخت کلاچ پراید</v>
          </cell>
          <cell r="C343" t="str">
            <v>قالب تعمیری</v>
          </cell>
          <cell r="AF343">
            <v>2</v>
          </cell>
          <cell r="AR343">
            <v>1500000</v>
          </cell>
        </row>
        <row r="344">
          <cell r="B344" t="str">
            <v>قالب لودری 70028</v>
          </cell>
          <cell r="C344" t="str">
            <v>قالب تعمیری</v>
          </cell>
          <cell r="H344">
            <v>70028</v>
          </cell>
          <cell r="AF344">
            <v>1</v>
          </cell>
          <cell r="AR344">
            <v>750000</v>
          </cell>
        </row>
        <row r="345">
          <cell r="B345" t="str">
            <v>Hammer Mill Machine</v>
          </cell>
          <cell r="C345" t="str">
            <v>دستگاه نو</v>
          </cell>
          <cell r="AF345">
            <v>4</v>
          </cell>
          <cell r="AR345">
            <v>3000000</v>
          </cell>
        </row>
        <row r="346">
          <cell r="B346" t="str">
            <v>قالب شمشی عقب پیکان</v>
          </cell>
          <cell r="C346" t="str">
            <v>قالب نو</v>
          </cell>
          <cell r="AF346">
            <v>11</v>
          </cell>
          <cell r="AR346">
            <v>16500000</v>
          </cell>
        </row>
        <row r="347">
          <cell r="B347" t="str">
            <v>قالب پخت کلاچ پژو 405</v>
          </cell>
          <cell r="C347" t="str">
            <v>قالب تعمیری</v>
          </cell>
          <cell r="H347" t="str">
            <v>Mc30243-04s</v>
          </cell>
          <cell r="AF347">
            <v>11</v>
          </cell>
          <cell r="AR347">
            <v>16500000</v>
          </cell>
        </row>
        <row r="348">
          <cell r="B348" t="str">
            <v>قالب پخت کلاچ پیکان آرژانتینی</v>
          </cell>
          <cell r="C348" t="str">
            <v>قالب تعمیری</v>
          </cell>
          <cell r="H348" t="str">
            <v>MC30241-02s</v>
          </cell>
          <cell r="AF348">
            <v>10.75</v>
          </cell>
          <cell r="AR348">
            <v>16125000</v>
          </cell>
        </row>
        <row r="349">
          <cell r="B349" t="str">
            <v>پین عقب ریو</v>
          </cell>
          <cell r="C349" t="str">
            <v>قطعه نو</v>
          </cell>
          <cell r="AF349">
            <v>7.5</v>
          </cell>
          <cell r="AR349">
            <v>5625000</v>
          </cell>
        </row>
        <row r="350">
          <cell r="B350" t="str">
            <v>صنایع مس</v>
          </cell>
          <cell r="C350" t="str">
            <v>قطعه نو</v>
          </cell>
          <cell r="AF350">
            <v>6.5</v>
          </cell>
          <cell r="AR350">
            <v>4875000</v>
          </cell>
        </row>
        <row r="351">
          <cell r="B351" t="str">
            <v>Hammer Mill Machine</v>
          </cell>
          <cell r="C351" t="str">
            <v>دستگاه نو</v>
          </cell>
          <cell r="AF351">
            <v>11</v>
          </cell>
          <cell r="AR351">
            <v>8250000</v>
          </cell>
        </row>
        <row r="352">
          <cell r="B352" t="str">
            <v>شمش پراید</v>
          </cell>
          <cell r="C352" t="str">
            <v>قالب نو</v>
          </cell>
          <cell r="AF352">
            <v>11</v>
          </cell>
          <cell r="AR352">
            <v>8250000</v>
          </cell>
        </row>
        <row r="353">
          <cell r="B353" t="str">
            <v>دستگاه مهر زنی</v>
          </cell>
          <cell r="C353" t="str">
            <v>قطعه تعمیری</v>
          </cell>
          <cell r="AF353">
            <v>6</v>
          </cell>
          <cell r="AR353">
            <v>4500000</v>
          </cell>
        </row>
        <row r="354">
          <cell r="B354" t="str">
            <v>قالب پخت کلاچ پیکان آرژانتینی</v>
          </cell>
          <cell r="C354" t="str">
            <v>قالب تعمیری</v>
          </cell>
          <cell r="H354" t="str">
            <v>04S</v>
          </cell>
          <cell r="AF354">
            <v>6</v>
          </cell>
          <cell r="AR354">
            <v>4500000</v>
          </cell>
        </row>
        <row r="355">
          <cell r="B355" t="str">
            <v>دستگاه پشم فلز چینی</v>
          </cell>
          <cell r="C355" t="str">
            <v>قطعه نو</v>
          </cell>
          <cell r="AF355">
            <v>1</v>
          </cell>
          <cell r="AR355">
            <v>750000</v>
          </cell>
        </row>
        <row r="356">
          <cell r="B356" t="str">
            <v>برش جمعی عقب ریو</v>
          </cell>
          <cell r="C356" t="str">
            <v>قطعه نو</v>
          </cell>
          <cell r="AF356">
            <v>7</v>
          </cell>
          <cell r="AR356">
            <v>5250000</v>
          </cell>
        </row>
        <row r="357">
          <cell r="B357" t="str">
            <v>ابزار زنی</v>
          </cell>
          <cell r="C357" t="str">
            <v>قطعه نو</v>
          </cell>
          <cell r="AF357">
            <v>2</v>
          </cell>
          <cell r="AR357">
            <v>1500000</v>
          </cell>
        </row>
        <row r="358">
          <cell r="B358" t="str">
            <v>ساب سمباده ای</v>
          </cell>
          <cell r="C358" t="str">
            <v>قطعه تعمیری</v>
          </cell>
          <cell r="AF358">
            <v>2</v>
          </cell>
          <cell r="AR358">
            <v>1500000</v>
          </cell>
        </row>
        <row r="359">
          <cell r="B359" t="str">
            <v>ویوینگ</v>
          </cell>
          <cell r="C359" t="str">
            <v>قطعه تعمیری</v>
          </cell>
          <cell r="AF359">
            <v>2</v>
          </cell>
          <cell r="AR359">
            <v>1500000</v>
          </cell>
        </row>
        <row r="360">
          <cell r="B360" t="str">
            <v>ابزار زنی</v>
          </cell>
          <cell r="C360" t="str">
            <v>قطعه نو</v>
          </cell>
          <cell r="AF360">
            <v>5</v>
          </cell>
          <cell r="AR360">
            <v>3750000</v>
          </cell>
        </row>
        <row r="361">
          <cell r="B361" t="str">
            <v>قالب پخت کلاچ پژو 405</v>
          </cell>
          <cell r="C361" t="str">
            <v>قالب تعمیری</v>
          </cell>
          <cell r="H361" t="str">
            <v>Mc30243-04s</v>
          </cell>
          <cell r="AF361">
            <v>11</v>
          </cell>
          <cell r="AR361">
            <v>16500000</v>
          </cell>
        </row>
        <row r="362">
          <cell r="B362" t="str">
            <v>قالب پخت کلاچ پیکان آرژانتینی</v>
          </cell>
          <cell r="C362" t="str">
            <v>قالب تعمیری</v>
          </cell>
          <cell r="H362" t="str">
            <v>MC30241-02s</v>
          </cell>
          <cell r="AF362">
            <v>11</v>
          </cell>
          <cell r="AR362">
            <v>16500000</v>
          </cell>
        </row>
        <row r="363">
          <cell r="B363" t="str">
            <v>قالب شمشی عقب پیکان</v>
          </cell>
          <cell r="C363" t="str">
            <v>قالب نو</v>
          </cell>
          <cell r="AF363">
            <v>11</v>
          </cell>
          <cell r="AR363">
            <v>16500000</v>
          </cell>
        </row>
        <row r="364">
          <cell r="B364" t="str">
            <v>Hammer Mill Machine</v>
          </cell>
          <cell r="C364" t="str">
            <v>دستگاه نو</v>
          </cell>
          <cell r="AF364">
            <v>11</v>
          </cell>
          <cell r="AR364">
            <v>8250000</v>
          </cell>
        </row>
        <row r="365">
          <cell r="B365" t="str">
            <v>ابزار زنی</v>
          </cell>
          <cell r="C365" t="str">
            <v>قطعه نو</v>
          </cell>
          <cell r="AF365">
            <v>11</v>
          </cell>
          <cell r="AR365">
            <v>8250000</v>
          </cell>
        </row>
        <row r="366">
          <cell r="B366" t="str">
            <v>شمش پراید</v>
          </cell>
          <cell r="C366" t="str">
            <v>قالب نو</v>
          </cell>
          <cell r="AF366">
            <v>5</v>
          </cell>
          <cell r="AR366">
            <v>3750000</v>
          </cell>
        </row>
        <row r="367">
          <cell r="B367" t="str">
            <v>قالب پخت کلاچ پیکان آرژانتینی</v>
          </cell>
          <cell r="C367" t="str">
            <v>قالب تعمیری</v>
          </cell>
          <cell r="H367" t="str">
            <v>MC30241-02s</v>
          </cell>
          <cell r="AF367">
            <v>6</v>
          </cell>
          <cell r="AR367">
            <v>4500000</v>
          </cell>
        </row>
        <row r="368">
          <cell r="B368" t="str">
            <v>پین عقب ریو</v>
          </cell>
          <cell r="C368" t="str">
            <v>قطعه نو</v>
          </cell>
          <cell r="AF368">
            <v>3.5</v>
          </cell>
          <cell r="AR368">
            <v>2625000</v>
          </cell>
        </row>
        <row r="369">
          <cell r="B369" t="str">
            <v>ساب سمباده ای</v>
          </cell>
          <cell r="C369" t="str">
            <v>قطعه نو</v>
          </cell>
          <cell r="AF369">
            <v>1</v>
          </cell>
          <cell r="AR369">
            <v>750000</v>
          </cell>
        </row>
        <row r="370">
          <cell r="B370" t="str">
            <v>ابزار زنی</v>
          </cell>
          <cell r="C370" t="str">
            <v>قطعه نو</v>
          </cell>
          <cell r="AF370">
            <v>3</v>
          </cell>
          <cell r="AR370">
            <v>2250000</v>
          </cell>
        </row>
        <row r="371">
          <cell r="B371" t="str">
            <v>ابزار زنی</v>
          </cell>
          <cell r="C371" t="str">
            <v>قطعه نو</v>
          </cell>
          <cell r="AF371">
            <v>7</v>
          </cell>
          <cell r="AR371">
            <v>5250000</v>
          </cell>
        </row>
        <row r="372">
          <cell r="B372" t="str">
            <v>Hammer Mill Machine</v>
          </cell>
          <cell r="C372" t="str">
            <v>دستگاه نو</v>
          </cell>
          <cell r="AF372">
            <v>3</v>
          </cell>
          <cell r="AR372">
            <v>2250000</v>
          </cell>
        </row>
        <row r="373">
          <cell r="B373" t="str">
            <v>دستگاه مهر زنی</v>
          </cell>
          <cell r="C373" t="str">
            <v>قطعه تعمیری</v>
          </cell>
          <cell r="AF373">
            <v>10</v>
          </cell>
          <cell r="AR373">
            <v>7500000</v>
          </cell>
        </row>
        <row r="374">
          <cell r="B374" t="str">
            <v>دستگاه پشم فلز آلمانی</v>
          </cell>
          <cell r="C374" t="str">
            <v>قطعه نو</v>
          </cell>
          <cell r="AF374">
            <v>2</v>
          </cell>
          <cell r="AR374">
            <v>1500000</v>
          </cell>
        </row>
        <row r="375">
          <cell r="B375" t="str">
            <v>کلمپ زنی</v>
          </cell>
          <cell r="C375" t="str">
            <v>دستگاه تعمیری</v>
          </cell>
          <cell r="AF375">
            <v>10</v>
          </cell>
          <cell r="AR375">
            <v>7500000</v>
          </cell>
        </row>
        <row r="376">
          <cell r="B376" t="str">
            <v>Hammer Mill Machine</v>
          </cell>
          <cell r="C376" t="str">
            <v>دستگاه نو</v>
          </cell>
          <cell r="AF376">
            <v>8</v>
          </cell>
          <cell r="AR376">
            <v>6000000</v>
          </cell>
        </row>
        <row r="377">
          <cell r="B377" t="str">
            <v>کلمپ زنی</v>
          </cell>
          <cell r="C377" t="str">
            <v>دستگاه تعمیری</v>
          </cell>
          <cell r="AF377">
            <v>4</v>
          </cell>
          <cell r="AR377">
            <v>3000000</v>
          </cell>
        </row>
        <row r="378">
          <cell r="B378" t="str">
            <v>کلمپ زنی</v>
          </cell>
          <cell r="C378" t="str">
            <v>دستگاه تعمیری</v>
          </cell>
          <cell r="AF378">
            <v>2</v>
          </cell>
          <cell r="AR378">
            <v>1500000</v>
          </cell>
        </row>
        <row r="379">
          <cell r="B379" t="str">
            <v>کلمپ زنی</v>
          </cell>
          <cell r="C379" t="str">
            <v>دستگاه تعمیری</v>
          </cell>
          <cell r="AF379">
            <v>2</v>
          </cell>
          <cell r="AR379">
            <v>1500000</v>
          </cell>
        </row>
        <row r="380">
          <cell r="B380" t="str">
            <v>Hammer Mill Machine</v>
          </cell>
          <cell r="C380" t="str">
            <v>دستگاه نو</v>
          </cell>
          <cell r="AF380">
            <v>2</v>
          </cell>
          <cell r="AR380">
            <v>1500000</v>
          </cell>
        </row>
        <row r="381">
          <cell r="B381" t="str">
            <v>دستگاه پشم فلز چینی</v>
          </cell>
          <cell r="C381" t="str">
            <v>قطعه نو</v>
          </cell>
          <cell r="AF381">
            <v>6.333333333333333</v>
          </cell>
          <cell r="AR381">
            <v>4750000</v>
          </cell>
        </row>
        <row r="382">
          <cell r="B382" t="str">
            <v>Hammer Mill Machine</v>
          </cell>
          <cell r="C382" t="str">
            <v>دستگاه نو</v>
          </cell>
          <cell r="AF382">
            <v>7.5</v>
          </cell>
          <cell r="AR382">
            <v>11250000</v>
          </cell>
        </row>
        <row r="383">
          <cell r="B383" t="str">
            <v>دستگاه توزین مواد</v>
          </cell>
          <cell r="C383" t="str">
            <v>قطعه تعمیری</v>
          </cell>
          <cell r="H383">
            <v>21355</v>
          </cell>
          <cell r="AF383">
            <v>7.5</v>
          </cell>
          <cell r="AR383">
            <v>11250000</v>
          </cell>
        </row>
        <row r="384">
          <cell r="B384" t="str">
            <v>دستگاه توزین مواد</v>
          </cell>
          <cell r="C384" t="str">
            <v>قطعه تعمیری</v>
          </cell>
          <cell r="H384">
            <v>21355</v>
          </cell>
          <cell r="AF384">
            <v>6.5</v>
          </cell>
          <cell r="AR384">
            <v>9750000</v>
          </cell>
        </row>
        <row r="385">
          <cell r="B385" t="str">
            <v>قالب پخت کلاچ پیکان آرژانتینی</v>
          </cell>
          <cell r="C385" t="str">
            <v>قالب تعمیری</v>
          </cell>
          <cell r="H385" t="str">
            <v>MC30241-02s</v>
          </cell>
          <cell r="AF385">
            <v>7.5</v>
          </cell>
          <cell r="AR385">
            <v>11250000</v>
          </cell>
        </row>
        <row r="386">
          <cell r="B386" t="str">
            <v>ابزار زنی</v>
          </cell>
          <cell r="C386" t="str">
            <v>قطعه نو</v>
          </cell>
          <cell r="AF386">
            <v>3</v>
          </cell>
          <cell r="AR386">
            <v>2250000</v>
          </cell>
        </row>
        <row r="387">
          <cell r="B387" t="str">
            <v>ابزار زنی</v>
          </cell>
          <cell r="C387" t="str">
            <v>قطعه نو</v>
          </cell>
          <cell r="AF387">
            <v>2</v>
          </cell>
          <cell r="AR387">
            <v>1500000</v>
          </cell>
        </row>
        <row r="388">
          <cell r="B388" t="str">
            <v>ابزار زنی</v>
          </cell>
          <cell r="C388" t="str">
            <v>قطعه نو</v>
          </cell>
          <cell r="AF388">
            <v>3</v>
          </cell>
          <cell r="AR388">
            <v>2250000</v>
          </cell>
        </row>
        <row r="389">
          <cell r="B389" t="str">
            <v>ابزار زنی</v>
          </cell>
          <cell r="C389" t="str">
            <v>قطعه نو</v>
          </cell>
          <cell r="AF389">
            <v>5</v>
          </cell>
          <cell r="AR389">
            <v>3750000</v>
          </cell>
        </row>
        <row r="390">
          <cell r="B390" t="str">
            <v>اصول 5S</v>
          </cell>
          <cell r="C390" t="str">
            <v>نظافت</v>
          </cell>
          <cell r="AF390">
            <v>1</v>
          </cell>
          <cell r="AR390">
            <v>750000</v>
          </cell>
        </row>
        <row r="391">
          <cell r="B391" t="str">
            <v>ابزار زنی</v>
          </cell>
          <cell r="C391" t="str">
            <v>قطعه نو</v>
          </cell>
          <cell r="AF391">
            <v>2</v>
          </cell>
          <cell r="AR391">
            <v>1500000</v>
          </cell>
        </row>
        <row r="392">
          <cell r="B392" t="str">
            <v>قالب پخت کلاچ پیکان آرژانتینی</v>
          </cell>
          <cell r="C392" t="str">
            <v>قالب تعمیری</v>
          </cell>
          <cell r="H392" t="str">
            <v>04S</v>
          </cell>
          <cell r="AF392">
            <v>2.5</v>
          </cell>
          <cell r="AR392">
            <v>1875000</v>
          </cell>
        </row>
        <row r="393">
          <cell r="B393" t="str">
            <v>قالب پخت کلاچ پیکان آرژانتینی</v>
          </cell>
          <cell r="C393" t="str">
            <v>قالب تعمیری</v>
          </cell>
          <cell r="H393" t="str">
            <v>04S</v>
          </cell>
          <cell r="AF393">
            <v>1</v>
          </cell>
          <cell r="AR393">
            <v>750000</v>
          </cell>
        </row>
        <row r="394">
          <cell r="B394" t="str">
            <v>Hammer Mill Machine</v>
          </cell>
          <cell r="C394" t="str">
            <v>دستگاه نو</v>
          </cell>
          <cell r="AF394">
            <v>5</v>
          </cell>
          <cell r="AR394">
            <v>3750000</v>
          </cell>
        </row>
        <row r="395">
          <cell r="B395" t="str">
            <v>پخت کلاچ پراید</v>
          </cell>
          <cell r="C395" t="str">
            <v>قالب تعمیری</v>
          </cell>
          <cell r="H395" t="str">
            <v>08s</v>
          </cell>
          <cell r="AF395">
            <v>2</v>
          </cell>
          <cell r="AR395">
            <v>1500000</v>
          </cell>
        </row>
        <row r="396">
          <cell r="B396" t="str">
            <v>شمش پراید</v>
          </cell>
          <cell r="C396" t="str">
            <v>قالب نو</v>
          </cell>
          <cell r="AF396">
            <v>2</v>
          </cell>
          <cell r="AR396">
            <v>1500000</v>
          </cell>
        </row>
        <row r="397">
          <cell r="B397" t="str">
            <v>برش جمعی</v>
          </cell>
          <cell r="C397" t="str">
            <v>قطعه تعمیری</v>
          </cell>
          <cell r="AF397">
            <v>1</v>
          </cell>
          <cell r="AR397">
            <v>750000</v>
          </cell>
        </row>
        <row r="398">
          <cell r="B398" t="str">
            <v>ابزار زنی</v>
          </cell>
          <cell r="C398" t="str">
            <v>قطعه نو</v>
          </cell>
          <cell r="AF398">
            <v>5</v>
          </cell>
          <cell r="AR398">
            <v>3750000</v>
          </cell>
        </row>
        <row r="399">
          <cell r="B399" t="str">
            <v>اصول 5S</v>
          </cell>
          <cell r="C399" t="str">
            <v>نظافت</v>
          </cell>
          <cell r="AF399">
            <v>0.5</v>
          </cell>
          <cell r="AR399">
            <v>375000</v>
          </cell>
        </row>
        <row r="400">
          <cell r="B400" t="str">
            <v>ابزار زنی</v>
          </cell>
          <cell r="C400" t="str">
            <v>قطعه نو</v>
          </cell>
          <cell r="AF400">
            <v>3</v>
          </cell>
          <cell r="AR400">
            <v>2250000</v>
          </cell>
        </row>
        <row r="401">
          <cell r="B401" t="str">
            <v>Hammer Mill Machine</v>
          </cell>
          <cell r="C401" t="str">
            <v>دستگاه نو</v>
          </cell>
          <cell r="AF401">
            <v>7</v>
          </cell>
          <cell r="AR401">
            <v>5250000</v>
          </cell>
        </row>
        <row r="402">
          <cell r="B402" t="str">
            <v>آغشته کاری</v>
          </cell>
          <cell r="C402" t="str">
            <v>قطعه تعمیری</v>
          </cell>
          <cell r="AF402">
            <v>2</v>
          </cell>
          <cell r="AR402">
            <v>1500000</v>
          </cell>
        </row>
        <row r="403">
          <cell r="B403" t="str">
            <v>آغشته کاری</v>
          </cell>
          <cell r="C403" t="str">
            <v>قطعه تعمیری</v>
          </cell>
          <cell r="AF403">
            <v>1</v>
          </cell>
          <cell r="AR403">
            <v>750000</v>
          </cell>
        </row>
        <row r="404">
          <cell r="B404" t="str">
            <v>کلمپ زنی</v>
          </cell>
          <cell r="C404" t="str">
            <v>دستگاه تعمیری</v>
          </cell>
          <cell r="AF404">
            <v>6</v>
          </cell>
          <cell r="AR404">
            <v>4500000</v>
          </cell>
        </row>
        <row r="405">
          <cell r="B405" t="str">
            <v>ابزار زنی</v>
          </cell>
          <cell r="C405" t="str">
            <v>قطعه نو</v>
          </cell>
          <cell r="AF405">
            <v>3</v>
          </cell>
          <cell r="AR405">
            <v>2250000</v>
          </cell>
        </row>
        <row r="406">
          <cell r="B406" t="str">
            <v>Hammer Mill Machine</v>
          </cell>
          <cell r="C406" t="str">
            <v>دستگاه نو</v>
          </cell>
          <cell r="AF406">
            <v>2</v>
          </cell>
          <cell r="AR406">
            <v>1500000</v>
          </cell>
        </row>
        <row r="407">
          <cell r="B407" t="str">
            <v>Hammer Mill Machine</v>
          </cell>
          <cell r="C407" t="str">
            <v>دستگاه نو</v>
          </cell>
          <cell r="AF407">
            <v>12</v>
          </cell>
          <cell r="AR407">
            <v>9000000</v>
          </cell>
        </row>
        <row r="408">
          <cell r="B408" t="str">
            <v>قالب پخت کلاچ پژو 405</v>
          </cell>
          <cell r="C408" t="str">
            <v>قالب تعمیری</v>
          </cell>
          <cell r="AF408">
            <v>2</v>
          </cell>
          <cell r="AR408">
            <v>1500000</v>
          </cell>
        </row>
        <row r="409">
          <cell r="B409" t="str">
            <v>شمش پراید</v>
          </cell>
          <cell r="C409" t="str">
            <v>قالب نو</v>
          </cell>
          <cell r="AF409">
            <v>4</v>
          </cell>
          <cell r="AR409">
            <v>3000000</v>
          </cell>
        </row>
        <row r="410">
          <cell r="B410" t="str">
            <v>قالب تیبا خزینه چپ</v>
          </cell>
          <cell r="C410" t="str">
            <v>قالب تعمیری</v>
          </cell>
          <cell r="H410" t="str">
            <v>FC30278-01S</v>
          </cell>
          <cell r="AF410">
            <v>2</v>
          </cell>
          <cell r="AR410">
            <v>1500000</v>
          </cell>
        </row>
        <row r="411">
          <cell r="B411" t="str">
            <v>دستگاه پشم فلز آلمانی</v>
          </cell>
          <cell r="C411" t="str">
            <v>قطعه نو</v>
          </cell>
          <cell r="AF411">
            <v>8</v>
          </cell>
          <cell r="AR411">
            <v>6000000</v>
          </cell>
        </row>
        <row r="412">
          <cell r="B412" t="str">
            <v>Hammer Mill Machine</v>
          </cell>
          <cell r="C412" t="str">
            <v>دستگاه نو</v>
          </cell>
          <cell r="AF412">
            <v>2</v>
          </cell>
          <cell r="AR412">
            <v>1500000</v>
          </cell>
        </row>
        <row r="413">
          <cell r="B413" t="str">
            <v>کلمپ زنی</v>
          </cell>
          <cell r="C413" t="str">
            <v>دستگاه تعمیری</v>
          </cell>
          <cell r="AF413">
            <v>2</v>
          </cell>
          <cell r="AR413">
            <v>1500000</v>
          </cell>
        </row>
        <row r="414">
          <cell r="B414" t="str">
            <v>قالب پخت کلاچ پیکان آرژانتینی</v>
          </cell>
          <cell r="C414" t="str">
            <v>قالب تعمیری</v>
          </cell>
          <cell r="H414" t="str">
            <v>04S</v>
          </cell>
          <cell r="AF414">
            <v>5</v>
          </cell>
          <cell r="AR414">
            <v>3750000</v>
          </cell>
        </row>
        <row r="415">
          <cell r="B415" t="str">
            <v>قالب پخت کلاچ پیکان آرژانتینی</v>
          </cell>
          <cell r="C415" t="str">
            <v>قالب تعمیری</v>
          </cell>
          <cell r="H415" t="str">
            <v>04S</v>
          </cell>
          <cell r="AF415">
            <v>2</v>
          </cell>
          <cell r="AR415">
            <v>1500000</v>
          </cell>
        </row>
        <row r="416">
          <cell r="B416" t="str">
            <v>صفحات 50*50 پخت کلاچ</v>
          </cell>
          <cell r="C416" t="str">
            <v>قالب تعمیری</v>
          </cell>
          <cell r="AF416">
            <v>7.5</v>
          </cell>
          <cell r="AR416">
            <v>5625000</v>
          </cell>
        </row>
        <row r="417">
          <cell r="B417" t="str">
            <v>کلمپ زنی</v>
          </cell>
          <cell r="C417" t="str">
            <v>دستگاه تعمیری</v>
          </cell>
          <cell r="AF417">
            <v>4.5</v>
          </cell>
          <cell r="AR417">
            <v>3375000</v>
          </cell>
        </row>
        <row r="418">
          <cell r="B418" t="str">
            <v>دستگاه پشم فلز آلمانی</v>
          </cell>
          <cell r="C418" t="str">
            <v>قطعه نو</v>
          </cell>
          <cell r="AF418">
            <v>2</v>
          </cell>
          <cell r="AR418">
            <v>1500000</v>
          </cell>
        </row>
        <row r="419">
          <cell r="B419" t="str">
            <v>اصول 5S</v>
          </cell>
          <cell r="C419" t="str">
            <v>نظافت</v>
          </cell>
          <cell r="AF419">
            <v>1</v>
          </cell>
          <cell r="AR419">
            <v>750000</v>
          </cell>
        </row>
        <row r="420">
          <cell r="B420" t="str">
            <v>Hammer Mill Machine</v>
          </cell>
          <cell r="C420" t="str">
            <v>دستگاه نو</v>
          </cell>
          <cell r="AF420">
            <v>2</v>
          </cell>
          <cell r="AR420">
            <v>1500000</v>
          </cell>
        </row>
        <row r="421">
          <cell r="B421" t="str">
            <v>قالب پخت کلاچ پیکان آرژانتینی</v>
          </cell>
          <cell r="C421" t="str">
            <v>قالب تعمیری</v>
          </cell>
          <cell r="H421" t="str">
            <v>04S</v>
          </cell>
          <cell r="AF421">
            <v>1</v>
          </cell>
          <cell r="AR421">
            <v>750000</v>
          </cell>
        </row>
        <row r="422">
          <cell r="B422" t="str">
            <v>قالب پخت کلاچ پیکان آرژانتینی</v>
          </cell>
          <cell r="C422" t="str">
            <v>قالب تعمیری</v>
          </cell>
          <cell r="H422" t="str">
            <v>04S</v>
          </cell>
          <cell r="AF422">
            <v>2</v>
          </cell>
          <cell r="AR422">
            <v>1500000</v>
          </cell>
        </row>
        <row r="423">
          <cell r="B423" t="str">
            <v>قالب پخت کلاچ پژو 405</v>
          </cell>
          <cell r="C423" t="str">
            <v>قالب تعمیری</v>
          </cell>
          <cell r="AF423">
            <v>0.5</v>
          </cell>
          <cell r="AR423">
            <v>375000</v>
          </cell>
        </row>
        <row r="424">
          <cell r="B424" t="str">
            <v>پین عقب آلستوم</v>
          </cell>
          <cell r="C424" t="str">
            <v>قطعه نو</v>
          </cell>
          <cell r="AF424">
            <v>7.5</v>
          </cell>
          <cell r="AR424">
            <v>5625000</v>
          </cell>
        </row>
        <row r="425">
          <cell r="B425" t="str">
            <v>Hammer Mill Machine</v>
          </cell>
          <cell r="C425" t="str">
            <v>دستگاه نو</v>
          </cell>
          <cell r="AF425">
            <v>11</v>
          </cell>
          <cell r="AR425">
            <v>16500000</v>
          </cell>
        </row>
        <row r="426">
          <cell r="B426" t="str">
            <v>پخت کلاچ پراید</v>
          </cell>
          <cell r="C426" t="str">
            <v>قالب تعمیری</v>
          </cell>
          <cell r="H426" t="str">
            <v>MC30246-02s</v>
          </cell>
          <cell r="AF426">
            <v>11</v>
          </cell>
          <cell r="AR426">
            <v>16500000</v>
          </cell>
        </row>
        <row r="427">
          <cell r="B427" t="str">
            <v>صفحات 50*50 پخت کلاچ</v>
          </cell>
          <cell r="C427" t="str">
            <v>قالب تعمیری</v>
          </cell>
          <cell r="AF427">
            <v>11</v>
          </cell>
          <cell r="AR427">
            <v>8250000</v>
          </cell>
        </row>
        <row r="428">
          <cell r="B428" t="str">
            <v>دستگاه پشم فلز چینی</v>
          </cell>
          <cell r="C428" t="str">
            <v>قطعه نو</v>
          </cell>
          <cell r="AF428">
            <v>4.166666666666667</v>
          </cell>
          <cell r="AR428">
            <v>3125000</v>
          </cell>
        </row>
        <row r="429">
          <cell r="B429" t="str">
            <v>دریل یزدخواستی کلاچ</v>
          </cell>
          <cell r="C429" t="str">
            <v>قطعه نو</v>
          </cell>
          <cell r="AF429">
            <v>7</v>
          </cell>
          <cell r="AR429">
            <v>5250000</v>
          </cell>
        </row>
        <row r="430">
          <cell r="B430" t="str">
            <v>قالب پخت کلاچ پژو 405</v>
          </cell>
          <cell r="C430" t="str">
            <v>قالب تعمیری</v>
          </cell>
          <cell r="AF430">
            <v>2</v>
          </cell>
          <cell r="AR430">
            <v>1500000</v>
          </cell>
        </row>
        <row r="431">
          <cell r="B431" t="str">
            <v>ابزار زنی</v>
          </cell>
          <cell r="C431" t="str">
            <v>قطعه نو</v>
          </cell>
          <cell r="AF431">
            <v>1.6666666666666667</v>
          </cell>
          <cell r="AR431">
            <v>1250000</v>
          </cell>
        </row>
        <row r="432">
          <cell r="B432" t="str">
            <v>قالب توری پگاسوز</v>
          </cell>
          <cell r="C432" t="str">
            <v>قالب تعمیری</v>
          </cell>
          <cell r="H432">
            <v>30303</v>
          </cell>
          <cell r="AF432">
            <v>2</v>
          </cell>
          <cell r="AR432">
            <v>1500000</v>
          </cell>
        </row>
        <row r="433">
          <cell r="B433" t="str">
            <v>ابزار زنی</v>
          </cell>
          <cell r="C433" t="str">
            <v>قطعه نو</v>
          </cell>
          <cell r="AF433">
            <v>3</v>
          </cell>
          <cell r="AR433">
            <v>2250000</v>
          </cell>
        </row>
        <row r="434">
          <cell r="B434" t="str">
            <v>قالب نیسان آریا</v>
          </cell>
          <cell r="C434" t="str">
            <v>قالب نو</v>
          </cell>
          <cell r="H434" t="str">
            <v>FD30303</v>
          </cell>
          <cell r="AF434">
            <v>6</v>
          </cell>
          <cell r="AR434">
            <v>4500000</v>
          </cell>
        </row>
        <row r="435">
          <cell r="B435" t="str">
            <v>ابزار زنی</v>
          </cell>
          <cell r="C435" t="str">
            <v>قطعه نو</v>
          </cell>
          <cell r="AF435">
            <v>1</v>
          </cell>
          <cell r="AR435">
            <v>750000</v>
          </cell>
        </row>
        <row r="436">
          <cell r="B436" t="str">
            <v>ابزار زنی</v>
          </cell>
          <cell r="C436" t="str">
            <v>قطعه نو</v>
          </cell>
          <cell r="AF436">
            <v>3</v>
          </cell>
          <cell r="AR436">
            <v>2250000</v>
          </cell>
        </row>
        <row r="437">
          <cell r="B437" t="str">
            <v>کلمپ زنی</v>
          </cell>
          <cell r="C437" t="str">
            <v>قطعه نو</v>
          </cell>
          <cell r="AF437">
            <v>7</v>
          </cell>
          <cell r="AR437">
            <v>5250000</v>
          </cell>
        </row>
        <row r="438">
          <cell r="B438" t="str">
            <v>دستگاه توزین مواد</v>
          </cell>
          <cell r="C438" t="str">
            <v>قطعه تعمیری</v>
          </cell>
          <cell r="H438">
            <v>21355</v>
          </cell>
          <cell r="AF438">
            <v>1.5</v>
          </cell>
          <cell r="AR438">
            <v>2250000</v>
          </cell>
        </row>
        <row r="439">
          <cell r="B439" t="str">
            <v>قالب توری پگاسوز</v>
          </cell>
          <cell r="C439" t="str">
            <v>قالب تعمیری</v>
          </cell>
          <cell r="H439">
            <v>30303</v>
          </cell>
          <cell r="AF439">
            <v>6.5</v>
          </cell>
          <cell r="AR439">
            <v>9750000</v>
          </cell>
        </row>
        <row r="440">
          <cell r="B440" t="str">
            <v>قالب پخت کلاچ پژو 405</v>
          </cell>
          <cell r="C440" t="str">
            <v>قالب تعمیری</v>
          </cell>
          <cell r="H440" t="str">
            <v>Mc30243-04s</v>
          </cell>
          <cell r="AF440">
            <v>3</v>
          </cell>
          <cell r="AR440">
            <v>4500000</v>
          </cell>
        </row>
        <row r="441">
          <cell r="B441" t="str">
            <v>شمش پراید</v>
          </cell>
          <cell r="C441" t="str">
            <v>قالب نو</v>
          </cell>
          <cell r="AF441">
            <v>4</v>
          </cell>
          <cell r="AR441">
            <v>3000000</v>
          </cell>
        </row>
        <row r="442">
          <cell r="B442" t="str">
            <v>پخت کلاچ پراید</v>
          </cell>
          <cell r="C442" t="str">
            <v>قالب تعمیری</v>
          </cell>
          <cell r="H442" t="str">
            <v>08s</v>
          </cell>
          <cell r="AF442">
            <v>2</v>
          </cell>
          <cell r="AR442">
            <v>1500000</v>
          </cell>
        </row>
        <row r="443">
          <cell r="B443" t="str">
            <v>قالب توری پگاسوز</v>
          </cell>
          <cell r="C443" t="str">
            <v>قالب تعمیری</v>
          </cell>
          <cell r="H443">
            <v>30303</v>
          </cell>
          <cell r="AF443">
            <v>2</v>
          </cell>
          <cell r="AR443">
            <v>1500000</v>
          </cell>
        </row>
        <row r="444">
          <cell r="B444" t="str">
            <v>قالب پخت کلاچ پیکان آرژانتینی</v>
          </cell>
          <cell r="C444" t="str">
            <v>قالب تعمیری</v>
          </cell>
          <cell r="H444" t="str">
            <v>04S</v>
          </cell>
          <cell r="AF444">
            <v>9</v>
          </cell>
          <cell r="AR444">
            <v>6750000</v>
          </cell>
        </row>
        <row r="445">
          <cell r="B445" t="str">
            <v>Hammer Mill Machine</v>
          </cell>
          <cell r="C445" t="str">
            <v>دستگاه نو</v>
          </cell>
          <cell r="AF445">
            <v>10</v>
          </cell>
          <cell r="AR445">
            <v>7500000</v>
          </cell>
        </row>
        <row r="446">
          <cell r="B446" t="str">
            <v>دستگاه پشم فلز آلمانی</v>
          </cell>
          <cell r="C446" t="str">
            <v>قطعه نو</v>
          </cell>
          <cell r="AF446">
            <v>12</v>
          </cell>
          <cell r="AR446">
            <v>9000000</v>
          </cell>
        </row>
        <row r="447">
          <cell r="B447" t="str">
            <v>برش آلستوم</v>
          </cell>
          <cell r="C447" t="str">
            <v>قالب تعمیری</v>
          </cell>
          <cell r="AF447">
            <v>2</v>
          </cell>
          <cell r="AR447">
            <v>1500000</v>
          </cell>
        </row>
        <row r="448">
          <cell r="B448" t="str">
            <v>قالب لودری 70021</v>
          </cell>
          <cell r="C448" t="str">
            <v>قالب تعمیری</v>
          </cell>
          <cell r="AF448">
            <v>4</v>
          </cell>
          <cell r="AR448">
            <v>3000000</v>
          </cell>
        </row>
        <row r="449">
          <cell r="B449" t="str">
            <v>دستگاه پرس 600 تن</v>
          </cell>
          <cell r="C449" t="str">
            <v>قطعه تعمیری</v>
          </cell>
          <cell r="AF449">
            <v>12</v>
          </cell>
          <cell r="AR449">
            <v>9000000</v>
          </cell>
        </row>
        <row r="450">
          <cell r="B450" t="str">
            <v>دستگاه پشم فلز آلمانی</v>
          </cell>
          <cell r="C450" t="str">
            <v>قطعه نو</v>
          </cell>
          <cell r="AF450">
            <v>10</v>
          </cell>
          <cell r="AR450">
            <v>7500000</v>
          </cell>
        </row>
        <row r="451">
          <cell r="B451" t="str">
            <v>Hammer Mill Machine</v>
          </cell>
          <cell r="C451" t="str">
            <v>دستگاه نو</v>
          </cell>
          <cell r="AF451">
            <v>2</v>
          </cell>
          <cell r="AR451">
            <v>1500000</v>
          </cell>
        </row>
        <row r="452">
          <cell r="B452" t="str">
            <v>کوبه نک قطاری</v>
          </cell>
          <cell r="C452" t="str">
            <v>قالب تعمیری</v>
          </cell>
          <cell r="AF452">
            <v>12</v>
          </cell>
          <cell r="AR452">
            <v>9000000</v>
          </cell>
        </row>
        <row r="453">
          <cell r="B453" t="str">
            <v>تیغ فرز</v>
          </cell>
          <cell r="C453" t="str">
            <v>قطعه تعمیری</v>
          </cell>
          <cell r="AF453">
            <v>5</v>
          </cell>
          <cell r="AR453">
            <v>3750000</v>
          </cell>
        </row>
        <row r="454">
          <cell r="B454" t="str">
            <v>نگهدارنده پلاک قالب</v>
          </cell>
          <cell r="C454" t="str">
            <v>قطعه نو</v>
          </cell>
          <cell r="AF454">
            <v>4</v>
          </cell>
          <cell r="AR454">
            <v>3000000</v>
          </cell>
        </row>
        <row r="455">
          <cell r="B455" t="str">
            <v>پخت کلاچ پراید</v>
          </cell>
          <cell r="C455" t="str">
            <v>قالب تعمیری</v>
          </cell>
          <cell r="H455" t="str">
            <v>MC30246-02s</v>
          </cell>
          <cell r="AF455">
            <v>7</v>
          </cell>
          <cell r="AR455">
            <v>10500000</v>
          </cell>
        </row>
        <row r="456">
          <cell r="B456" t="str">
            <v>پخت کلاچ پراید</v>
          </cell>
          <cell r="C456" t="str">
            <v>قالب تعمیری</v>
          </cell>
          <cell r="H456" t="str">
            <v>MC30246-02s</v>
          </cell>
          <cell r="AF456">
            <v>6</v>
          </cell>
          <cell r="AR456">
            <v>9000000</v>
          </cell>
        </row>
        <row r="457">
          <cell r="B457" t="str">
            <v>دستگاه پشم فلز چینی</v>
          </cell>
          <cell r="C457" t="str">
            <v>قطعه نو</v>
          </cell>
          <cell r="AF457">
            <v>1</v>
          </cell>
          <cell r="AR457">
            <v>750000</v>
          </cell>
        </row>
        <row r="458">
          <cell r="B458" t="str">
            <v>شمش پراید</v>
          </cell>
          <cell r="C458" t="str">
            <v>قالب نو</v>
          </cell>
          <cell r="AF458">
            <v>4.833333333333333</v>
          </cell>
          <cell r="AR458">
            <v>3625000</v>
          </cell>
        </row>
        <row r="459">
          <cell r="B459" t="str">
            <v>صفحات 50*50 پخت کلاچ</v>
          </cell>
          <cell r="C459" t="str">
            <v>قالب تعمیری</v>
          </cell>
          <cell r="AF459">
            <v>11</v>
          </cell>
          <cell r="AR459">
            <v>8250000</v>
          </cell>
        </row>
        <row r="460">
          <cell r="B460" t="str">
            <v>قالب پخت کلاچ پژو 405</v>
          </cell>
          <cell r="C460" t="str">
            <v>قالب تعمیری</v>
          </cell>
          <cell r="H460" t="str">
            <v>Mc30243-04s</v>
          </cell>
          <cell r="AF460">
            <v>11</v>
          </cell>
          <cell r="AR460">
            <v>16500000</v>
          </cell>
        </row>
        <row r="461">
          <cell r="B461" t="str">
            <v>قالب پخت کلاچ پژو 405</v>
          </cell>
          <cell r="C461" t="str">
            <v>قالب تعمیری</v>
          </cell>
          <cell r="H461" t="str">
            <v>Mc30243-04s</v>
          </cell>
          <cell r="AF461">
            <v>7</v>
          </cell>
          <cell r="AR461">
            <v>10500000</v>
          </cell>
        </row>
        <row r="462">
          <cell r="B462" t="str">
            <v>قالب پخت کلاچ پژو 405</v>
          </cell>
          <cell r="C462" t="str">
            <v>قالب تعمیری</v>
          </cell>
          <cell r="H462" t="str">
            <v>Mc30243-04s</v>
          </cell>
          <cell r="AF462">
            <v>4</v>
          </cell>
          <cell r="AR462">
            <v>6000000</v>
          </cell>
        </row>
        <row r="463">
          <cell r="B463" t="str">
            <v>پین عقب آلستوم</v>
          </cell>
          <cell r="C463" t="str">
            <v>قطعه نو</v>
          </cell>
          <cell r="AF463">
            <v>7.5</v>
          </cell>
          <cell r="AR463">
            <v>5625000</v>
          </cell>
        </row>
        <row r="464">
          <cell r="B464" t="str">
            <v>پین عقب آلستوم</v>
          </cell>
          <cell r="C464" t="str">
            <v>قطعه نو</v>
          </cell>
          <cell r="AF464">
            <v>7.5</v>
          </cell>
          <cell r="AR464">
            <v>5625000</v>
          </cell>
        </row>
        <row r="465">
          <cell r="B465" t="str">
            <v>دستگاه پرس 600 تن</v>
          </cell>
          <cell r="C465" t="str">
            <v>قطعه تعمیری</v>
          </cell>
          <cell r="AF465">
            <v>11</v>
          </cell>
          <cell r="AR465">
            <v>16500000</v>
          </cell>
        </row>
        <row r="466">
          <cell r="B466" t="str">
            <v>قالب توری پگاسوز</v>
          </cell>
          <cell r="C466" t="str">
            <v>قالب تعمیری</v>
          </cell>
          <cell r="H466">
            <v>30303</v>
          </cell>
          <cell r="AF466">
            <v>4.5</v>
          </cell>
          <cell r="AR466">
            <v>6750000</v>
          </cell>
        </row>
        <row r="467">
          <cell r="B467" t="str">
            <v>دریل یزدخواستی کلاچ</v>
          </cell>
          <cell r="C467" t="str">
            <v>قطعه نو</v>
          </cell>
          <cell r="AF467">
            <v>6.5</v>
          </cell>
          <cell r="AR467">
            <v>9750000</v>
          </cell>
        </row>
        <row r="468">
          <cell r="B468" t="str">
            <v>ابزار زنی</v>
          </cell>
          <cell r="C468" t="str">
            <v>قطعه نو</v>
          </cell>
          <cell r="AF468">
            <v>6</v>
          </cell>
          <cell r="AR468">
            <v>4500000</v>
          </cell>
        </row>
        <row r="469">
          <cell r="B469" t="str">
            <v>پرس پخت</v>
          </cell>
          <cell r="C469" t="str">
            <v>قطعه تعمیری</v>
          </cell>
          <cell r="AF469">
            <v>2</v>
          </cell>
          <cell r="AR469">
            <v>1500000</v>
          </cell>
        </row>
        <row r="470">
          <cell r="B470" t="str">
            <v>پرس پخت کلاچ</v>
          </cell>
          <cell r="C470" t="str">
            <v>قطعه تعمیری</v>
          </cell>
          <cell r="AF470">
            <v>1</v>
          </cell>
          <cell r="AR470">
            <v>750000</v>
          </cell>
        </row>
        <row r="471">
          <cell r="B471" t="str">
            <v>پرس پخت کلاچ</v>
          </cell>
          <cell r="C471" t="str">
            <v>قطعه تعمیری</v>
          </cell>
          <cell r="AF471">
            <v>1</v>
          </cell>
          <cell r="AR471">
            <v>750000</v>
          </cell>
        </row>
        <row r="472">
          <cell r="B472" t="str">
            <v>قالب پخت کلاچ پیکان آرژانتینی</v>
          </cell>
          <cell r="C472" t="str">
            <v>قالب تعمیری</v>
          </cell>
          <cell r="H472" t="str">
            <v>04S</v>
          </cell>
          <cell r="AF472">
            <v>1</v>
          </cell>
          <cell r="AR472">
            <v>750000</v>
          </cell>
        </row>
        <row r="473">
          <cell r="B473" t="str">
            <v>Hammer Mill Machine</v>
          </cell>
          <cell r="C473" t="str">
            <v>دستگاه نو</v>
          </cell>
          <cell r="AF473">
            <v>2</v>
          </cell>
          <cell r="AR473">
            <v>1500000</v>
          </cell>
        </row>
        <row r="474">
          <cell r="B474" t="str">
            <v>ساب سمباده ای</v>
          </cell>
          <cell r="C474" t="str">
            <v>قطعه نو</v>
          </cell>
          <cell r="AF474">
            <v>2</v>
          </cell>
          <cell r="AR474">
            <v>1500000</v>
          </cell>
        </row>
        <row r="475">
          <cell r="B475" t="str">
            <v>ساب سمباده ای</v>
          </cell>
          <cell r="C475" t="str">
            <v>قطعه نو</v>
          </cell>
          <cell r="AF475">
            <v>2</v>
          </cell>
          <cell r="AR475">
            <v>1500000</v>
          </cell>
        </row>
        <row r="476">
          <cell r="B476" t="str">
            <v>دریل یزدخواستی کلاچ</v>
          </cell>
          <cell r="C476" t="str">
            <v>قطعه نو</v>
          </cell>
          <cell r="AF476">
            <v>2</v>
          </cell>
          <cell r="AR476">
            <v>1500000</v>
          </cell>
        </row>
        <row r="477">
          <cell r="B477" t="str">
            <v>قالب پخت کلاچ پیکان آرژانتینی</v>
          </cell>
          <cell r="C477" t="str">
            <v>قالب تعمیری</v>
          </cell>
          <cell r="H477" t="str">
            <v>04S</v>
          </cell>
          <cell r="AF477">
            <v>4</v>
          </cell>
          <cell r="AR477">
            <v>3000000</v>
          </cell>
        </row>
        <row r="478">
          <cell r="B478" t="str">
            <v>قالب پخت کلاچ پیکان آرژانتینی</v>
          </cell>
          <cell r="C478" t="str">
            <v>قالب تعمیری</v>
          </cell>
          <cell r="H478" t="str">
            <v>04S</v>
          </cell>
          <cell r="AF478">
            <v>4</v>
          </cell>
          <cell r="AR478">
            <v>3000000</v>
          </cell>
        </row>
        <row r="479">
          <cell r="B479" t="str">
            <v>سری نقطه جوش</v>
          </cell>
          <cell r="C479" t="str">
            <v>قطعه تعمیری</v>
          </cell>
          <cell r="AF479">
            <v>2</v>
          </cell>
          <cell r="AR479">
            <v>1500000</v>
          </cell>
        </row>
        <row r="480">
          <cell r="B480" t="str">
            <v>قالب پخت کلاچ پیکان آرژانتینی</v>
          </cell>
          <cell r="C480" t="str">
            <v>قالب تعمیری</v>
          </cell>
          <cell r="H480" t="str">
            <v>04S</v>
          </cell>
          <cell r="AF480">
            <v>7</v>
          </cell>
          <cell r="AR480">
            <v>5250000</v>
          </cell>
        </row>
        <row r="481">
          <cell r="B481" t="str">
            <v>قالب پخت کلاچ پژو 405</v>
          </cell>
          <cell r="C481" t="str">
            <v>قالب تعمیری</v>
          </cell>
          <cell r="H481" t="str">
            <v>Mc30243-04s</v>
          </cell>
          <cell r="AF481">
            <v>4</v>
          </cell>
          <cell r="AR481">
            <v>3000000</v>
          </cell>
        </row>
        <row r="482">
          <cell r="B482" t="str">
            <v>شمش پراید</v>
          </cell>
          <cell r="C482" t="str">
            <v>قالب نو</v>
          </cell>
          <cell r="AF482">
            <v>2</v>
          </cell>
          <cell r="AR482">
            <v>1500000</v>
          </cell>
        </row>
        <row r="483">
          <cell r="B483" t="str">
            <v>قالب پخت کلاچ پیکان آرژانتینی</v>
          </cell>
          <cell r="C483" t="str">
            <v>قالب تعمیری</v>
          </cell>
          <cell r="H483" t="str">
            <v>04S</v>
          </cell>
          <cell r="AF483">
            <v>1.5</v>
          </cell>
          <cell r="AR483">
            <v>1125000</v>
          </cell>
        </row>
        <row r="484">
          <cell r="B484" t="str">
            <v>قالب پخت کلاچ پیکان آرژانتینی</v>
          </cell>
          <cell r="C484" t="str">
            <v>قالب تعمیری</v>
          </cell>
          <cell r="H484" t="str">
            <v>04S</v>
          </cell>
          <cell r="AF484">
            <v>6.5</v>
          </cell>
          <cell r="AR484">
            <v>4875000</v>
          </cell>
        </row>
        <row r="485">
          <cell r="B485" t="str">
            <v>دستگاه مهر زنی</v>
          </cell>
          <cell r="C485" t="str">
            <v>قطعه تعمیری</v>
          </cell>
          <cell r="AF485">
            <v>4.5</v>
          </cell>
          <cell r="AR485">
            <v>3375000</v>
          </cell>
        </row>
        <row r="486">
          <cell r="B486" t="str">
            <v>قالب پخت کلاچ پژو 405</v>
          </cell>
          <cell r="C486" t="str">
            <v>قالب تعمیری</v>
          </cell>
          <cell r="H486" t="str">
            <v>03s</v>
          </cell>
          <cell r="AF486">
            <v>3</v>
          </cell>
          <cell r="AR486">
            <v>2250000</v>
          </cell>
        </row>
        <row r="487">
          <cell r="B487" t="str">
            <v>پخت کلاچ پراید</v>
          </cell>
          <cell r="C487" t="str">
            <v>قالب تعمیری</v>
          </cell>
          <cell r="H487" t="str">
            <v>08s</v>
          </cell>
          <cell r="AF487">
            <v>2</v>
          </cell>
          <cell r="AR487">
            <v>1500000</v>
          </cell>
        </row>
        <row r="488">
          <cell r="B488" t="str">
            <v>قالب پخت کلاچ پیکان آرژانتینی</v>
          </cell>
          <cell r="C488" t="str">
            <v>قالب تعمیری</v>
          </cell>
          <cell r="H488" t="str">
            <v>04S</v>
          </cell>
          <cell r="AF488">
            <v>2</v>
          </cell>
          <cell r="AR488">
            <v>1500000</v>
          </cell>
        </row>
        <row r="489">
          <cell r="B489" t="str">
            <v>قالب پخت کلاچ پیکان آرژانتینی</v>
          </cell>
          <cell r="C489" t="str">
            <v>قالب تعمیری</v>
          </cell>
          <cell r="H489" t="str">
            <v>04S</v>
          </cell>
          <cell r="AF489">
            <v>2</v>
          </cell>
          <cell r="AR489">
            <v>1500000</v>
          </cell>
        </row>
        <row r="490">
          <cell r="B490" t="str">
            <v>پخت کلاچ پراید</v>
          </cell>
          <cell r="C490" t="str">
            <v>قالب تعمیری</v>
          </cell>
          <cell r="H490" t="str">
            <v>08s</v>
          </cell>
          <cell r="AF490">
            <v>2</v>
          </cell>
          <cell r="AR490">
            <v>1500000</v>
          </cell>
        </row>
        <row r="491">
          <cell r="B491" t="str">
            <v>قالب پخت کلاچ پژو 405</v>
          </cell>
          <cell r="C491" t="str">
            <v>قالب تعمیری</v>
          </cell>
          <cell r="H491" t="str">
            <v>03s</v>
          </cell>
          <cell r="AF491">
            <v>3</v>
          </cell>
          <cell r="AR491">
            <v>2250000</v>
          </cell>
        </row>
        <row r="492">
          <cell r="B492" t="str">
            <v>دستگاه مهر زنی</v>
          </cell>
          <cell r="C492" t="str">
            <v>قطعه تعمیری</v>
          </cell>
          <cell r="AF492">
            <v>2</v>
          </cell>
          <cell r="AR492">
            <v>1500000</v>
          </cell>
        </row>
        <row r="493">
          <cell r="B493" t="str">
            <v>پخت کلاچ پراید</v>
          </cell>
          <cell r="C493" t="str">
            <v>قالب تعمیری</v>
          </cell>
          <cell r="H493" t="str">
            <v>08s</v>
          </cell>
          <cell r="AF493">
            <v>1</v>
          </cell>
          <cell r="AR493">
            <v>750000</v>
          </cell>
        </row>
        <row r="494">
          <cell r="B494" t="str">
            <v>قالب پخت کلاچ پژو 405</v>
          </cell>
          <cell r="C494" t="str">
            <v>قالب تعمیری</v>
          </cell>
          <cell r="H494" t="str">
            <v>03s</v>
          </cell>
          <cell r="AF494">
            <v>3</v>
          </cell>
          <cell r="AR494">
            <v>2250000</v>
          </cell>
        </row>
        <row r="495">
          <cell r="B495" t="str">
            <v>قالب پیلسان</v>
          </cell>
          <cell r="C495" t="str">
            <v>قالب تعمیری</v>
          </cell>
          <cell r="AF495">
            <v>2</v>
          </cell>
          <cell r="AR495">
            <v>1500000</v>
          </cell>
        </row>
        <row r="496">
          <cell r="B496" t="str">
            <v>قالب لودری 70021</v>
          </cell>
          <cell r="C496" t="str">
            <v>قالب تعمیری</v>
          </cell>
          <cell r="AF496">
            <v>1</v>
          </cell>
          <cell r="AR496">
            <v>750000</v>
          </cell>
        </row>
        <row r="497">
          <cell r="B497" t="str">
            <v>قالب پخت کلاچ پیکان آرژانتینی</v>
          </cell>
          <cell r="C497" t="str">
            <v>قالب تعمیری</v>
          </cell>
          <cell r="H497" t="str">
            <v>04S</v>
          </cell>
          <cell r="AF497">
            <v>2</v>
          </cell>
          <cell r="AR497">
            <v>1500000</v>
          </cell>
        </row>
        <row r="498">
          <cell r="B498" t="str">
            <v>قالب پخت کلاچ پژو 405</v>
          </cell>
          <cell r="C498" t="str">
            <v>قالب تعمیری</v>
          </cell>
          <cell r="H498" t="str">
            <v>02s</v>
          </cell>
          <cell r="AF498">
            <v>4</v>
          </cell>
          <cell r="AR498">
            <v>3000000</v>
          </cell>
        </row>
        <row r="499">
          <cell r="B499" t="str">
            <v>پخت کلاچ پراید</v>
          </cell>
          <cell r="C499" t="str">
            <v>قالب تعمیری</v>
          </cell>
          <cell r="H499" t="str">
            <v>01S</v>
          </cell>
          <cell r="AF499">
            <v>4</v>
          </cell>
          <cell r="AR499">
            <v>3000000</v>
          </cell>
        </row>
        <row r="500">
          <cell r="B500" t="str">
            <v>پخت کلاچ پراید</v>
          </cell>
          <cell r="C500" t="str">
            <v>قالب تعمیری</v>
          </cell>
          <cell r="H500" t="str">
            <v>01S</v>
          </cell>
          <cell r="AF500">
            <v>4</v>
          </cell>
          <cell r="AR500">
            <v>3000000</v>
          </cell>
        </row>
        <row r="501">
          <cell r="B501" t="str">
            <v>قالب پخت کلاچ پژو 405</v>
          </cell>
          <cell r="C501" t="str">
            <v>قالب تعمیری</v>
          </cell>
          <cell r="H501" t="str">
            <v>03s</v>
          </cell>
          <cell r="AF501">
            <v>2</v>
          </cell>
          <cell r="AR501">
            <v>1500000</v>
          </cell>
        </row>
        <row r="502">
          <cell r="B502" t="str">
            <v>قالب پیلسان</v>
          </cell>
          <cell r="C502" t="str">
            <v>قالب تعمیری</v>
          </cell>
          <cell r="AF502">
            <v>1</v>
          </cell>
          <cell r="AR502">
            <v>750000</v>
          </cell>
        </row>
        <row r="503">
          <cell r="B503" t="str">
            <v>قالب پخت کلاچ پژو 405</v>
          </cell>
          <cell r="C503" t="str">
            <v>قالب تعمیری</v>
          </cell>
          <cell r="H503" t="str">
            <v>03s</v>
          </cell>
          <cell r="AF503">
            <v>4</v>
          </cell>
          <cell r="AR503">
            <v>3000000</v>
          </cell>
        </row>
        <row r="504">
          <cell r="B504" t="str">
            <v>قالب تیبا خزینه چپ</v>
          </cell>
          <cell r="C504" t="str">
            <v>قالب تعمیری</v>
          </cell>
          <cell r="H504" t="str">
            <v>FC30278-01S</v>
          </cell>
          <cell r="AF504">
            <v>2</v>
          </cell>
          <cell r="AR504">
            <v>1500000</v>
          </cell>
        </row>
        <row r="505">
          <cell r="B505" t="str">
            <v>قالب پخت کلاچ پیکان آرژانتینی</v>
          </cell>
          <cell r="C505" t="str">
            <v>قالب تعمیری</v>
          </cell>
          <cell r="H505" t="str">
            <v>04S</v>
          </cell>
          <cell r="AF505">
            <v>1</v>
          </cell>
          <cell r="AR505">
            <v>750000</v>
          </cell>
        </row>
        <row r="506">
          <cell r="B506" t="str">
            <v>قالب پخت کلاچ پیکان آرژانتینی</v>
          </cell>
          <cell r="C506" t="str">
            <v>قالب تعمیری</v>
          </cell>
          <cell r="H506" t="str">
            <v>04S</v>
          </cell>
          <cell r="AF506">
            <v>1</v>
          </cell>
          <cell r="AR506">
            <v>750000</v>
          </cell>
        </row>
        <row r="507">
          <cell r="B507" t="str">
            <v>کلمپ زنی</v>
          </cell>
          <cell r="C507" t="str">
            <v>قطعه نو</v>
          </cell>
          <cell r="AF507">
            <v>2</v>
          </cell>
          <cell r="AR507">
            <v>1500000</v>
          </cell>
        </row>
        <row r="508">
          <cell r="B508" t="str">
            <v>قالب پخت کلاچ پیکان آرژانتینی</v>
          </cell>
          <cell r="C508" t="str">
            <v>قالب تعمیری</v>
          </cell>
          <cell r="H508" t="str">
            <v>04S</v>
          </cell>
          <cell r="AF508">
            <v>2</v>
          </cell>
          <cell r="AR508">
            <v>1500000</v>
          </cell>
        </row>
        <row r="509">
          <cell r="B509" t="str">
            <v>پخت کلاچ هوو</v>
          </cell>
          <cell r="C509" t="str">
            <v>قالب تعمیری</v>
          </cell>
          <cell r="H509" t="str">
            <v>MC 30292-01S</v>
          </cell>
          <cell r="AF509">
            <v>1</v>
          </cell>
          <cell r="AR509">
            <v>750000</v>
          </cell>
        </row>
        <row r="510">
          <cell r="B510" t="str">
            <v>پخت کلاچ ده تن سوراخدار</v>
          </cell>
          <cell r="C510" t="str">
            <v>قالب تعمیری</v>
          </cell>
          <cell r="H510" t="str">
            <v>MC30298-01S</v>
          </cell>
          <cell r="AF510">
            <v>1</v>
          </cell>
          <cell r="AR510">
            <v>750000</v>
          </cell>
        </row>
        <row r="511">
          <cell r="B511" t="str">
            <v>قطاری باری</v>
          </cell>
          <cell r="C511" t="str">
            <v>قالب تعمیری</v>
          </cell>
          <cell r="H511" t="str">
            <v xml:space="preserve">MT30158- </v>
          </cell>
          <cell r="AF511">
            <v>1</v>
          </cell>
          <cell r="AR511">
            <v>750000</v>
          </cell>
        </row>
        <row r="512">
          <cell r="B512" t="str">
            <v>شمش پراید</v>
          </cell>
          <cell r="C512" t="str">
            <v>قالب نو</v>
          </cell>
          <cell r="AF512">
            <v>6.333333333333333</v>
          </cell>
          <cell r="AR512">
            <v>4750000</v>
          </cell>
        </row>
        <row r="513">
          <cell r="B513" t="str">
            <v>پین عقب پژو 405</v>
          </cell>
          <cell r="C513" t="str">
            <v>قطعه نو</v>
          </cell>
          <cell r="AF513">
            <v>7.5</v>
          </cell>
          <cell r="AR513">
            <v>5625000</v>
          </cell>
        </row>
        <row r="514">
          <cell r="B514" t="str">
            <v>دریل یزدخواستی کلاچ</v>
          </cell>
          <cell r="C514" t="str">
            <v>قطعه نو</v>
          </cell>
          <cell r="AF514">
            <v>11</v>
          </cell>
          <cell r="AR514">
            <v>16500000</v>
          </cell>
        </row>
        <row r="515">
          <cell r="B515" t="str">
            <v>قالب پخت کلاچ پژو 405</v>
          </cell>
          <cell r="C515" t="str">
            <v>قالب تعمیری</v>
          </cell>
          <cell r="H515" t="str">
            <v>03s</v>
          </cell>
          <cell r="AF515">
            <v>4</v>
          </cell>
          <cell r="AR515">
            <v>3000000</v>
          </cell>
        </row>
        <row r="516">
          <cell r="B516" t="str">
            <v>پخت کلاچ پراید</v>
          </cell>
          <cell r="C516" t="str">
            <v>قالب تعمیری</v>
          </cell>
          <cell r="H516" t="str">
            <v>01S</v>
          </cell>
          <cell r="AF516">
            <v>4</v>
          </cell>
          <cell r="AR516">
            <v>3000000</v>
          </cell>
        </row>
        <row r="517">
          <cell r="B517" t="str">
            <v>صفحات 50*50 پخت کلاچ</v>
          </cell>
          <cell r="C517" t="str">
            <v>قالب تعمیری</v>
          </cell>
          <cell r="AF517">
            <v>5.5</v>
          </cell>
          <cell r="AR517">
            <v>4125000</v>
          </cell>
        </row>
        <row r="518">
          <cell r="B518" t="str">
            <v>پخت عقب پژو 405 شمشی پایه کوتاه</v>
          </cell>
          <cell r="C518" t="str">
            <v>قالب نو</v>
          </cell>
          <cell r="AF518">
            <v>5.5</v>
          </cell>
          <cell r="AR518">
            <v>4125000</v>
          </cell>
        </row>
        <row r="519">
          <cell r="B519" t="str">
            <v>پرس پخت کلاچ</v>
          </cell>
          <cell r="C519" t="str">
            <v>قطعه تعمیری</v>
          </cell>
          <cell r="AF519">
            <v>5</v>
          </cell>
          <cell r="AR519">
            <v>3750000</v>
          </cell>
        </row>
        <row r="520">
          <cell r="B520" t="str">
            <v>دستگاه CNC</v>
          </cell>
          <cell r="C520" t="str">
            <v>قطعه نو</v>
          </cell>
          <cell r="AF520">
            <v>2</v>
          </cell>
          <cell r="AR520">
            <v>1500000</v>
          </cell>
        </row>
        <row r="521">
          <cell r="B521" t="str">
            <v>قالب پخت کلاچ پیکان آرژانتینی</v>
          </cell>
          <cell r="C521" t="str">
            <v>قالب تعمیری</v>
          </cell>
          <cell r="H521" t="str">
            <v>04S</v>
          </cell>
          <cell r="AF521">
            <v>2</v>
          </cell>
          <cell r="AR521">
            <v>1500000</v>
          </cell>
        </row>
        <row r="522">
          <cell r="B522" t="str">
            <v>قالب پخت کلاچ پژو 405</v>
          </cell>
          <cell r="C522" t="str">
            <v>قالب تعمیری</v>
          </cell>
          <cell r="H522" t="str">
            <v>03s</v>
          </cell>
          <cell r="AF522">
            <v>4</v>
          </cell>
          <cell r="AR522">
            <v>3000000</v>
          </cell>
        </row>
        <row r="523">
          <cell r="B523" t="str">
            <v>شیم پژو 405</v>
          </cell>
          <cell r="C523" t="str">
            <v>قالب تعمیری</v>
          </cell>
          <cell r="AF523">
            <v>1</v>
          </cell>
          <cell r="AR523">
            <v>750000</v>
          </cell>
        </row>
        <row r="524">
          <cell r="B524" t="str">
            <v>صفحات 50*50 پخت کلاچ</v>
          </cell>
          <cell r="C524" t="str">
            <v>قالب تعمیری</v>
          </cell>
          <cell r="AF524">
            <v>6</v>
          </cell>
          <cell r="AR524">
            <v>4500000</v>
          </cell>
        </row>
        <row r="525">
          <cell r="B525" t="str">
            <v>پخت کلاچ پراید</v>
          </cell>
          <cell r="C525" t="str">
            <v>قالب تعمیری</v>
          </cell>
          <cell r="H525" t="str">
            <v>08s</v>
          </cell>
          <cell r="AF525">
            <v>6.5</v>
          </cell>
          <cell r="AR525">
            <v>4875000</v>
          </cell>
        </row>
        <row r="526">
          <cell r="B526" t="str">
            <v>پخت کلاچ پراید</v>
          </cell>
          <cell r="C526" t="str">
            <v>قالب تعمیری</v>
          </cell>
          <cell r="H526" t="str">
            <v>08s</v>
          </cell>
          <cell r="AF526">
            <v>1.5</v>
          </cell>
          <cell r="AR526">
            <v>1125000</v>
          </cell>
        </row>
        <row r="527">
          <cell r="B527" t="str">
            <v>Hammer Mill Machine</v>
          </cell>
          <cell r="C527" t="str">
            <v>دستگاه نو</v>
          </cell>
          <cell r="AF527">
            <v>1</v>
          </cell>
          <cell r="AR527">
            <v>750000</v>
          </cell>
        </row>
        <row r="528">
          <cell r="B528" t="str">
            <v>قالب پخت کلاچ پژو 405</v>
          </cell>
          <cell r="C528" t="str">
            <v>قالب تعمیری</v>
          </cell>
          <cell r="H528" t="str">
            <v>03s</v>
          </cell>
          <cell r="AF528">
            <v>1</v>
          </cell>
          <cell r="AR528">
            <v>750000</v>
          </cell>
        </row>
        <row r="529">
          <cell r="B529" t="str">
            <v>stop</v>
          </cell>
          <cell r="C529" t="str">
            <v>قطعه نو</v>
          </cell>
          <cell r="AF529">
            <v>2</v>
          </cell>
          <cell r="AR529">
            <v>1500000</v>
          </cell>
        </row>
        <row r="530">
          <cell r="B530" t="str">
            <v>قالب پخت کلاچ پژو 405</v>
          </cell>
          <cell r="C530" t="str">
            <v>قالب تعمیری</v>
          </cell>
          <cell r="H530" t="str">
            <v>03s</v>
          </cell>
          <cell r="AF530">
            <v>4</v>
          </cell>
          <cell r="AR530">
            <v>3000000</v>
          </cell>
        </row>
        <row r="531">
          <cell r="B531" t="str">
            <v>شیم ریو</v>
          </cell>
          <cell r="C531" t="str">
            <v>قالب تعمیری</v>
          </cell>
          <cell r="AF531">
            <v>2</v>
          </cell>
          <cell r="AR531">
            <v>1500000</v>
          </cell>
        </row>
        <row r="532">
          <cell r="B532" t="str">
            <v>قالب پخت کلاچ پژو 405</v>
          </cell>
          <cell r="C532" t="str">
            <v>قالب تعمیری</v>
          </cell>
          <cell r="H532" t="str">
            <v>03s</v>
          </cell>
          <cell r="AF532">
            <v>2</v>
          </cell>
          <cell r="AR532">
            <v>1500000</v>
          </cell>
        </row>
        <row r="533">
          <cell r="B533" t="str">
            <v>دستگاه پرس 600 تن</v>
          </cell>
          <cell r="C533" t="str">
            <v>قطعه تعمیری</v>
          </cell>
          <cell r="AF533">
            <v>10</v>
          </cell>
          <cell r="AR533">
            <v>7500000</v>
          </cell>
        </row>
        <row r="534">
          <cell r="B534" t="str">
            <v>دستگاه پشم فلز</v>
          </cell>
          <cell r="C534" t="str">
            <v>قطعه نو</v>
          </cell>
          <cell r="AF534">
            <v>3</v>
          </cell>
          <cell r="AR534">
            <v>2250000</v>
          </cell>
        </row>
        <row r="535">
          <cell r="B535" t="str">
            <v>نگهدارنده پلاک قالب</v>
          </cell>
          <cell r="C535" t="str">
            <v>قطعه نو</v>
          </cell>
          <cell r="AF535">
            <v>10</v>
          </cell>
          <cell r="AR535">
            <v>7500000</v>
          </cell>
        </row>
        <row r="536">
          <cell r="B536" t="str">
            <v>کوبه نک قطاری</v>
          </cell>
          <cell r="C536" t="str">
            <v>قالب تعمیری</v>
          </cell>
          <cell r="AF536">
            <v>10</v>
          </cell>
          <cell r="AR536">
            <v>7500000</v>
          </cell>
        </row>
        <row r="537">
          <cell r="B537" t="str">
            <v>قلم پژو 405</v>
          </cell>
          <cell r="C537" t="str">
            <v>قطعه تعمیری</v>
          </cell>
          <cell r="AF537">
            <v>5</v>
          </cell>
          <cell r="AR537">
            <v>3750000</v>
          </cell>
        </row>
        <row r="538">
          <cell r="B538" t="str">
            <v>قالب پخت کلاچ پیکان آرژانتینی</v>
          </cell>
          <cell r="C538" t="str">
            <v>قالب تعمیری</v>
          </cell>
          <cell r="H538" t="str">
            <v>04S</v>
          </cell>
          <cell r="AF538">
            <v>2.5</v>
          </cell>
          <cell r="AR538">
            <v>1875000</v>
          </cell>
        </row>
        <row r="539">
          <cell r="B539" t="str">
            <v>قالب پخت کلاچ پژو 405</v>
          </cell>
          <cell r="C539" t="str">
            <v>قالب تعمیری</v>
          </cell>
          <cell r="H539" t="str">
            <v>03s</v>
          </cell>
          <cell r="AF539">
            <v>4</v>
          </cell>
          <cell r="AR539">
            <v>3000000</v>
          </cell>
        </row>
        <row r="540">
          <cell r="B540" t="str">
            <v>پخت کلاچ پراید</v>
          </cell>
          <cell r="C540" t="str">
            <v>قالب تعمیری</v>
          </cell>
          <cell r="H540" t="str">
            <v>08s</v>
          </cell>
          <cell r="AF540">
            <v>4</v>
          </cell>
          <cell r="AR540">
            <v>3000000</v>
          </cell>
        </row>
        <row r="541">
          <cell r="B541" t="str">
            <v>قالب پیلسان</v>
          </cell>
          <cell r="C541" t="str">
            <v>قالب تعمیری</v>
          </cell>
          <cell r="AF541">
            <v>0.5</v>
          </cell>
          <cell r="AR541">
            <v>375000</v>
          </cell>
        </row>
        <row r="542">
          <cell r="B542" t="str">
            <v>پخت کلاچ هوو</v>
          </cell>
          <cell r="C542" t="str">
            <v>قالب تعمیری</v>
          </cell>
          <cell r="H542" t="str">
            <v>MC 30292-01S</v>
          </cell>
          <cell r="AF542">
            <v>2.5</v>
          </cell>
          <cell r="AR542">
            <v>1875000</v>
          </cell>
        </row>
        <row r="543">
          <cell r="B543" t="str">
            <v>پخت کلاچ ده تن سوراخدار</v>
          </cell>
          <cell r="C543" t="str">
            <v>قالب تعمیری</v>
          </cell>
          <cell r="H543" t="str">
            <v>MC 30292-01S</v>
          </cell>
          <cell r="AF543">
            <v>2.5</v>
          </cell>
          <cell r="AR543">
            <v>1875000</v>
          </cell>
        </row>
        <row r="544">
          <cell r="B544" t="str">
            <v>قالب پخت کلاچ پژو 405</v>
          </cell>
          <cell r="C544" t="str">
            <v>قالب تعمیری</v>
          </cell>
          <cell r="H544" t="str">
            <v>03s</v>
          </cell>
          <cell r="AF544">
            <v>1</v>
          </cell>
          <cell r="AR544">
            <v>750000</v>
          </cell>
        </row>
        <row r="545">
          <cell r="B545" t="str">
            <v>قالب پخت کلاچ پژو 405</v>
          </cell>
          <cell r="C545" t="str">
            <v>قالب تعمیری</v>
          </cell>
          <cell r="H545" t="str">
            <v>03s</v>
          </cell>
          <cell r="AF545">
            <v>1</v>
          </cell>
          <cell r="AR545">
            <v>750000</v>
          </cell>
        </row>
        <row r="546">
          <cell r="B546" t="str">
            <v>قالب پخت کلاچ پژو 405</v>
          </cell>
          <cell r="C546" t="str">
            <v>قالب تعمیری</v>
          </cell>
          <cell r="H546" t="str">
            <v>Mc30243-04s</v>
          </cell>
          <cell r="AF546">
            <v>11</v>
          </cell>
          <cell r="AR546">
            <v>16500000</v>
          </cell>
        </row>
        <row r="547">
          <cell r="B547" t="str">
            <v>دریل یزدخواستی کلاچ</v>
          </cell>
          <cell r="C547" t="str">
            <v>قطعه نو</v>
          </cell>
          <cell r="AF547">
            <v>2.5</v>
          </cell>
          <cell r="AR547">
            <v>3750000</v>
          </cell>
        </row>
        <row r="548">
          <cell r="B548" t="str">
            <v>دریل یزدخواستی کلاچ</v>
          </cell>
          <cell r="C548" t="str">
            <v>قطعه نو</v>
          </cell>
          <cell r="AF548">
            <v>4.5</v>
          </cell>
          <cell r="AR548">
            <v>6750000</v>
          </cell>
        </row>
        <row r="549">
          <cell r="B549" t="str">
            <v>قالب پخت کلاچ پژو 405</v>
          </cell>
          <cell r="C549" t="str">
            <v>قالب تعمیری</v>
          </cell>
          <cell r="H549" t="str">
            <v>03s</v>
          </cell>
          <cell r="AF549">
            <v>4.5</v>
          </cell>
          <cell r="AR549">
            <v>6750000</v>
          </cell>
        </row>
        <row r="550">
          <cell r="B550" t="str">
            <v>پین عقب پژو 405</v>
          </cell>
          <cell r="C550" t="str">
            <v>قطعه نو</v>
          </cell>
          <cell r="AF550">
            <v>7.5</v>
          </cell>
          <cell r="AR550">
            <v>5625000</v>
          </cell>
        </row>
        <row r="551">
          <cell r="B551" t="str">
            <v>قالب پخت کلاچ پژو 405</v>
          </cell>
          <cell r="C551" t="str">
            <v>قالب تعمیری</v>
          </cell>
          <cell r="H551" t="str">
            <v>Mc30243-04s</v>
          </cell>
          <cell r="AF551">
            <v>5</v>
          </cell>
          <cell r="AR551">
            <v>3750000</v>
          </cell>
        </row>
        <row r="552">
          <cell r="B552" t="str">
            <v>صفحات 50*50 پخت کلاچ</v>
          </cell>
          <cell r="C552" t="str">
            <v>قالب تعمیری</v>
          </cell>
          <cell r="AF552">
            <v>6</v>
          </cell>
          <cell r="AR552">
            <v>4500000</v>
          </cell>
        </row>
        <row r="553">
          <cell r="B553" t="str">
            <v>دریل یزدخواستی کلاچ</v>
          </cell>
          <cell r="C553" t="str">
            <v>قطعه نو</v>
          </cell>
          <cell r="AF553">
            <v>5</v>
          </cell>
          <cell r="AR553">
            <v>3750000</v>
          </cell>
        </row>
        <row r="554">
          <cell r="B554" t="str">
            <v>قالب پخت کلاچ پژو 405</v>
          </cell>
          <cell r="C554" t="str">
            <v>قالب تعمیری</v>
          </cell>
          <cell r="H554" t="str">
            <v>Mc30243-04s</v>
          </cell>
          <cell r="AF554">
            <v>2</v>
          </cell>
          <cell r="AR554">
            <v>1500000</v>
          </cell>
        </row>
        <row r="555">
          <cell r="B555" t="str">
            <v>دریل یزدخواستی کلاچ</v>
          </cell>
          <cell r="C555" t="str">
            <v>قطعه تعمیری</v>
          </cell>
          <cell r="AF555">
            <v>2</v>
          </cell>
          <cell r="AR555">
            <v>1500000</v>
          </cell>
        </row>
        <row r="556">
          <cell r="B556" t="str">
            <v>قالب پخت کلاچ پژو 405</v>
          </cell>
          <cell r="C556" t="str">
            <v>قالب تعمیری</v>
          </cell>
          <cell r="H556" t="str">
            <v>03s</v>
          </cell>
          <cell r="AF556">
            <v>6.5</v>
          </cell>
          <cell r="AR556">
            <v>9750000</v>
          </cell>
        </row>
        <row r="557">
          <cell r="B557" t="str">
            <v>قالب پخت کلاچ پژو 405</v>
          </cell>
          <cell r="C557" t="str">
            <v>قالب تعمیری</v>
          </cell>
          <cell r="H557" t="str">
            <v>03s</v>
          </cell>
          <cell r="AF557">
            <v>2.5</v>
          </cell>
          <cell r="AR557">
            <v>3750000</v>
          </cell>
        </row>
        <row r="558">
          <cell r="B558" t="str">
            <v>پخت کلاچ پراید</v>
          </cell>
          <cell r="C558" t="str">
            <v>قالب تعمیری</v>
          </cell>
          <cell r="H558" t="str">
            <v>01S</v>
          </cell>
          <cell r="AF558">
            <v>2</v>
          </cell>
          <cell r="AR558">
            <v>3000000</v>
          </cell>
        </row>
        <row r="559">
          <cell r="B559" t="str">
            <v>قالب پخت کلاچ پژو 405</v>
          </cell>
          <cell r="C559" t="str">
            <v>قالب تعمیری</v>
          </cell>
          <cell r="H559" t="str">
            <v>03s</v>
          </cell>
          <cell r="AF559">
            <v>4</v>
          </cell>
          <cell r="AR559">
            <v>3000000</v>
          </cell>
        </row>
        <row r="560">
          <cell r="B560" t="str">
            <v>پخت کلاچ پراید</v>
          </cell>
          <cell r="C560" t="str">
            <v>قالب تعمیری</v>
          </cell>
          <cell r="H560" t="str">
            <v>01S</v>
          </cell>
          <cell r="AF560">
            <v>4</v>
          </cell>
          <cell r="AR560">
            <v>3000000</v>
          </cell>
        </row>
        <row r="561">
          <cell r="B561" t="str">
            <v>پخت کلاچ پراید</v>
          </cell>
          <cell r="C561" t="str">
            <v>قالب تعمیری</v>
          </cell>
          <cell r="H561" t="str">
            <v>01S</v>
          </cell>
          <cell r="AF561">
            <v>3</v>
          </cell>
          <cell r="AR561">
            <v>2250000</v>
          </cell>
        </row>
        <row r="562">
          <cell r="B562" t="str">
            <v>Hammer Mill Machine</v>
          </cell>
          <cell r="C562" t="str">
            <v>دستگاه نو</v>
          </cell>
          <cell r="AF562">
            <v>2</v>
          </cell>
          <cell r="AR562">
            <v>1500000</v>
          </cell>
        </row>
        <row r="563">
          <cell r="B563" t="str">
            <v>قالب پخت کلاچ پیکان آرژانتینی</v>
          </cell>
          <cell r="C563" t="str">
            <v>قالب تعمیری</v>
          </cell>
          <cell r="H563" t="str">
            <v>MC30241-02s</v>
          </cell>
          <cell r="AF563">
            <v>3.5</v>
          </cell>
          <cell r="AR563">
            <v>2625000</v>
          </cell>
        </row>
        <row r="564">
          <cell r="B564" t="str">
            <v>قالب پخت کلاچ پیکان آرژانتینی</v>
          </cell>
          <cell r="C564" t="str">
            <v>قالب تعمیری</v>
          </cell>
          <cell r="H564" t="str">
            <v>04S</v>
          </cell>
          <cell r="AF564">
            <v>3.5</v>
          </cell>
          <cell r="AR564">
            <v>2625000</v>
          </cell>
        </row>
        <row r="565">
          <cell r="B565" t="str">
            <v>پخت کلاچ پراید</v>
          </cell>
          <cell r="C565" t="str">
            <v>قالب تعمیری</v>
          </cell>
          <cell r="H565" t="str">
            <v>MC30246-02s</v>
          </cell>
          <cell r="AF565">
            <v>2</v>
          </cell>
          <cell r="AR565">
            <v>1500000</v>
          </cell>
        </row>
        <row r="566">
          <cell r="B566" t="str">
            <v>پخت کلاچ ده تن سوراخدار</v>
          </cell>
          <cell r="C566" t="str">
            <v>قالب تعمیری</v>
          </cell>
          <cell r="H566" t="str">
            <v>MC 30292-01S</v>
          </cell>
          <cell r="AF566">
            <v>2</v>
          </cell>
          <cell r="AR566">
            <v>1500000</v>
          </cell>
        </row>
        <row r="567">
          <cell r="B567" t="str">
            <v>پخت کلاچ هوو</v>
          </cell>
          <cell r="C567" t="str">
            <v>قالب تعمیری</v>
          </cell>
          <cell r="H567" t="str">
            <v>MC 30292-01S</v>
          </cell>
          <cell r="AF567">
            <v>2</v>
          </cell>
          <cell r="AR567">
            <v>1500000</v>
          </cell>
        </row>
        <row r="568">
          <cell r="B568" t="str">
            <v>قالب پخت کلاچ پژو 405</v>
          </cell>
          <cell r="C568" t="str">
            <v>قالب تعمیری</v>
          </cell>
          <cell r="H568" t="str">
            <v>03s</v>
          </cell>
          <cell r="AF568">
            <v>3</v>
          </cell>
          <cell r="AR568">
            <v>2250000</v>
          </cell>
        </row>
        <row r="569">
          <cell r="B569" t="str">
            <v>پخت کلاچ پراید</v>
          </cell>
          <cell r="C569" t="str">
            <v>قالب تعمیری</v>
          </cell>
          <cell r="H569" t="str">
            <v>MC30246-02s</v>
          </cell>
          <cell r="AF569">
            <v>2</v>
          </cell>
          <cell r="AR569">
            <v>1500000</v>
          </cell>
        </row>
        <row r="570">
          <cell r="B570" t="str">
            <v>پخت کلاچ ده تن سوراخدار</v>
          </cell>
          <cell r="C570" t="str">
            <v>قالب تعمیری</v>
          </cell>
          <cell r="H570" t="str">
            <v>MC 30292-01S</v>
          </cell>
          <cell r="AF570">
            <v>2</v>
          </cell>
          <cell r="AR570">
            <v>1500000</v>
          </cell>
        </row>
        <row r="571">
          <cell r="B571" t="str">
            <v>پخت کلاچ هوو</v>
          </cell>
          <cell r="C571" t="str">
            <v>قالب تعمیری</v>
          </cell>
          <cell r="H571" t="str">
            <v>MC 30292-01S</v>
          </cell>
          <cell r="AF571">
            <v>2</v>
          </cell>
          <cell r="AR571">
            <v>1500000</v>
          </cell>
        </row>
        <row r="572">
          <cell r="B572" t="str">
            <v>قالب پخت کلاچ پژو 405</v>
          </cell>
          <cell r="C572" t="str">
            <v>قالب تعمیری</v>
          </cell>
          <cell r="H572" t="str">
            <v>03s</v>
          </cell>
          <cell r="AF572">
            <v>2</v>
          </cell>
          <cell r="AR572">
            <v>1500000</v>
          </cell>
        </row>
        <row r="573">
          <cell r="B573" t="str">
            <v>پخت کلاچ پراید</v>
          </cell>
          <cell r="C573" t="str">
            <v>قالب تعمیری</v>
          </cell>
          <cell r="H573" t="str">
            <v>MC30246-02s</v>
          </cell>
          <cell r="AF573">
            <v>1</v>
          </cell>
          <cell r="AR573">
            <v>750000</v>
          </cell>
        </row>
        <row r="574">
          <cell r="B574" t="str">
            <v>قالب پخت کلاچ پژو 405</v>
          </cell>
          <cell r="C574" t="str">
            <v>قالب تعمیری</v>
          </cell>
          <cell r="H574" t="str">
            <v>03s</v>
          </cell>
          <cell r="AF574">
            <v>2</v>
          </cell>
          <cell r="AR574">
            <v>1500000</v>
          </cell>
        </row>
        <row r="575">
          <cell r="B575" t="str">
            <v>پخت کلاچ پراید</v>
          </cell>
          <cell r="C575" t="str">
            <v>قالب تعمیری</v>
          </cell>
          <cell r="H575" t="str">
            <v>08s</v>
          </cell>
          <cell r="AF575">
            <v>1</v>
          </cell>
          <cell r="AR575">
            <v>750000</v>
          </cell>
        </row>
        <row r="576">
          <cell r="B576" t="str">
            <v>دستگاه پرس 600 تن</v>
          </cell>
          <cell r="C576" t="str">
            <v>قطعه تعمیری</v>
          </cell>
          <cell r="AF576">
            <v>12</v>
          </cell>
          <cell r="AR576">
            <v>9000000</v>
          </cell>
        </row>
        <row r="577">
          <cell r="B577" t="str">
            <v>قالب پخت کلاچ پژو 405</v>
          </cell>
          <cell r="C577" t="str">
            <v>قالب تعمیری</v>
          </cell>
          <cell r="H577" t="str">
            <v>03s</v>
          </cell>
          <cell r="AF577">
            <v>12</v>
          </cell>
          <cell r="AR577">
            <v>9000000</v>
          </cell>
        </row>
        <row r="578">
          <cell r="B578" t="str">
            <v>پخت کلاچ پراید</v>
          </cell>
          <cell r="C578" t="str">
            <v>قالب تعمیری</v>
          </cell>
          <cell r="H578" t="str">
            <v>08s</v>
          </cell>
          <cell r="AF578">
            <v>12</v>
          </cell>
          <cell r="AR578">
            <v>9000000</v>
          </cell>
        </row>
        <row r="579">
          <cell r="B579" t="str">
            <v>نگهدارنده پلاک قالب</v>
          </cell>
          <cell r="C579" t="str">
            <v>قطعه نو</v>
          </cell>
          <cell r="AF579">
            <v>9</v>
          </cell>
          <cell r="AR579">
            <v>6750000</v>
          </cell>
        </row>
        <row r="580">
          <cell r="B580" t="str">
            <v>قالب پخت کلاچ پژو 405</v>
          </cell>
          <cell r="C580" t="str">
            <v>قالب تعمیری</v>
          </cell>
          <cell r="H580" t="str">
            <v>03s</v>
          </cell>
          <cell r="AF580">
            <v>7</v>
          </cell>
          <cell r="AR580">
            <v>5250000</v>
          </cell>
        </row>
        <row r="581">
          <cell r="B581" t="str">
            <v>شمش پراید</v>
          </cell>
          <cell r="C581" t="str">
            <v>قالب نو</v>
          </cell>
          <cell r="AF581">
            <v>6.5</v>
          </cell>
          <cell r="AR581">
            <v>4875000</v>
          </cell>
        </row>
        <row r="582">
          <cell r="B582" t="str">
            <v>دریل یزدخواستی کلاچ</v>
          </cell>
          <cell r="C582" t="str">
            <v>قطعه نو</v>
          </cell>
          <cell r="AF582">
            <v>6.5</v>
          </cell>
          <cell r="AR582">
            <v>9750000</v>
          </cell>
        </row>
        <row r="583">
          <cell r="B583" t="str">
            <v>قالب پخت کلاچ پژو 405</v>
          </cell>
          <cell r="C583" t="str">
            <v>قالب تعمیری</v>
          </cell>
          <cell r="H583" t="str">
            <v>03s</v>
          </cell>
          <cell r="AF583">
            <v>7.5</v>
          </cell>
          <cell r="AR583">
            <v>11250000</v>
          </cell>
        </row>
        <row r="584">
          <cell r="B584" t="str">
            <v>صفحات 50*50 پخت کلاچ</v>
          </cell>
          <cell r="C584" t="str">
            <v>قالب تعمیری</v>
          </cell>
          <cell r="AF584">
            <v>7.5</v>
          </cell>
          <cell r="AR584">
            <v>5625000</v>
          </cell>
        </row>
        <row r="585">
          <cell r="B585" t="str">
            <v>پین عقب پژو 405</v>
          </cell>
          <cell r="C585" t="str">
            <v>قطعه نو</v>
          </cell>
          <cell r="AF585">
            <v>7.5</v>
          </cell>
          <cell r="AR585">
            <v>5625000</v>
          </cell>
        </row>
        <row r="586">
          <cell r="B586" t="str">
            <v>Hammer Mill Machine</v>
          </cell>
          <cell r="C586" t="str">
            <v>دستگاه نو</v>
          </cell>
          <cell r="AF586">
            <v>2</v>
          </cell>
          <cell r="AR586">
            <v>1500000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H587">
            <v>30091</v>
          </cell>
          <cell r="AF587">
            <v>2.5</v>
          </cell>
          <cell r="AR587">
            <v>1875000</v>
          </cell>
        </row>
        <row r="588">
          <cell r="B588" t="str">
            <v>پخت عقب پژو 405 شمشی پایه کوتاه</v>
          </cell>
          <cell r="C588" t="str">
            <v>قالب نو</v>
          </cell>
          <cell r="H588">
            <v>30091</v>
          </cell>
          <cell r="AF588">
            <v>8.5</v>
          </cell>
          <cell r="AR588">
            <v>6375000</v>
          </cell>
        </row>
        <row r="589">
          <cell r="B589" t="str">
            <v>صفحات 50*50 پخت کلاچ</v>
          </cell>
          <cell r="C589" t="str">
            <v>قالب تعمیری</v>
          </cell>
          <cell r="AF589">
            <v>7.5</v>
          </cell>
          <cell r="AR589">
            <v>5625000</v>
          </cell>
        </row>
        <row r="590">
          <cell r="B590" t="str">
            <v>پخت عقب پژو 405 شمشی پایه کوتاه</v>
          </cell>
          <cell r="C590" t="str">
            <v>قالب نو</v>
          </cell>
          <cell r="H590">
            <v>30091</v>
          </cell>
          <cell r="AF590">
            <v>2</v>
          </cell>
          <cell r="AR590">
            <v>1500000</v>
          </cell>
        </row>
        <row r="591">
          <cell r="B591" t="str">
            <v>ابزار زنی</v>
          </cell>
          <cell r="C591" t="str">
            <v>قطعه تعمیری</v>
          </cell>
          <cell r="AF591">
            <v>1.5</v>
          </cell>
          <cell r="AR591">
            <v>1125000</v>
          </cell>
        </row>
        <row r="592">
          <cell r="B592" t="str">
            <v>ویوینگ</v>
          </cell>
          <cell r="C592" t="str">
            <v>قطعه تعمیری</v>
          </cell>
          <cell r="AF592">
            <v>2</v>
          </cell>
          <cell r="AR592">
            <v>1500000</v>
          </cell>
        </row>
        <row r="593">
          <cell r="B593" t="str">
            <v>اصول 5S</v>
          </cell>
          <cell r="C593" t="str">
            <v>نظافت</v>
          </cell>
          <cell r="AF593">
            <v>1</v>
          </cell>
          <cell r="AR593">
            <v>750000</v>
          </cell>
        </row>
        <row r="594">
          <cell r="B594" t="str">
            <v>پخت کلاچ پراید</v>
          </cell>
          <cell r="C594" t="str">
            <v>قالب تعمیری</v>
          </cell>
          <cell r="H594" t="str">
            <v>MC30246-09S</v>
          </cell>
          <cell r="AF594">
            <v>2</v>
          </cell>
          <cell r="AR594">
            <v>1500000</v>
          </cell>
        </row>
        <row r="595">
          <cell r="B595" t="str">
            <v>قالب پخت کلاچ پیکان</v>
          </cell>
          <cell r="C595" t="str">
            <v>قالب تعمیری</v>
          </cell>
          <cell r="H595" t="str">
            <v>06s</v>
          </cell>
          <cell r="AF595">
            <v>3</v>
          </cell>
          <cell r="AR595">
            <v>2250000</v>
          </cell>
        </row>
        <row r="596">
          <cell r="B596" t="str">
            <v>ابزار زنی</v>
          </cell>
          <cell r="C596" t="str">
            <v>قطعه نو</v>
          </cell>
          <cell r="AF596">
            <v>2</v>
          </cell>
          <cell r="AR596">
            <v>1500000</v>
          </cell>
        </row>
        <row r="597">
          <cell r="B597" t="str">
            <v>اصول 5S</v>
          </cell>
          <cell r="C597" t="str">
            <v>نظافت</v>
          </cell>
          <cell r="AF597">
            <v>0.5</v>
          </cell>
          <cell r="AR597">
            <v>375000</v>
          </cell>
        </row>
        <row r="598">
          <cell r="B598" t="str">
            <v>دریل یزدخواستی کلاچ</v>
          </cell>
          <cell r="C598" t="str">
            <v>قطعه نو</v>
          </cell>
          <cell r="AF598">
            <v>3.5</v>
          </cell>
          <cell r="AR598">
            <v>2625000</v>
          </cell>
        </row>
        <row r="599">
          <cell r="B599" t="str">
            <v>دریل یزدخواستی کلاچ</v>
          </cell>
          <cell r="C599" t="str">
            <v>قطعه نو</v>
          </cell>
          <cell r="AF599">
            <v>3</v>
          </cell>
          <cell r="AR599">
            <v>2250000</v>
          </cell>
        </row>
        <row r="600">
          <cell r="B600" t="str">
            <v>اصول 5S</v>
          </cell>
          <cell r="C600" t="str">
            <v>نظافت</v>
          </cell>
          <cell r="AF600">
            <v>0.5</v>
          </cell>
          <cell r="AR600">
            <v>375000</v>
          </cell>
        </row>
        <row r="601">
          <cell r="B601" t="str">
            <v>دستگاه سنگ مغناطیسی</v>
          </cell>
          <cell r="C601" t="str">
            <v>دستگاه تعمیری</v>
          </cell>
          <cell r="AF601">
            <v>2</v>
          </cell>
          <cell r="AR601">
            <v>1500000</v>
          </cell>
        </row>
        <row r="602">
          <cell r="B602" t="str">
            <v>دریل یزدخواستی کلاچ</v>
          </cell>
          <cell r="C602" t="str">
            <v>قطعه نو</v>
          </cell>
          <cell r="AF602">
            <v>4</v>
          </cell>
          <cell r="AR602">
            <v>3000000</v>
          </cell>
        </row>
        <row r="603">
          <cell r="B603" t="str">
            <v>پخت عقب پژو 405 شمشی پایه کوتاه</v>
          </cell>
          <cell r="C603" t="str">
            <v>قالب نو</v>
          </cell>
          <cell r="H603">
            <v>30091</v>
          </cell>
          <cell r="AF603">
            <v>4</v>
          </cell>
          <cell r="AR603">
            <v>3000000</v>
          </cell>
        </row>
        <row r="604">
          <cell r="B604" t="str">
            <v>قالب پخت کلاچ پیکان</v>
          </cell>
          <cell r="C604" t="str">
            <v>قالب تعمیری</v>
          </cell>
          <cell r="H604" t="str">
            <v>06s</v>
          </cell>
          <cell r="AF604">
            <v>3</v>
          </cell>
          <cell r="AR604">
            <v>2250000</v>
          </cell>
        </row>
        <row r="605">
          <cell r="B605" t="str">
            <v>اصول 5S</v>
          </cell>
          <cell r="C605" t="str">
            <v>نظافت</v>
          </cell>
          <cell r="AF605">
            <v>0.5</v>
          </cell>
          <cell r="AR605">
            <v>375000</v>
          </cell>
        </row>
        <row r="606">
          <cell r="B606" t="str">
            <v>دستگاه پرس 600 تن</v>
          </cell>
          <cell r="C606" t="str">
            <v>قطعه تعمیری</v>
          </cell>
          <cell r="AF606">
            <v>1</v>
          </cell>
          <cell r="AR606">
            <v>750000</v>
          </cell>
        </row>
        <row r="607">
          <cell r="B607" t="str">
            <v>قالب پخت کلاچ پژو 405</v>
          </cell>
          <cell r="C607" t="str">
            <v>قالب تعمیری</v>
          </cell>
          <cell r="H607" t="str">
            <v>03s</v>
          </cell>
          <cell r="AF607">
            <v>1</v>
          </cell>
          <cell r="AR607">
            <v>750000</v>
          </cell>
        </row>
        <row r="608">
          <cell r="B608" t="str">
            <v>دستگاه پرس 600 تن</v>
          </cell>
          <cell r="C608" t="str">
            <v>قطعه تعمیری</v>
          </cell>
          <cell r="AF608">
            <v>1</v>
          </cell>
          <cell r="AR608">
            <v>750000</v>
          </cell>
        </row>
        <row r="609">
          <cell r="B609" t="str">
            <v>پخت کلاچ پراید</v>
          </cell>
          <cell r="C609" t="str">
            <v>قالب تعمیری</v>
          </cell>
          <cell r="H609" t="str">
            <v>08s</v>
          </cell>
          <cell r="AF609">
            <v>3.5</v>
          </cell>
          <cell r="AR609">
            <v>2625000</v>
          </cell>
        </row>
        <row r="610">
          <cell r="B610" t="str">
            <v>تیغ فرز</v>
          </cell>
          <cell r="C610" t="str">
            <v>قطعه تعمیری</v>
          </cell>
          <cell r="AF610">
            <v>4</v>
          </cell>
          <cell r="AR610">
            <v>3000000</v>
          </cell>
        </row>
        <row r="611">
          <cell r="B611" t="str">
            <v>دریل یزدخواستی کلاچ</v>
          </cell>
          <cell r="C611" t="str">
            <v>قطعه نو</v>
          </cell>
          <cell r="AF611">
            <v>4</v>
          </cell>
          <cell r="AR611">
            <v>3000000</v>
          </cell>
        </row>
        <row r="612">
          <cell r="B612" t="str">
            <v>پخت کلاچ پراید</v>
          </cell>
          <cell r="C612" t="str">
            <v>قالب تعمیری</v>
          </cell>
          <cell r="H612" t="str">
            <v>08s</v>
          </cell>
          <cell r="AF612">
            <v>4</v>
          </cell>
          <cell r="AR612">
            <v>3000000</v>
          </cell>
        </row>
        <row r="613">
          <cell r="B613" t="str">
            <v>قالب پخت کلاچ پژو 405</v>
          </cell>
          <cell r="C613" t="str">
            <v>قالب تعمیری</v>
          </cell>
          <cell r="H613" t="str">
            <v>03s</v>
          </cell>
          <cell r="AF613">
            <v>5</v>
          </cell>
          <cell r="AR613">
            <v>3750000</v>
          </cell>
        </row>
        <row r="614">
          <cell r="B614" t="str">
            <v>دریل یزدخواستی کلاچ</v>
          </cell>
          <cell r="C614" t="str">
            <v>قطعه نو</v>
          </cell>
          <cell r="AF614">
            <v>4</v>
          </cell>
          <cell r="AR614">
            <v>3000000</v>
          </cell>
        </row>
        <row r="615">
          <cell r="B615" t="str">
            <v>کوبه نک قطاری</v>
          </cell>
          <cell r="C615" t="str">
            <v>قالب تعمیری</v>
          </cell>
          <cell r="AF615">
            <v>3</v>
          </cell>
          <cell r="AR615">
            <v>2250000</v>
          </cell>
        </row>
        <row r="616">
          <cell r="B616" t="str">
            <v>نگهدارنده پلاک قالب</v>
          </cell>
          <cell r="C616" t="str">
            <v>قطعه نو</v>
          </cell>
          <cell r="AF616">
            <v>8</v>
          </cell>
          <cell r="AR616">
            <v>6000000</v>
          </cell>
        </row>
        <row r="617">
          <cell r="B617" t="str">
            <v>پخت کلاچ پراید</v>
          </cell>
          <cell r="C617" t="str">
            <v>قالب تعمیری</v>
          </cell>
          <cell r="H617" t="str">
            <v>01S</v>
          </cell>
          <cell r="AF617">
            <v>7.5</v>
          </cell>
          <cell r="AR617">
            <v>11250000</v>
          </cell>
        </row>
        <row r="618">
          <cell r="B618" t="str">
            <v>دستگاه پرس پخت</v>
          </cell>
          <cell r="C618" t="str">
            <v>قطعه تعمیری</v>
          </cell>
          <cell r="AF618">
            <v>5.75</v>
          </cell>
          <cell r="AR618">
            <v>4312500</v>
          </cell>
        </row>
        <row r="619">
          <cell r="B619" t="str">
            <v>دستگاه پشم فلز چینی</v>
          </cell>
          <cell r="C619" t="str">
            <v>قطعه نو</v>
          </cell>
          <cell r="AF619">
            <v>5.75</v>
          </cell>
          <cell r="AR619">
            <v>4312500</v>
          </cell>
        </row>
        <row r="620">
          <cell r="B620" t="str">
            <v>قالب پخت کلاچ پژو 405</v>
          </cell>
          <cell r="C620" t="str">
            <v>قالب تعمیری</v>
          </cell>
          <cell r="H620" t="str">
            <v>10S</v>
          </cell>
          <cell r="AF620">
            <v>5.5</v>
          </cell>
          <cell r="AR620">
            <v>8250000</v>
          </cell>
        </row>
        <row r="621">
          <cell r="B621" t="str">
            <v>پخت کلاچ پراید</v>
          </cell>
          <cell r="C621" t="str">
            <v>قالب تعمیری</v>
          </cell>
          <cell r="H621" t="str">
            <v>01S</v>
          </cell>
          <cell r="AF621">
            <v>5.5</v>
          </cell>
          <cell r="AR621">
            <v>8250000</v>
          </cell>
        </row>
        <row r="622">
          <cell r="B622" t="str">
            <v>قالب پخت کلاچ پژو 405</v>
          </cell>
          <cell r="C622" t="str">
            <v>قالب تعمیری</v>
          </cell>
          <cell r="H622" t="str">
            <v>03s</v>
          </cell>
          <cell r="AF622">
            <v>11</v>
          </cell>
          <cell r="AR622">
            <v>16500000</v>
          </cell>
        </row>
        <row r="623">
          <cell r="B623" t="str">
            <v>دریل یزدخواستی کلاچ</v>
          </cell>
          <cell r="C623" t="str">
            <v>قطعه نو</v>
          </cell>
          <cell r="AF623">
            <v>11</v>
          </cell>
          <cell r="AR623">
            <v>16500000</v>
          </cell>
        </row>
        <row r="624">
          <cell r="B624" t="str">
            <v>دستگاه پشم فلز چینی</v>
          </cell>
          <cell r="C624" t="str">
            <v>قطعه نو</v>
          </cell>
          <cell r="AF624">
            <v>4.333333333333333</v>
          </cell>
          <cell r="AR624">
            <v>3250000</v>
          </cell>
        </row>
        <row r="625">
          <cell r="B625" t="str">
            <v>دستگاه پشم فلز چینی</v>
          </cell>
          <cell r="C625" t="str">
            <v>قطعه نو</v>
          </cell>
          <cell r="AF625">
            <v>1.5</v>
          </cell>
          <cell r="AR625">
            <v>1125000</v>
          </cell>
        </row>
        <row r="626">
          <cell r="B626" t="str">
            <v>صفحات 50*50 پخت کلاچ</v>
          </cell>
          <cell r="C626" t="str">
            <v>قالب تعمیری</v>
          </cell>
          <cell r="AF626">
            <v>11</v>
          </cell>
          <cell r="AR626">
            <v>8250000</v>
          </cell>
        </row>
        <row r="627">
          <cell r="B627" t="str">
            <v>پین عقب پژو 405</v>
          </cell>
          <cell r="C627" t="str">
            <v>قطعه نو</v>
          </cell>
          <cell r="AF627">
            <v>7.5</v>
          </cell>
          <cell r="AR627">
            <v>5625000</v>
          </cell>
        </row>
        <row r="628">
          <cell r="B628" t="str">
            <v>دستگاه پشم فلز چینی</v>
          </cell>
          <cell r="C628" t="str">
            <v>قطعه نو</v>
          </cell>
          <cell r="AF628">
            <v>3</v>
          </cell>
          <cell r="AR628">
            <v>2250000</v>
          </cell>
        </row>
        <row r="629">
          <cell r="B629" t="str">
            <v>دریل یزدخواستی کلاچ</v>
          </cell>
          <cell r="C629" t="str">
            <v>قطعه نو</v>
          </cell>
          <cell r="AF629">
            <v>8</v>
          </cell>
          <cell r="AR629">
            <v>6000000</v>
          </cell>
        </row>
        <row r="630">
          <cell r="B630" t="str">
            <v>آغشته کاری</v>
          </cell>
          <cell r="C630" t="str">
            <v>قطعه تعمیری</v>
          </cell>
          <cell r="AF630">
            <v>3</v>
          </cell>
          <cell r="AR630">
            <v>2250000</v>
          </cell>
        </row>
        <row r="631">
          <cell r="B631" t="str">
            <v>صفحه 45*45</v>
          </cell>
          <cell r="C631" t="str">
            <v>قالب نو</v>
          </cell>
          <cell r="AF631">
            <v>11</v>
          </cell>
          <cell r="AR631">
            <v>8250000</v>
          </cell>
        </row>
        <row r="632">
          <cell r="B632" t="str">
            <v>دستگاه پشم فلز چینی</v>
          </cell>
          <cell r="C632" t="str">
            <v>قطعه نو</v>
          </cell>
          <cell r="AF632">
            <v>2</v>
          </cell>
          <cell r="AR632">
            <v>1500000</v>
          </cell>
        </row>
        <row r="633">
          <cell r="B633" t="str">
            <v>دستگاه سنگ مغناطیسی</v>
          </cell>
          <cell r="C633" t="str">
            <v>دستگاه تعمیری</v>
          </cell>
          <cell r="AF633">
            <v>2</v>
          </cell>
          <cell r="AR633">
            <v>1500000</v>
          </cell>
        </row>
        <row r="634">
          <cell r="B634" t="str">
            <v>سری نقطه جوش</v>
          </cell>
          <cell r="C634" t="str">
            <v>قطعه تعمیری</v>
          </cell>
          <cell r="AF634">
            <v>1</v>
          </cell>
          <cell r="AR634">
            <v>750000</v>
          </cell>
        </row>
        <row r="635">
          <cell r="B635" t="str">
            <v>قالب پخت کلاچ پیکان</v>
          </cell>
          <cell r="C635" t="str">
            <v>قالب تعمیری</v>
          </cell>
          <cell r="H635" t="str">
            <v>06s</v>
          </cell>
          <cell r="AF635">
            <v>4</v>
          </cell>
          <cell r="AR635">
            <v>3000000</v>
          </cell>
        </row>
        <row r="636">
          <cell r="B636" t="str">
            <v>نگهدارنده پلاک قالب</v>
          </cell>
          <cell r="C636" t="str">
            <v>قطعه نو</v>
          </cell>
          <cell r="AF636">
            <v>12</v>
          </cell>
          <cell r="AR636">
            <v>9000000</v>
          </cell>
        </row>
        <row r="637">
          <cell r="B637" t="str">
            <v>کوبه نک قطاری</v>
          </cell>
          <cell r="C637" t="str">
            <v>قالب تعمیری</v>
          </cell>
          <cell r="AF637">
            <v>10</v>
          </cell>
          <cell r="AR637">
            <v>7500000</v>
          </cell>
        </row>
        <row r="638">
          <cell r="B638" t="str">
            <v>Hammer Mill Machine</v>
          </cell>
          <cell r="C638" t="str">
            <v>دستگاه نو</v>
          </cell>
          <cell r="AF638">
            <v>7</v>
          </cell>
          <cell r="AR638">
            <v>5250000</v>
          </cell>
        </row>
        <row r="639">
          <cell r="B639" t="str">
            <v>پخت کلاچ ایویکو سوراخدار</v>
          </cell>
          <cell r="C639" t="str">
            <v>قالب تعمیری</v>
          </cell>
          <cell r="H639" t="str">
            <v>FC30249-01S</v>
          </cell>
          <cell r="AF639">
            <v>3</v>
          </cell>
          <cell r="AR639">
            <v>2250000</v>
          </cell>
        </row>
        <row r="640">
          <cell r="B640" t="str">
            <v>دستگاه پشم فلز چینی</v>
          </cell>
          <cell r="C640" t="str">
            <v>قطعه تعمیری</v>
          </cell>
          <cell r="AF640">
            <v>5</v>
          </cell>
          <cell r="AR640">
            <v>3750000</v>
          </cell>
        </row>
        <row r="641">
          <cell r="B641" t="str">
            <v>دستگاه پشم فلز چینی</v>
          </cell>
          <cell r="C641" t="str">
            <v>قطعه تعمیری</v>
          </cell>
          <cell r="AF641">
            <v>2</v>
          </cell>
          <cell r="AR641">
            <v>1500000</v>
          </cell>
        </row>
        <row r="642">
          <cell r="B642" t="str">
            <v>دستگاه مهر زنی</v>
          </cell>
          <cell r="C642" t="str">
            <v>قطعه تعمیری</v>
          </cell>
          <cell r="AF642">
            <v>3</v>
          </cell>
          <cell r="AR642">
            <v>2250000</v>
          </cell>
        </row>
        <row r="643">
          <cell r="B643" t="str">
            <v>Hammer Mill Machine</v>
          </cell>
          <cell r="C643" t="str">
            <v>دستگاه نو</v>
          </cell>
          <cell r="AF643">
            <v>4</v>
          </cell>
          <cell r="AR643">
            <v>3000000</v>
          </cell>
        </row>
        <row r="644">
          <cell r="B644" t="str">
            <v>دستگاه پرس 600 تن</v>
          </cell>
          <cell r="C644" t="str">
            <v>قطعه تعمیری</v>
          </cell>
          <cell r="AF644">
            <v>4</v>
          </cell>
          <cell r="AR644">
            <v>3000000</v>
          </cell>
        </row>
        <row r="645">
          <cell r="B645" t="str">
            <v>پخت کلاچ پراید</v>
          </cell>
          <cell r="C645" t="str">
            <v>قالب تعمیری</v>
          </cell>
          <cell r="H645" t="str">
            <v>MC30246-02s</v>
          </cell>
          <cell r="AF645">
            <v>3</v>
          </cell>
          <cell r="AR645">
            <v>2250000</v>
          </cell>
        </row>
        <row r="646">
          <cell r="B646" t="str">
            <v>Hammer Mill Machine</v>
          </cell>
          <cell r="C646" t="str">
            <v>دستگاه نو</v>
          </cell>
          <cell r="AF646">
            <v>1.5</v>
          </cell>
          <cell r="AR646">
            <v>1125000</v>
          </cell>
        </row>
        <row r="647">
          <cell r="B647" t="str">
            <v>دستگاه سنگ مغناطیسی</v>
          </cell>
          <cell r="C647" t="str">
            <v>دستگاه تعمیری</v>
          </cell>
          <cell r="AF647">
            <v>1</v>
          </cell>
          <cell r="AR647">
            <v>750000</v>
          </cell>
        </row>
        <row r="648">
          <cell r="B648" t="str">
            <v>پخت کلاچ ایویکو سوراخدار</v>
          </cell>
          <cell r="C648" t="str">
            <v>قالب تعمیری</v>
          </cell>
          <cell r="H648" t="str">
            <v>FC30249-01S</v>
          </cell>
          <cell r="AF648">
            <v>1</v>
          </cell>
          <cell r="AR648">
            <v>750000</v>
          </cell>
        </row>
        <row r="649">
          <cell r="B649" t="str">
            <v>دستگاه پرس</v>
          </cell>
          <cell r="C649" t="str">
            <v>قطعه تعمیری</v>
          </cell>
          <cell r="AF649">
            <v>1</v>
          </cell>
          <cell r="AR649">
            <v>750000</v>
          </cell>
        </row>
        <row r="650">
          <cell r="B650" t="str">
            <v>پخت کلاچ ایویکو سوراخدار</v>
          </cell>
          <cell r="C650" t="str">
            <v>قالب تعمیری</v>
          </cell>
          <cell r="H650" t="str">
            <v>FC30249-01S</v>
          </cell>
          <cell r="AF650">
            <v>1</v>
          </cell>
          <cell r="AR650">
            <v>750000</v>
          </cell>
        </row>
        <row r="651">
          <cell r="B651" t="str">
            <v>قالب پخت کلاچ پیکان</v>
          </cell>
          <cell r="C651" t="str">
            <v>قالب تعمیری</v>
          </cell>
          <cell r="H651" t="str">
            <v>06s</v>
          </cell>
          <cell r="AF651">
            <v>1</v>
          </cell>
        </row>
        <row r="652">
          <cell r="B652" t="str">
            <v>قالب پخت کلاچ پژو 405</v>
          </cell>
          <cell r="C652" t="str">
            <v>قالب تعمیری</v>
          </cell>
          <cell r="H652" t="str">
            <v>Mc30243-04s</v>
          </cell>
          <cell r="AF652">
            <v>3</v>
          </cell>
        </row>
        <row r="653">
          <cell r="B653" t="str">
            <v>دستگاه پرس 600 تن</v>
          </cell>
          <cell r="C653" t="str">
            <v>قطعه تعمیری</v>
          </cell>
          <cell r="AF653">
            <v>4</v>
          </cell>
        </row>
        <row r="654">
          <cell r="B654" t="str">
            <v>برش جمعی عقب ریو</v>
          </cell>
          <cell r="C654" t="str">
            <v>قطعه نو</v>
          </cell>
          <cell r="AF654">
            <v>5</v>
          </cell>
        </row>
        <row r="655">
          <cell r="B655" t="str">
            <v>صفحات 50*50 پخت کلاچ</v>
          </cell>
          <cell r="C655" t="str">
            <v>قالب تعمیری</v>
          </cell>
          <cell r="AF655">
            <v>9</v>
          </cell>
        </row>
        <row r="656">
          <cell r="B656" t="str">
            <v>قالب پخت کلاچ پیکان آرژانتینی</v>
          </cell>
          <cell r="C656" t="str">
            <v>قالب تعمیری</v>
          </cell>
          <cell r="H656" t="str">
            <v>04S</v>
          </cell>
          <cell r="AF656">
            <v>2</v>
          </cell>
        </row>
        <row r="657">
          <cell r="B657" t="str">
            <v>صفحه 45*45</v>
          </cell>
          <cell r="C657" t="str">
            <v>قالب نو</v>
          </cell>
          <cell r="AF657">
            <v>5.5</v>
          </cell>
        </row>
        <row r="658">
          <cell r="B658" t="str">
            <v>صفحه 25*30*50</v>
          </cell>
          <cell r="C658" t="str">
            <v>قالب نو</v>
          </cell>
          <cell r="AF658">
            <v>5.5</v>
          </cell>
        </row>
        <row r="659">
          <cell r="B659" t="str">
            <v>دستگاه پشم فلز چینی</v>
          </cell>
          <cell r="C659" t="str">
            <v>قطعه نو</v>
          </cell>
          <cell r="AF659">
            <v>11</v>
          </cell>
        </row>
        <row r="660">
          <cell r="B660" t="str">
            <v>پخت کلاچ پراید</v>
          </cell>
          <cell r="C660" t="str">
            <v>قالب تعمیری</v>
          </cell>
          <cell r="H660" t="str">
            <v>01S</v>
          </cell>
          <cell r="AF660">
            <v>11</v>
          </cell>
        </row>
        <row r="661">
          <cell r="B661" t="str">
            <v>دریل یزدخواستی کلاچ</v>
          </cell>
          <cell r="C661" t="str">
            <v>قطعه نو</v>
          </cell>
          <cell r="AF661">
            <v>8</v>
          </cell>
        </row>
        <row r="662">
          <cell r="B662" t="str">
            <v>دریل یزدخواستی کلاچ</v>
          </cell>
          <cell r="C662" t="str">
            <v>قطعه نو</v>
          </cell>
          <cell r="AF662">
            <v>3</v>
          </cell>
        </row>
        <row r="663">
          <cell r="B663" t="str">
            <v>دریل یزدخواستی کلاچ</v>
          </cell>
          <cell r="C663" t="str">
            <v>قطعه نو</v>
          </cell>
          <cell r="AF663">
            <v>7.5</v>
          </cell>
        </row>
        <row r="664">
          <cell r="B664" t="str">
            <v>دستگاه ساب الماسه</v>
          </cell>
          <cell r="C664" t="str">
            <v>قطعه تعمیری</v>
          </cell>
          <cell r="AF664">
            <v>1.5</v>
          </cell>
        </row>
        <row r="665">
          <cell r="B665" t="str">
            <v>دستگاه ساب الماسه</v>
          </cell>
          <cell r="C665" t="str">
            <v>قطعه تعمیری</v>
          </cell>
          <cell r="AF665">
            <v>2</v>
          </cell>
        </row>
        <row r="666">
          <cell r="B666" t="str">
            <v>نگهدارنده پلاک قالب</v>
          </cell>
          <cell r="C666" t="str">
            <v>قطعه نو</v>
          </cell>
          <cell r="AF666">
            <v>12</v>
          </cell>
        </row>
        <row r="667">
          <cell r="B667" t="str">
            <v>دستگاه پشم فلز چینی</v>
          </cell>
          <cell r="C667" t="str">
            <v>قطعه نو</v>
          </cell>
          <cell r="AF667">
            <v>5</v>
          </cell>
        </row>
        <row r="668">
          <cell r="B668" t="str">
            <v>Hammer Mill Machine</v>
          </cell>
          <cell r="C668" t="str">
            <v>دستگاه نو</v>
          </cell>
          <cell r="AF668">
            <v>4</v>
          </cell>
        </row>
        <row r="669">
          <cell r="B669" t="str">
            <v>دستگاه پشم فلز چینی</v>
          </cell>
          <cell r="C669" t="str">
            <v>قطعه نو</v>
          </cell>
          <cell r="AF669">
            <v>3</v>
          </cell>
        </row>
        <row r="670">
          <cell r="B670" t="str">
            <v>دستگاه پشم فلز چینی</v>
          </cell>
          <cell r="C670" t="str">
            <v>قطعه تعمیری</v>
          </cell>
          <cell r="AF670">
            <v>2</v>
          </cell>
        </row>
        <row r="671">
          <cell r="B671" t="str">
            <v>قالب پخت کلاچ پیکان</v>
          </cell>
          <cell r="C671" t="str">
            <v>قالب تعمیری</v>
          </cell>
          <cell r="H671" t="str">
            <v>06s</v>
          </cell>
          <cell r="AF671">
            <v>3</v>
          </cell>
        </row>
        <row r="672">
          <cell r="B672" t="str">
            <v>قالب پخت کلاچ پژو 405</v>
          </cell>
          <cell r="C672" t="str">
            <v>قالب تعمیری</v>
          </cell>
          <cell r="H672" t="str">
            <v>Mc30243-04s</v>
          </cell>
          <cell r="AF672">
            <v>3</v>
          </cell>
        </row>
        <row r="673">
          <cell r="B673" t="str">
            <v>دستگاه پرس 600 تن</v>
          </cell>
          <cell r="C673" t="str">
            <v>قطعه تعمیری</v>
          </cell>
          <cell r="AF673">
            <v>3</v>
          </cell>
        </row>
        <row r="674">
          <cell r="B674" t="str">
            <v>قالب پخت کلاچ پیکان</v>
          </cell>
          <cell r="C674" t="str">
            <v>قالب تعمیری</v>
          </cell>
          <cell r="H674" t="str">
            <v>06s</v>
          </cell>
          <cell r="AF674">
            <v>3</v>
          </cell>
        </row>
        <row r="675">
          <cell r="B675" t="str">
            <v>پخت کلاچ ایویکو سوراخدار</v>
          </cell>
          <cell r="C675" t="str">
            <v>قالب تعمیری</v>
          </cell>
          <cell r="H675" t="str">
            <v>FC30249-01S</v>
          </cell>
          <cell r="AF675">
            <v>3</v>
          </cell>
        </row>
        <row r="676">
          <cell r="B676" t="str">
            <v>دستگاه پشم فلز چینی</v>
          </cell>
          <cell r="C676" t="str">
            <v>قطعه تعمیری</v>
          </cell>
          <cell r="AF676">
            <v>5</v>
          </cell>
        </row>
        <row r="677">
          <cell r="B677" t="str">
            <v>قالب پخت کلاچ پژو 405</v>
          </cell>
          <cell r="C677" t="str">
            <v>قالب تعمیری</v>
          </cell>
          <cell r="H677" t="str">
            <v>03s</v>
          </cell>
          <cell r="AF677">
            <v>5.5</v>
          </cell>
        </row>
        <row r="678">
          <cell r="B678" t="str">
            <v>قالب پخت کلاچ پژو 405</v>
          </cell>
          <cell r="C678" t="str">
            <v>قالب تعمیری</v>
          </cell>
          <cell r="H678" t="str">
            <v>03s</v>
          </cell>
          <cell r="AF678">
            <v>5.5</v>
          </cell>
        </row>
      </sheetData>
      <sheetData sheetId="3">
        <row r="4">
          <cell r="B4" t="str">
            <v>نگهدارنده پلاک قالب</v>
          </cell>
          <cell r="C4" t="str">
            <v>قطعه نو</v>
          </cell>
          <cell r="AF4">
            <v>10</v>
          </cell>
          <cell r="AR4">
            <v>7500000</v>
          </cell>
        </row>
        <row r="5">
          <cell r="B5" t="str">
            <v>برش جمعی عقب ریو</v>
          </cell>
          <cell r="C5" t="str">
            <v>قطعه نو</v>
          </cell>
          <cell r="AF5">
            <v>1</v>
          </cell>
          <cell r="AR5">
            <v>750000</v>
          </cell>
        </row>
        <row r="6">
          <cell r="B6" t="str">
            <v>دستگاه پشم فلز چینی</v>
          </cell>
          <cell r="C6" t="str">
            <v>قطعه تعمیری</v>
          </cell>
          <cell r="AF6">
            <v>5.5</v>
          </cell>
          <cell r="AR6">
            <v>4125000</v>
          </cell>
        </row>
        <row r="7">
          <cell r="B7" t="str">
            <v>دستگاه پشم فلز چینی</v>
          </cell>
          <cell r="C7" t="str">
            <v>قطعه تعمیری</v>
          </cell>
          <cell r="AF7">
            <v>5.5</v>
          </cell>
          <cell r="AR7">
            <v>4125000</v>
          </cell>
        </row>
        <row r="8">
          <cell r="B8" t="str">
            <v>دریل یزدخواستی کلاچ</v>
          </cell>
          <cell r="C8" t="str">
            <v>قطعه نو</v>
          </cell>
          <cell r="AF8">
            <v>10.333333333333334</v>
          </cell>
          <cell r="AR8">
            <v>15500000</v>
          </cell>
        </row>
        <row r="9">
          <cell r="B9" t="str">
            <v>صفحات 50*50 پخت کلاچ</v>
          </cell>
          <cell r="C9" t="str">
            <v>قالب تعمیری</v>
          </cell>
          <cell r="AF9">
            <v>11</v>
          </cell>
          <cell r="AR9">
            <v>8250000</v>
          </cell>
        </row>
        <row r="10">
          <cell r="B10" t="str">
            <v>دستگاه چسب زنی</v>
          </cell>
          <cell r="C10" t="str">
            <v>قطعه تعمیری</v>
          </cell>
          <cell r="AF10">
            <v>2</v>
          </cell>
          <cell r="AR10">
            <v>1500000</v>
          </cell>
        </row>
        <row r="11">
          <cell r="B11" t="str">
            <v>Hammer Mill Machine</v>
          </cell>
          <cell r="C11" t="str">
            <v>دستگاه نو</v>
          </cell>
          <cell r="AF11">
            <v>3</v>
          </cell>
          <cell r="AR11">
            <v>2250000</v>
          </cell>
        </row>
        <row r="12">
          <cell r="B12" t="str">
            <v>پخت کلاچ پراید</v>
          </cell>
          <cell r="C12" t="str">
            <v>قالب تعمیری</v>
          </cell>
          <cell r="H12" t="str">
            <v>01S</v>
          </cell>
          <cell r="AF12">
            <v>3</v>
          </cell>
          <cell r="AR12">
            <v>2250000</v>
          </cell>
        </row>
        <row r="13">
          <cell r="B13" t="str">
            <v>قالب پخت کلاچ پیکان</v>
          </cell>
          <cell r="C13" t="str">
            <v>قالب تعمیری</v>
          </cell>
          <cell r="H13" t="str">
            <v>06s</v>
          </cell>
          <cell r="AF13">
            <v>2</v>
          </cell>
          <cell r="AR13">
            <v>1500000</v>
          </cell>
        </row>
        <row r="14">
          <cell r="B14" t="str">
            <v>پخت کلاچ پراید</v>
          </cell>
          <cell r="C14" t="str">
            <v>قالب تعمیری</v>
          </cell>
          <cell r="H14" t="str">
            <v>01S</v>
          </cell>
          <cell r="AF14">
            <v>2</v>
          </cell>
          <cell r="AR14">
            <v>1500000</v>
          </cell>
        </row>
        <row r="15">
          <cell r="B15" t="str">
            <v>قالب پخت کلاچ پیکان</v>
          </cell>
          <cell r="C15" t="str">
            <v>قالب تعمیری</v>
          </cell>
          <cell r="H15" t="str">
            <v>06s</v>
          </cell>
          <cell r="AF15">
            <v>4</v>
          </cell>
          <cell r="AR15">
            <v>3000000</v>
          </cell>
        </row>
        <row r="16">
          <cell r="B16" t="str">
            <v>دستگاه پشم فلز چینی</v>
          </cell>
          <cell r="C16" t="str">
            <v>قطعه تعمیری</v>
          </cell>
          <cell r="AF16">
            <v>2</v>
          </cell>
          <cell r="AR16">
            <v>1500000</v>
          </cell>
        </row>
        <row r="17">
          <cell r="B17" t="str">
            <v>ماشین پژو پارس سفید</v>
          </cell>
          <cell r="C17" t="str">
            <v>قطعه تعمیری</v>
          </cell>
          <cell r="AF17">
            <v>2</v>
          </cell>
          <cell r="AR17">
            <v>1500000</v>
          </cell>
        </row>
        <row r="18">
          <cell r="B18" t="str">
            <v>ساب الماسه</v>
          </cell>
          <cell r="C18" t="str">
            <v>قطعه تعمیری</v>
          </cell>
          <cell r="AF18">
            <v>3.5</v>
          </cell>
          <cell r="AR18">
            <v>2625000</v>
          </cell>
        </row>
        <row r="19">
          <cell r="B19" t="str">
            <v>موتور</v>
          </cell>
          <cell r="C19" t="str">
            <v>قطعه تعمیری</v>
          </cell>
          <cell r="AF19">
            <v>3.5</v>
          </cell>
          <cell r="AR19">
            <v>2625000</v>
          </cell>
        </row>
        <row r="20">
          <cell r="B20" t="str">
            <v>قالب پخت کلاچ پیکان</v>
          </cell>
          <cell r="C20" t="str">
            <v>قالب تعمیری</v>
          </cell>
          <cell r="H20" t="str">
            <v>06s</v>
          </cell>
          <cell r="AF20">
            <v>2</v>
          </cell>
          <cell r="AR20">
            <v>1500000</v>
          </cell>
        </row>
        <row r="21">
          <cell r="B21" t="str">
            <v>صفحه 25*30*50</v>
          </cell>
          <cell r="C21" t="str">
            <v>قالب نو</v>
          </cell>
          <cell r="AF21">
            <v>11</v>
          </cell>
          <cell r="AR21">
            <v>8250000</v>
          </cell>
        </row>
        <row r="22">
          <cell r="B22" t="str">
            <v>کلمپ زنی</v>
          </cell>
          <cell r="C22" t="str">
            <v>دستگاه تعمیری</v>
          </cell>
          <cell r="AF22">
            <v>6.333333333333333</v>
          </cell>
          <cell r="AR22">
            <v>4750000</v>
          </cell>
        </row>
        <row r="23">
          <cell r="B23" t="str">
            <v>دستگاه مهر زنی</v>
          </cell>
          <cell r="C23" t="str">
            <v>قطعه نو</v>
          </cell>
          <cell r="AF23">
            <v>3.3333333333333335</v>
          </cell>
          <cell r="AR23">
            <v>2500000</v>
          </cell>
        </row>
        <row r="24">
          <cell r="B24" t="str">
            <v>دستگاه پشم فلز چینی</v>
          </cell>
          <cell r="C24" t="str">
            <v>قطعه تعمیری</v>
          </cell>
          <cell r="AF24">
            <v>7</v>
          </cell>
          <cell r="AR24">
            <v>5250000</v>
          </cell>
        </row>
        <row r="25">
          <cell r="B25" t="str">
            <v>پخت کلاچ پراید</v>
          </cell>
          <cell r="C25" t="str">
            <v>قالب تعمیری</v>
          </cell>
          <cell r="H25" t="str">
            <v>01S</v>
          </cell>
          <cell r="AF25">
            <v>1</v>
          </cell>
          <cell r="AR25">
            <v>750000</v>
          </cell>
        </row>
        <row r="26">
          <cell r="B26" t="str">
            <v>صفحه 25*30*50</v>
          </cell>
          <cell r="C26" t="str">
            <v>قالب نو</v>
          </cell>
          <cell r="AF26">
            <v>6</v>
          </cell>
          <cell r="AR26">
            <v>4500000</v>
          </cell>
        </row>
        <row r="27">
          <cell r="B27" t="str">
            <v>کلمپ زنی</v>
          </cell>
          <cell r="C27" t="str">
            <v>دستگاه تعمیری</v>
          </cell>
          <cell r="AF27">
            <v>5.833333333333333</v>
          </cell>
          <cell r="AR27">
            <v>4375000</v>
          </cell>
        </row>
        <row r="28">
          <cell r="B28" t="str">
            <v>برش جمعی عقب ریو</v>
          </cell>
          <cell r="C28" t="str">
            <v>قطعه نو</v>
          </cell>
          <cell r="AF28">
            <v>5</v>
          </cell>
          <cell r="AR28">
            <v>3750000</v>
          </cell>
        </row>
        <row r="29">
          <cell r="B29" t="str">
            <v>پخت کلاچ پراید</v>
          </cell>
          <cell r="C29" t="str">
            <v>قالب تعمیری</v>
          </cell>
          <cell r="H29" t="str">
            <v>01S</v>
          </cell>
          <cell r="AF29">
            <v>9.5</v>
          </cell>
          <cell r="AR29">
            <v>14250000</v>
          </cell>
        </row>
        <row r="30">
          <cell r="B30" t="str">
            <v>دریل یزدخواستی کلاچ</v>
          </cell>
          <cell r="C30" t="str">
            <v>قطعه نو</v>
          </cell>
          <cell r="AF30">
            <v>2.5</v>
          </cell>
          <cell r="AR30">
            <v>1875000</v>
          </cell>
        </row>
        <row r="31">
          <cell r="B31" t="str">
            <v>دریل یزدخواستی کلاچ</v>
          </cell>
          <cell r="C31" t="str">
            <v>قطعه نو</v>
          </cell>
          <cell r="AF31">
            <v>2.5</v>
          </cell>
          <cell r="AR31">
            <v>1875000</v>
          </cell>
        </row>
        <row r="32">
          <cell r="B32" t="str">
            <v>دریل یزدخواستی کلاچ</v>
          </cell>
          <cell r="C32" t="str">
            <v>قطعه نو</v>
          </cell>
          <cell r="AF32">
            <v>8.5</v>
          </cell>
          <cell r="AR32">
            <v>12750000</v>
          </cell>
        </row>
        <row r="33">
          <cell r="B33" t="str">
            <v>دستگاه مهر زنی</v>
          </cell>
          <cell r="C33" t="str">
            <v>قطعه نو</v>
          </cell>
          <cell r="AF33">
            <v>4</v>
          </cell>
          <cell r="AR33">
            <v>3000000</v>
          </cell>
        </row>
        <row r="34">
          <cell r="B34" t="str">
            <v>دستگاه چسب زنی</v>
          </cell>
          <cell r="C34" t="str">
            <v>قطعه تعمیری</v>
          </cell>
          <cell r="AF34">
            <v>4</v>
          </cell>
          <cell r="AR34">
            <v>3000000</v>
          </cell>
        </row>
        <row r="35">
          <cell r="B35" t="str">
            <v>نگهدارنده پلاک قالب</v>
          </cell>
          <cell r="C35" t="str">
            <v>قطعه نو</v>
          </cell>
          <cell r="AF35">
            <v>4</v>
          </cell>
          <cell r="AR35">
            <v>3000000</v>
          </cell>
        </row>
        <row r="36">
          <cell r="B36" t="str">
            <v>قالب عقب F12</v>
          </cell>
          <cell r="C36" t="str">
            <v>قالب نو</v>
          </cell>
          <cell r="AF36">
            <v>4</v>
          </cell>
          <cell r="AR36">
            <v>3000000</v>
          </cell>
        </row>
        <row r="37">
          <cell r="B37" t="str">
            <v>دستگاه پرس پخت</v>
          </cell>
          <cell r="C37" t="str">
            <v>قطعه تعمیری</v>
          </cell>
          <cell r="AF37">
            <v>1.5</v>
          </cell>
          <cell r="AR37">
            <v>1125000</v>
          </cell>
        </row>
        <row r="38">
          <cell r="B38" t="str">
            <v>دستگاه پرس پخت</v>
          </cell>
          <cell r="C38" t="str">
            <v>قطعه تعمیری</v>
          </cell>
          <cell r="AF38">
            <v>1.5</v>
          </cell>
          <cell r="AR38">
            <v>1125000</v>
          </cell>
        </row>
        <row r="39">
          <cell r="B39" t="str">
            <v>دستگاه پرس پخت</v>
          </cell>
          <cell r="C39" t="str">
            <v>قطعه تعمیری</v>
          </cell>
          <cell r="AF39">
            <v>2.5</v>
          </cell>
          <cell r="AR39">
            <v>1875000</v>
          </cell>
        </row>
        <row r="40">
          <cell r="B40" t="str">
            <v>صفحات 50*50 پخت کلاچ</v>
          </cell>
          <cell r="C40" t="str">
            <v>قالب تعمیری</v>
          </cell>
          <cell r="AF40">
            <v>9.5</v>
          </cell>
          <cell r="AR40">
            <v>7125000</v>
          </cell>
        </row>
        <row r="41">
          <cell r="B41" t="str">
            <v>دستگاه چسب زنی</v>
          </cell>
          <cell r="C41" t="str">
            <v>قطعه تعمیری</v>
          </cell>
          <cell r="AF41">
            <v>4</v>
          </cell>
          <cell r="AR41">
            <v>3000000</v>
          </cell>
        </row>
        <row r="42">
          <cell r="B42" t="str">
            <v>پخت کلاچ پراید</v>
          </cell>
          <cell r="C42" t="str">
            <v>قالب تعمیری</v>
          </cell>
          <cell r="H42" t="str">
            <v>01S</v>
          </cell>
          <cell r="AF42">
            <v>1</v>
          </cell>
          <cell r="AR42">
            <v>750000</v>
          </cell>
        </row>
        <row r="43">
          <cell r="B43" t="str">
            <v>قالب ترابوزا</v>
          </cell>
          <cell r="C43" t="str">
            <v>قالب تعمیری</v>
          </cell>
          <cell r="AF43">
            <v>2</v>
          </cell>
          <cell r="AR43">
            <v>1500000</v>
          </cell>
        </row>
        <row r="44">
          <cell r="B44" t="str">
            <v>پخت کلاچ پراید</v>
          </cell>
          <cell r="C44" t="str">
            <v>قالب تعمیری</v>
          </cell>
          <cell r="H44" t="str">
            <v>MC30246-09S</v>
          </cell>
          <cell r="AF44">
            <v>2</v>
          </cell>
          <cell r="AR44">
            <v>1500000</v>
          </cell>
        </row>
        <row r="45">
          <cell r="B45" t="str">
            <v>پخت کلاچ پراید</v>
          </cell>
          <cell r="C45" t="str">
            <v>قالب تعمیری</v>
          </cell>
          <cell r="H45" t="str">
            <v>MC30246-09S</v>
          </cell>
          <cell r="AF45">
            <v>2</v>
          </cell>
          <cell r="AR45">
            <v>1500000</v>
          </cell>
        </row>
        <row r="46">
          <cell r="B46" t="str">
            <v xml:space="preserve">پخت کلاچ پراید سکو </v>
          </cell>
          <cell r="C46" t="str">
            <v>قالب تعمیری</v>
          </cell>
          <cell r="H46" t="str">
            <v xml:space="preserve">MC30357-01S </v>
          </cell>
          <cell r="AF46">
            <v>2</v>
          </cell>
          <cell r="AR46">
            <v>1500000</v>
          </cell>
        </row>
        <row r="47">
          <cell r="B47" t="str">
            <v>قالب پخت کلاچ پیکان</v>
          </cell>
          <cell r="C47" t="str">
            <v>قالب تعمیری</v>
          </cell>
          <cell r="H47" t="str">
            <v>06s</v>
          </cell>
          <cell r="AF47">
            <v>2</v>
          </cell>
          <cell r="AR47">
            <v>1500000</v>
          </cell>
        </row>
        <row r="48">
          <cell r="B48" t="str">
            <v>پخت کلاچ پراید</v>
          </cell>
          <cell r="C48" t="str">
            <v>قالب تعمیری</v>
          </cell>
          <cell r="H48" t="str">
            <v>MC30246-09S</v>
          </cell>
          <cell r="AF48">
            <v>1</v>
          </cell>
          <cell r="AR48">
            <v>750000</v>
          </cell>
        </row>
        <row r="49">
          <cell r="B49" t="str">
            <v>پخت کلاچ پراید</v>
          </cell>
          <cell r="C49" t="str">
            <v>قالب تعمیری</v>
          </cell>
          <cell r="H49" t="str">
            <v>MC30246-09S</v>
          </cell>
          <cell r="AF49">
            <v>2</v>
          </cell>
          <cell r="AR49">
            <v>1500000</v>
          </cell>
        </row>
        <row r="50">
          <cell r="B50" t="str">
            <v>پخت کلاچ پراید</v>
          </cell>
          <cell r="C50" t="str">
            <v>قالب تعمیری</v>
          </cell>
          <cell r="H50" t="str">
            <v>MC30246-09S</v>
          </cell>
          <cell r="AF50">
            <v>2</v>
          </cell>
          <cell r="AR50">
            <v>1500000</v>
          </cell>
        </row>
        <row r="51">
          <cell r="B51" t="str">
            <v xml:space="preserve">پخت کلاچ پراید سکو </v>
          </cell>
          <cell r="C51" t="str">
            <v>قالب تعمیری</v>
          </cell>
          <cell r="H51" t="str">
            <v xml:space="preserve">MC30357-01S </v>
          </cell>
          <cell r="AF51">
            <v>2</v>
          </cell>
          <cell r="AR51">
            <v>1500000</v>
          </cell>
        </row>
        <row r="52">
          <cell r="B52" t="str">
            <v>قالب پخت کلاچ پیکان</v>
          </cell>
          <cell r="C52" t="str">
            <v>قالب تعمیری</v>
          </cell>
          <cell r="H52" t="str">
            <v>06s</v>
          </cell>
          <cell r="AF52">
            <v>2</v>
          </cell>
          <cell r="AR52">
            <v>1500000</v>
          </cell>
        </row>
        <row r="53">
          <cell r="B53" t="str">
            <v>پخت کلاچ پراید</v>
          </cell>
          <cell r="C53" t="str">
            <v>قالب تعمیری</v>
          </cell>
          <cell r="H53" t="str">
            <v>MC30246-09S</v>
          </cell>
          <cell r="AF53">
            <v>1</v>
          </cell>
          <cell r="AR53">
            <v>750000</v>
          </cell>
        </row>
        <row r="54">
          <cell r="B54" t="str">
            <v>پخت کلاچ پراید</v>
          </cell>
          <cell r="C54" t="str">
            <v>قالب تعمیری</v>
          </cell>
          <cell r="H54" t="str">
            <v>01S</v>
          </cell>
          <cell r="AF54">
            <v>3.5</v>
          </cell>
          <cell r="AR54">
            <v>5250000</v>
          </cell>
        </row>
        <row r="55">
          <cell r="B55" t="str">
            <v>پخت کلاچ پراید</v>
          </cell>
          <cell r="C55" t="str">
            <v>قالب تعمیری</v>
          </cell>
          <cell r="H55" t="str">
            <v>08s</v>
          </cell>
          <cell r="AF55">
            <v>5.5</v>
          </cell>
          <cell r="AR55">
            <v>8250000</v>
          </cell>
        </row>
        <row r="56">
          <cell r="B56" t="str">
            <v>قالب پخت کلاچ پیکان</v>
          </cell>
          <cell r="C56" t="str">
            <v>قالب تعمیری</v>
          </cell>
          <cell r="H56" t="str">
            <v>05S</v>
          </cell>
          <cell r="AF56">
            <v>2</v>
          </cell>
          <cell r="AR56">
            <v>3000000</v>
          </cell>
        </row>
        <row r="57">
          <cell r="B57" t="str">
            <v>قالب عقب F12</v>
          </cell>
          <cell r="C57" t="str">
            <v>قالب نو</v>
          </cell>
          <cell r="AF57">
            <v>11</v>
          </cell>
          <cell r="AR57">
            <v>8250000</v>
          </cell>
        </row>
        <row r="58">
          <cell r="B58" t="str">
            <v>پخت کلاچ پراید</v>
          </cell>
          <cell r="C58" t="str">
            <v>قالب تعمیری</v>
          </cell>
          <cell r="H58" t="str">
            <v>01S</v>
          </cell>
          <cell r="AF58">
            <v>9</v>
          </cell>
          <cell r="AR58">
            <v>13500000</v>
          </cell>
        </row>
        <row r="59">
          <cell r="B59" t="str">
            <v>پخت کلاچ پراید</v>
          </cell>
          <cell r="C59" t="str">
            <v>قالب تعمیری</v>
          </cell>
          <cell r="H59" t="str">
            <v>01S</v>
          </cell>
          <cell r="AF59">
            <v>2</v>
          </cell>
          <cell r="AR59">
            <v>3000000</v>
          </cell>
        </row>
        <row r="60">
          <cell r="B60" t="str">
            <v>کلمپ زنی</v>
          </cell>
          <cell r="C60" t="str">
            <v>دستگاه تعمیری</v>
          </cell>
          <cell r="AF60">
            <v>1.5</v>
          </cell>
          <cell r="AR60">
            <v>1125000</v>
          </cell>
        </row>
        <row r="61">
          <cell r="B61" t="str">
            <v>دستگاه پرس پخت</v>
          </cell>
          <cell r="C61" t="str">
            <v>قطعه تعمیری</v>
          </cell>
          <cell r="AF61">
            <v>5</v>
          </cell>
          <cell r="AR61">
            <v>3750000</v>
          </cell>
        </row>
        <row r="62">
          <cell r="B62" t="str">
            <v>دستگاه پرس پخت</v>
          </cell>
          <cell r="C62" t="str">
            <v>قطعه تعمیری</v>
          </cell>
          <cell r="AF62">
            <v>6.5</v>
          </cell>
          <cell r="AR62">
            <v>4875000</v>
          </cell>
        </row>
        <row r="63">
          <cell r="B63" t="str">
            <v>پخت کلاچ پراید</v>
          </cell>
          <cell r="C63" t="str">
            <v>قالب تعمیری</v>
          </cell>
          <cell r="H63" t="str">
            <v>08s</v>
          </cell>
          <cell r="AF63">
            <v>2</v>
          </cell>
          <cell r="AR63">
            <v>1500000</v>
          </cell>
        </row>
        <row r="64">
          <cell r="B64" t="str">
            <v>پایه پرچ لنت نیسان</v>
          </cell>
          <cell r="C64" t="str">
            <v>قطعه نو</v>
          </cell>
          <cell r="AF64">
            <v>4</v>
          </cell>
          <cell r="AR64">
            <v>3000000</v>
          </cell>
        </row>
        <row r="65">
          <cell r="B65" t="str">
            <v>قالب عقب F12</v>
          </cell>
          <cell r="C65" t="str">
            <v>قالب نو</v>
          </cell>
          <cell r="AF65">
            <v>2</v>
          </cell>
          <cell r="AR65">
            <v>1500000</v>
          </cell>
        </row>
        <row r="66">
          <cell r="B66" t="str">
            <v>قالب پخت کلاچ پیکان</v>
          </cell>
          <cell r="C66" t="str">
            <v>قالب تعمیری</v>
          </cell>
          <cell r="H66" t="str">
            <v>05S</v>
          </cell>
          <cell r="AF66">
            <v>2</v>
          </cell>
          <cell r="AR66">
            <v>1500000</v>
          </cell>
        </row>
        <row r="67">
          <cell r="B67" t="str">
            <v>شمش پراید</v>
          </cell>
          <cell r="C67" t="str">
            <v>قالب نو</v>
          </cell>
          <cell r="AF67">
            <v>3</v>
          </cell>
          <cell r="AR67">
            <v>2250000</v>
          </cell>
        </row>
        <row r="68">
          <cell r="B68" t="str">
            <v>قالب پخت کلاچ پیکان</v>
          </cell>
          <cell r="C68" t="str">
            <v>قالب تعمیری</v>
          </cell>
          <cell r="H68" t="str">
            <v>05S</v>
          </cell>
          <cell r="AF68">
            <v>4</v>
          </cell>
          <cell r="AR68">
            <v>3000000</v>
          </cell>
        </row>
        <row r="69">
          <cell r="B69" t="str">
            <v>قالب پخت کلاچ پیکان</v>
          </cell>
          <cell r="C69" t="str">
            <v>قالب تعمیری</v>
          </cell>
          <cell r="H69" t="str">
            <v>05S</v>
          </cell>
          <cell r="AF69">
            <v>3</v>
          </cell>
          <cell r="AR69">
            <v>2250000</v>
          </cell>
        </row>
        <row r="70">
          <cell r="B70" t="str">
            <v>پخت کلاچ ایویکو سوراخدار</v>
          </cell>
          <cell r="C70" t="str">
            <v>قالب تعمیری</v>
          </cell>
          <cell r="H70" t="str">
            <v>FC30249-01S</v>
          </cell>
          <cell r="AF70">
            <v>3</v>
          </cell>
          <cell r="AR70">
            <v>2250000</v>
          </cell>
        </row>
        <row r="71">
          <cell r="B71" t="str">
            <v>دستگاه پرس پخت</v>
          </cell>
          <cell r="C71" t="str">
            <v>قطعه تعمیری</v>
          </cell>
          <cell r="AF71">
            <v>2</v>
          </cell>
          <cell r="AR71">
            <v>1500000</v>
          </cell>
        </row>
        <row r="72">
          <cell r="B72" t="str">
            <v>پخت کلاچ پراید</v>
          </cell>
          <cell r="C72" t="str">
            <v>قالب تعمیری</v>
          </cell>
          <cell r="H72" t="str">
            <v>08s</v>
          </cell>
          <cell r="AF72">
            <v>2</v>
          </cell>
          <cell r="AR72">
            <v>1500000</v>
          </cell>
        </row>
        <row r="73">
          <cell r="B73" t="str">
            <v>تخته لنت صنعتی</v>
          </cell>
          <cell r="C73" t="str">
            <v>قطعه تعمیری</v>
          </cell>
          <cell r="AF73">
            <v>3</v>
          </cell>
          <cell r="AR73">
            <v>2250000</v>
          </cell>
        </row>
        <row r="74">
          <cell r="B74" t="str">
            <v>پخت کلاچ پراید</v>
          </cell>
          <cell r="C74" t="str">
            <v>قالب تعمیری</v>
          </cell>
          <cell r="H74" t="str">
            <v>MC30246-09S</v>
          </cell>
          <cell r="AF74">
            <v>3</v>
          </cell>
          <cell r="AR74">
            <v>2250000</v>
          </cell>
        </row>
        <row r="75">
          <cell r="B75" t="str">
            <v>پخت کلاچ پراید</v>
          </cell>
          <cell r="C75" t="str">
            <v>قالب تعمیری</v>
          </cell>
          <cell r="H75" t="str">
            <v>MC30246-09S</v>
          </cell>
          <cell r="AF75">
            <v>4</v>
          </cell>
          <cell r="AR75">
            <v>3000000</v>
          </cell>
        </row>
        <row r="76">
          <cell r="B76" t="str">
            <v>قالب پخت کلاچ پیکان</v>
          </cell>
          <cell r="C76" t="str">
            <v>قالب تعمیری</v>
          </cell>
          <cell r="H76" t="str">
            <v>05S</v>
          </cell>
          <cell r="AF76">
            <v>4</v>
          </cell>
          <cell r="AR76">
            <v>3000000</v>
          </cell>
        </row>
        <row r="77">
          <cell r="B77" t="str">
            <v>صفحه 25*30*50</v>
          </cell>
          <cell r="C77" t="str">
            <v>قالب نو</v>
          </cell>
          <cell r="AF77">
            <v>7.5</v>
          </cell>
          <cell r="AR77">
            <v>5625000</v>
          </cell>
        </row>
        <row r="78">
          <cell r="B78" t="str">
            <v>سوراخکاری پیلسان</v>
          </cell>
          <cell r="C78" t="str">
            <v>قطعه نو</v>
          </cell>
          <cell r="AF78">
            <v>3.5</v>
          </cell>
          <cell r="AR78">
            <v>2625000</v>
          </cell>
        </row>
        <row r="79">
          <cell r="B79" t="str">
            <v>سوراخکاری پیلسان</v>
          </cell>
          <cell r="C79" t="str">
            <v>قطعه نو</v>
          </cell>
          <cell r="AF79">
            <v>11</v>
          </cell>
          <cell r="AR79">
            <v>8250000</v>
          </cell>
        </row>
        <row r="80">
          <cell r="B80" t="str">
            <v>دریل یزدخواستی کلاچ</v>
          </cell>
          <cell r="C80" t="str">
            <v>قطعه نو</v>
          </cell>
          <cell r="AF80">
            <v>4.5</v>
          </cell>
          <cell r="AR80">
            <v>3375000</v>
          </cell>
        </row>
        <row r="81">
          <cell r="B81" t="str">
            <v>دریل یزدخواستی کلاچ</v>
          </cell>
          <cell r="C81" t="str">
            <v>قطعه نو</v>
          </cell>
          <cell r="AF81">
            <v>4.5</v>
          </cell>
          <cell r="AR81">
            <v>3375000</v>
          </cell>
        </row>
        <row r="82">
          <cell r="B82" t="str">
            <v>پخت کلاچ پراید</v>
          </cell>
          <cell r="C82" t="str">
            <v>قالب تعمیری</v>
          </cell>
          <cell r="H82" t="str">
            <v>MC30246-09S</v>
          </cell>
          <cell r="AF82">
            <v>2</v>
          </cell>
          <cell r="AR82">
            <v>1500000</v>
          </cell>
        </row>
        <row r="83">
          <cell r="B83" t="str">
            <v>پایه پرچ لنت نیسان</v>
          </cell>
          <cell r="C83" t="str">
            <v>قطعه نو</v>
          </cell>
          <cell r="AF83">
            <v>1</v>
          </cell>
          <cell r="AR83">
            <v>750000</v>
          </cell>
        </row>
        <row r="84">
          <cell r="B84" t="str">
            <v>قالب پخت کلاچ پیکان</v>
          </cell>
          <cell r="C84" t="str">
            <v>قالب تعمیری</v>
          </cell>
          <cell r="H84" t="str">
            <v>05S</v>
          </cell>
          <cell r="AF84">
            <v>3</v>
          </cell>
          <cell r="AR84">
            <v>2250000</v>
          </cell>
        </row>
        <row r="85">
          <cell r="B85" t="str">
            <v>قالب پخت کلاچ پیکان</v>
          </cell>
          <cell r="C85" t="str">
            <v>قالب تعمیری</v>
          </cell>
          <cell r="H85" t="str">
            <v>05S</v>
          </cell>
          <cell r="AF85">
            <v>2</v>
          </cell>
          <cell r="AR85">
            <v>1500000</v>
          </cell>
        </row>
        <row r="86">
          <cell r="B86" t="str">
            <v>ساب سمباده ای</v>
          </cell>
          <cell r="C86" t="str">
            <v>قطعه تعمیری</v>
          </cell>
          <cell r="AF86">
            <v>4</v>
          </cell>
          <cell r="AR86">
            <v>3000000</v>
          </cell>
        </row>
        <row r="87">
          <cell r="B87" t="str">
            <v>دستگاه چسب زنی</v>
          </cell>
          <cell r="C87" t="str">
            <v>قطعه تعمیری</v>
          </cell>
          <cell r="AF87">
            <v>8</v>
          </cell>
          <cell r="AR87">
            <v>6000000</v>
          </cell>
        </row>
        <row r="88">
          <cell r="B88" t="str">
            <v>دستگاه چسب زنی</v>
          </cell>
          <cell r="C88" t="str">
            <v>قطعه تعمیری</v>
          </cell>
          <cell r="AF88">
            <v>8</v>
          </cell>
          <cell r="AR88">
            <v>6000000</v>
          </cell>
        </row>
        <row r="89">
          <cell r="B89" t="str">
            <v>نگهدارنده پلاک قالب</v>
          </cell>
          <cell r="C89" t="str">
            <v>قطعه نو</v>
          </cell>
          <cell r="AF89">
            <v>8</v>
          </cell>
          <cell r="AR89">
            <v>6000000</v>
          </cell>
        </row>
        <row r="90">
          <cell r="B90" t="str">
            <v>دستگاه چسب زنی</v>
          </cell>
          <cell r="C90" t="str">
            <v>قطعه تعمیری</v>
          </cell>
          <cell r="AF90">
            <v>12</v>
          </cell>
          <cell r="AR90">
            <v>9000000</v>
          </cell>
        </row>
        <row r="91">
          <cell r="B91" t="str">
            <v>نگهدارنده پلاک قالب</v>
          </cell>
          <cell r="C91" t="str">
            <v>قطعه نو</v>
          </cell>
          <cell r="AF91">
            <v>12</v>
          </cell>
          <cell r="AR91">
            <v>9000000</v>
          </cell>
        </row>
        <row r="92">
          <cell r="B92" t="str">
            <v>قالب عقب F12</v>
          </cell>
          <cell r="C92" t="str">
            <v>قالب نو</v>
          </cell>
          <cell r="AF92">
            <v>8.6666666666666661</v>
          </cell>
          <cell r="AR92">
            <v>6500000</v>
          </cell>
        </row>
        <row r="93">
          <cell r="B93" t="str">
            <v>دریل یزدخواستی کلاچ</v>
          </cell>
          <cell r="C93" t="str">
            <v>قطعه نو</v>
          </cell>
          <cell r="AF93">
            <v>11</v>
          </cell>
          <cell r="AR93">
            <v>16500000</v>
          </cell>
        </row>
        <row r="94">
          <cell r="B94" t="str">
            <v>دریل یزدخواستی کلاچ</v>
          </cell>
          <cell r="C94" t="str">
            <v>قطعه نو</v>
          </cell>
          <cell r="AF94">
            <v>5.5</v>
          </cell>
          <cell r="AR94">
            <v>8250000</v>
          </cell>
        </row>
        <row r="95">
          <cell r="B95" t="str">
            <v>قالب توری پگاسوز</v>
          </cell>
          <cell r="C95" t="str">
            <v>قالب نو</v>
          </cell>
          <cell r="H95">
            <v>30425</v>
          </cell>
          <cell r="AF95">
            <v>3.5</v>
          </cell>
          <cell r="AR95">
            <v>5250000</v>
          </cell>
        </row>
        <row r="96">
          <cell r="B96" t="str">
            <v>دریل یزدخواستی کلاچ</v>
          </cell>
          <cell r="C96" t="str">
            <v>قطعه نو</v>
          </cell>
          <cell r="AF96">
            <v>2</v>
          </cell>
          <cell r="AR96">
            <v>3000000</v>
          </cell>
        </row>
        <row r="97">
          <cell r="B97" t="str">
            <v>دستگاه برش جمعی</v>
          </cell>
          <cell r="C97" t="str">
            <v>قطعه تعمیری</v>
          </cell>
          <cell r="AF97">
            <v>4</v>
          </cell>
          <cell r="AR97">
            <v>3000000</v>
          </cell>
        </row>
        <row r="98">
          <cell r="B98" t="str">
            <v>پخت کلاچ پراید</v>
          </cell>
          <cell r="C98" t="str">
            <v>قالب تعمیری</v>
          </cell>
          <cell r="H98" t="str">
            <v>MC30246-09S</v>
          </cell>
          <cell r="AF98">
            <v>7</v>
          </cell>
          <cell r="AR98">
            <v>5250000</v>
          </cell>
        </row>
        <row r="99">
          <cell r="B99" t="str">
            <v>سری نقطه جوش</v>
          </cell>
          <cell r="C99" t="str">
            <v>قطعه تعمیری</v>
          </cell>
          <cell r="AF99">
            <v>1</v>
          </cell>
          <cell r="AR99">
            <v>750000</v>
          </cell>
        </row>
        <row r="100">
          <cell r="B100" t="str">
            <v>آغشته کاری</v>
          </cell>
          <cell r="C100" t="str">
            <v>قطعه تعمیری</v>
          </cell>
          <cell r="AF100">
            <v>2</v>
          </cell>
          <cell r="AR100">
            <v>1500000</v>
          </cell>
        </row>
        <row r="101">
          <cell r="B101" t="str">
            <v>لیفتراک</v>
          </cell>
          <cell r="C101" t="str">
            <v>قطعه نو</v>
          </cell>
          <cell r="AF101">
            <v>2.5</v>
          </cell>
          <cell r="AR101">
            <v>1875000</v>
          </cell>
        </row>
        <row r="102">
          <cell r="B102" t="str">
            <v>پخت کلاچ پراید</v>
          </cell>
          <cell r="C102" t="str">
            <v>قالب تعمیری</v>
          </cell>
          <cell r="H102" t="str">
            <v>MC30246-09S</v>
          </cell>
          <cell r="AF102">
            <v>3.6666666666666665</v>
          </cell>
          <cell r="AR102">
            <v>2750000</v>
          </cell>
        </row>
        <row r="103">
          <cell r="B103" t="str">
            <v>صفحات 50*50 پخت کلاچ</v>
          </cell>
          <cell r="C103" t="str">
            <v>قالب تعمیری</v>
          </cell>
          <cell r="AF103">
            <v>11</v>
          </cell>
          <cell r="AR103">
            <v>8250000</v>
          </cell>
        </row>
        <row r="104">
          <cell r="B104" t="str">
            <v>قالب ترابوزا</v>
          </cell>
          <cell r="C104" t="str">
            <v>قالب تعمیری</v>
          </cell>
          <cell r="AF104">
            <v>8</v>
          </cell>
          <cell r="AR104">
            <v>6000000</v>
          </cell>
        </row>
        <row r="105">
          <cell r="B105" t="str">
            <v>قالب SAF توری</v>
          </cell>
          <cell r="C105" t="str">
            <v>قالب تعمیری</v>
          </cell>
          <cell r="H105">
            <v>1</v>
          </cell>
          <cell r="AF105">
            <v>0.75</v>
          </cell>
          <cell r="AR105">
            <v>562500</v>
          </cell>
        </row>
        <row r="106">
          <cell r="B106" t="str">
            <v>قالب SAF توری</v>
          </cell>
          <cell r="C106" t="str">
            <v>قالب تعمیری</v>
          </cell>
          <cell r="H106">
            <v>1</v>
          </cell>
          <cell r="AF106">
            <v>0.75</v>
          </cell>
          <cell r="AR106">
            <v>562500</v>
          </cell>
        </row>
        <row r="107">
          <cell r="B107" t="str">
            <v>قالب برش میدل باس</v>
          </cell>
          <cell r="C107" t="str">
            <v>قالب تعمیری</v>
          </cell>
          <cell r="H107">
            <v>1</v>
          </cell>
          <cell r="AF107">
            <v>0.75</v>
          </cell>
          <cell r="AR107">
            <v>562500</v>
          </cell>
        </row>
        <row r="108">
          <cell r="B108" t="str">
            <v>قالب برش میدل باس</v>
          </cell>
          <cell r="C108" t="str">
            <v>قالب تعمیری</v>
          </cell>
          <cell r="H108">
            <v>1</v>
          </cell>
          <cell r="AF108">
            <v>0.75</v>
          </cell>
          <cell r="AR108">
            <v>562500</v>
          </cell>
        </row>
        <row r="109">
          <cell r="B109" t="str">
            <v>صفحات 50*50 پخت کلاچ</v>
          </cell>
          <cell r="C109" t="str">
            <v>قالب تعمیری</v>
          </cell>
          <cell r="AF109">
            <v>11</v>
          </cell>
          <cell r="AR109">
            <v>8250000</v>
          </cell>
        </row>
        <row r="110">
          <cell r="B110" t="str">
            <v>قالب پخت کلاچ پیکان</v>
          </cell>
          <cell r="C110" t="str">
            <v>قالب تعمیری</v>
          </cell>
          <cell r="H110" t="str">
            <v>05S</v>
          </cell>
          <cell r="AF110">
            <v>7</v>
          </cell>
          <cell r="AR110">
            <v>5250000</v>
          </cell>
        </row>
        <row r="111">
          <cell r="B111" t="str">
            <v>سوراخکاری پیلسان</v>
          </cell>
          <cell r="C111" t="str">
            <v>قطعه نو</v>
          </cell>
          <cell r="AF111">
            <v>2</v>
          </cell>
          <cell r="AR111">
            <v>1500000</v>
          </cell>
        </row>
        <row r="112">
          <cell r="B112" t="str">
            <v>سوراخکاری پیلسان</v>
          </cell>
          <cell r="C112" t="str">
            <v>قطعه نو</v>
          </cell>
          <cell r="AF112">
            <v>2</v>
          </cell>
          <cell r="AR112">
            <v>1500000</v>
          </cell>
        </row>
        <row r="113">
          <cell r="B113" t="str">
            <v>پخت کلاچ پراید</v>
          </cell>
          <cell r="C113" t="str">
            <v>قالب تعمیری</v>
          </cell>
          <cell r="AF113">
            <v>9</v>
          </cell>
          <cell r="AR113">
            <v>13500000</v>
          </cell>
        </row>
        <row r="114">
          <cell r="B114" t="str">
            <v>قالب پخت کلاچ پیکان</v>
          </cell>
          <cell r="C114" t="str">
            <v>قالب تعمیری</v>
          </cell>
          <cell r="H114" t="str">
            <v>06s</v>
          </cell>
          <cell r="AF114">
            <v>2</v>
          </cell>
          <cell r="AR114">
            <v>3000000</v>
          </cell>
        </row>
        <row r="115">
          <cell r="B115" t="str">
            <v>دستگاه پرس 600 تن</v>
          </cell>
          <cell r="C115" t="str">
            <v>قطعه نو</v>
          </cell>
          <cell r="AF115">
            <v>9</v>
          </cell>
          <cell r="AR115">
            <v>6750000</v>
          </cell>
        </row>
        <row r="116">
          <cell r="B116" t="str">
            <v>دریل یزدخواستی کلاچ</v>
          </cell>
          <cell r="C116" t="str">
            <v>قطعه نو</v>
          </cell>
          <cell r="AF116">
            <v>11</v>
          </cell>
          <cell r="AR116">
            <v>16500000</v>
          </cell>
        </row>
        <row r="117">
          <cell r="B117" t="str">
            <v>قالب پخت کلاچ پژو 405</v>
          </cell>
          <cell r="C117" t="str">
            <v>قالب تعمیری</v>
          </cell>
          <cell r="H117" t="str">
            <v>10S</v>
          </cell>
          <cell r="AF117">
            <v>7.5</v>
          </cell>
          <cell r="AR117">
            <v>11250000</v>
          </cell>
        </row>
        <row r="118">
          <cell r="B118" t="str">
            <v>قالب پخت کلاچ پیکان آرژانتینی</v>
          </cell>
          <cell r="C118" t="str">
            <v>قالب تعمیری</v>
          </cell>
          <cell r="AF118">
            <v>3.5</v>
          </cell>
          <cell r="AR118">
            <v>5250000</v>
          </cell>
        </row>
        <row r="119">
          <cell r="B119" t="str">
            <v>قالب پخت کلاچ پیکان آرژانتینی</v>
          </cell>
          <cell r="C119" t="str">
            <v>قالب تعمیری</v>
          </cell>
          <cell r="AF119">
            <v>6.5</v>
          </cell>
          <cell r="AR119">
            <v>9750000</v>
          </cell>
        </row>
        <row r="120">
          <cell r="B120" t="str">
            <v>پخت کلاچ پراید</v>
          </cell>
          <cell r="C120" t="str">
            <v>قالب تعمیری</v>
          </cell>
          <cell r="AF120">
            <v>4.5</v>
          </cell>
          <cell r="AR120">
            <v>6750000</v>
          </cell>
        </row>
        <row r="121">
          <cell r="B121" t="str">
            <v>کلمپ زنی</v>
          </cell>
          <cell r="C121" t="str">
            <v>دستگاه تعمیری</v>
          </cell>
          <cell r="AF121">
            <v>3</v>
          </cell>
          <cell r="AR121">
            <v>2250000</v>
          </cell>
        </row>
        <row r="122">
          <cell r="B122" t="str">
            <v>قالب ولوو سوپر</v>
          </cell>
          <cell r="C122" t="str">
            <v>قالب تعمیری</v>
          </cell>
          <cell r="H122" t="str">
            <v>MH19562-01P</v>
          </cell>
          <cell r="AF122">
            <v>2</v>
          </cell>
          <cell r="AR122">
            <v>1500000</v>
          </cell>
        </row>
        <row r="123">
          <cell r="B123" t="str">
            <v>سوراخکاری پیلسان</v>
          </cell>
          <cell r="C123" t="str">
            <v>قطعه نو</v>
          </cell>
          <cell r="AF123">
            <v>4.5</v>
          </cell>
          <cell r="AR123">
            <v>3375000</v>
          </cell>
        </row>
        <row r="124">
          <cell r="B124" t="str">
            <v>قالب ترابوزا</v>
          </cell>
          <cell r="C124" t="str">
            <v>قالب تعمیری</v>
          </cell>
          <cell r="AF124">
            <v>6.5</v>
          </cell>
          <cell r="AR124">
            <v>4875000</v>
          </cell>
        </row>
        <row r="125">
          <cell r="B125" t="str">
            <v>شیم پژو 405</v>
          </cell>
          <cell r="C125" t="str">
            <v>قالب تعمیری</v>
          </cell>
          <cell r="AF125">
            <v>2</v>
          </cell>
          <cell r="AR125">
            <v>1500000</v>
          </cell>
        </row>
        <row r="126">
          <cell r="B126" t="str">
            <v>قالب لودری 70021</v>
          </cell>
          <cell r="C126" t="str">
            <v>قالب تعمیری</v>
          </cell>
          <cell r="AF126">
            <v>1</v>
          </cell>
          <cell r="AR126">
            <v>750000</v>
          </cell>
        </row>
        <row r="127">
          <cell r="B127" t="str">
            <v xml:space="preserve">دستگاه جوشکاری </v>
          </cell>
          <cell r="C127" t="str">
            <v>قطعه تعمیری</v>
          </cell>
          <cell r="AF127">
            <v>2</v>
          </cell>
          <cell r="AR127">
            <v>1500000</v>
          </cell>
        </row>
        <row r="128">
          <cell r="B128" t="str">
            <v>پخت کلاچ پراید</v>
          </cell>
          <cell r="C128" t="str">
            <v>قالب تعمیری</v>
          </cell>
          <cell r="H128" t="str">
            <v>MC30246-02s</v>
          </cell>
          <cell r="AF128">
            <v>3</v>
          </cell>
          <cell r="AR128">
            <v>2250000</v>
          </cell>
        </row>
        <row r="129">
          <cell r="B129" t="str">
            <v>قالب پخت کلاچ پیکان آرژانتینی</v>
          </cell>
          <cell r="C129" t="str">
            <v>قالب تعمیری</v>
          </cell>
          <cell r="AF129">
            <v>3</v>
          </cell>
          <cell r="AR129">
            <v>2250000</v>
          </cell>
        </row>
        <row r="130">
          <cell r="B130" t="str">
            <v>دستگاه مهر زنی</v>
          </cell>
          <cell r="C130" t="str">
            <v>قطعه تعمیری</v>
          </cell>
          <cell r="AF130">
            <v>2</v>
          </cell>
          <cell r="AR130">
            <v>1500000</v>
          </cell>
        </row>
        <row r="131">
          <cell r="B131" t="str">
            <v>پخت کلاچ پراید</v>
          </cell>
          <cell r="C131" t="str">
            <v>قالب تعمیری</v>
          </cell>
          <cell r="H131" t="str">
            <v>MC30246-02s</v>
          </cell>
          <cell r="AF131">
            <v>7</v>
          </cell>
          <cell r="AR131">
            <v>5250000</v>
          </cell>
        </row>
        <row r="132">
          <cell r="B132" t="str">
            <v>قالب پخت کلاچ پیکان آرژانتینی</v>
          </cell>
          <cell r="C132" t="str">
            <v>قالب تعمیری</v>
          </cell>
          <cell r="AF132">
            <v>2</v>
          </cell>
          <cell r="AR132">
            <v>1500000</v>
          </cell>
        </row>
        <row r="133">
          <cell r="B133" t="str">
            <v>پخت کلاچ پراید</v>
          </cell>
          <cell r="C133" t="str">
            <v>قالب تعمیری</v>
          </cell>
          <cell r="AF133">
            <v>2</v>
          </cell>
          <cell r="AR133">
            <v>1500000</v>
          </cell>
        </row>
        <row r="134">
          <cell r="B134" t="str">
            <v>دستگاه برش جمعی</v>
          </cell>
          <cell r="C134" t="str">
            <v>قطعه تعمیری</v>
          </cell>
          <cell r="AF134">
            <v>2</v>
          </cell>
          <cell r="AR134">
            <v>1500000</v>
          </cell>
        </row>
        <row r="135">
          <cell r="B135" t="str">
            <v>Hammer Mill Machine</v>
          </cell>
          <cell r="C135" t="str">
            <v>دستگاه نو</v>
          </cell>
          <cell r="AF135">
            <v>2</v>
          </cell>
          <cell r="AR135">
            <v>1500000</v>
          </cell>
        </row>
        <row r="136">
          <cell r="B136" t="str">
            <v>Hammer Mill Machine</v>
          </cell>
          <cell r="C136" t="str">
            <v>دستگاه نو</v>
          </cell>
          <cell r="AF136">
            <v>2</v>
          </cell>
          <cell r="AR136">
            <v>1500000</v>
          </cell>
        </row>
        <row r="137">
          <cell r="B137" t="str">
            <v>دستگاه پرس پخت</v>
          </cell>
          <cell r="C137" t="str">
            <v>قطعه تعمیری</v>
          </cell>
          <cell r="AF137">
            <v>2</v>
          </cell>
          <cell r="AR137">
            <v>1500000</v>
          </cell>
        </row>
        <row r="138">
          <cell r="B138" t="str">
            <v>صفحات 50*50 پخت کلاچ</v>
          </cell>
          <cell r="C138" t="str">
            <v>قالب تعمیری</v>
          </cell>
          <cell r="AF138">
            <v>11</v>
          </cell>
          <cell r="AR138">
            <v>8250000</v>
          </cell>
        </row>
        <row r="139">
          <cell r="B139" t="str">
            <v>قالب لودری 70021</v>
          </cell>
          <cell r="C139" t="str">
            <v>قالب تعمیری</v>
          </cell>
          <cell r="AF139">
            <v>1</v>
          </cell>
          <cell r="AR139">
            <v>750000</v>
          </cell>
        </row>
        <row r="140">
          <cell r="B140" t="str">
            <v>قالب لودری 70021</v>
          </cell>
          <cell r="C140" t="str">
            <v>قالب تعمیری</v>
          </cell>
          <cell r="AF140">
            <v>1</v>
          </cell>
          <cell r="AR140">
            <v>750000</v>
          </cell>
        </row>
        <row r="141">
          <cell r="B141" t="str">
            <v>قالب کوبه نک SAF</v>
          </cell>
          <cell r="C141" t="str">
            <v>قالب تعمیری</v>
          </cell>
          <cell r="H141">
            <v>1</v>
          </cell>
          <cell r="AF141">
            <v>1</v>
          </cell>
          <cell r="AR141">
            <v>750000</v>
          </cell>
        </row>
        <row r="142">
          <cell r="B142" t="str">
            <v>قالب توری پگاسوز</v>
          </cell>
          <cell r="C142" t="str">
            <v>قالب نو</v>
          </cell>
          <cell r="H142">
            <v>30425</v>
          </cell>
          <cell r="AF142">
            <v>2</v>
          </cell>
          <cell r="AR142">
            <v>1500000</v>
          </cell>
        </row>
        <row r="143">
          <cell r="B143" t="str">
            <v>قالب ترابوزا</v>
          </cell>
          <cell r="C143" t="str">
            <v>قالب تعمیری</v>
          </cell>
          <cell r="AF143">
            <v>3</v>
          </cell>
          <cell r="AR143">
            <v>2250000</v>
          </cell>
        </row>
        <row r="144">
          <cell r="B144" t="str">
            <v>دستگاه چسب زنی</v>
          </cell>
          <cell r="C144" t="str">
            <v>قطعه تعمیری</v>
          </cell>
          <cell r="AF144">
            <v>6</v>
          </cell>
          <cell r="AR144">
            <v>4500000</v>
          </cell>
        </row>
        <row r="145">
          <cell r="B145" t="str">
            <v>پخت کلاچ پراید</v>
          </cell>
          <cell r="C145" t="str">
            <v>قالب تعمیری</v>
          </cell>
          <cell r="H145" t="str">
            <v>MC30246-02s</v>
          </cell>
          <cell r="AF145">
            <v>7</v>
          </cell>
          <cell r="AR145">
            <v>5250000</v>
          </cell>
        </row>
        <row r="146">
          <cell r="B146" t="str">
            <v>نگهدارنده پلاک قالب</v>
          </cell>
          <cell r="C146" t="str">
            <v>قطعه نو</v>
          </cell>
          <cell r="AF146">
            <v>6</v>
          </cell>
          <cell r="AR146">
            <v>4500000</v>
          </cell>
        </row>
        <row r="147">
          <cell r="B147" t="str">
            <v>قالب ولوو سوپر</v>
          </cell>
          <cell r="C147" t="str">
            <v>قالب تعمیری</v>
          </cell>
          <cell r="H147" t="str">
            <v>MH19562-01P</v>
          </cell>
          <cell r="AF147">
            <v>7</v>
          </cell>
          <cell r="AR147">
            <v>5250000</v>
          </cell>
        </row>
        <row r="148">
          <cell r="B148" t="str">
            <v>قالب ولوو سوپر</v>
          </cell>
          <cell r="C148" t="str">
            <v>قالب تعمیری</v>
          </cell>
          <cell r="H148" t="str">
            <v>MH19562-01P</v>
          </cell>
          <cell r="AF148">
            <v>5</v>
          </cell>
          <cell r="AR148">
            <v>3750000</v>
          </cell>
        </row>
        <row r="149">
          <cell r="B149" t="str">
            <v>دستگاه برش جمعی</v>
          </cell>
          <cell r="C149" t="str">
            <v>قطعه تعمیری</v>
          </cell>
          <cell r="AF149">
            <v>2</v>
          </cell>
          <cell r="AR149">
            <v>1500000</v>
          </cell>
        </row>
        <row r="150">
          <cell r="B150" t="str">
            <v>دستگاه چسب زنی</v>
          </cell>
          <cell r="C150" t="str">
            <v>قطعه تعمیری</v>
          </cell>
          <cell r="AF150">
            <v>3</v>
          </cell>
          <cell r="AR150">
            <v>2250000</v>
          </cell>
        </row>
        <row r="151">
          <cell r="B151" t="str">
            <v>قالب ولوو سوپر</v>
          </cell>
          <cell r="C151" t="str">
            <v>قالب تعمیری</v>
          </cell>
          <cell r="H151" t="str">
            <v>MH19562-01P</v>
          </cell>
          <cell r="AF151">
            <v>4</v>
          </cell>
          <cell r="AR151">
            <v>3000000</v>
          </cell>
        </row>
        <row r="152">
          <cell r="B152" t="str">
            <v>قالب ترابوزا</v>
          </cell>
          <cell r="C152" t="str">
            <v>قالب تعمیری</v>
          </cell>
          <cell r="AF152">
            <v>11</v>
          </cell>
          <cell r="AR152">
            <v>8250000</v>
          </cell>
        </row>
        <row r="153">
          <cell r="B153" t="str">
            <v>قالب پخت کلاچ پژو 405</v>
          </cell>
          <cell r="C153" t="str">
            <v>قالب تعمیری</v>
          </cell>
          <cell r="H153" t="str">
            <v>10S</v>
          </cell>
          <cell r="AF153">
            <v>11</v>
          </cell>
          <cell r="AR153">
            <v>16500000</v>
          </cell>
        </row>
        <row r="154">
          <cell r="B154" t="str">
            <v>پخت کلاچ پراید</v>
          </cell>
          <cell r="C154" t="str">
            <v>قالب تعمیری</v>
          </cell>
          <cell r="AF154">
            <v>3.5</v>
          </cell>
          <cell r="AR154">
            <v>5250000</v>
          </cell>
        </row>
        <row r="155">
          <cell r="B155" t="str">
            <v>پخت کلاچ پراید</v>
          </cell>
          <cell r="C155" t="str">
            <v>قالب تعمیری</v>
          </cell>
          <cell r="AF155">
            <v>7.5</v>
          </cell>
          <cell r="AR155">
            <v>11250000</v>
          </cell>
        </row>
        <row r="156">
          <cell r="B156" t="str">
            <v>دریل یزدخواستی کلاچ</v>
          </cell>
          <cell r="C156" t="str">
            <v>قطعه نو</v>
          </cell>
          <cell r="AF156">
            <v>11</v>
          </cell>
          <cell r="AR156">
            <v>16500000</v>
          </cell>
        </row>
        <row r="157">
          <cell r="B157" t="str">
            <v>Hammer Mill Machine</v>
          </cell>
          <cell r="C157" t="str">
            <v>دستگاه نو</v>
          </cell>
          <cell r="AF157">
            <v>4.5</v>
          </cell>
          <cell r="AR157">
            <v>3375000</v>
          </cell>
        </row>
        <row r="158">
          <cell r="B158" t="str">
            <v>قالب پخت کلاچ پیکان آرژانتینی</v>
          </cell>
          <cell r="C158" t="str">
            <v>قالب تعمیری</v>
          </cell>
          <cell r="AF158">
            <v>6.5</v>
          </cell>
          <cell r="AR158">
            <v>4875000</v>
          </cell>
        </row>
        <row r="159">
          <cell r="B159" t="str">
            <v>دستگاه پرس 600 تن</v>
          </cell>
          <cell r="C159" t="str">
            <v>قطعه نو</v>
          </cell>
          <cell r="AF159">
            <v>6</v>
          </cell>
          <cell r="AR159">
            <v>4500000</v>
          </cell>
        </row>
        <row r="160">
          <cell r="B160" t="str">
            <v>ساب کونیک</v>
          </cell>
          <cell r="C160" t="str">
            <v>قطعه تعمیری</v>
          </cell>
          <cell r="AF160">
            <v>2</v>
          </cell>
          <cell r="AR160">
            <v>1500000</v>
          </cell>
        </row>
        <row r="161">
          <cell r="B161" t="str">
            <v>ساب سمباده ای</v>
          </cell>
          <cell r="C161" t="str">
            <v>قطعه تعمیری</v>
          </cell>
          <cell r="AF161">
            <v>2</v>
          </cell>
          <cell r="AR161">
            <v>1500000</v>
          </cell>
        </row>
        <row r="162">
          <cell r="B162" t="str">
            <v>دستگاه پشم فلز چینی</v>
          </cell>
          <cell r="C162" t="str">
            <v>قطعه تعمیری</v>
          </cell>
          <cell r="AF162">
            <v>1</v>
          </cell>
          <cell r="AR162">
            <v>750000</v>
          </cell>
        </row>
        <row r="163">
          <cell r="B163" t="str">
            <v>قالب پخت کلاچ پیکان آرژانتینی</v>
          </cell>
          <cell r="C163" t="str">
            <v>قالب تعمیری</v>
          </cell>
          <cell r="AF163">
            <v>6</v>
          </cell>
          <cell r="AR163">
            <v>4500000</v>
          </cell>
        </row>
        <row r="164">
          <cell r="B164" t="str">
            <v>قالب فوتون 107</v>
          </cell>
          <cell r="C164" t="str">
            <v>قالب تعمیری</v>
          </cell>
          <cell r="H164">
            <v>1</v>
          </cell>
          <cell r="AF164">
            <v>4</v>
          </cell>
          <cell r="AR164">
            <v>3000000</v>
          </cell>
        </row>
        <row r="165">
          <cell r="B165" t="str">
            <v>قالب ترابوزا</v>
          </cell>
          <cell r="C165" t="str">
            <v>قالب تعمیری</v>
          </cell>
          <cell r="AF165">
            <v>11</v>
          </cell>
          <cell r="AR165">
            <v>8250000</v>
          </cell>
        </row>
        <row r="166">
          <cell r="B166" t="str">
            <v>صفحات 50*50 پخت کلاچ</v>
          </cell>
          <cell r="C166" t="str">
            <v>قالب تعمیری</v>
          </cell>
          <cell r="AF166">
            <v>3</v>
          </cell>
          <cell r="AR166">
            <v>2250000</v>
          </cell>
        </row>
        <row r="167">
          <cell r="B167" t="str">
            <v>پخت کلاچ پراید</v>
          </cell>
          <cell r="C167" t="str">
            <v>قالب تعمیری</v>
          </cell>
          <cell r="AF167">
            <v>3</v>
          </cell>
          <cell r="AR167">
            <v>2250000</v>
          </cell>
        </row>
        <row r="168">
          <cell r="B168" t="str">
            <v>قالب کوبه نک SAF</v>
          </cell>
          <cell r="C168" t="str">
            <v>قالب تعمیری</v>
          </cell>
          <cell r="H168">
            <v>1</v>
          </cell>
          <cell r="AF168">
            <v>3</v>
          </cell>
          <cell r="AR168">
            <v>2250000</v>
          </cell>
        </row>
        <row r="169">
          <cell r="B169" t="str">
            <v>قالب پخت کلاچ پیکان آرژانتینی</v>
          </cell>
          <cell r="C169" t="str">
            <v>قالب تعمیری</v>
          </cell>
          <cell r="AF169">
            <v>3.5</v>
          </cell>
          <cell r="AR169">
            <v>2625000</v>
          </cell>
        </row>
        <row r="170">
          <cell r="B170" t="str">
            <v>قالب پخت کلاچ تیبا چپ</v>
          </cell>
          <cell r="C170" t="str">
            <v>قالب تعمیری</v>
          </cell>
          <cell r="H170">
            <v>1</v>
          </cell>
          <cell r="AF170">
            <v>3</v>
          </cell>
          <cell r="AR170">
            <v>2250000</v>
          </cell>
        </row>
        <row r="171">
          <cell r="B171" t="str">
            <v>دستگاه پرس پخت</v>
          </cell>
          <cell r="C171" t="str">
            <v>قطعه تعمیری</v>
          </cell>
          <cell r="AF171">
            <v>1</v>
          </cell>
          <cell r="AR171">
            <v>750000</v>
          </cell>
        </row>
        <row r="172">
          <cell r="B172" t="str">
            <v>شمش پراید</v>
          </cell>
          <cell r="C172" t="str">
            <v>قالب نو</v>
          </cell>
          <cell r="AF172">
            <v>1</v>
          </cell>
          <cell r="AR172">
            <v>750000</v>
          </cell>
        </row>
        <row r="173">
          <cell r="B173" t="str">
            <v>پخت کلاچ پراید</v>
          </cell>
          <cell r="C173" t="str">
            <v>قالب تعمیری</v>
          </cell>
          <cell r="AF173">
            <v>1</v>
          </cell>
          <cell r="AR173">
            <v>750000</v>
          </cell>
        </row>
        <row r="174">
          <cell r="B174" t="str">
            <v>پخت کلاچ پراید</v>
          </cell>
          <cell r="C174" t="str">
            <v>قالب تعمیری</v>
          </cell>
          <cell r="AF174">
            <v>1.5</v>
          </cell>
          <cell r="AR174">
            <v>1125000</v>
          </cell>
        </row>
        <row r="175">
          <cell r="B175" t="str">
            <v>قالب پخت کلاچ پیکان آرژانتینی</v>
          </cell>
          <cell r="C175" t="str">
            <v>قالب تعمیری</v>
          </cell>
          <cell r="AF175">
            <v>3.5</v>
          </cell>
          <cell r="AR175">
            <v>2625000</v>
          </cell>
        </row>
        <row r="176">
          <cell r="B176" t="str">
            <v xml:space="preserve">پخت کلاچ پراید سکو </v>
          </cell>
          <cell r="C176" t="str">
            <v>قالب تعمیری</v>
          </cell>
          <cell r="H176" t="str">
            <v xml:space="preserve">MC30357-01S </v>
          </cell>
          <cell r="AF176">
            <v>6</v>
          </cell>
          <cell r="AR176">
            <v>4500000</v>
          </cell>
        </row>
        <row r="177">
          <cell r="B177" t="str">
            <v>قالب فوتون 107</v>
          </cell>
          <cell r="C177" t="str">
            <v>قالب تعمیری</v>
          </cell>
          <cell r="H177">
            <v>1</v>
          </cell>
          <cell r="AF177">
            <v>2.5</v>
          </cell>
          <cell r="AR177">
            <v>1875000</v>
          </cell>
        </row>
        <row r="178">
          <cell r="B178" t="str">
            <v>قالب عقب F12</v>
          </cell>
          <cell r="C178" t="str">
            <v>قالب نو</v>
          </cell>
          <cell r="AF178">
            <v>2</v>
          </cell>
          <cell r="AR178">
            <v>1500000</v>
          </cell>
        </row>
        <row r="179">
          <cell r="B179" t="str">
            <v xml:space="preserve">قالب پخت کلاچ پیکان </v>
          </cell>
          <cell r="C179" t="str">
            <v>قالب تعمیری</v>
          </cell>
          <cell r="AF179">
            <v>4</v>
          </cell>
          <cell r="AR179">
            <v>3000000</v>
          </cell>
        </row>
        <row r="180">
          <cell r="B180" t="str">
            <v>قالب توری پگاسوز</v>
          </cell>
          <cell r="C180" t="str">
            <v>قالب نو</v>
          </cell>
          <cell r="H180">
            <v>30425</v>
          </cell>
          <cell r="AF180">
            <v>2</v>
          </cell>
          <cell r="AR180">
            <v>1500000</v>
          </cell>
        </row>
        <row r="181">
          <cell r="B181" t="str">
            <v>قالب ولوو سوپر</v>
          </cell>
          <cell r="C181" t="str">
            <v>قالب تعمیری</v>
          </cell>
          <cell r="H181" t="str">
            <v>MH19562-01P</v>
          </cell>
          <cell r="AF181">
            <v>12</v>
          </cell>
          <cell r="AR181">
            <v>9000000</v>
          </cell>
        </row>
        <row r="182">
          <cell r="B182" t="str">
            <v>پخت کلاچ پراید</v>
          </cell>
          <cell r="C182" t="str">
            <v>قالب تعمیری</v>
          </cell>
          <cell r="H182" t="str">
            <v>MC30246-02s</v>
          </cell>
          <cell r="AF182">
            <v>12</v>
          </cell>
          <cell r="AR182">
            <v>9000000</v>
          </cell>
        </row>
        <row r="183">
          <cell r="B183" t="str">
            <v>دستگاه چسب زنی</v>
          </cell>
          <cell r="C183" t="str">
            <v>قطعه تعمیری</v>
          </cell>
          <cell r="AF183">
            <v>3</v>
          </cell>
          <cell r="AR183">
            <v>2250000</v>
          </cell>
        </row>
        <row r="184">
          <cell r="B184" t="str">
            <v>قالب ولوو سوپر</v>
          </cell>
          <cell r="C184" t="str">
            <v>قالب تعمیری</v>
          </cell>
          <cell r="H184" t="str">
            <v>MH19562-01P</v>
          </cell>
          <cell r="AF184">
            <v>8</v>
          </cell>
          <cell r="AR184">
            <v>6000000</v>
          </cell>
        </row>
        <row r="185">
          <cell r="B185" t="str">
            <v>دستگاه فرز</v>
          </cell>
          <cell r="C185" t="str">
            <v>قطعه تعمیری</v>
          </cell>
          <cell r="AF185">
            <v>6</v>
          </cell>
          <cell r="AR185">
            <v>4500000</v>
          </cell>
        </row>
        <row r="186">
          <cell r="B186" t="str">
            <v>قالب ولوو سوپر</v>
          </cell>
          <cell r="C186" t="str">
            <v>قالب تعمیری</v>
          </cell>
          <cell r="H186" t="str">
            <v>MH19562-01P</v>
          </cell>
          <cell r="AF186">
            <v>6.5</v>
          </cell>
          <cell r="AR186">
            <v>4875000</v>
          </cell>
        </row>
        <row r="187">
          <cell r="B187" t="str">
            <v>قالب ترابوزا</v>
          </cell>
          <cell r="C187" t="str">
            <v>قالب تعمیری</v>
          </cell>
          <cell r="AF187">
            <v>11</v>
          </cell>
          <cell r="AR187">
            <v>8250000</v>
          </cell>
        </row>
        <row r="188">
          <cell r="B188" t="str">
            <v>قالب پخت کلاچ پژو 405</v>
          </cell>
          <cell r="C188" t="str">
            <v>قالب تعمیری</v>
          </cell>
          <cell r="H188" t="str">
            <v>10S</v>
          </cell>
          <cell r="AF188">
            <v>2</v>
          </cell>
          <cell r="AR188">
            <v>3000000</v>
          </cell>
        </row>
        <row r="189">
          <cell r="B189" t="str">
            <v>قالب پخت کلاچ پژو 405</v>
          </cell>
          <cell r="C189" t="str">
            <v>قالب تعمیری</v>
          </cell>
          <cell r="H189" t="str">
            <v>10S</v>
          </cell>
          <cell r="AF189">
            <v>5</v>
          </cell>
          <cell r="AR189">
            <v>7500000</v>
          </cell>
        </row>
        <row r="190">
          <cell r="B190" t="str">
            <v>پخت کلاچ پراید</v>
          </cell>
          <cell r="C190" t="str">
            <v>قالب تعمیری</v>
          </cell>
          <cell r="AF190">
            <v>2.5</v>
          </cell>
          <cell r="AR190">
            <v>3750000</v>
          </cell>
        </row>
        <row r="191">
          <cell r="B191" t="str">
            <v>قالب پخت کلاچ پژو 405</v>
          </cell>
          <cell r="C191" t="str">
            <v>قالب تعمیری</v>
          </cell>
          <cell r="H191" t="str">
            <v>07S</v>
          </cell>
          <cell r="AF191">
            <v>5.5</v>
          </cell>
          <cell r="AR191">
            <v>8250000</v>
          </cell>
        </row>
        <row r="192">
          <cell r="B192" t="str">
            <v>پخت کلاچ پراید</v>
          </cell>
          <cell r="C192" t="str">
            <v>قالب تعمیری</v>
          </cell>
          <cell r="AF192">
            <v>3</v>
          </cell>
          <cell r="AR192">
            <v>4500000</v>
          </cell>
        </row>
        <row r="193">
          <cell r="B193" t="str">
            <v>قالب پخت کلاچ پژو 405</v>
          </cell>
          <cell r="C193" t="str">
            <v>قالب تعمیری</v>
          </cell>
          <cell r="H193" t="str">
            <v>07S</v>
          </cell>
          <cell r="AF193">
            <v>7</v>
          </cell>
          <cell r="AR193">
            <v>5250000</v>
          </cell>
        </row>
        <row r="194">
          <cell r="B194" t="str">
            <v>Hammer Mill Machine</v>
          </cell>
          <cell r="C194" t="str">
            <v>دستگاه نو</v>
          </cell>
          <cell r="AF194">
            <v>2</v>
          </cell>
          <cell r="AR194">
            <v>1500000</v>
          </cell>
        </row>
        <row r="195">
          <cell r="B195" t="str">
            <v>دریل یزدخواستی کلاچ</v>
          </cell>
          <cell r="C195" t="str">
            <v>قطعه نو</v>
          </cell>
          <cell r="AF195">
            <v>5.5</v>
          </cell>
          <cell r="AR195">
            <v>8250000</v>
          </cell>
        </row>
        <row r="196">
          <cell r="B196" t="str">
            <v>Hammer Mill Machine</v>
          </cell>
          <cell r="C196" t="str">
            <v>دستگاه نو</v>
          </cell>
          <cell r="AF196">
            <v>5.5</v>
          </cell>
          <cell r="AR196">
            <v>8250000</v>
          </cell>
        </row>
        <row r="197">
          <cell r="B197" t="str">
            <v>دستگاه پرس 600 تن</v>
          </cell>
          <cell r="C197" t="str">
            <v>قطعه نو</v>
          </cell>
          <cell r="AF197">
            <v>4</v>
          </cell>
          <cell r="AR197">
            <v>3000000</v>
          </cell>
        </row>
        <row r="198">
          <cell r="B198" t="str">
            <v>ساب کونیک</v>
          </cell>
          <cell r="C198" t="str">
            <v>قطعه تعمیری</v>
          </cell>
          <cell r="AF198">
            <v>2</v>
          </cell>
          <cell r="AR198">
            <v>1500000</v>
          </cell>
        </row>
        <row r="199">
          <cell r="B199" t="str">
            <v>دستگاه پشم فلز آلمانی</v>
          </cell>
          <cell r="C199" t="str">
            <v>قطعه تعمیری</v>
          </cell>
          <cell r="AF199">
            <v>2</v>
          </cell>
          <cell r="AR199">
            <v>1500000</v>
          </cell>
        </row>
        <row r="200">
          <cell r="B200" t="str">
            <v>دستگاه پشم فلز چینی</v>
          </cell>
          <cell r="C200" t="str">
            <v>قطعه تعمیری</v>
          </cell>
          <cell r="AF200">
            <v>3</v>
          </cell>
          <cell r="AR200">
            <v>2250000</v>
          </cell>
        </row>
        <row r="201">
          <cell r="B201" t="str">
            <v>صفحات 50*50 پخت کلاچ</v>
          </cell>
          <cell r="C201" t="str">
            <v>قالب تعمیری</v>
          </cell>
          <cell r="AF201">
            <v>11</v>
          </cell>
          <cell r="AR201">
            <v>8250000</v>
          </cell>
        </row>
        <row r="202">
          <cell r="B202" t="str">
            <v>قالب ترابوزا</v>
          </cell>
          <cell r="C202" t="str">
            <v>قالب تعمیری</v>
          </cell>
          <cell r="AF202">
            <v>4</v>
          </cell>
          <cell r="AR202">
            <v>3000000</v>
          </cell>
        </row>
        <row r="203">
          <cell r="B203" t="str">
            <v>قالب ولوو سوپر</v>
          </cell>
          <cell r="C203" t="str">
            <v>قالب تعمیری</v>
          </cell>
          <cell r="H203" t="str">
            <v>MH19562-01P</v>
          </cell>
          <cell r="AF203">
            <v>1</v>
          </cell>
          <cell r="AR203">
            <v>750000</v>
          </cell>
        </row>
        <row r="204">
          <cell r="B204" t="str">
            <v>پخت کلاچ پراید</v>
          </cell>
          <cell r="C204" t="str">
            <v>قالب تعمیری</v>
          </cell>
          <cell r="AF204">
            <v>2</v>
          </cell>
          <cell r="AR204">
            <v>1500000</v>
          </cell>
        </row>
        <row r="205">
          <cell r="B205" t="str">
            <v>پخت کلاچ پراید</v>
          </cell>
          <cell r="C205" t="str">
            <v>قالب تعمیری</v>
          </cell>
          <cell r="AF205">
            <v>1</v>
          </cell>
          <cell r="AR205">
            <v>750000</v>
          </cell>
        </row>
        <row r="206">
          <cell r="B206" t="str">
            <v xml:space="preserve">پخت کلاچ پراید سکو </v>
          </cell>
          <cell r="C206" t="str">
            <v>قالب تعمیری</v>
          </cell>
          <cell r="H206" t="str">
            <v xml:space="preserve">MC30357-01S </v>
          </cell>
          <cell r="AF206">
            <v>3.5</v>
          </cell>
          <cell r="AR206">
            <v>2625000</v>
          </cell>
        </row>
        <row r="207">
          <cell r="B207" t="str">
            <v>قالب فوتون 107</v>
          </cell>
          <cell r="C207" t="str">
            <v>قالب تعمیری</v>
          </cell>
          <cell r="H207">
            <v>1</v>
          </cell>
          <cell r="AF207">
            <v>1</v>
          </cell>
          <cell r="AR207">
            <v>750000</v>
          </cell>
        </row>
        <row r="208">
          <cell r="B208" t="str">
            <v>پخت کلاچ ده تن</v>
          </cell>
          <cell r="C208" t="str">
            <v>قالب تعمیری</v>
          </cell>
          <cell r="H208" t="str">
            <v>MC30298-01s</v>
          </cell>
          <cell r="AF208">
            <v>2</v>
          </cell>
          <cell r="AR208">
            <v>1500000</v>
          </cell>
        </row>
        <row r="209">
          <cell r="B209" t="str">
            <v>ویوینگ</v>
          </cell>
          <cell r="C209" t="str">
            <v>قطعه تعمیری</v>
          </cell>
          <cell r="AF209">
            <v>1</v>
          </cell>
          <cell r="AR209">
            <v>750000</v>
          </cell>
        </row>
        <row r="210">
          <cell r="B210" t="str">
            <v xml:space="preserve">قالب پخت کلاچ پیکان </v>
          </cell>
          <cell r="C210" t="str">
            <v>قالب تعمیری</v>
          </cell>
          <cell r="AF210">
            <v>1.5</v>
          </cell>
          <cell r="AR210">
            <v>1125000</v>
          </cell>
        </row>
        <row r="211">
          <cell r="B211" t="str">
            <v>قالب فوتون 107</v>
          </cell>
          <cell r="C211" t="str">
            <v>قالب تعمیری</v>
          </cell>
          <cell r="H211">
            <v>1</v>
          </cell>
          <cell r="AF211">
            <v>5</v>
          </cell>
          <cell r="AR211">
            <v>3750000</v>
          </cell>
        </row>
        <row r="212">
          <cell r="B212" t="str">
            <v>قالب فوتون 107</v>
          </cell>
          <cell r="C212" t="str">
            <v>قالب تعمیری</v>
          </cell>
          <cell r="H212">
            <v>1</v>
          </cell>
          <cell r="AF212">
            <v>2</v>
          </cell>
          <cell r="AR212">
            <v>1500000</v>
          </cell>
        </row>
        <row r="213">
          <cell r="B213" t="str">
            <v>قالب فوتون 107</v>
          </cell>
          <cell r="C213" t="str">
            <v>قالب تعمیری</v>
          </cell>
          <cell r="H213">
            <v>1</v>
          </cell>
          <cell r="AF213">
            <v>2</v>
          </cell>
          <cell r="AR213">
            <v>1500000</v>
          </cell>
        </row>
        <row r="214">
          <cell r="B214" t="str">
            <v>قالب فوتون 107</v>
          </cell>
          <cell r="C214" t="str">
            <v>قالب تعمیری</v>
          </cell>
          <cell r="H214">
            <v>1</v>
          </cell>
          <cell r="AF214">
            <v>2</v>
          </cell>
          <cell r="AR214">
            <v>1500000</v>
          </cell>
        </row>
        <row r="215">
          <cell r="B215" t="str">
            <v>قالب ولوو سوپر</v>
          </cell>
          <cell r="C215" t="str">
            <v>قالب تعمیری</v>
          </cell>
          <cell r="H215" t="str">
            <v>MH19562-01P</v>
          </cell>
          <cell r="AF215">
            <v>11</v>
          </cell>
          <cell r="AR215">
            <v>8250000</v>
          </cell>
        </row>
        <row r="216">
          <cell r="B216" t="str">
            <v xml:space="preserve">قالب پخت کلاچ پیکان </v>
          </cell>
          <cell r="C216" t="str">
            <v>قالب تعمیری</v>
          </cell>
          <cell r="AF216">
            <v>11</v>
          </cell>
          <cell r="AR216">
            <v>8250000</v>
          </cell>
        </row>
        <row r="217">
          <cell r="B217" t="str">
            <v xml:space="preserve">قالب پخت کلاچ پیکان </v>
          </cell>
          <cell r="C217" t="str">
            <v>قالب تعمیری</v>
          </cell>
          <cell r="AF217">
            <v>2</v>
          </cell>
          <cell r="AR217">
            <v>1500000</v>
          </cell>
        </row>
        <row r="218">
          <cell r="B218" t="str">
            <v>قالب توری پگاسوز</v>
          </cell>
          <cell r="C218" t="str">
            <v>قالب نو</v>
          </cell>
          <cell r="H218">
            <v>30425</v>
          </cell>
          <cell r="AF218">
            <v>2</v>
          </cell>
          <cell r="AR218">
            <v>1500000</v>
          </cell>
        </row>
        <row r="219">
          <cell r="B219" t="str">
            <v>پخت کلاچ پراید</v>
          </cell>
          <cell r="C219" t="str">
            <v>قالب تعمیری</v>
          </cell>
          <cell r="AF219">
            <v>1.5</v>
          </cell>
          <cell r="AR219">
            <v>1125000</v>
          </cell>
        </row>
        <row r="220">
          <cell r="B220" t="str">
            <v xml:space="preserve">قالب پخت کلاچ پیکان </v>
          </cell>
          <cell r="C220" t="str">
            <v>قالب تعمیری</v>
          </cell>
          <cell r="AF220">
            <v>2.5</v>
          </cell>
          <cell r="AR220">
            <v>1875000</v>
          </cell>
        </row>
        <row r="221">
          <cell r="B221" t="str">
            <v>دستگاه مهر زنی</v>
          </cell>
          <cell r="C221" t="str">
            <v>قطعه تعمیری</v>
          </cell>
          <cell r="AF221">
            <v>1</v>
          </cell>
          <cell r="AR221">
            <v>750000</v>
          </cell>
        </row>
        <row r="222">
          <cell r="B222" t="str">
            <v>قالب پخت کلاچ پژو 405</v>
          </cell>
          <cell r="C222" t="str">
            <v>قالب تعمیری</v>
          </cell>
          <cell r="H222" t="str">
            <v>07S</v>
          </cell>
          <cell r="AF222">
            <v>1.5</v>
          </cell>
          <cell r="AR222">
            <v>1125000</v>
          </cell>
        </row>
        <row r="223">
          <cell r="B223" t="str">
            <v>پخت کلاچ ده تن</v>
          </cell>
          <cell r="C223" t="str">
            <v>قالب تعمیری</v>
          </cell>
          <cell r="H223" t="str">
            <v>MC30298-01s</v>
          </cell>
          <cell r="AF223">
            <v>1</v>
          </cell>
          <cell r="AR223">
            <v>750000</v>
          </cell>
        </row>
        <row r="224">
          <cell r="B224" t="str">
            <v>پخت کلاچ پراید</v>
          </cell>
          <cell r="C224" t="str">
            <v>قالب تعمیری</v>
          </cell>
          <cell r="AF224">
            <v>2</v>
          </cell>
          <cell r="AR224">
            <v>1500000</v>
          </cell>
        </row>
        <row r="225">
          <cell r="B225" t="str">
            <v>پخت کلاچ ده تن</v>
          </cell>
          <cell r="C225" t="str">
            <v>قالب تعمیری</v>
          </cell>
          <cell r="H225" t="str">
            <v>MC30298-01s</v>
          </cell>
          <cell r="AF225">
            <v>1</v>
          </cell>
          <cell r="AR225">
            <v>750000</v>
          </cell>
        </row>
        <row r="226">
          <cell r="B226" t="str">
            <v>پخت کلاچ پراید</v>
          </cell>
          <cell r="C226" t="str">
            <v>قالب تعمیری</v>
          </cell>
          <cell r="AF226">
            <v>7.5</v>
          </cell>
          <cell r="AR226">
            <v>11250000</v>
          </cell>
        </row>
        <row r="227">
          <cell r="B227" t="str">
            <v>قالب ترابوزا</v>
          </cell>
          <cell r="C227" t="str">
            <v>قالب تعمیری</v>
          </cell>
          <cell r="AF227">
            <v>7.5</v>
          </cell>
          <cell r="AR227">
            <v>5625000</v>
          </cell>
        </row>
        <row r="228">
          <cell r="B228" t="str">
            <v>Hammer Mill Machine</v>
          </cell>
          <cell r="C228" t="str">
            <v>دستگاه نو</v>
          </cell>
          <cell r="AF228">
            <v>5.5</v>
          </cell>
          <cell r="AR228">
            <v>8250000</v>
          </cell>
        </row>
        <row r="229">
          <cell r="B229" t="str">
            <v>پخت کلاچ ده تن</v>
          </cell>
          <cell r="C229" t="str">
            <v>قالب تعمیری</v>
          </cell>
          <cell r="H229" t="str">
            <v>MC30298-01s</v>
          </cell>
          <cell r="AF229">
            <v>2</v>
          </cell>
          <cell r="AR229">
            <v>3000000</v>
          </cell>
        </row>
        <row r="230">
          <cell r="B230" t="str">
            <v>پخت کلاچ ده تن</v>
          </cell>
          <cell r="C230" t="str">
            <v>قالب تعمیری</v>
          </cell>
          <cell r="H230" t="str">
            <v>MC30298-01s</v>
          </cell>
          <cell r="AF230">
            <v>3</v>
          </cell>
          <cell r="AR230">
            <v>4500000</v>
          </cell>
        </row>
        <row r="231">
          <cell r="B231" t="str">
            <v>صفحات 50*50 پخت کلاچ</v>
          </cell>
          <cell r="C231" t="str">
            <v>قالب تعمیری</v>
          </cell>
          <cell r="AF231">
            <v>7.5</v>
          </cell>
          <cell r="AR231">
            <v>5625000</v>
          </cell>
        </row>
        <row r="232">
          <cell r="B232" t="str">
            <v>قالب ترابوزا</v>
          </cell>
          <cell r="C232" t="str">
            <v>قالب تعمیری</v>
          </cell>
          <cell r="AF232">
            <v>3.6666666666666665</v>
          </cell>
          <cell r="AR232">
            <v>2750000</v>
          </cell>
        </row>
        <row r="233">
          <cell r="B233" t="str">
            <v>قالب ولوو سوپر</v>
          </cell>
          <cell r="C233" t="str">
            <v>قالب تعمیری</v>
          </cell>
          <cell r="H233" t="str">
            <v>MH19562-01P</v>
          </cell>
          <cell r="AF233">
            <v>3.8333333333333335</v>
          </cell>
          <cell r="AR233">
            <v>2875000</v>
          </cell>
        </row>
        <row r="234">
          <cell r="B234" t="str">
            <v>Hammer Mill Machine</v>
          </cell>
          <cell r="C234" t="str">
            <v>دستگاه نو</v>
          </cell>
          <cell r="AF234">
            <v>3</v>
          </cell>
          <cell r="AR234">
            <v>2250000</v>
          </cell>
        </row>
        <row r="235">
          <cell r="B235" t="str">
            <v>پخت کلاچ پراید</v>
          </cell>
          <cell r="C235" t="str">
            <v>قالب تعمیری</v>
          </cell>
          <cell r="AF235">
            <v>2</v>
          </cell>
          <cell r="AR235">
            <v>1500000</v>
          </cell>
        </row>
        <row r="236">
          <cell r="B236" t="str">
            <v>سری نقطه جوش</v>
          </cell>
          <cell r="C236" t="str">
            <v>قطعه تعمیری</v>
          </cell>
          <cell r="AF236">
            <v>1</v>
          </cell>
          <cell r="AR236">
            <v>750000</v>
          </cell>
        </row>
        <row r="237">
          <cell r="B237" t="str">
            <v>پخت کلاچ پراید</v>
          </cell>
          <cell r="C237" t="str">
            <v>قالب تعمیری</v>
          </cell>
          <cell r="AF237">
            <v>1</v>
          </cell>
          <cell r="AR237">
            <v>750000</v>
          </cell>
        </row>
        <row r="238">
          <cell r="B238" t="str">
            <v>دستگاه پشم فلز</v>
          </cell>
          <cell r="C238" t="str">
            <v>قطعه تعمیری</v>
          </cell>
          <cell r="AF238">
            <v>5</v>
          </cell>
          <cell r="AR238">
            <v>3750000</v>
          </cell>
        </row>
        <row r="239">
          <cell r="B239" t="str">
            <v xml:space="preserve">قالب پخت کلاچ پیکان </v>
          </cell>
          <cell r="C239" t="str">
            <v>قالب تعمیری</v>
          </cell>
          <cell r="AF239">
            <v>8</v>
          </cell>
          <cell r="AR239">
            <v>6000000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AF240">
            <v>3</v>
          </cell>
          <cell r="AR240">
            <v>2250000</v>
          </cell>
        </row>
        <row r="241">
          <cell r="B241" t="str">
            <v xml:space="preserve">قالب پخت کلاچ پیکان </v>
          </cell>
          <cell r="C241" t="str">
            <v>قالب تعمیری</v>
          </cell>
          <cell r="AF241">
            <v>5</v>
          </cell>
          <cell r="AR241">
            <v>3750000</v>
          </cell>
        </row>
        <row r="242">
          <cell r="B242" t="str">
            <v>پخت کلاچ پراید</v>
          </cell>
          <cell r="C242" t="str">
            <v>قالب تعمیری</v>
          </cell>
          <cell r="H242" t="str">
            <v>02S</v>
          </cell>
          <cell r="AF242">
            <v>3</v>
          </cell>
          <cell r="AR242">
            <v>2250000</v>
          </cell>
        </row>
        <row r="243">
          <cell r="B243" t="str">
            <v>پخت کلاچ پراید</v>
          </cell>
          <cell r="C243" t="str">
            <v>قالب تعمیری</v>
          </cell>
          <cell r="H243" t="str">
            <v>02S</v>
          </cell>
          <cell r="AF243">
            <v>2</v>
          </cell>
          <cell r="AR243">
            <v>1500000</v>
          </cell>
        </row>
        <row r="244">
          <cell r="B244" t="str">
            <v>قالب پخت کلاچ پژو 405</v>
          </cell>
          <cell r="C244" t="str">
            <v>قالب تعمیری</v>
          </cell>
          <cell r="H244" t="str">
            <v>07S</v>
          </cell>
          <cell r="AF244">
            <v>1.5</v>
          </cell>
          <cell r="AR244">
            <v>1125000</v>
          </cell>
        </row>
        <row r="245">
          <cell r="B245" t="str">
            <v>اصول 5S</v>
          </cell>
          <cell r="C245" t="str">
            <v>نظافت</v>
          </cell>
          <cell r="AF245">
            <v>1</v>
          </cell>
          <cell r="AR245">
            <v>750000</v>
          </cell>
        </row>
        <row r="246">
          <cell r="B246" t="str">
            <v>پخت کلاچ پژو 206 TU5</v>
          </cell>
          <cell r="C246" t="str">
            <v>قالب تعمیری</v>
          </cell>
          <cell r="H246" t="str">
            <v>MC30334-01s</v>
          </cell>
          <cell r="AF246">
            <v>4</v>
          </cell>
          <cell r="AR246">
            <v>3000000</v>
          </cell>
        </row>
        <row r="247">
          <cell r="B247" t="str">
            <v>پخت کلاچ پراید</v>
          </cell>
          <cell r="C247" t="str">
            <v>قالب تعمیری</v>
          </cell>
          <cell r="H247" t="str">
            <v>02S</v>
          </cell>
          <cell r="AF247">
            <v>1</v>
          </cell>
          <cell r="AR247">
            <v>750000</v>
          </cell>
        </row>
        <row r="248">
          <cell r="B248" t="str">
            <v>قالب پخت کلاچ پژو 405</v>
          </cell>
          <cell r="C248" t="str">
            <v>قالب تعمیری</v>
          </cell>
          <cell r="H248" t="str">
            <v>07S</v>
          </cell>
          <cell r="AF248">
            <v>1.5</v>
          </cell>
          <cell r="AR248">
            <v>1125000</v>
          </cell>
        </row>
        <row r="249">
          <cell r="B249" t="str">
            <v>شیرینگ</v>
          </cell>
          <cell r="C249" t="str">
            <v>قطعه تعمیری</v>
          </cell>
          <cell r="AF249">
            <v>0.5</v>
          </cell>
          <cell r="AR249">
            <v>375000</v>
          </cell>
        </row>
        <row r="250">
          <cell r="B250" t="str">
            <v>دستگاه پشم فلز</v>
          </cell>
          <cell r="C250" t="str">
            <v>قطعه تعمیری</v>
          </cell>
          <cell r="AF250">
            <v>3</v>
          </cell>
          <cell r="AR250">
            <v>2250000</v>
          </cell>
        </row>
        <row r="251">
          <cell r="B251" t="str">
            <v>پخت کلاچ پژو 206 TU5</v>
          </cell>
          <cell r="C251" t="str">
            <v>قالب تعمیری</v>
          </cell>
          <cell r="H251" t="str">
            <v>MC30334-01s</v>
          </cell>
          <cell r="AF251">
            <v>1.5</v>
          </cell>
          <cell r="AR251">
            <v>1125000</v>
          </cell>
        </row>
        <row r="252">
          <cell r="B252" t="str">
            <v>پخت کلاچ FH</v>
          </cell>
          <cell r="C252" t="str">
            <v>قالب تعمیری</v>
          </cell>
          <cell r="H252">
            <v>1</v>
          </cell>
          <cell r="AF252">
            <v>1</v>
          </cell>
          <cell r="AR252">
            <v>750000</v>
          </cell>
        </row>
        <row r="253">
          <cell r="B253" t="str">
            <v>پخت کلاچ ده تن</v>
          </cell>
          <cell r="C253" t="str">
            <v>قالب تعمیری</v>
          </cell>
          <cell r="H253" t="str">
            <v>MC30298-01s</v>
          </cell>
          <cell r="AF253">
            <v>1</v>
          </cell>
          <cell r="AR253">
            <v>750000</v>
          </cell>
        </row>
        <row r="254">
          <cell r="B254" t="str">
            <v>پخت کلاچ پژو 206 TU5</v>
          </cell>
          <cell r="C254" t="str">
            <v>قالب تعمیری</v>
          </cell>
          <cell r="H254" t="str">
            <v>MC30334-01s</v>
          </cell>
          <cell r="AF254">
            <v>4</v>
          </cell>
          <cell r="AR254">
            <v>3000000</v>
          </cell>
        </row>
        <row r="255">
          <cell r="B255" t="str">
            <v>پخت کلاچ پراید</v>
          </cell>
          <cell r="C255" t="str">
            <v>قالب تعمیری</v>
          </cell>
          <cell r="H255" t="str">
            <v>02S</v>
          </cell>
          <cell r="AF255">
            <v>2</v>
          </cell>
          <cell r="AR255">
            <v>1500000</v>
          </cell>
        </row>
        <row r="256">
          <cell r="B256" t="str">
            <v>پخت کلاچ پراید</v>
          </cell>
          <cell r="C256" t="str">
            <v>قالب تعمیری</v>
          </cell>
          <cell r="H256" t="str">
            <v>02S</v>
          </cell>
          <cell r="AF256">
            <v>0.5</v>
          </cell>
          <cell r="AR256">
            <v>375000</v>
          </cell>
        </row>
        <row r="257">
          <cell r="B257" t="str">
            <v>صفحات 50*50 پخت کلاچ</v>
          </cell>
          <cell r="C257" t="str">
            <v>قالب تعمیری</v>
          </cell>
          <cell r="AF257">
            <v>9</v>
          </cell>
          <cell r="AR257">
            <v>6750000</v>
          </cell>
        </row>
        <row r="258">
          <cell r="B258" t="str">
            <v>پخت کلاچ پژو 206 TU5</v>
          </cell>
          <cell r="C258" t="str">
            <v>قالب تعمیری</v>
          </cell>
          <cell r="H258" t="str">
            <v>MC30334-01s</v>
          </cell>
          <cell r="AF258">
            <v>2</v>
          </cell>
          <cell r="AR258">
            <v>1500000</v>
          </cell>
        </row>
        <row r="259">
          <cell r="B259" t="str">
            <v>پخت کلاچ پراید</v>
          </cell>
          <cell r="C259" t="str">
            <v>قالب تعمیری</v>
          </cell>
          <cell r="H259" t="str">
            <v>02S</v>
          </cell>
          <cell r="AF259">
            <v>1</v>
          </cell>
          <cell r="AR259">
            <v>750000</v>
          </cell>
        </row>
        <row r="260">
          <cell r="B260" t="str">
            <v>پخت کلاچ پژو 206 TU5</v>
          </cell>
          <cell r="C260" t="str">
            <v>قالب تعمیری</v>
          </cell>
          <cell r="H260" t="str">
            <v>MC30334-01s</v>
          </cell>
          <cell r="AF260">
            <v>1</v>
          </cell>
          <cell r="AR260">
            <v>750000</v>
          </cell>
        </row>
        <row r="261">
          <cell r="B261" t="str">
            <v>دستگاه پشم فلز</v>
          </cell>
          <cell r="C261" t="str">
            <v>قطعه تعمیری</v>
          </cell>
          <cell r="AF261">
            <v>4</v>
          </cell>
          <cell r="AR261">
            <v>3000000</v>
          </cell>
        </row>
        <row r="262">
          <cell r="B262" t="str">
            <v>پخت کلاچ پراید</v>
          </cell>
          <cell r="C262" t="str">
            <v>قالب تعمیری</v>
          </cell>
          <cell r="H262" t="str">
            <v>02S</v>
          </cell>
          <cell r="AF262">
            <v>5.5</v>
          </cell>
          <cell r="AR262">
            <v>4125000</v>
          </cell>
        </row>
        <row r="263">
          <cell r="B263" t="str">
            <v>پخت کلاچ پراید</v>
          </cell>
          <cell r="C263" t="str">
            <v>قالب تعمیری</v>
          </cell>
          <cell r="H263" t="str">
            <v>02S</v>
          </cell>
          <cell r="AF263">
            <v>5.5</v>
          </cell>
          <cell r="AR263">
            <v>4125000</v>
          </cell>
        </row>
        <row r="264">
          <cell r="B264" t="str">
            <v>دستگاه پرس پخت</v>
          </cell>
          <cell r="C264" t="str">
            <v>قطعه تعمیری</v>
          </cell>
          <cell r="AF264">
            <v>11</v>
          </cell>
          <cell r="AR264">
            <v>8250000</v>
          </cell>
        </row>
        <row r="265">
          <cell r="B265" t="str">
            <v>صفحه قالب یدک
700*500*65</v>
          </cell>
          <cell r="C265" t="str">
            <v>قطعه نو</v>
          </cell>
          <cell r="AF265">
            <v>11</v>
          </cell>
          <cell r="AR265">
            <v>8250000</v>
          </cell>
        </row>
        <row r="266">
          <cell r="B266" t="str">
            <v>پخت کلاچ پراید</v>
          </cell>
          <cell r="C266" t="str">
            <v>قالب تعمیری</v>
          </cell>
          <cell r="H266" t="str">
            <v>02S</v>
          </cell>
          <cell r="AF266">
            <v>3</v>
          </cell>
          <cell r="AR266">
            <v>2250000</v>
          </cell>
        </row>
        <row r="267">
          <cell r="B267" t="str">
            <v>پخت کلاچ پراید</v>
          </cell>
          <cell r="C267" t="str">
            <v>قالب تعمیری</v>
          </cell>
          <cell r="H267" t="str">
            <v>02S</v>
          </cell>
          <cell r="AF267">
            <v>2</v>
          </cell>
          <cell r="AR267">
            <v>1500000</v>
          </cell>
        </row>
        <row r="268">
          <cell r="B268" t="str">
            <v>قالب پخت کلاچ پژو 405</v>
          </cell>
          <cell r="C268" t="str">
            <v>قالب تعمیری</v>
          </cell>
          <cell r="AF268">
            <v>2</v>
          </cell>
          <cell r="AR268">
            <v>1500000</v>
          </cell>
        </row>
        <row r="269">
          <cell r="B269" t="str">
            <v>قالب پخت کلاچ پژو 405</v>
          </cell>
          <cell r="C269" t="str">
            <v>قالب تعمیری</v>
          </cell>
          <cell r="AF269">
            <v>2</v>
          </cell>
          <cell r="AR269">
            <v>1500000</v>
          </cell>
        </row>
        <row r="270">
          <cell r="B270" t="str">
            <v>قالب توری پگاسوز</v>
          </cell>
          <cell r="C270" t="str">
            <v>قالب نو</v>
          </cell>
          <cell r="H270">
            <v>30425</v>
          </cell>
          <cell r="AF270">
            <v>2</v>
          </cell>
          <cell r="AR270">
            <v>1500000</v>
          </cell>
        </row>
        <row r="271">
          <cell r="B271" t="str">
            <v>پخت کلاچ ده تن</v>
          </cell>
          <cell r="C271" t="str">
            <v>قالب تعمیری</v>
          </cell>
          <cell r="H271" t="str">
            <v>MC30298-01s</v>
          </cell>
          <cell r="AF271">
            <v>2</v>
          </cell>
          <cell r="AR271">
            <v>1500000</v>
          </cell>
        </row>
        <row r="272">
          <cell r="B272" t="str">
            <v>پخت کلاچ پراید</v>
          </cell>
          <cell r="C272" t="str">
            <v>قالب تعمیری</v>
          </cell>
          <cell r="H272" t="str">
            <v>02S</v>
          </cell>
          <cell r="AF272">
            <v>2</v>
          </cell>
          <cell r="AR272">
            <v>1500000</v>
          </cell>
        </row>
        <row r="273">
          <cell r="B273" t="str">
            <v>پخت کلاچ پراید</v>
          </cell>
          <cell r="C273" t="str">
            <v>قالب تعمیری</v>
          </cell>
          <cell r="H273" t="str">
            <v>02S</v>
          </cell>
          <cell r="AF273">
            <v>3</v>
          </cell>
          <cell r="AR273">
            <v>2250000</v>
          </cell>
        </row>
        <row r="274">
          <cell r="B274" t="str">
            <v>قالب پخت کلاچ پژو 405</v>
          </cell>
          <cell r="C274" t="str">
            <v>قالب تعمیری</v>
          </cell>
          <cell r="AF274">
            <v>3</v>
          </cell>
          <cell r="AR274">
            <v>2250000</v>
          </cell>
        </row>
        <row r="275">
          <cell r="B275" t="str">
            <v>قالب پخت کلاچ پژو 405</v>
          </cell>
          <cell r="C275" t="str">
            <v>قالب تعمیری</v>
          </cell>
          <cell r="AF275">
            <v>3</v>
          </cell>
          <cell r="AR275">
            <v>2250000</v>
          </cell>
        </row>
        <row r="276">
          <cell r="B276" t="str">
            <v>پخت کلاچ پراید</v>
          </cell>
          <cell r="C276" t="str">
            <v>قالب تعمیری</v>
          </cell>
          <cell r="H276" t="str">
            <v>02S</v>
          </cell>
          <cell r="AF276">
            <v>2.5</v>
          </cell>
          <cell r="AR276">
            <v>1875000</v>
          </cell>
        </row>
        <row r="277">
          <cell r="B277" t="str">
            <v>تخته لنت صنعتی</v>
          </cell>
          <cell r="C277" t="str">
            <v>قطعه تعمیری</v>
          </cell>
          <cell r="AF277">
            <v>1.5</v>
          </cell>
          <cell r="AR277">
            <v>1125000</v>
          </cell>
        </row>
        <row r="278">
          <cell r="B278" t="str">
            <v>موتور</v>
          </cell>
          <cell r="C278" t="str">
            <v>قطعه تعمیری</v>
          </cell>
          <cell r="AF278">
            <v>1</v>
          </cell>
          <cell r="AR278">
            <v>750000</v>
          </cell>
        </row>
        <row r="279">
          <cell r="B279" t="str">
            <v>قالب پخت کلاچ پژو 405</v>
          </cell>
          <cell r="C279" t="str">
            <v>قالب تعمیری</v>
          </cell>
          <cell r="AF279">
            <v>2</v>
          </cell>
          <cell r="AR279">
            <v>1500000</v>
          </cell>
        </row>
        <row r="280">
          <cell r="B280" t="str">
            <v>پخت کلاچ FH</v>
          </cell>
          <cell r="C280" t="str">
            <v>قالب تعمیری</v>
          </cell>
          <cell r="H280">
            <v>1</v>
          </cell>
          <cell r="AF280">
            <v>2</v>
          </cell>
          <cell r="AR280">
            <v>1500000</v>
          </cell>
        </row>
        <row r="281">
          <cell r="B281" t="str">
            <v>قالب ترابوزا</v>
          </cell>
          <cell r="C281" t="str">
            <v>قالب تعمیری</v>
          </cell>
          <cell r="AF281">
            <v>2</v>
          </cell>
          <cell r="AR281">
            <v>1500000</v>
          </cell>
        </row>
        <row r="282">
          <cell r="B282" t="str">
            <v>قالب پخت کلاچ تیبا چپ</v>
          </cell>
          <cell r="C282" t="str">
            <v>قالب تعمیری</v>
          </cell>
          <cell r="H282">
            <v>1</v>
          </cell>
          <cell r="AF282">
            <v>2</v>
          </cell>
          <cell r="AR282">
            <v>1500000</v>
          </cell>
        </row>
        <row r="283">
          <cell r="B283" t="str">
            <v>سوراخکاری پیلسان</v>
          </cell>
          <cell r="C283" t="str">
            <v>قطعه نو</v>
          </cell>
          <cell r="AF283">
            <v>11</v>
          </cell>
          <cell r="AR283">
            <v>16500000</v>
          </cell>
        </row>
        <row r="284">
          <cell r="B284" t="str">
            <v xml:space="preserve">قالب پخت کلاچ پیکان </v>
          </cell>
          <cell r="C284" t="str">
            <v>قالب تعمیری</v>
          </cell>
          <cell r="AF284">
            <v>5</v>
          </cell>
          <cell r="AR284">
            <v>7500000</v>
          </cell>
        </row>
        <row r="285">
          <cell r="B285" t="str">
            <v xml:space="preserve">قالب پخت کلاچ پیکان </v>
          </cell>
          <cell r="C285" t="str">
            <v>قالب تعمیری</v>
          </cell>
          <cell r="AF285">
            <v>5.5</v>
          </cell>
          <cell r="AR285">
            <v>8250000</v>
          </cell>
        </row>
        <row r="286">
          <cell r="B286" t="str">
            <v>قالب پخت کلاچ پژو 405</v>
          </cell>
          <cell r="C286" t="str">
            <v>قالب تعمیری</v>
          </cell>
          <cell r="AF286">
            <v>3</v>
          </cell>
          <cell r="AR286">
            <v>2250000</v>
          </cell>
        </row>
        <row r="287">
          <cell r="B287" t="str">
            <v>قالب پخت کلاچ پژو 405</v>
          </cell>
          <cell r="C287" t="str">
            <v>قالب تعمیری</v>
          </cell>
          <cell r="H287" t="str">
            <v>07S</v>
          </cell>
          <cell r="AF287">
            <v>2</v>
          </cell>
          <cell r="AR287">
            <v>1500000</v>
          </cell>
        </row>
        <row r="288">
          <cell r="B288" t="str">
            <v>قالب پخت کلاچ پژو 405</v>
          </cell>
          <cell r="C288" t="str">
            <v>قالب تعمیری</v>
          </cell>
          <cell r="H288" t="str">
            <v>07S</v>
          </cell>
          <cell r="AF288">
            <v>3</v>
          </cell>
          <cell r="AR288">
            <v>2250000</v>
          </cell>
        </row>
        <row r="289">
          <cell r="B289" t="str">
            <v>دستگاه سوپر دریل</v>
          </cell>
          <cell r="C289" t="str">
            <v>قطعه نو</v>
          </cell>
          <cell r="AF289">
            <v>2</v>
          </cell>
          <cell r="AR289">
            <v>1500000</v>
          </cell>
        </row>
        <row r="290">
          <cell r="B290" t="str">
            <v>دستگاه پشم فلز</v>
          </cell>
          <cell r="C290" t="str">
            <v>قطعه تعمیری</v>
          </cell>
          <cell r="AF290">
            <v>12</v>
          </cell>
          <cell r="AR290">
            <v>9000000</v>
          </cell>
        </row>
        <row r="291">
          <cell r="B291" t="str">
            <v>دستگاه پشم فلز</v>
          </cell>
          <cell r="C291" t="str">
            <v>قطعه تعمیری</v>
          </cell>
          <cell r="AF291">
            <v>12</v>
          </cell>
          <cell r="AR291">
            <v>9000000</v>
          </cell>
        </row>
        <row r="292">
          <cell r="B292" t="str">
            <v xml:space="preserve">قالب پخت کلاچ پیکان </v>
          </cell>
          <cell r="C292" t="str">
            <v>قالب تعمیری</v>
          </cell>
          <cell r="AF292">
            <v>4</v>
          </cell>
          <cell r="AR292">
            <v>3000000</v>
          </cell>
        </row>
        <row r="293">
          <cell r="B293" t="str">
            <v>Hammer Mill Machine</v>
          </cell>
          <cell r="C293" t="str">
            <v>دستگاه نو</v>
          </cell>
          <cell r="AF293">
            <v>2</v>
          </cell>
          <cell r="AR293">
            <v>1500000</v>
          </cell>
        </row>
        <row r="294">
          <cell r="B294" t="str">
            <v>پایه پرچ لنت نیسان</v>
          </cell>
          <cell r="C294" t="str">
            <v>قطعه نو</v>
          </cell>
          <cell r="AF294">
            <v>9</v>
          </cell>
          <cell r="AR294">
            <v>6750000</v>
          </cell>
        </row>
        <row r="295">
          <cell r="B295" t="str">
            <v>دستگاه پشم فلز</v>
          </cell>
          <cell r="C295" t="str">
            <v>قطعه تعمیری</v>
          </cell>
          <cell r="AF295">
            <v>6</v>
          </cell>
          <cell r="AR295">
            <v>4500000</v>
          </cell>
        </row>
        <row r="296">
          <cell r="B296" t="str">
            <v xml:space="preserve">قالب پخت کلاچ پیکان </v>
          </cell>
          <cell r="C296" t="str">
            <v>قالب تعمیری</v>
          </cell>
          <cell r="AF296">
            <v>11</v>
          </cell>
          <cell r="AR296">
            <v>16500000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AF297">
            <v>11</v>
          </cell>
          <cell r="AR297">
            <v>16500000</v>
          </cell>
        </row>
        <row r="298">
          <cell r="B298" t="str">
            <v>دستگاه پرس پخت</v>
          </cell>
          <cell r="C298" t="str">
            <v>قطعه تعمیری</v>
          </cell>
          <cell r="AF298">
            <v>11</v>
          </cell>
          <cell r="AR298">
            <v>8250000</v>
          </cell>
        </row>
        <row r="299">
          <cell r="B299" t="str">
            <v>سوراخکاری پیلسان</v>
          </cell>
          <cell r="C299" t="str">
            <v>قطعه نو</v>
          </cell>
          <cell r="AF299">
            <v>6.5</v>
          </cell>
          <cell r="AR299">
            <v>9750000</v>
          </cell>
        </row>
        <row r="300">
          <cell r="B300" t="str">
            <v>سوراخکاری پیلسان</v>
          </cell>
          <cell r="C300" t="str">
            <v>قطعه نو</v>
          </cell>
          <cell r="AF300">
            <v>4.5</v>
          </cell>
          <cell r="AR300">
            <v>6750000</v>
          </cell>
        </row>
        <row r="301">
          <cell r="B301" t="str">
            <v>شیرینگ</v>
          </cell>
          <cell r="C301" t="str">
            <v>قطعه تعمیری</v>
          </cell>
          <cell r="AF301">
            <v>0.5</v>
          </cell>
          <cell r="AR301">
            <v>375000</v>
          </cell>
        </row>
        <row r="302">
          <cell r="B302" t="str">
            <v>دستگاه پشم فلز</v>
          </cell>
          <cell r="C302" t="str">
            <v>قطعه تعمیری</v>
          </cell>
          <cell r="AF302">
            <v>3</v>
          </cell>
          <cell r="AR302">
            <v>2250000</v>
          </cell>
        </row>
        <row r="303">
          <cell r="B303" t="str">
            <v>پخت کلاچ پژو 206 TU5</v>
          </cell>
          <cell r="C303" t="str">
            <v>قالب تعمیری</v>
          </cell>
          <cell r="H303" t="str">
            <v>MC30334-01s</v>
          </cell>
          <cell r="AF303">
            <v>1.5</v>
          </cell>
          <cell r="AR303">
            <v>1125000</v>
          </cell>
        </row>
        <row r="304">
          <cell r="B304" t="str">
            <v>پخت کلاچ FH</v>
          </cell>
          <cell r="C304" t="str">
            <v>قالب تعمیری</v>
          </cell>
          <cell r="H304">
            <v>1</v>
          </cell>
          <cell r="AF304">
            <v>1</v>
          </cell>
          <cell r="AR304">
            <v>750000</v>
          </cell>
        </row>
        <row r="305">
          <cell r="B305" t="str">
            <v>پخت کلاچ ده تن</v>
          </cell>
          <cell r="C305" t="str">
            <v>قالب تعمیری</v>
          </cell>
          <cell r="H305" t="str">
            <v>MC30298-01s</v>
          </cell>
          <cell r="AF305">
            <v>1</v>
          </cell>
          <cell r="AR305">
            <v>750000</v>
          </cell>
        </row>
        <row r="306">
          <cell r="B306" t="str">
            <v>پخت کلاچ پراید</v>
          </cell>
          <cell r="C306" t="str">
            <v>قالب تعمیری</v>
          </cell>
          <cell r="H306" t="str">
            <v>02S</v>
          </cell>
          <cell r="AF306">
            <v>3.8333333333333335</v>
          </cell>
          <cell r="AR306">
            <v>2875000</v>
          </cell>
        </row>
        <row r="307">
          <cell r="B307" t="str">
            <v>پخت کلاچ ده تن</v>
          </cell>
          <cell r="C307" t="str">
            <v>قالب تعمیری</v>
          </cell>
          <cell r="H307" t="str">
            <v>MC30298-01s</v>
          </cell>
          <cell r="AF307">
            <v>7.166666666666667</v>
          </cell>
          <cell r="AR307">
            <v>5375000</v>
          </cell>
        </row>
        <row r="308">
          <cell r="B308" t="str">
            <v>صفحات 50*50 پخت کلاچ</v>
          </cell>
          <cell r="C308" t="str">
            <v>قالب تعمیری</v>
          </cell>
          <cell r="AF308">
            <v>11</v>
          </cell>
          <cell r="AR308">
            <v>8250000</v>
          </cell>
        </row>
        <row r="309">
          <cell r="B309" t="str">
            <v>قالب برش میدل باس</v>
          </cell>
          <cell r="C309" t="str">
            <v>قالب تعمیری</v>
          </cell>
          <cell r="H309">
            <v>1</v>
          </cell>
          <cell r="AF309">
            <v>4</v>
          </cell>
          <cell r="AR309">
            <v>3000000</v>
          </cell>
        </row>
        <row r="310">
          <cell r="B310" t="str">
            <v>پخت کلاچ پراید</v>
          </cell>
          <cell r="C310" t="str">
            <v>قالب تعمیری</v>
          </cell>
          <cell r="H310" t="str">
            <v>02S</v>
          </cell>
          <cell r="AF310">
            <v>1</v>
          </cell>
          <cell r="AR310">
            <v>750000</v>
          </cell>
        </row>
        <row r="311">
          <cell r="B311" t="str">
            <v xml:space="preserve">قالب پخت کلاچ پیکان </v>
          </cell>
          <cell r="C311" t="str">
            <v>قالب تعمیری</v>
          </cell>
          <cell r="AF311">
            <v>1</v>
          </cell>
          <cell r="AR311">
            <v>750000</v>
          </cell>
        </row>
        <row r="312">
          <cell r="B312" t="str">
            <v>قالب پخت کلاچ پژو 405</v>
          </cell>
          <cell r="C312" t="str">
            <v>قالب تعمیری</v>
          </cell>
          <cell r="H312" t="str">
            <v>07S</v>
          </cell>
          <cell r="AF312">
            <v>1</v>
          </cell>
          <cell r="AR312">
            <v>750000</v>
          </cell>
        </row>
        <row r="313">
          <cell r="B313" t="str">
            <v>ویوینگ</v>
          </cell>
          <cell r="C313" t="str">
            <v>قطعه تعمیری</v>
          </cell>
          <cell r="AF313">
            <v>1</v>
          </cell>
          <cell r="AR313">
            <v>750000</v>
          </cell>
        </row>
        <row r="314">
          <cell r="B314" t="str">
            <v>قالب پخت کلاچ پژو 405</v>
          </cell>
          <cell r="C314" t="str">
            <v>قالب تعمیری</v>
          </cell>
          <cell r="H314" t="str">
            <v>07S</v>
          </cell>
          <cell r="AF314">
            <v>4</v>
          </cell>
          <cell r="AR314">
            <v>3000000</v>
          </cell>
        </row>
        <row r="315">
          <cell r="B315" t="str">
            <v xml:space="preserve">قالب پخت کلاچ پیکان </v>
          </cell>
          <cell r="C315" t="str">
            <v>قالب تعمیری</v>
          </cell>
          <cell r="AF315">
            <v>4</v>
          </cell>
          <cell r="AR315">
            <v>3000000</v>
          </cell>
        </row>
        <row r="316">
          <cell r="B316" t="str">
            <v>قالب ترابوزا</v>
          </cell>
          <cell r="C316" t="str">
            <v>قالب تعمیری</v>
          </cell>
          <cell r="AF316">
            <v>1</v>
          </cell>
          <cell r="AR316">
            <v>750000</v>
          </cell>
        </row>
        <row r="317">
          <cell r="B317" t="str">
            <v>ویوینگ</v>
          </cell>
          <cell r="C317" t="str">
            <v>قطعه تعمیری</v>
          </cell>
          <cell r="AF317">
            <v>2.5</v>
          </cell>
          <cell r="AR317">
            <v>1875000</v>
          </cell>
        </row>
        <row r="318">
          <cell r="B318" t="str">
            <v>ویوینگ</v>
          </cell>
          <cell r="C318" t="str">
            <v>قطعه نو</v>
          </cell>
          <cell r="AF318">
            <v>0.75</v>
          </cell>
          <cell r="AR318">
            <v>562500</v>
          </cell>
        </row>
        <row r="319">
          <cell r="B319" t="str">
            <v>ویوینگ</v>
          </cell>
          <cell r="C319" t="str">
            <v>قطعه نو</v>
          </cell>
          <cell r="AF319">
            <v>0.75</v>
          </cell>
          <cell r="AR319">
            <v>562500</v>
          </cell>
        </row>
        <row r="320">
          <cell r="B320" t="str">
            <v>ویوینگ</v>
          </cell>
          <cell r="C320" t="str">
            <v>قطعه تعمیری</v>
          </cell>
          <cell r="AF320">
            <v>1.5</v>
          </cell>
          <cell r="AR320">
            <v>1125000</v>
          </cell>
        </row>
        <row r="321">
          <cell r="B321" t="str">
            <v xml:space="preserve">قالب پخت کلاچ پیکان </v>
          </cell>
          <cell r="C321" t="str">
            <v>قالب تعمیری</v>
          </cell>
          <cell r="AF321">
            <v>2</v>
          </cell>
          <cell r="AR321">
            <v>1500000</v>
          </cell>
        </row>
        <row r="322">
          <cell r="B322" t="str">
            <v>همزن مواد</v>
          </cell>
          <cell r="C322" t="str">
            <v>قطعه تعمیری</v>
          </cell>
          <cell r="AF322">
            <v>2</v>
          </cell>
          <cell r="AR322">
            <v>1500000</v>
          </cell>
        </row>
        <row r="323">
          <cell r="B323" t="str">
            <v>دستگاه پشم فلز</v>
          </cell>
          <cell r="C323" t="str">
            <v>قطعه تعمیری</v>
          </cell>
          <cell r="AF323">
            <v>10</v>
          </cell>
          <cell r="AR323">
            <v>7500000</v>
          </cell>
        </row>
        <row r="324">
          <cell r="B324" t="str">
            <v>دستگاه پشم فلز</v>
          </cell>
          <cell r="C324" t="str">
            <v>قطعه تعمیری</v>
          </cell>
          <cell r="AF324">
            <v>10</v>
          </cell>
          <cell r="AR324">
            <v>7500000</v>
          </cell>
        </row>
        <row r="325">
          <cell r="B325" t="str">
            <v>پایه پرچ لنت نیسان</v>
          </cell>
          <cell r="C325" t="str">
            <v>قطعه نو</v>
          </cell>
          <cell r="AF325">
            <v>10</v>
          </cell>
          <cell r="AR325">
            <v>7500000</v>
          </cell>
        </row>
        <row r="326">
          <cell r="B326" t="str">
            <v>Hammer Mill Machine</v>
          </cell>
          <cell r="C326" t="str">
            <v>دستگاه نو</v>
          </cell>
          <cell r="AF326">
            <v>2</v>
          </cell>
          <cell r="AR326">
            <v>1500000</v>
          </cell>
        </row>
        <row r="327">
          <cell r="B327" t="str">
            <v>ویوینگ</v>
          </cell>
          <cell r="C327" t="str">
            <v>قطعه نو</v>
          </cell>
          <cell r="AF327">
            <v>5</v>
          </cell>
          <cell r="AR327">
            <v>3750000</v>
          </cell>
        </row>
        <row r="328">
          <cell r="B328" t="str">
            <v>قالب پخت کلاچ پژو 405</v>
          </cell>
          <cell r="C328" t="str">
            <v>قالب تعمیری</v>
          </cell>
          <cell r="H328" t="str">
            <v>07S</v>
          </cell>
          <cell r="AF328">
            <v>3</v>
          </cell>
          <cell r="AR328">
            <v>2250000</v>
          </cell>
        </row>
        <row r="329">
          <cell r="B329" t="str">
            <v>قالب پخت کلاچ پژو 405</v>
          </cell>
          <cell r="C329" t="str">
            <v>قالب تعمیری</v>
          </cell>
          <cell r="H329" t="str">
            <v>07S</v>
          </cell>
          <cell r="AF329">
            <v>3</v>
          </cell>
          <cell r="AR329">
            <v>2250000</v>
          </cell>
        </row>
        <row r="330">
          <cell r="B330" t="str">
            <v>قالب ترابوزا</v>
          </cell>
          <cell r="C330" t="str">
            <v>قالب تعمیری</v>
          </cell>
          <cell r="AF330">
            <v>2</v>
          </cell>
          <cell r="AR330">
            <v>1500000</v>
          </cell>
        </row>
        <row r="331">
          <cell r="B331" t="str">
            <v>قالب پخت کلاچ تیبا چپ</v>
          </cell>
          <cell r="C331" t="str">
            <v>قالب تعمیری</v>
          </cell>
          <cell r="H331">
            <v>1</v>
          </cell>
          <cell r="AF331">
            <v>3</v>
          </cell>
          <cell r="AR331">
            <v>2250000</v>
          </cell>
        </row>
        <row r="332">
          <cell r="B332" t="str">
            <v>قالب پخت کلاچ پژو 405</v>
          </cell>
          <cell r="C332" t="str">
            <v>قالب تعمیری</v>
          </cell>
          <cell r="H332" t="str">
            <v>07S</v>
          </cell>
          <cell r="AF332">
            <v>3</v>
          </cell>
          <cell r="AR332">
            <v>2250000</v>
          </cell>
        </row>
        <row r="333">
          <cell r="B333" t="str">
            <v>پخت کلاچ FH</v>
          </cell>
          <cell r="C333" t="str">
            <v>قالب تعمیری</v>
          </cell>
          <cell r="H333">
            <v>1</v>
          </cell>
          <cell r="AF333">
            <v>5.5</v>
          </cell>
          <cell r="AR333">
            <v>4125000</v>
          </cell>
        </row>
        <row r="334">
          <cell r="B334" t="str">
            <v>پخت کلاچ FH</v>
          </cell>
          <cell r="C334" t="str">
            <v>قالب تعمیری</v>
          </cell>
          <cell r="H334">
            <v>1</v>
          </cell>
          <cell r="AF334">
            <v>5.5</v>
          </cell>
          <cell r="AR334">
            <v>4125000</v>
          </cell>
        </row>
        <row r="335">
          <cell r="B335" t="str">
            <v xml:space="preserve">قالب پخت کلاچ پیکان </v>
          </cell>
          <cell r="C335" t="str">
            <v>قالب تعمیری</v>
          </cell>
          <cell r="AF335">
            <v>11</v>
          </cell>
          <cell r="AR335">
            <v>16500000</v>
          </cell>
        </row>
        <row r="336">
          <cell r="B336" t="str">
            <v>صفحه قالب یدک
700*500*65</v>
          </cell>
          <cell r="C336" t="str">
            <v>قطعه نو</v>
          </cell>
          <cell r="AF336">
            <v>5.5</v>
          </cell>
          <cell r="AR336">
            <v>4125000</v>
          </cell>
        </row>
        <row r="337">
          <cell r="B337" t="str">
            <v>صفحه قالب یدک
700*500*65</v>
          </cell>
          <cell r="C337" t="str">
            <v>قطعه نو</v>
          </cell>
          <cell r="AF337">
            <v>11</v>
          </cell>
          <cell r="AR337">
            <v>8250000</v>
          </cell>
        </row>
        <row r="338">
          <cell r="B338" t="str">
            <v xml:space="preserve">قالب پخت کلاچ پیکان </v>
          </cell>
          <cell r="C338" t="str">
            <v>قالب تعمیری</v>
          </cell>
          <cell r="AF338">
            <v>4.75</v>
          </cell>
          <cell r="AR338">
            <v>3562500</v>
          </cell>
        </row>
        <row r="339">
          <cell r="B339" t="str">
            <v xml:space="preserve">قالب پخت کلاچ پیکان </v>
          </cell>
          <cell r="C339" t="str">
            <v>قالب تعمیری</v>
          </cell>
          <cell r="AF339">
            <v>4.75</v>
          </cell>
          <cell r="AR339">
            <v>3562500</v>
          </cell>
        </row>
        <row r="340">
          <cell r="B340" t="str">
            <v>صفحات 50*50 پخت کلاچ</v>
          </cell>
          <cell r="C340" t="str">
            <v>قالب تعمیری</v>
          </cell>
          <cell r="AF340">
            <v>11</v>
          </cell>
          <cell r="AR340">
            <v>8250000</v>
          </cell>
        </row>
        <row r="341">
          <cell r="B341" t="str">
            <v xml:space="preserve">قالب پخت کلاچ پیکان </v>
          </cell>
          <cell r="C341" t="str">
            <v>قالب تعمیری</v>
          </cell>
          <cell r="AF341">
            <v>2</v>
          </cell>
          <cell r="AR341">
            <v>1500000</v>
          </cell>
        </row>
        <row r="342">
          <cell r="B342" t="str">
            <v xml:space="preserve">قالب پخت کلاچ پیکان </v>
          </cell>
          <cell r="C342" t="str">
            <v>قالب تعمیری</v>
          </cell>
          <cell r="AF342">
            <v>5.5</v>
          </cell>
          <cell r="AR342">
            <v>8250000</v>
          </cell>
        </row>
        <row r="343">
          <cell r="B343" t="str">
            <v>قالب پخت کلاچ پژو 405</v>
          </cell>
          <cell r="C343" t="str">
            <v>قالب تعمیری</v>
          </cell>
          <cell r="AF343">
            <v>5.5</v>
          </cell>
          <cell r="AR343">
            <v>8250000</v>
          </cell>
        </row>
        <row r="344">
          <cell r="B344" t="str">
            <v>سوراخکاری پیلسان</v>
          </cell>
          <cell r="C344" t="str">
            <v>قطعه نو</v>
          </cell>
          <cell r="AF344">
            <v>4.5</v>
          </cell>
          <cell r="AR344">
            <v>6750000</v>
          </cell>
        </row>
        <row r="345">
          <cell r="B345" t="str">
            <v>دستگاه پرس 600 تن</v>
          </cell>
          <cell r="C345" t="str">
            <v>قطعه نو</v>
          </cell>
          <cell r="AF345">
            <v>6.5</v>
          </cell>
          <cell r="AR345">
            <v>9750000</v>
          </cell>
        </row>
        <row r="346">
          <cell r="B346" t="str">
            <v>پخت کلاچ FH</v>
          </cell>
          <cell r="C346" t="str">
            <v>قالب تعمیری</v>
          </cell>
          <cell r="H346">
            <v>1</v>
          </cell>
          <cell r="AF346">
            <v>4</v>
          </cell>
          <cell r="AR346">
            <v>3000000</v>
          </cell>
        </row>
        <row r="347">
          <cell r="B347" t="str">
            <v xml:space="preserve">قالب پخت کلاچ پیکان </v>
          </cell>
          <cell r="C347" t="str">
            <v>قالب تعمیری</v>
          </cell>
          <cell r="AF347">
            <v>3</v>
          </cell>
          <cell r="AR347">
            <v>2250000</v>
          </cell>
        </row>
        <row r="348">
          <cell r="B348" t="str">
            <v>قالب پخت کلاچ پژو 405</v>
          </cell>
          <cell r="C348" t="str">
            <v>قالب تعمیری</v>
          </cell>
          <cell r="AF348">
            <v>4</v>
          </cell>
          <cell r="AR348">
            <v>3000000</v>
          </cell>
        </row>
        <row r="349">
          <cell r="B349" t="str">
            <v xml:space="preserve">قالب پخت کلاچ پیکان </v>
          </cell>
          <cell r="C349" t="str">
            <v>قالب تعمیری</v>
          </cell>
          <cell r="AF349">
            <v>2</v>
          </cell>
          <cell r="AR349">
            <v>1500000</v>
          </cell>
        </row>
        <row r="350">
          <cell r="B350" t="str">
            <v>قالب پخت کلاچ پژو 405</v>
          </cell>
          <cell r="C350" t="str">
            <v>قالب تعمیری</v>
          </cell>
          <cell r="AF350">
            <v>3</v>
          </cell>
          <cell r="AR350">
            <v>2250000</v>
          </cell>
        </row>
        <row r="351">
          <cell r="B351" t="str">
            <v>قالب ترابوزا</v>
          </cell>
          <cell r="C351" t="str">
            <v>قالب تعمیری</v>
          </cell>
          <cell r="AF351">
            <v>2</v>
          </cell>
          <cell r="AR351">
            <v>1500000</v>
          </cell>
        </row>
        <row r="352">
          <cell r="B352" t="str">
            <v xml:space="preserve">قالب پخت کلاچ پیکان </v>
          </cell>
          <cell r="C352" t="str">
            <v>قالب تعمیری</v>
          </cell>
          <cell r="AF352">
            <v>1</v>
          </cell>
          <cell r="AR352">
            <v>750000</v>
          </cell>
        </row>
        <row r="353">
          <cell r="B353" t="str">
            <v>ساب الماسه</v>
          </cell>
          <cell r="C353" t="str">
            <v>قطعه تعمیری</v>
          </cell>
          <cell r="AF353">
            <v>1</v>
          </cell>
          <cell r="AR353">
            <v>750000</v>
          </cell>
        </row>
        <row r="354">
          <cell r="B354" t="str">
            <v>ساب الماسه</v>
          </cell>
          <cell r="C354" t="str">
            <v>قطعه تعمیری</v>
          </cell>
          <cell r="AF354">
            <v>1</v>
          </cell>
          <cell r="AR354">
            <v>750000</v>
          </cell>
        </row>
        <row r="355">
          <cell r="B355" t="str">
            <v>دستگاه پشم فلز</v>
          </cell>
          <cell r="C355" t="str">
            <v>قطعه تعمیری</v>
          </cell>
          <cell r="AF355">
            <v>10</v>
          </cell>
          <cell r="AR355">
            <v>7500000</v>
          </cell>
        </row>
        <row r="356">
          <cell r="B356" t="str">
            <v>دستگاه پشم فلز</v>
          </cell>
          <cell r="C356" t="str">
            <v>قطعه تعمیری</v>
          </cell>
          <cell r="AF356">
            <v>10</v>
          </cell>
          <cell r="AR356">
            <v>7500000</v>
          </cell>
        </row>
        <row r="357">
          <cell r="B357" t="str">
            <v>قالب پخت کلاچ پژو 405</v>
          </cell>
          <cell r="C357" t="str">
            <v>قالب تعمیری</v>
          </cell>
          <cell r="H357" t="str">
            <v>07S</v>
          </cell>
          <cell r="AF357">
            <v>10</v>
          </cell>
          <cell r="AR357">
            <v>7500000</v>
          </cell>
        </row>
        <row r="358">
          <cell r="B358" t="str">
            <v>ویوینگ</v>
          </cell>
          <cell r="C358" t="str">
            <v>قطعه نو</v>
          </cell>
          <cell r="AF358">
            <v>3</v>
          </cell>
          <cell r="AR358">
            <v>2250000</v>
          </cell>
        </row>
        <row r="359">
          <cell r="B359" t="str">
            <v>کلمپ زنی</v>
          </cell>
          <cell r="C359" t="str">
            <v>دستگاه تعمیری</v>
          </cell>
          <cell r="AF359">
            <v>7</v>
          </cell>
          <cell r="AR359">
            <v>5250000</v>
          </cell>
        </row>
        <row r="360">
          <cell r="B360" t="str">
            <v>قالب ترابوزا</v>
          </cell>
          <cell r="C360" t="str">
            <v>قالب تعمیری</v>
          </cell>
          <cell r="AF360">
            <v>2</v>
          </cell>
          <cell r="AR360">
            <v>1500000</v>
          </cell>
        </row>
        <row r="361">
          <cell r="B361" t="str">
            <v>قالب پخت کلاچ پژو 405</v>
          </cell>
          <cell r="C361" t="str">
            <v>قالب تعمیری</v>
          </cell>
          <cell r="AF361">
            <v>2</v>
          </cell>
          <cell r="AR361">
            <v>1500000</v>
          </cell>
        </row>
        <row r="362">
          <cell r="B362" t="str">
            <v>ساب الماسه</v>
          </cell>
          <cell r="C362" t="str">
            <v>قطعه تعمیری</v>
          </cell>
          <cell r="AF362">
            <v>2</v>
          </cell>
          <cell r="AR362">
            <v>1500000</v>
          </cell>
        </row>
        <row r="363">
          <cell r="B363" t="str">
            <v>ساب الماسه</v>
          </cell>
          <cell r="C363" t="str">
            <v>قطعه تعمیری</v>
          </cell>
          <cell r="AF363">
            <v>2</v>
          </cell>
          <cell r="AR363">
            <v>1500000</v>
          </cell>
        </row>
        <row r="364">
          <cell r="B364" t="str">
            <v>ساب الماسه</v>
          </cell>
          <cell r="C364" t="str">
            <v>قطعه نو</v>
          </cell>
          <cell r="AF364">
            <v>3</v>
          </cell>
          <cell r="AR364">
            <v>2250000</v>
          </cell>
        </row>
        <row r="365">
          <cell r="B365" t="str">
            <v>پخت کلاچ FH</v>
          </cell>
          <cell r="C365" t="str">
            <v>قالب تعمیری</v>
          </cell>
          <cell r="H365">
            <v>1</v>
          </cell>
          <cell r="AF365">
            <v>4</v>
          </cell>
          <cell r="AR365">
            <v>3000000</v>
          </cell>
        </row>
        <row r="366">
          <cell r="B366" t="str">
            <v>پخت کلاچ FH</v>
          </cell>
          <cell r="C366" t="str">
            <v>قالب تعمیری</v>
          </cell>
          <cell r="H366">
            <v>1</v>
          </cell>
          <cell r="AF366">
            <v>2</v>
          </cell>
          <cell r="AR366">
            <v>1500000</v>
          </cell>
        </row>
        <row r="367">
          <cell r="B367" t="str">
            <v>قالب پخت کلاچ پژو 405</v>
          </cell>
          <cell r="C367" t="str">
            <v>قالب تعمیری</v>
          </cell>
          <cell r="H367" t="str">
            <v>Mc30243-04s</v>
          </cell>
          <cell r="AF367">
            <v>1</v>
          </cell>
          <cell r="AR367">
            <v>750000</v>
          </cell>
        </row>
        <row r="368">
          <cell r="B368" t="str">
            <v>قالب پخت کلاچ پژو 405</v>
          </cell>
          <cell r="C368" t="str">
            <v>قالب تعمیری</v>
          </cell>
          <cell r="AF368">
            <v>1</v>
          </cell>
          <cell r="AR368">
            <v>750000</v>
          </cell>
        </row>
        <row r="369">
          <cell r="B369" t="str">
            <v>قالب پخت کلاچ پیکان</v>
          </cell>
          <cell r="C369" t="str">
            <v>قالب تعمیری</v>
          </cell>
          <cell r="H369" t="str">
            <v>06s</v>
          </cell>
          <cell r="AF369">
            <v>3</v>
          </cell>
          <cell r="AR369">
            <v>2250000</v>
          </cell>
        </row>
        <row r="370">
          <cell r="B370" t="str">
            <v>پخت کلاچ پراید</v>
          </cell>
          <cell r="C370" t="str">
            <v>قالب تعمیری</v>
          </cell>
          <cell r="AF370">
            <v>10</v>
          </cell>
          <cell r="AR370">
            <v>15000000</v>
          </cell>
        </row>
        <row r="371">
          <cell r="B371" t="str">
            <v>پخت کلاچ پراید</v>
          </cell>
          <cell r="C371" t="str">
            <v>قالب تعمیری</v>
          </cell>
          <cell r="AF371">
            <v>1</v>
          </cell>
          <cell r="AR371">
            <v>1500000</v>
          </cell>
        </row>
        <row r="372">
          <cell r="B372" t="str">
            <v>دستگاه پرس 600 تن</v>
          </cell>
          <cell r="C372" t="str">
            <v>قطعه نو</v>
          </cell>
          <cell r="AF372">
            <v>11</v>
          </cell>
          <cell r="AR372">
            <v>16500000</v>
          </cell>
        </row>
        <row r="373">
          <cell r="B373" t="str">
            <v xml:space="preserve">قالب پخت کلاچ پیکان </v>
          </cell>
          <cell r="C373" t="str">
            <v>قالب تعمیری</v>
          </cell>
          <cell r="AF373">
            <v>11</v>
          </cell>
          <cell r="AR373">
            <v>16500000</v>
          </cell>
        </row>
        <row r="374">
          <cell r="B374" t="str">
            <v>دستگاه پرس 600 تن</v>
          </cell>
          <cell r="C374" t="str">
            <v>قطعه نو</v>
          </cell>
          <cell r="AF374">
            <v>11</v>
          </cell>
          <cell r="AR374">
            <v>8250000</v>
          </cell>
        </row>
        <row r="375">
          <cell r="B375" t="str">
            <v>صفحات 50*50 پخت کلاچ</v>
          </cell>
          <cell r="C375" t="str">
            <v>قالب تعمیری</v>
          </cell>
          <cell r="AF375">
            <v>11</v>
          </cell>
          <cell r="AR375">
            <v>8250000</v>
          </cell>
        </row>
        <row r="376">
          <cell r="B376" t="str">
            <v>سوراخکاری پیلسان</v>
          </cell>
          <cell r="C376" t="str">
            <v>قطعه نو</v>
          </cell>
          <cell r="AF376">
            <v>1</v>
          </cell>
          <cell r="AR376">
            <v>750000</v>
          </cell>
        </row>
        <row r="377">
          <cell r="B377" t="str">
            <v>صفحه قالب یدک
700*500*65</v>
          </cell>
          <cell r="C377" t="str">
            <v>قطعه نو</v>
          </cell>
          <cell r="AF377">
            <v>11</v>
          </cell>
          <cell r="AR377">
            <v>8250000</v>
          </cell>
        </row>
        <row r="378">
          <cell r="B378" t="str">
            <v>دستگاه برش جمعی</v>
          </cell>
          <cell r="C378" t="str">
            <v>دستگاه نو</v>
          </cell>
          <cell r="AF378">
            <v>4</v>
          </cell>
          <cell r="AR378">
            <v>3000000</v>
          </cell>
        </row>
        <row r="379">
          <cell r="B379" t="str">
            <v>دستگاه پرس پخت</v>
          </cell>
          <cell r="C379" t="str">
            <v>قطعه تعمیری</v>
          </cell>
          <cell r="AF379">
            <v>2.5</v>
          </cell>
          <cell r="AR379">
            <v>1875000</v>
          </cell>
        </row>
        <row r="380">
          <cell r="B380" t="str">
            <v>لیفتراک</v>
          </cell>
          <cell r="C380" t="str">
            <v>قطعه تعمیری</v>
          </cell>
          <cell r="AF380">
            <v>2</v>
          </cell>
          <cell r="AR380">
            <v>1500000</v>
          </cell>
        </row>
        <row r="381">
          <cell r="B381" t="str">
            <v>قالب پخت کلاچ پژو 405</v>
          </cell>
          <cell r="C381" t="str">
            <v>قالب تعمیری</v>
          </cell>
          <cell r="AF381">
            <v>2</v>
          </cell>
          <cell r="AR381">
            <v>1500000</v>
          </cell>
        </row>
        <row r="382">
          <cell r="B382" t="str">
            <v>دستگاه پرس پخت</v>
          </cell>
          <cell r="C382" t="str">
            <v>قطعه تعمیری</v>
          </cell>
          <cell r="AF382">
            <v>3.3333333333333335</v>
          </cell>
          <cell r="AR382">
            <v>2500000</v>
          </cell>
        </row>
        <row r="383">
          <cell r="B383" t="str">
            <v xml:space="preserve">قالب پخت کلاچ پیکان </v>
          </cell>
          <cell r="C383" t="str">
            <v>قالب تعمیری</v>
          </cell>
          <cell r="AF383">
            <v>3.3333333333333335</v>
          </cell>
          <cell r="AR383">
            <v>2500000</v>
          </cell>
        </row>
        <row r="384">
          <cell r="B384" t="str">
            <v>دستگاه پرس پخت</v>
          </cell>
          <cell r="C384" t="str">
            <v>قطعه تعمیری</v>
          </cell>
          <cell r="AF384">
            <v>2</v>
          </cell>
          <cell r="AR384">
            <v>1500000</v>
          </cell>
        </row>
        <row r="385">
          <cell r="B385" t="str">
            <v>سری نقطه جوش</v>
          </cell>
          <cell r="C385" t="str">
            <v>قطعه تعمیری</v>
          </cell>
          <cell r="AF385">
            <v>2</v>
          </cell>
          <cell r="AR385">
            <v>1500000</v>
          </cell>
        </row>
        <row r="386">
          <cell r="B386" t="str">
            <v>دستگاه پشم فلز</v>
          </cell>
          <cell r="C386" t="str">
            <v>قطعه تعمیری</v>
          </cell>
          <cell r="AF386">
            <v>12</v>
          </cell>
          <cell r="AR386">
            <v>9000000</v>
          </cell>
        </row>
        <row r="387">
          <cell r="B387" t="str">
            <v>قالب پخت کلاچ پژو 405</v>
          </cell>
          <cell r="C387" t="str">
            <v>قالب تعمیری</v>
          </cell>
          <cell r="H387" t="str">
            <v>07S</v>
          </cell>
          <cell r="AF387">
            <v>6</v>
          </cell>
          <cell r="AR387">
            <v>4500000</v>
          </cell>
        </row>
        <row r="388">
          <cell r="B388" t="str">
            <v>کلمپ زنی</v>
          </cell>
          <cell r="C388" t="str">
            <v>دستگاه تعمیری</v>
          </cell>
          <cell r="AF388">
            <v>6</v>
          </cell>
          <cell r="AR388">
            <v>4500000</v>
          </cell>
        </row>
        <row r="389">
          <cell r="B389" t="str">
            <v>دستگاه پشم فلز</v>
          </cell>
          <cell r="C389" t="str">
            <v>قطعه تعمیری</v>
          </cell>
          <cell r="AF389">
            <v>6</v>
          </cell>
          <cell r="AR389">
            <v>4500000</v>
          </cell>
        </row>
        <row r="390">
          <cell r="B390" t="str">
            <v>دستگاه پشم فلز</v>
          </cell>
          <cell r="C390" t="str">
            <v>قطعه تعمیری</v>
          </cell>
          <cell r="AF390">
            <v>12</v>
          </cell>
          <cell r="AR390">
            <v>9000000</v>
          </cell>
        </row>
        <row r="391">
          <cell r="B391" t="str">
            <v>پرچ ریو</v>
          </cell>
          <cell r="C391" t="str">
            <v>قطعه تعمیری</v>
          </cell>
          <cell r="AF391">
            <v>4</v>
          </cell>
          <cell r="AR391">
            <v>3000000</v>
          </cell>
        </row>
        <row r="392">
          <cell r="B392" t="str">
            <v xml:space="preserve">قالب پخت کلاچ پیکان </v>
          </cell>
          <cell r="C392" t="str">
            <v>قالب تعمیری</v>
          </cell>
          <cell r="AF392">
            <v>2.5</v>
          </cell>
          <cell r="AR392">
            <v>1875000</v>
          </cell>
        </row>
        <row r="393">
          <cell r="B393" t="str">
            <v>پخت کلاچ پراید</v>
          </cell>
          <cell r="C393" t="str">
            <v>قالب تعمیری</v>
          </cell>
          <cell r="AF393">
            <v>2.5</v>
          </cell>
          <cell r="AR393">
            <v>1875000</v>
          </cell>
        </row>
        <row r="394">
          <cell r="B394" t="str">
            <v>قالب پخت کلاچ پژو 405</v>
          </cell>
          <cell r="C394" t="str">
            <v>قالب تعمیری</v>
          </cell>
          <cell r="H394" t="str">
            <v>07S</v>
          </cell>
          <cell r="AF394">
            <v>2.5</v>
          </cell>
          <cell r="AR394">
            <v>1875000</v>
          </cell>
        </row>
        <row r="395">
          <cell r="B395" t="str">
            <v>ویوینگ</v>
          </cell>
          <cell r="C395" t="str">
            <v>قطعه نو</v>
          </cell>
          <cell r="AF395">
            <v>1</v>
          </cell>
          <cell r="AR395">
            <v>750000</v>
          </cell>
        </row>
        <row r="396">
          <cell r="B396" t="str">
            <v>سوراخکاری پیلسان</v>
          </cell>
          <cell r="C396" t="str">
            <v>قطعه نو</v>
          </cell>
          <cell r="AF396">
            <v>1</v>
          </cell>
          <cell r="AR396">
            <v>750000</v>
          </cell>
        </row>
        <row r="397">
          <cell r="B397" t="str">
            <v>دستگاه پرس 600 تن</v>
          </cell>
          <cell r="C397" t="str">
            <v>قطعه نو</v>
          </cell>
          <cell r="AF397">
            <v>0.5</v>
          </cell>
          <cell r="AR397">
            <v>375000</v>
          </cell>
        </row>
        <row r="398">
          <cell r="B398" t="str">
            <v xml:space="preserve">قالب پخت کلاچ پیکان </v>
          </cell>
          <cell r="C398" t="str">
            <v>قالب تعمیری</v>
          </cell>
          <cell r="AF398">
            <v>2.5</v>
          </cell>
          <cell r="AR398">
            <v>1875000</v>
          </cell>
        </row>
        <row r="399">
          <cell r="B399" t="str">
            <v>پخت کلاچ پراید</v>
          </cell>
          <cell r="C399" t="str">
            <v>قالب تعمیری</v>
          </cell>
          <cell r="AF399">
            <v>2.5</v>
          </cell>
          <cell r="AR399">
            <v>1875000</v>
          </cell>
        </row>
        <row r="400">
          <cell r="B400" t="str">
            <v>قالب پخت کلاچ پژو 405</v>
          </cell>
          <cell r="C400" t="str">
            <v>قالب تعمیری</v>
          </cell>
          <cell r="H400" t="str">
            <v>07S</v>
          </cell>
          <cell r="AF400">
            <v>2.5</v>
          </cell>
          <cell r="AR400">
            <v>1875000</v>
          </cell>
        </row>
        <row r="401">
          <cell r="B401" t="str">
            <v>قالب ترابوزا</v>
          </cell>
          <cell r="C401" t="str">
            <v>قالب تعمیری</v>
          </cell>
          <cell r="AF401">
            <v>1.5</v>
          </cell>
          <cell r="AR401">
            <v>1125000</v>
          </cell>
        </row>
        <row r="402">
          <cell r="B402" t="str">
            <v>سوراخکاری پیلسان</v>
          </cell>
          <cell r="C402" t="str">
            <v>قطعه نو</v>
          </cell>
          <cell r="AF402">
            <v>1</v>
          </cell>
          <cell r="AR402">
            <v>750000</v>
          </cell>
        </row>
        <row r="403">
          <cell r="B403" t="str">
            <v xml:space="preserve">قالب پخت کلاچ پیکان </v>
          </cell>
          <cell r="C403" t="str">
            <v>قالب تعمیری</v>
          </cell>
          <cell r="AF403">
            <v>11</v>
          </cell>
          <cell r="AR403">
            <v>16500000</v>
          </cell>
        </row>
        <row r="404">
          <cell r="B404" t="str">
            <v>دستگاه پرس 600 تن</v>
          </cell>
          <cell r="C404" t="str">
            <v>قطعه نو</v>
          </cell>
          <cell r="AF404">
            <v>11</v>
          </cell>
          <cell r="AR404">
            <v>8250000</v>
          </cell>
        </row>
        <row r="405">
          <cell r="B405" t="str">
            <v>صفحه قالب یدک
700*500*65</v>
          </cell>
          <cell r="C405" t="str">
            <v>قطعه نو</v>
          </cell>
          <cell r="AF405">
            <v>11</v>
          </cell>
          <cell r="AR405">
            <v>8250000</v>
          </cell>
        </row>
        <row r="406">
          <cell r="B406" t="str">
            <v>صفحات 50*50 پخت کلاچ</v>
          </cell>
          <cell r="C406" t="str">
            <v>قالب تعمیری</v>
          </cell>
          <cell r="AF406">
            <v>11</v>
          </cell>
          <cell r="AR406">
            <v>8250000</v>
          </cell>
        </row>
        <row r="407">
          <cell r="B407" t="str">
            <v>پخت کلاچ پراید</v>
          </cell>
          <cell r="C407" t="str">
            <v>قالب تعمیری</v>
          </cell>
          <cell r="AF407">
            <v>8</v>
          </cell>
          <cell r="AR407">
            <v>12000000</v>
          </cell>
        </row>
        <row r="408">
          <cell r="B408" t="str">
            <v>قالب پخت کلاچ پژو 405</v>
          </cell>
          <cell r="C408" t="str">
            <v>قالب تعمیری</v>
          </cell>
          <cell r="H408" t="str">
            <v>07S</v>
          </cell>
          <cell r="AF408">
            <v>3</v>
          </cell>
          <cell r="AR408">
            <v>4500000</v>
          </cell>
        </row>
        <row r="409">
          <cell r="B409" t="str">
            <v>قالب پخت کلاچ پژو 405</v>
          </cell>
          <cell r="C409" t="str">
            <v>قالب تعمیری</v>
          </cell>
          <cell r="H409" t="str">
            <v>07S</v>
          </cell>
          <cell r="AF409">
            <v>9</v>
          </cell>
          <cell r="AR409">
            <v>13500000</v>
          </cell>
        </row>
        <row r="410">
          <cell r="B410" t="str">
            <v>قالب پخت کلاچ پژو 405</v>
          </cell>
          <cell r="C410" t="str">
            <v>قالب تعمیری</v>
          </cell>
          <cell r="H410" t="str">
            <v>07S</v>
          </cell>
          <cell r="AF410">
            <v>2</v>
          </cell>
          <cell r="AR410">
            <v>3000000</v>
          </cell>
        </row>
        <row r="411">
          <cell r="B411" t="str">
            <v>دستگاه برش جمعی</v>
          </cell>
          <cell r="C411" t="str">
            <v>قطعه تعمیری</v>
          </cell>
          <cell r="AF411">
            <v>2</v>
          </cell>
          <cell r="AR411">
            <v>1500000</v>
          </cell>
        </row>
        <row r="412">
          <cell r="B412" t="str">
            <v>قالب پخت کلاچ پژو 405</v>
          </cell>
          <cell r="C412" t="str">
            <v>قالب تعمیری</v>
          </cell>
          <cell r="H412" t="str">
            <v>07S</v>
          </cell>
          <cell r="AF412">
            <v>4</v>
          </cell>
          <cell r="AR412">
            <v>3000000</v>
          </cell>
        </row>
        <row r="413">
          <cell r="B413" t="str">
            <v>ویوینگ</v>
          </cell>
          <cell r="C413" t="str">
            <v>قطعه نو</v>
          </cell>
          <cell r="AF413">
            <v>5</v>
          </cell>
          <cell r="AR413">
            <v>3750000</v>
          </cell>
        </row>
        <row r="414">
          <cell r="B414" t="str">
            <v>ویوینگ</v>
          </cell>
          <cell r="C414" t="str">
            <v>قطعه نو</v>
          </cell>
          <cell r="AF414">
            <v>1.5</v>
          </cell>
          <cell r="AR414">
            <v>1125000</v>
          </cell>
        </row>
        <row r="415">
          <cell r="B415" t="str">
            <v>پخت کلاچ پژو 206 TU5</v>
          </cell>
          <cell r="C415" t="str">
            <v>قالب تعمیری</v>
          </cell>
          <cell r="H415" t="str">
            <v>MC30334-01s</v>
          </cell>
          <cell r="AF415">
            <v>1.5</v>
          </cell>
          <cell r="AR415">
            <v>1125000</v>
          </cell>
        </row>
        <row r="416">
          <cell r="B416" t="str">
            <v xml:space="preserve">قالب پخت کلاچ پیکان </v>
          </cell>
          <cell r="C416" t="str">
            <v>قالب تعمیری</v>
          </cell>
          <cell r="AF416">
            <v>1.5</v>
          </cell>
          <cell r="AR416">
            <v>1125000</v>
          </cell>
        </row>
        <row r="417">
          <cell r="B417" t="str">
            <v>ویوینگ</v>
          </cell>
          <cell r="C417" t="str">
            <v>قطعه نو</v>
          </cell>
          <cell r="AF417">
            <v>1.5</v>
          </cell>
          <cell r="AR417">
            <v>1125000</v>
          </cell>
        </row>
        <row r="418">
          <cell r="B418" t="str">
            <v>قالب ترابوزا</v>
          </cell>
          <cell r="C418" t="str">
            <v>قالب تعمیری</v>
          </cell>
          <cell r="AF418">
            <v>5</v>
          </cell>
          <cell r="AR418">
            <v>3750000</v>
          </cell>
        </row>
        <row r="419">
          <cell r="B419" t="str">
            <v>قالب پخت کلاچ پژو 405</v>
          </cell>
          <cell r="C419" t="str">
            <v>قالب تعمیری</v>
          </cell>
          <cell r="AF419">
            <v>7.5</v>
          </cell>
          <cell r="AR419">
            <v>11250000</v>
          </cell>
        </row>
        <row r="420">
          <cell r="B420" t="str">
            <v>قالب پخت کلاچ پژو 405</v>
          </cell>
          <cell r="C420" t="str">
            <v>قالب تعمیری</v>
          </cell>
          <cell r="AF420">
            <v>7.5</v>
          </cell>
          <cell r="AR420">
            <v>11250000</v>
          </cell>
        </row>
        <row r="421">
          <cell r="B421" t="str">
            <v>قالب پخت SAF</v>
          </cell>
          <cell r="C421" t="str">
            <v>قالب نو</v>
          </cell>
          <cell r="H421">
            <v>29087</v>
          </cell>
          <cell r="AF421">
            <v>7.5</v>
          </cell>
          <cell r="AR421">
            <v>11250000</v>
          </cell>
        </row>
        <row r="422">
          <cell r="B422" t="str">
            <v>دستگاه پرس پخت</v>
          </cell>
          <cell r="C422" t="str">
            <v>قطعه تعمیری</v>
          </cell>
          <cell r="AF422">
            <v>6.5</v>
          </cell>
          <cell r="AR422">
            <v>4875000</v>
          </cell>
        </row>
        <row r="423">
          <cell r="B423" t="str">
            <v>صفحه قالب یدک
700*500*65</v>
          </cell>
          <cell r="C423" t="str">
            <v>قطعه نو</v>
          </cell>
          <cell r="AF423">
            <v>7.5</v>
          </cell>
          <cell r="AR423">
            <v>5625000</v>
          </cell>
        </row>
        <row r="424">
          <cell r="B424" t="str">
            <v>صفحات 50*50 پخت کلاچ</v>
          </cell>
          <cell r="C424" t="str">
            <v>قالب تعمیری</v>
          </cell>
          <cell r="AF424">
            <v>7.5</v>
          </cell>
          <cell r="AR424">
            <v>5625000</v>
          </cell>
        </row>
        <row r="425">
          <cell r="B425" t="str">
            <v>قالب پخت کلاچ پژو 405</v>
          </cell>
          <cell r="C425" t="str">
            <v>قالب تعمیری</v>
          </cell>
          <cell r="AF425">
            <v>1</v>
          </cell>
          <cell r="AR425">
            <v>750000</v>
          </cell>
        </row>
        <row r="426">
          <cell r="B426" t="str">
            <v>قالب پخت SAF</v>
          </cell>
          <cell r="C426" t="str">
            <v>قالب نو</v>
          </cell>
          <cell r="H426">
            <v>29087</v>
          </cell>
          <cell r="AF426">
            <v>4</v>
          </cell>
          <cell r="AR426">
            <v>3000000</v>
          </cell>
        </row>
        <row r="427">
          <cell r="B427" t="str">
            <v>قالب پخت کلاچ پژو 405</v>
          </cell>
          <cell r="C427" t="str">
            <v>قالب تعمیری</v>
          </cell>
          <cell r="AF427">
            <v>2</v>
          </cell>
          <cell r="AR427">
            <v>1500000</v>
          </cell>
        </row>
        <row r="428">
          <cell r="B428" t="str">
            <v>اصول 5S</v>
          </cell>
          <cell r="C428" t="str">
            <v>نظافت</v>
          </cell>
          <cell r="AF428">
            <v>1</v>
          </cell>
          <cell r="AR428">
            <v>750000</v>
          </cell>
        </row>
        <row r="429">
          <cell r="B429" t="str">
            <v>قالب پخت کلاچ پژو 405</v>
          </cell>
          <cell r="C429" t="str">
            <v>قالب تعمیری</v>
          </cell>
          <cell r="AF429">
            <v>2</v>
          </cell>
          <cell r="AR429">
            <v>1500000</v>
          </cell>
        </row>
        <row r="430">
          <cell r="B430" t="str">
            <v>قالب ترابوزا</v>
          </cell>
          <cell r="C430" t="str">
            <v>قالب تعمیری</v>
          </cell>
          <cell r="AF430">
            <v>1</v>
          </cell>
          <cell r="AR430">
            <v>750000</v>
          </cell>
        </row>
        <row r="431">
          <cell r="B431" t="str">
            <v>قالب پخت کلاچ پژو 405</v>
          </cell>
          <cell r="C431" t="str">
            <v>قالب تعمیری</v>
          </cell>
          <cell r="AF431">
            <v>4</v>
          </cell>
          <cell r="AR431">
            <v>3000000</v>
          </cell>
        </row>
        <row r="432">
          <cell r="B432" t="str">
            <v>اصول 5S</v>
          </cell>
          <cell r="C432" t="str">
            <v>نظافت</v>
          </cell>
          <cell r="AF432">
            <v>0.5</v>
          </cell>
          <cell r="AR432">
            <v>375000</v>
          </cell>
        </row>
        <row r="433">
          <cell r="B433" t="str">
            <v>قالب ترابوزا</v>
          </cell>
          <cell r="C433" t="str">
            <v>قالب تعمیری</v>
          </cell>
          <cell r="AF433">
            <v>2.5</v>
          </cell>
          <cell r="AR433">
            <v>1875000</v>
          </cell>
        </row>
        <row r="434">
          <cell r="B434" t="str">
            <v>قالب پخت کلاچ پژو 405</v>
          </cell>
          <cell r="C434" t="str">
            <v>قالب تعمیری</v>
          </cell>
          <cell r="AF434">
            <v>2.5</v>
          </cell>
          <cell r="AR434">
            <v>1875000</v>
          </cell>
        </row>
        <row r="435">
          <cell r="B435" t="str">
            <v>پخت کلاچ ایسوزو</v>
          </cell>
          <cell r="C435" t="str">
            <v>قالب تعمیری</v>
          </cell>
          <cell r="AF435">
            <v>2</v>
          </cell>
          <cell r="AR435">
            <v>1500000</v>
          </cell>
        </row>
        <row r="436">
          <cell r="B436" t="str">
            <v>پخت کلاچ پژو 206 TU5</v>
          </cell>
          <cell r="C436" t="str">
            <v>قالب تعمیری</v>
          </cell>
          <cell r="H436" t="str">
            <v>MC30334-01s</v>
          </cell>
          <cell r="AF436">
            <v>4</v>
          </cell>
          <cell r="AR436">
            <v>3000000</v>
          </cell>
        </row>
        <row r="437">
          <cell r="B437" t="str">
            <v>لیفتراک</v>
          </cell>
          <cell r="C437" t="str">
            <v>قطعه تعمیری</v>
          </cell>
          <cell r="AF437">
            <v>1</v>
          </cell>
          <cell r="AR437">
            <v>750000</v>
          </cell>
        </row>
        <row r="438">
          <cell r="B438" t="str">
            <v>قالب ترابوزا</v>
          </cell>
          <cell r="C438" t="str">
            <v>قالب تعمیری</v>
          </cell>
          <cell r="AF438">
            <v>3</v>
          </cell>
          <cell r="AR438">
            <v>2250000</v>
          </cell>
        </row>
        <row r="439">
          <cell r="B439" t="str">
            <v>قالب ترابوزا</v>
          </cell>
          <cell r="C439" t="str">
            <v>قالب تعمیری</v>
          </cell>
          <cell r="AF439">
            <v>4</v>
          </cell>
          <cell r="AR439">
            <v>3000000</v>
          </cell>
        </row>
        <row r="440">
          <cell r="B440" t="str">
            <v>پخت کلاچ ایسوزو</v>
          </cell>
          <cell r="C440" t="str">
            <v>قالب تعمیری</v>
          </cell>
          <cell r="AF440">
            <v>0.5</v>
          </cell>
          <cell r="AR440">
            <v>375000</v>
          </cell>
        </row>
        <row r="441">
          <cell r="B441" t="str">
            <v>پخت کلاچ ایسوزو</v>
          </cell>
          <cell r="C441" t="str">
            <v>قالب تعمیری</v>
          </cell>
          <cell r="AF441">
            <v>1</v>
          </cell>
          <cell r="AR441">
            <v>750000</v>
          </cell>
        </row>
        <row r="442">
          <cell r="B442" t="str">
            <v>قالب پخت کلاچ پژو 405</v>
          </cell>
          <cell r="C442" t="str">
            <v>قالب تعمیری</v>
          </cell>
          <cell r="AF442">
            <v>2</v>
          </cell>
          <cell r="AR442">
            <v>1500000</v>
          </cell>
        </row>
        <row r="443">
          <cell r="B443" t="str">
            <v>دستگاه پرس 600 تن</v>
          </cell>
          <cell r="C443" t="str">
            <v>قطعه نو</v>
          </cell>
          <cell r="AF443">
            <v>2</v>
          </cell>
          <cell r="AR443">
            <v>1500000</v>
          </cell>
        </row>
        <row r="444">
          <cell r="B444" t="str">
            <v>قالب پخت کلاچ پژو 405</v>
          </cell>
          <cell r="C444" t="str">
            <v>قالب تعمیری</v>
          </cell>
          <cell r="AF444">
            <v>2</v>
          </cell>
          <cell r="AR444">
            <v>1500000</v>
          </cell>
        </row>
        <row r="445">
          <cell r="B445" t="str">
            <v>اصول 5S</v>
          </cell>
          <cell r="C445" t="str">
            <v>نظافت</v>
          </cell>
          <cell r="AF445">
            <v>2</v>
          </cell>
          <cell r="AR445">
            <v>1500000</v>
          </cell>
        </row>
        <row r="446">
          <cell r="B446" t="str">
            <v>دستگاه پشم فلز</v>
          </cell>
          <cell r="C446" t="str">
            <v>قطعه تعمیری</v>
          </cell>
          <cell r="AF446">
            <v>10</v>
          </cell>
          <cell r="AR446">
            <v>7500000</v>
          </cell>
        </row>
        <row r="447">
          <cell r="B447" t="str">
            <v>دستگاه پشم فلز</v>
          </cell>
          <cell r="C447" t="str">
            <v>قطعه تعمیری</v>
          </cell>
          <cell r="AF447">
            <v>12</v>
          </cell>
          <cell r="AR447">
            <v>9000000</v>
          </cell>
        </row>
        <row r="448">
          <cell r="B448" t="str">
            <v>پرچ ریو</v>
          </cell>
          <cell r="C448" t="str">
            <v>قطعه تعمیری</v>
          </cell>
          <cell r="AF448">
            <v>12</v>
          </cell>
          <cell r="AR448">
            <v>9000000</v>
          </cell>
        </row>
        <row r="449">
          <cell r="B449" t="str">
            <v>برشی نیوفیس C&amp;C</v>
          </cell>
          <cell r="C449" t="str">
            <v>قالب نو</v>
          </cell>
          <cell r="H449">
            <v>30487</v>
          </cell>
          <cell r="AF449">
            <v>8</v>
          </cell>
          <cell r="AR449">
            <v>6000000</v>
          </cell>
        </row>
        <row r="450">
          <cell r="B450" t="str">
            <v>برشی نیوفیس C&amp;C</v>
          </cell>
          <cell r="C450" t="str">
            <v>قالب نو</v>
          </cell>
          <cell r="H450">
            <v>30487</v>
          </cell>
          <cell r="AF450">
            <v>2</v>
          </cell>
          <cell r="AR450">
            <v>1500000</v>
          </cell>
        </row>
        <row r="451">
          <cell r="B451" t="str">
            <v>برشی نیوفیس C&amp;C</v>
          </cell>
          <cell r="C451" t="str">
            <v>قالب نو</v>
          </cell>
          <cell r="H451">
            <v>30487</v>
          </cell>
          <cell r="AF451">
            <v>6</v>
          </cell>
          <cell r="AR451">
            <v>4500000</v>
          </cell>
        </row>
        <row r="452">
          <cell r="B452" t="str">
            <v>دستگاه پشم فلز</v>
          </cell>
          <cell r="C452" t="str">
            <v>قطعه تعمیری</v>
          </cell>
          <cell r="AF452">
            <v>6</v>
          </cell>
          <cell r="AR452">
            <v>4500000</v>
          </cell>
        </row>
        <row r="453">
          <cell r="B453" t="str">
            <v>پرچ ریو</v>
          </cell>
          <cell r="C453" t="str">
            <v>قطعه تعمیری</v>
          </cell>
          <cell r="AF453">
            <v>6</v>
          </cell>
          <cell r="AR453">
            <v>4500000</v>
          </cell>
        </row>
        <row r="454">
          <cell r="B454" t="str">
            <v>برشی نیوفیس C&amp;C</v>
          </cell>
          <cell r="C454" t="str">
            <v>قالب نو</v>
          </cell>
          <cell r="H454">
            <v>30487</v>
          </cell>
          <cell r="AF454">
            <v>6</v>
          </cell>
          <cell r="AR454">
            <v>4500000</v>
          </cell>
        </row>
        <row r="455">
          <cell r="B455" t="str">
            <v>لیفتراک</v>
          </cell>
          <cell r="C455" t="str">
            <v>قطعه تعمیری</v>
          </cell>
          <cell r="AF455">
            <v>2</v>
          </cell>
          <cell r="AR455">
            <v>1500000</v>
          </cell>
        </row>
        <row r="456">
          <cell r="B456" t="str">
            <v>ویوینگ</v>
          </cell>
          <cell r="C456" t="str">
            <v>قطعه نو</v>
          </cell>
          <cell r="AF456">
            <v>2</v>
          </cell>
          <cell r="AR456">
            <v>1500000</v>
          </cell>
        </row>
        <row r="457">
          <cell r="B457" t="str">
            <v>قالب خشاب زنی</v>
          </cell>
          <cell r="C457" t="str">
            <v>قطعه تعمیری</v>
          </cell>
          <cell r="AF457">
            <v>1</v>
          </cell>
          <cell r="AR457">
            <v>750000</v>
          </cell>
        </row>
        <row r="458">
          <cell r="B458" t="str">
            <v>ساب داخل</v>
          </cell>
          <cell r="C458" t="str">
            <v>قطعه تعمیری</v>
          </cell>
          <cell r="AF458">
            <v>2</v>
          </cell>
          <cell r="AR458">
            <v>1500000</v>
          </cell>
        </row>
        <row r="459">
          <cell r="B459" t="str">
            <v>قالب پخت کلاچ پژو 405</v>
          </cell>
          <cell r="C459" t="str">
            <v>قالب تعمیری</v>
          </cell>
          <cell r="AF459">
            <v>11</v>
          </cell>
          <cell r="AR459">
            <v>16500000</v>
          </cell>
        </row>
        <row r="460">
          <cell r="B460" t="str">
            <v>قالب پخت کلاچ پژو 405</v>
          </cell>
          <cell r="C460" t="str">
            <v>قالب تعمیری</v>
          </cell>
          <cell r="AF460">
            <v>11</v>
          </cell>
          <cell r="AR460">
            <v>16500000</v>
          </cell>
        </row>
        <row r="461">
          <cell r="B461" t="str">
            <v>صفحات 50*50 پخت کلاچ</v>
          </cell>
          <cell r="C461" t="str">
            <v>قالب تعمیری</v>
          </cell>
          <cell r="AF461">
            <v>11</v>
          </cell>
          <cell r="AR461">
            <v>8250000</v>
          </cell>
        </row>
        <row r="462">
          <cell r="B462" t="str">
            <v>صفحه قالب یدک
700*500*65</v>
          </cell>
          <cell r="C462" t="str">
            <v>قطعه نو</v>
          </cell>
          <cell r="AF462">
            <v>5.5</v>
          </cell>
          <cell r="AR462">
            <v>4125000</v>
          </cell>
        </row>
        <row r="463">
          <cell r="B463" t="str">
            <v>برشی نیوفیس C&amp;C</v>
          </cell>
          <cell r="C463" t="str">
            <v>قالب نو</v>
          </cell>
          <cell r="H463">
            <v>30487</v>
          </cell>
          <cell r="AF463">
            <v>5.5</v>
          </cell>
          <cell r="AR463">
            <v>4125000</v>
          </cell>
        </row>
        <row r="464">
          <cell r="B464" t="str">
            <v>قالب پخت کلاچ پژو 405</v>
          </cell>
          <cell r="C464" t="str">
            <v>قالب تعمیری</v>
          </cell>
          <cell r="AF464">
            <v>5</v>
          </cell>
          <cell r="AR464">
            <v>3750000</v>
          </cell>
        </row>
        <row r="465">
          <cell r="B465" t="str">
            <v>قالب پخت کلاچ پژو 405</v>
          </cell>
          <cell r="C465" t="str">
            <v>قالب تعمیری</v>
          </cell>
          <cell r="AF465">
            <v>5</v>
          </cell>
          <cell r="AR465">
            <v>3750000</v>
          </cell>
        </row>
        <row r="466">
          <cell r="B466" t="str">
            <v>دستگاه پرس پخت</v>
          </cell>
          <cell r="C466" t="str">
            <v>قطعه تعمیری</v>
          </cell>
          <cell r="AF466">
            <v>2.5</v>
          </cell>
          <cell r="AR466">
            <v>1875000</v>
          </cell>
        </row>
        <row r="467">
          <cell r="B467" t="str">
            <v>آسیاب پشم فلز</v>
          </cell>
          <cell r="C467" t="str">
            <v>قطعه تعمیری</v>
          </cell>
          <cell r="AF467">
            <v>4</v>
          </cell>
          <cell r="AR467">
            <v>3000000</v>
          </cell>
        </row>
        <row r="468">
          <cell r="B468" t="str">
            <v>قالب پخت کلاچ پژو 405</v>
          </cell>
          <cell r="C468" t="str">
            <v>قالب تعمیری</v>
          </cell>
          <cell r="AF468">
            <v>11</v>
          </cell>
          <cell r="AR468">
            <v>16500000</v>
          </cell>
        </row>
        <row r="469">
          <cell r="B469" t="str">
            <v>دستگاه پشم فلز</v>
          </cell>
          <cell r="C469" t="str">
            <v>قطعه تعمیری</v>
          </cell>
          <cell r="AF469">
            <v>12</v>
          </cell>
          <cell r="AR469">
            <v>9000000</v>
          </cell>
        </row>
        <row r="470">
          <cell r="B470" t="str">
            <v>دستگاه پشم فلز</v>
          </cell>
          <cell r="C470" t="str">
            <v>قطعه تعمیری</v>
          </cell>
          <cell r="AF470">
            <v>12</v>
          </cell>
          <cell r="AR470">
            <v>9000000</v>
          </cell>
        </row>
        <row r="471">
          <cell r="B471" t="str">
            <v>برشی نیوفیس C&amp;C</v>
          </cell>
          <cell r="C471" t="str">
            <v>قالب نو</v>
          </cell>
          <cell r="H471">
            <v>30487</v>
          </cell>
          <cell r="AF471">
            <v>12</v>
          </cell>
          <cell r="AR471">
            <v>9000000</v>
          </cell>
        </row>
        <row r="472">
          <cell r="B472" t="str">
            <v>پخت کلاچ ایسوزو</v>
          </cell>
          <cell r="C472" t="str">
            <v>قالب تعمیری</v>
          </cell>
          <cell r="AF472">
            <v>4</v>
          </cell>
          <cell r="AR472">
            <v>3000000</v>
          </cell>
        </row>
        <row r="473">
          <cell r="B473" t="str">
            <v xml:space="preserve">پخت کلاچ پراید سکو </v>
          </cell>
          <cell r="C473" t="str">
            <v>قالب تعمیری</v>
          </cell>
          <cell r="H473" t="str">
            <v xml:space="preserve">MC30357-01S </v>
          </cell>
          <cell r="AF473">
            <v>4</v>
          </cell>
          <cell r="AR473">
            <v>3000000</v>
          </cell>
        </row>
        <row r="474">
          <cell r="B474" t="str">
            <v>قالب پخت کلاچ پژو 405</v>
          </cell>
          <cell r="C474" t="str">
            <v>قالب تعمیری</v>
          </cell>
          <cell r="H474" t="str">
            <v>07S</v>
          </cell>
          <cell r="AF474">
            <v>2</v>
          </cell>
          <cell r="AR474">
            <v>1500000</v>
          </cell>
        </row>
        <row r="475">
          <cell r="B475" t="str">
            <v>دستگاه پرس 600 تن</v>
          </cell>
          <cell r="C475" t="str">
            <v>قطعه نو</v>
          </cell>
          <cell r="AF475">
            <v>4</v>
          </cell>
          <cell r="AR475">
            <v>3000000</v>
          </cell>
        </row>
        <row r="476">
          <cell r="B476" t="str">
            <v>دستگاه پشم فلز</v>
          </cell>
          <cell r="C476" t="str">
            <v>قطعه تعمیری</v>
          </cell>
          <cell r="AF476">
            <v>4</v>
          </cell>
          <cell r="AR476">
            <v>3000000</v>
          </cell>
        </row>
        <row r="477">
          <cell r="B477" t="str">
            <v>قالب پخت کلاچ پژو 405</v>
          </cell>
          <cell r="C477" t="str">
            <v>قالب تعمیری</v>
          </cell>
          <cell r="H477" t="str">
            <v>07S</v>
          </cell>
          <cell r="AF477">
            <v>2</v>
          </cell>
          <cell r="AR477">
            <v>1500000</v>
          </cell>
        </row>
        <row r="478">
          <cell r="B478" t="str">
            <v xml:space="preserve">پخت کلاچ پراید سکو </v>
          </cell>
          <cell r="C478" t="str">
            <v>قالب تعمیری</v>
          </cell>
          <cell r="H478" t="str">
            <v xml:space="preserve">MC30357-01S </v>
          </cell>
          <cell r="AF478">
            <v>4</v>
          </cell>
          <cell r="AR478">
            <v>3000000</v>
          </cell>
        </row>
        <row r="479">
          <cell r="B479" t="str">
            <v>قالب پخت کلاچ پژو 405</v>
          </cell>
          <cell r="C479" t="str">
            <v>قالب تعمیری</v>
          </cell>
          <cell r="H479" t="str">
            <v>07S</v>
          </cell>
          <cell r="AF479">
            <v>2</v>
          </cell>
          <cell r="AR479">
            <v>1500000</v>
          </cell>
        </row>
        <row r="480">
          <cell r="B480" t="str">
            <v>قالب پخت کلاچ پژو 405</v>
          </cell>
          <cell r="C480" t="str">
            <v>قالب تعمیری</v>
          </cell>
          <cell r="H480" t="str">
            <v>07S</v>
          </cell>
          <cell r="AF480">
            <v>3</v>
          </cell>
          <cell r="AR480">
            <v>2250000</v>
          </cell>
        </row>
        <row r="481">
          <cell r="B481" t="str">
            <v>قالب قطاری</v>
          </cell>
          <cell r="C481" t="str">
            <v>قالب تعمیری</v>
          </cell>
          <cell r="H481" t="str">
            <v>MT30158-01S</v>
          </cell>
          <cell r="AF481">
            <v>1</v>
          </cell>
          <cell r="AR481">
            <v>750000</v>
          </cell>
        </row>
        <row r="482">
          <cell r="B482" t="str">
            <v>پخت کلاچ ایویکو سوراخدار</v>
          </cell>
          <cell r="C482" t="str">
            <v>قالب تعمیری</v>
          </cell>
          <cell r="H482" t="str">
            <v>FC30249-01S</v>
          </cell>
          <cell r="AF482">
            <v>2</v>
          </cell>
          <cell r="AR482">
            <v>1500000</v>
          </cell>
        </row>
        <row r="483">
          <cell r="B483" t="str">
            <v>دستگاه پشم فلز</v>
          </cell>
          <cell r="C483" t="str">
            <v>قطعه تعمیری</v>
          </cell>
          <cell r="AF483">
            <v>2</v>
          </cell>
          <cell r="AR483">
            <v>1500000</v>
          </cell>
        </row>
        <row r="484">
          <cell r="B484" t="str">
            <v>دستگاه پرس پخت</v>
          </cell>
          <cell r="C484" t="str">
            <v>قطعه تعمیری</v>
          </cell>
          <cell r="AF484">
            <v>2</v>
          </cell>
          <cell r="AR484">
            <v>1500000</v>
          </cell>
        </row>
        <row r="485">
          <cell r="B485" t="str">
            <v>سوپاپ کلاچ</v>
          </cell>
          <cell r="C485" t="str">
            <v>قطعه تعمیری</v>
          </cell>
          <cell r="AF485">
            <v>2</v>
          </cell>
          <cell r="AR485">
            <v>1500000</v>
          </cell>
        </row>
        <row r="486">
          <cell r="B486" t="str">
            <v>دستگاه پرس 600 تن</v>
          </cell>
          <cell r="C486" t="str">
            <v>قطعه نو</v>
          </cell>
          <cell r="AF486">
            <v>2</v>
          </cell>
          <cell r="AR486">
            <v>1500000</v>
          </cell>
        </row>
        <row r="487">
          <cell r="B487" t="str">
            <v>قالب پخت کلاچ پژو 405</v>
          </cell>
          <cell r="C487" t="str">
            <v>قالب تعمیری</v>
          </cell>
          <cell r="H487" t="str">
            <v>07S</v>
          </cell>
          <cell r="AF487">
            <v>1.5</v>
          </cell>
          <cell r="AR487">
            <v>1125000</v>
          </cell>
        </row>
        <row r="488">
          <cell r="B488" t="str">
            <v>برشی نیوفیس C&amp;C</v>
          </cell>
          <cell r="C488" t="str">
            <v>قالب نو</v>
          </cell>
          <cell r="H488">
            <v>30487</v>
          </cell>
          <cell r="AF488">
            <v>11</v>
          </cell>
          <cell r="AR488">
            <v>8250000</v>
          </cell>
        </row>
        <row r="489">
          <cell r="B489" t="str">
            <v>قالب پخت کلاچ پژو 405</v>
          </cell>
          <cell r="C489" t="str">
            <v>قالب تعمیری</v>
          </cell>
          <cell r="AF489">
            <v>11</v>
          </cell>
          <cell r="AR489">
            <v>16500000</v>
          </cell>
        </row>
        <row r="490">
          <cell r="B490" t="str">
            <v>قالب پخت کلاچ پژو 405</v>
          </cell>
          <cell r="C490" t="str">
            <v>قالب تعمیری</v>
          </cell>
          <cell r="AF490">
            <v>5.5</v>
          </cell>
          <cell r="AR490">
            <v>8250000</v>
          </cell>
        </row>
        <row r="491">
          <cell r="B491" t="str">
            <v>قالب پخت کلاچ پژو 405</v>
          </cell>
          <cell r="C491" t="str">
            <v>قالب تعمیری</v>
          </cell>
          <cell r="AF491">
            <v>7.5</v>
          </cell>
          <cell r="AR491">
            <v>11250000</v>
          </cell>
        </row>
        <row r="492">
          <cell r="B492" t="str">
            <v>قالب عقب F12</v>
          </cell>
          <cell r="C492" t="str">
            <v>قالب نو</v>
          </cell>
          <cell r="AF492">
            <v>3.5</v>
          </cell>
          <cell r="AR492">
            <v>5250000</v>
          </cell>
        </row>
        <row r="493">
          <cell r="B493" t="str">
            <v>صفحات 50*50 پخت کلاچ</v>
          </cell>
          <cell r="C493" t="str">
            <v>قالب تعمیری</v>
          </cell>
          <cell r="AF493">
            <v>3.5</v>
          </cell>
          <cell r="AR493">
            <v>2625000</v>
          </cell>
        </row>
        <row r="494">
          <cell r="B494" t="str">
            <v>پخت کلاچ پراید</v>
          </cell>
          <cell r="C494" t="str">
            <v>قالب تعمیری</v>
          </cell>
          <cell r="H494" t="str">
            <v>mc30246-03s</v>
          </cell>
          <cell r="AF494">
            <v>7.5</v>
          </cell>
          <cell r="AR494">
            <v>5625000</v>
          </cell>
        </row>
        <row r="495">
          <cell r="B495" t="str">
            <v>آسیاب پشم فلز</v>
          </cell>
          <cell r="C495" t="str">
            <v>قطعه تعمیری</v>
          </cell>
          <cell r="AF495">
            <v>1.5</v>
          </cell>
          <cell r="AR495">
            <v>1125000</v>
          </cell>
        </row>
        <row r="496">
          <cell r="B496" t="str">
            <v>صفحه قالب یدک
700*500*65</v>
          </cell>
          <cell r="C496" t="str">
            <v>قطعه نو</v>
          </cell>
          <cell r="AF496">
            <v>5</v>
          </cell>
          <cell r="AR496">
            <v>3750000</v>
          </cell>
        </row>
        <row r="497">
          <cell r="B497" t="str">
            <v>قالب پخت کلاچ پژو 405</v>
          </cell>
          <cell r="C497" t="str">
            <v>قالب تعمیری</v>
          </cell>
          <cell r="AF497">
            <v>4.333333333333333</v>
          </cell>
          <cell r="AR497">
            <v>3250000</v>
          </cell>
        </row>
        <row r="498">
          <cell r="B498" t="str">
            <v>پخت کلاچ پراید</v>
          </cell>
          <cell r="C498" t="str">
            <v>قالب تعمیری</v>
          </cell>
          <cell r="H498" t="str">
            <v>mc30246-03s</v>
          </cell>
          <cell r="AF498">
            <v>4.333333333333333</v>
          </cell>
          <cell r="AR498">
            <v>3250000</v>
          </cell>
        </row>
        <row r="499">
          <cell r="B499" t="str">
            <v>سری نقطه جوش</v>
          </cell>
          <cell r="C499" t="str">
            <v>قطعه تعمیری</v>
          </cell>
          <cell r="AF499">
            <v>2</v>
          </cell>
          <cell r="AR499">
            <v>1500000</v>
          </cell>
        </row>
        <row r="500">
          <cell r="B500" t="str">
            <v>قالب پخت کلاچ پژو 405</v>
          </cell>
          <cell r="C500" t="str">
            <v>قالب تعمیری</v>
          </cell>
          <cell r="H500" t="str">
            <v>07S</v>
          </cell>
          <cell r="AF500">
            <v>2</v>
          </cell>
          <cell r="AR500">
            <v>1500000</v>
          </cell>
        </row>
        <row r="501">
          <cell r="B501" t="str">
            <v>پخت کلاچ ایویکو سوراخدار</v>
          </cell>
          <cell r="C501" t="str">
            <v>قالب تعمیری</v>
          </cell>
          <cell r="H501" t="str">
            <v>FC30249-01S</v>
          </cell>
          <cell r="AF501">
            <v>3</v>
          </cell>
          <cell r="AR501">
            <v>2250000</v>
          </cell>
        </row>
        <row r="502">
          <cell r="B502" t="str">
            <v>قالب قطاری</v>
          </cell>
          <cell r="C502" t="str">
            <v>قالب تعمیری</v>
          </cell>
          <cell r="H502" t="str">
            <v>MT30158-01S</v>
          </cell>
          <cell r="AF502">
            <v>5</v>
          </cell>
          <cell r="AR502">
            <v>3750000</v>
          </cell>
        </row>
        <row r="503">
          <cell r="B503" t="str">
            <v>قالب پخت کلاچ پژو 405</v>
          </cell>
          <cell r="C503" t="str">
            <v>قالب تعمیری</v>
          </cell>
          <cell r="H503" t="str">
            <v>07S</v>
          </cell>
          <cell r="AF503">
            <v>3</v>
          </cell>
          <cell r="AR503">
            <v>2250000</v>
          </cell>
        </row>
        <row r="504">
          <cell r="B504" t="str">
            <v>پخت کلاچ ایویکو سوراخدار</v>
          </cell>
          <cell r="C504" t="str">
            <v>قالب تعمیری</v>
          </cell>
          <cell r="H504" t="str">
            <v>FC30249-01S</v>
          </cell>
          <cell r="AF504">
            <v>2</v>
          </cell>
          <cell r="AR504">
            <v>1500000</v>
          </cell>
        </row>
        <row r="505">
          <cell r="B505" t="str">
            <v>قالب قطاری</v>
          </cell>
          <cell r="C505" t="str">
            <v>قالب تعمیری</v>
          </cell>
          <cell r="H505" t="str">
            <v>MT30158-01S</v>
          </cell>
          <cell r="AF505">
            <v>4</v>
          </cell>
          <cell r="AR505">
            <v>3000000</v>
          </cell>
        </row>
        <row r="506">
          <cell r="B506" t="str">
            <v>قالب قطاری</v>
          </cell>
          <cell r="C506" t="str">
            <v>قالب تعمیری</v>
          </cell>
          <cell r="H506" t="str">
            <v>MT30158-01S</v>
          </cell>
          <cell r="AF506">
            <v>2</v>
          </cell>
          <cell r="AR506">
            <v>1500000</v>
          </cell>
        </row>
        <row r="507">
          <cell r="B507" t="str">
            <v>قطعه کار سلمانی</v>
          </cell>
          <cell r="C507" t="str">
            <v>قطعه تعمیری</v>
          </cell>
          <cell r="AF507">
            <v>12</v>
          </cell>
          <cell r="AR507">
            <v>9000000</v>
          </cell>
        </row>
        <row r="508">
          <cell r="B508" t="str">
            <v>دستگاه پشم فلز</v>
          </cell>
          <cell r="C508" t="str">
            <v>قطعه تعمیری</v>
          </cell>
          <cell r="AF508">
            <v>4</v>
          </cell>
          <cell r="AR508">
            <v>3000000</v>
          </cell>
        </row>
        <row r="509">
          <cell r="B509" t="str">
            <v>ویوینگ</v>
          </cell>
          <cell r="C509" t="str">
            <v>قطعه نو</v>
          </cell>
          <cell r="AF509">
            <v>2</v>
          </cell>
          <cell r="AR509">
            <v>1500000</v>
          </cell>
        </row>
        <row r="510">
          <cell r="B510" t="str">
            <v>دستگاه پرس پخت</v>
          </cell>
          <cell r="C510" t="str">
            <v>قطعه نو</v>
          </cell>
          <cell r="AF510">
            <v>2</v>
          </cell>
          <cell r="AR510">
            <v>1500000</v>
          </cell>
        </row>
        <row r="511">
          <cell r="B511" t="str">
            <v>پخت کلاچ ایویکو سوراخدار</v>
          </cell>
          <cell r="C511" t="str">
            <v>قالب تعمیری</v>
          </cell>
          <cell r="H511" t="str">
            <v>FC30249-01S</v>
          </cell>
          <cell r="AF511">
            <v>3</v>
          </cell>
          <cell r="AR511">
            <v>2250000</v>
          </cell>
        </row>
        <row r="512">
          <cell r="B512" t="str">
            <v>دستگاه پرس پخت</v>
          </cell>
          <cell r="C512" t="str">
            <v>قطعه تعمیری</v>
          </cell>
          <cell r="AF512">
            <v>2</v>
          </cell>
          <cell r="AR512">
            <v>1500000</v>
          </cell>
        </row>
        <row r="513">
          <cell r="B513" t="str">
            <v>دستگاه پشم فلز</v>
          </cell>
          <cell r="C513" t="str">
            <v>قطعه تعمیری</v>
          </cell>
          <cell r="AF513">
            <v>4</v>
          </cell>
          <cell r="AR513">
            <v>3000000</v>
          </cell>
        </row>
        <row r="514">
          <cell r="B514" t="str">
            <v xml:space="preserve">قالب پخت کلاچ پیکان </v>
          </cell>
          <cell r="C514" t="str">
            <v>قالب تعمیری</v>
          </cell>
          <cell r="AF514">
            <v>3</v>
          </cell>
          <cell r="AR514">
            <v>2250000</v>
          </cell>
        </row>
        <row r="515">
          <cell r="B515" t="str">
            <v>قالب پخت کلاچ پیکان</v>
          </cell>
          <cell r="C515" t="str">
            <v>قالب تعمیری</v>
          </cell>
          <cell r="H515" t="str">
            <v>07s</v>
          </cell>
          <cell r="AF515">
            <v>2</v>
          </cell>
          <cell r="AR515">
            <v>1500000</v>
          </cell>
        </row>
        <row r="516">
          <cell r="B516" t="str">
            <v>پخت کلاچ پراید</v>
          </cell>
          <cell r="C516" t="str">
            <v>قالب تعمیری</v>
          </cell>
          <cell r="H516" t="str">
            <v>mc30246-03s</v>
          </cell>
          <cell r="AF516">
            <v>2</v>
          </cell>
          <cell r="AR516">
            <v>1500000</v>
          </cell>
        </row>
        <row r="517">
          <cell r="B517" t="str">
            <v>قالب پخت کلاچ پژو 405</v>
          </cell>
          <cell r="C517" t="str">
            <v>قالب تعمیری</v>
          </cell>
          <cell r="AF517">
            <v>11</v>
          </cell>
          <cell r="AR517">
            <v>16500000</v>
          </cell>
        </row>
        <row r="518">
          <cell r="B518" t="str">
            <v>صفحه قالب یدک
700*500*65</v>
          </cell>
          <cell r="C518" t="str">
            <v>قطعه نو</v>
          </cell>
          <cell r="AF518">
            <v>6.5</v>
          </cell>
          <cell r="AR518">
            <v>4875000</v>
          </cell>
        </row>
        <row r="519">
          <cell r="B519" t="str">
            <v>قالب پخت کلاچ پژو 405</v>
          </cell>
          <cell r="C519" t="str">
            <v>قالب تعمیری</v>
          </cell>
          <cell r="AF519">
            <v>11</v>
          </cell>
          <cell r="AR519">
            <v>16500000</v>
          </cell>
        </row>
        <row r="520">
          <cell r="B520" t="str">
            <v>قالب پخت کلاچ پژو 405</v>
          </cell>
          <cell r="C520" t="str">
            <v>قالب تعمیری</v>
          </cell>
          <cell r="AF520">
            <v>7</v>
          </cell>
          <cell r="AR520">
            <v>5250000</v>
          </cell>
        </row>
        <row r="521">
          <cell r="B521" t="str">
            <v>قالب پخت کلاچ پژو 405</v>
          </cell>
          <cell r="C521" t="str">
            <v>قالب تعمیری</v>
          </cell>
          <cell r="AF521">
            <v>4</v>
          </cell>
          <cell r="AR521">
            <v>3000000</v>
          </cell>
        </row>
        <row r="522">
          <cell r="B522" t="str">
            <v>پخت کلاچ پراید</v>
          </cell>
          <cell r="C522" t="str">
            <v>قالب تعمیری</v>
          </cell>
          <cell r="H522" t="str">
            <v>mc30246-03s</v>
          </cell>
          <cell r="AF522">
            <v>11</v>
          </cell>
          <cell r="AR522">
            <v>8250000</v>
          </cell>
        </row>
        <row r="523">
          <cell r="B523" t="str">
            <v xml:space="preserve">قالب پخت کلاچ پیکان </v>
          </cell>
          <cell r="C523" t="str">
            <v>قالب تعمیری</v>
          </cell>
          <cell r="AF523">
            <v>1</v>
          </cell>
          <cell r="AR523">
            <v>750000</v>
          </cell>
        </row>
        <row r="524">
          <cell r="B524" t="str">
            <v>برشی نیوفیس C&amp;C</v>
          </cell>
          <cell r="C524" t="str">
            <v>قالب نو</v>
          </cell>
          <cell r="H524">
            <v>30487</v>
          </cell>
          <cell r="AF524">
            <v>5.5</v>
          </cell>
          <cell r="AR524">
            <v>4125000</v>
          </cell>
        </row>
        <row r="525">
          <cell r="B525" t="str">
            <v>ابزار زنی</v>
          </cell>
          <cell r="C525" t="str">
            <v>قطعه تعمیری</v>
          </cell>
          <cell r="AF525">
            <v>5.5</v>
          </cell>
          <cell r="AR525">
            <v>4125000</v>
          </cell>
        </row>
        <row r="526">
          <cell r="B526" t="str">
            <v>قالب عقب F12</v>
          </cell>
          <cell r="C526" t="str">
            <v>قالب نو</v>
          </cell>
          <cell r="AF526">
            <v>6.5</v>
          </cell>
          <cell r="AR526">
            <v>9750000</v>
          </cell>
        </row>
        <row r="527">
          <cell r="B527" t="str">
            <v>قالب پخت کلاچ پژو 405</v>
          </cell>
          <cell r="C527" t="str">
            <v>قالب تعمیری</v>
          </cell>
          <cell r="AF527">
            <v>4.5</v>
          </cell>
          <cell r="AR527">
            <v>6750000</v>
          </cell>
        </row>
        <row r="528">
          <cell r="B528" t="str">
            <v>برشی نیوفیس C&amp;C</v>
          </cell>
          <cell r="C528" t="str">
            <v>قالب نو</v>
          </cell>
          <cell r="H528">
            <v>30487</v>
          </cell>
          <cell r="AF528">
            <v>9</v>
          </cell>
          <cell r="AR528">
            <v>6750000</v>
          </cell>
        </row>
        <row r="529">
          <cell r="B529" t="str">
            <v>قالب عقب F12</v>
          </cell>
          <cell r="C529" t="str">
            <v>قالب نو</v>
          </cell>
          <cell r="AF529">
            <v>1</v>
          </cell>
          <cell r="AR529">
            <v>750000</v>
          </cell>
        </row>
        <row r="530">
          <cell r="B530" t="str">
            <v>قالب قطاری</v>
          </cell>
          <cell r="C530" t="str">
            <v>قالب تعمیری</v>
          </cell>
          <cell r="H530" t="str">
            <v>MT30158-01S</v>
          </cell>
          <cell r="AF530">
            <v>4.5</v>
          </cell>
          <cell r="AR530">
            <v>3375000</v>
          </cell>
        </row>
        <row r="531">
          <cell r="B531" t="str">
            <v>سری نقطه جوش</v>
          </cell>
          <cell r="C531" t="str">
            <v>قطعه تعمیری</v>
          </cell>
          <cell r="AF531">
            <v>2</v>
          </cell>
          <cell r="AR531">
            <v>1500000</v>
          </cell>
        </row>
        <row r="532">
          <cell r="B532" t="str">
            <v>ویوینگ</v>
          </cell>
          <cell r="C532" t="str">
            <v>قطعه نو</v>
          </cell>
          <cell r="AF532">
            <v>4.5</v>
          </cell>
          <cell r="AR532">
            <v>3375000</v>
          </cell>
        </row>
        <row r="533">
          <cell r="B533" t="str">
            <v>دستگاه پرس پخت</v>
          </cell>
          <cell r="C533" t="str">
            <v>قطعه تعمیری</v>
          </cell>
          <cell r="AF533">
            <v>4</v>
          </cell>
          <cell r="AR533">
            <v>3000000</v>
          </cell>
        </row>
        <row r="534">
          <cell r="B534" t="str">
            <v>ویوینگ</v>
          </cell>
          <cell r="C534" t="str">
            <v>قطعه نو</v>
          </cell>
          <cell r="AF534">
            <v>3</v>
          </cell>
          <cell r="AR534">
            <v>2250000</v>
          </cell>
        </row>
        <row r="535">
          <cell r="B535" t="str">
            <v>ویوینگ</v>
          </cell>
          <cell r="C535" t="str">
            <v>قطعه نو</v>
          </cell>
          <cell r="AF535">
            <v>2</v>
          </cell>
          <cell r="AR535">
            <v>1500000</v>
          </cell>
        </row>
        <row r="536">
          <cell r="B536" t="str">
            <v>اهرم زنی</v>
          </cell>
          <cell r="C536" t="str">
            <v>قطعه تعمیری</v>
          </cell>
          <cell r="AF536">
            <v>2</v>
          </cell>
          <cell r="AR536">
            <v>1500000</v>
          </cell>
        </row>
        <row r="537">
          <cell r="B537" t="str">
            <v xml:space="preserve">قالب پخت کلاچ پیکان </v>
          </cell>
          <cell r="C537" t="str">
            <v>قالب تعمیری</v>
          </cell>
          <cell r="AF537">
            <v>5</v>
          </cell>
          <cell r="AR537">
            <v>3750000</v>
          </cell>
        </row>
        <row r="538">
          <cell r="B538" t="str">
            <v>پخت کلاچ ده تن</v>
          </cell>
          <cell r="C538" t="str">
            <v>قالب تعمیری</v>
          </cell>
          <cell r="H538" t="str">
            <v>MC30298-01s</v>
          </cell>
          <cell r="AF538">
            <v>6</v>
          </cell>
          <cell r="AR538">
            <v>4500000</v>
          </cell>
        </row>
        <row r="539">
          <cell r="B539" t="str">
            <v>قالب قطاری</v>
          </cell>
          <cell r="C539" t="str">
            <v>قالب تعمیری</v>
          </cell>
          <cell r="H539" t="str">
            <v>MT30158-01S</v>
          </cell>
          <cell r="AF539">
            <v>2.5</v>
          </cell>
          <cell r="AR539">
            <v>1875000</v>
          </cell>
        </row>
        <row r="540">
          <cell r="B540" t="str">
            <v>قالب قطاری</v>
          </cell>
          <cell r="C540" t="str">
            <v>قالب تعمیری</v>
          </cell>
          <cell r="H540" t="str">
            <v>MT30158-01S</v>
          </cell>
          <cell r="AF540">
            <v>1.5</v>
          </cell>
          <cell r="AR540">
            <v>1125000</v>
          </cell>
        </row>
        <row r="541">
          <cell r="B541" t="str">
            <v>قالب پخت کلاچ پژو 405</v>
          </cell>
          <cell r="C541" t="str">
            <v>قالب تعمیری</v>
          </cell>
          <cell r="AF541">
            <v>4</v>
          </cell>
          <cell r="AR541">
            <v>3000000</v>
          </cell>
        </row>
        <row r="542">
          <cell r="B542" t="str">
            <v>ویوینگ</v>
          </cell>
          <cell r="C542" t="str">
            <v>قطعه نو</v>
          </cell>
          <cell r="AF542">
            <v>1</v>
          </cell>
          <cell r="AR542">
            <v>750000</v>
          </cell>
        </row>
        <row r="543">
          <cell r="B543" t="str">
            <v>ویوینگ</v>
          </cell>
          <cell r="C543" t="str">
            <v>قطعه نو</v>
          </cell>
          <cell r="AF543">
            <v>1.5</v>
          </cell>
          <cell r="AR543">
            <v>1125000</v>
          </cell>
        </row>
        <row r="544">
          <cell r="B544" t="str">
            <v xml:space="preserve">قالب پخت کلاچ پیکان </v>
          </cell>
          <cell r="C544" t="str">
            <v>قالب تعمیری</v>
          </cell>
          <cell r="AF544">
            <v>8</v>
          </cell>
          <cell r="AR544">
            <v>12000000</v>
          </cell>
        </row>
        <row r="545">
          <cell r="B545" t="str">
            <v xml:space="preserve">قالب پخت کلاچ پیکان </v>
          </cell>
          <cell r="C545" t="str">
            <v>قالب تعمیری</v>
          </cell>
          <cell r="AF545">
            <v>3</v>
          </cell>
          <cell r="AR545">
            <v>4500000</v>
          </cell>
        </row>
        <row r="546">
          <cell r="B546" t="str">
            <v>دستگاه ساب سمباده ای</v>
          </cell>
          <cell r="C546" t="str">
            <v>قطعه تعمیری</v>
          </cell>
          <cell r="AF546">
            <v>11</v>
          </cell>
          <cell r="AR546">
            <v>8250000</v>
          </cell>
        </row>
        <row r="547">
          <cell r="B547" t="str">
            <v>قالب پخت کلاچ پژو 405</v>
          </cell>
          <cell r="C547" t="str">
            <v>قالب تعمیری</v>
          </cell>
          <cell r="AF547">
            <v>9</v>
          </cell>
          <cell r="AR547">
            <v>13500000</v>
          </cell>
        </row>
        <row r="548">
          <cell r="B548" t="str">
            <v xml:space="preserve">قالب پخت کلاچ پیکان </v>
          </cell>
          <cell r="C548" t="str">
            <v>قالب تعمیری</v>
          </cell>
          <cell r="AF548">
            <v>2</v>
          </cell>
          <cell r="AR548">
            <v>3000000</v>
          </cell>
        </row>
        <row r="549">
          <cell r="B549" t="str">
            <v>ابزار زنی</v>
          </cell>
          <cell r="C549" t="str">
            <v>قطعه تعمیری</v>
          </cell>
          <cell r="AF549">
            <v>5.5</v>
          </cell>
          <cell r="AR549">
            <v>4125000</v>
          </cell>
        </row>
        <row r="550">
          <cell r="B550" t="str">
            <v>لودر دیسکی  XGL 50</v>
          </cell>
          <cell r="C550" t="str">
            <v>قالب نو</v>
          </cell>
          <cell r="H550">
            <v>29935</v>
          </cell>
          <cell r="AF550">
            <v>5.5</v>
          </cell>
          <cell r="AR550">
            <v>4125000</v>
          </cell>
        </row>
        <row r="551">
          <cell r="B551" t="str">
            <v>صفحه قالب یدک
700*500*65</v>
          </cell>
          <cell r="C551" t="str">
            <v>قطعه نو</v>
          </cell>
          <cell r="AF551">
            <v>4.166666666666667</v>
          </cell>
          <cell r="AR551">
            <v>3125000</v>
          </cell>
        </row>
        <row r="552">
          <cell r="B552" t="str">
            <v>برشی نیوفیس C&amp;C</v>
          </cell>
          <cell r="C552" t="str">
            <v>قالب نو</v>
          </cell>
          <cell r="H552">
            <v>30487</v>
          </cell>
          <cell r="AF552">
            <v>2.3333333333333335</v>
          </cell>
          <cell r="AR552">
            <v>1750000</v>
          </cell>
        </row>
        <row r="553">
          <cell r="B553" t="str">
            <v>قالب پخت کلاچ پژو 405</v>
          </cell>
          <cell r="C553" t="str">
            <v>قالب تعمیری</v>
          </cell>
          <cell r="AF553">
            <v>7.5</v>
          </cell>
          <cell r="AR553">
            <v>11250000</v>
          </cell>
        </row>
        <row r="554">
          <cell r="B554" t="str">
            <v>قالب پخت کلاچ پژو 405</v>
          </cell>
          <cell r="C554" t="str">
            <v>قالب تعمیری</v>
          </cell>
          <cell r="AF554">
            <v>3</v>
          </cell>
          <cell r="AR554">
            <v>2250000</v>
          </cell>
        </row>
        <row r="555">
          <cell r="B555" t="str">
            <v>برش دستی</v>
          </cell>
          <cell r="C555" t="str">
            <v>قطعه تعمیری</v>
          </cell>
          <cell r="AF555">
            <v>3</v>
          </cell>
          <cell r="AR555">
            <v>2250000</v>
          </cell>
        </row>
        <row r="556">
          <cell r="B556" t="str">
            <v>قالب قطاری</v>
          </cell>
          <cell r="C556" t="str">
            <v>قالب تعمیری</v>
          </cell>
          <cell r="H556" t="str">
            <v>MT30158-01S</v>
          </cell>
          <cell r="AF556">
            <v>3</v>
          </cell>
          <cell r="AR556">
            <v>2250000</v>
          </cell>
        </row>
        <row r="557">
          <cell r="B557" t="str">
            <v>سری نقطه جوش</v>
          </cell>
          <cell r="C557" t="str">
            <v>قطعه تعمیری</v>
          </cell>
          <cell r="AF557">
            <v>1.5</v>
          </cell>
          <cell r="AR557">
            <v>1125000</v>
          </cell>
        </row>
        <row r="558">
          <cell r="B558" t="str">
            <v>قالب پخت کلاچ پژو 405</v>
          </cell>
          <cell r="C558" t="str">
            <v>قالب تعمیری</v>
          </cell>
          <cell r="AF558">
            <v>1.5</v>
          </cell>
          <cell r="AR558">
            <v>1125000</v>
          </cell>
        </row>
        <row r="559">
          <cell r="B559" t="str">
            <v>قالب پخت کلاچ پژو 405</v>
          </cell>
          <cell r="C559" t="str">
            <v>قالب تعمیری</v>
          </cell>
          <cell r="AF559">
            <v>3</v>
          </cell>
          <cell r="AR559">
            <v>2250000</v>
          </cell>
        </row>
        <row r="560">
          <cell r="B560" t="str">
            <v>قالب پخت کلاچ پژو 405</v>
          </cell>
          <cell r="C560" t="str">
            <v>قالب تعمیری</v>
          </cell>
          <cell r="AF560">
            <v>2</v>
          </cell>
          <cell r="AR560">
            <v>1500000</v>
          </cell>
        </row>
        <row r="561">
          <cell r="B561" t="str">
            <v>ویوینگ</v>
          </cell>
          <cell r="C561" t="str">
            <v>قطعه تعمیری</v>
          </cell>
          <cell r="AF561">
            <v>2</v>
          </cell>
          <cell r="AR561">
            <v>1500000</v>
          </cell>
        </row>
        <row r="562">
          <cell r="B562" t="str">
            <v>دستگاه پشم فلز</v>
          </cell>
          <cell r="C562" t="str">
            <v>قطعه تعمیری</v>
          </cell>
          <cell r="AF562">
            <v>1</v>
          </cell>
          <cell r="AR562">
            <v>750000</v>
          </cell>
        </row>
        <row r="563">
          <cell r="B563" t="str">
            <v>پخت کلاچ ده تن</v>
          </cell>
          <cell r="C563" t="str">
            <v>قالب تعمیری</v>
          </cell>
          <cell r="H563" t="str">
            <v>MC30298-01s</v>
          </cell>
          <cell r="AF563">
            <v>2</v>
          </cell>
          <cell r="AR563">
            <v>1500000</v>
          </cell>
        </row>
        <row r="564">
          <cell r="B564" t="str">
            <v>قالب پخت کلاچ پژو 405</v>
          </cell>
          <cell r="C564" t="str">
            <v>قالب تعمیری</v>
          </cell>
          <cell r="AF564">
            <v>3</v>
          </cell>
          <cell r="AR564">
            <v>2250000</v>
          </cell>
        </row>
        <row r="565">
          <cell r="B565" t="str">
            <v>قالب عقب F12</v>
          </cell>
          <cell r="C565" t="str">
            <v>قالب نو</v>
          </cell>
          <cell r="AF565">
            <v>2</v>
          </cell>
          <cell r="AR565">
            <v>1500000</v>
          </cell>
        </row>
        <row r="566">
          <cell r="B566" t="str">
            <v>قالب عقب F12</v>
          </cell>
          <cell r="C566" t="str">
            <v>قالب نو</v>
          </cell>
          <cell r="AF566">
            <v>3</v>
          </cell>
          <cell r="AR566">
            <v>2250000</v>
          </cell>
        </row>
        <row r="567">
          <cell r="B567" t="str">
            <v>قالب مینی بوس آریا</v>
          </cell>
          <cell r="C567" t="str">
            <v>قالب نو</v>
          </cell>
          <cell r="H567">
            <v>30303</v>
          </cell>
          <cell r="AF567">
            <v>1</v>
          </cell>
          <cell r="AR567">
            <v>750000</v>
          </cell>
        </row>
        <row r="568">
          <cell r="B568" t="str">
            <v>قالب مینی بوس آریا</v>
          </cell>
          <cell r="C568" t="str">
            <v>قالب نو</v>
          </cell>
          <cell r="H568">
            <v>30303</v>
          </cell>
          <cell r="AF568">
            <v>11</v>
          </cell>
          <cell r="AR568">
            <v>8250000</v>
          </cell>
        </row>
        <row r="569">
          <cell r="B569" t="str">
            <v>قالب پخت کلاچ پژو 405</v>
          </cell>
          <cell r="C569" t="str">
            <v>قالب تعمیری</v>
          </cell>
          <cell r="AF569">
            <v>1</v>
          </cell>
          <cell r="AR569">
            <v>750000</v>
          </cell>
        </row>
        <row r="570">
          <cell r="B570" t="str">
            <v>قالب پخت کلاچ پژو 405</v>
          </cell>
          <cell r="C570" t="str">
            <v>قالب تعمیری</v>
          </cell>
          <cell r="AF570">
            <v>2</v>
          </cell>
          <cell r="AR570">
            <v>1500000</v>
          </cell>
        </row>
        <row r="571">
          <cell r="B571" t="str">
            <v>قالب توری پگاسوز</v>
          </cell>
          <cell r="C571" t="str">
            <v>قالب تعمیری</v>
          </cell>
          <cell r="H571">
            <v>30425</v>
          </cell>
          <cell r="AF571">
            <v>2</v>
          </cell>
          <cell r="AR571">
            <v>1500000</v>
          </cell>
        </row>
        <row r="572">
          <cell r="B572" t="str">
            <v>قالب قطاری</v>
          </cell>
          <cell r="C572" t="str">
            <v>قالب تعمیری</v>
          </cell>
          <cell r="H572" t="str">
            <v>MT30158-01S</v>
          </cell>
          <cell r="AF572">
            <v>3</v>
          </cell>
          <cell r="AR572">
            <v>2250000</v>
          </cell>
        </row>
        <row r="573">
          <cell r="B573" t="str">
            <v>قالب قطاری</v>
          </cell>
          <cell r="C573" t="str">
            <v>قالب تعمیری</v>
          </cell>
          <cell r="H573" t="str">
            <v>MT30158-01S</v>
          </cell>
          <cell r="AF573">
            <v>1</v>
          </cell>
          <cell r="AR573">
            <v>750000</v>
          </cell>
        </row>
        <row r="574">
          <cell r="B574" t="str">
            <v>قالب پخت کلاچ پژو 405</v>
          </cell>
          <cell r="C574" t="str">
            <v>قالب تعمیری</v>
          </cell>
          <cell r="AF574">
            <v>1</v>
          </cell>
          <cell r="AR574">
            <v>750000</v>
          </cell>
        </row>
        <row r="575">
          <cell r="B575" t="str">
            <v xml:space="preserve">قالب پخت کلاچ پیکان </v>
          </cell>
          <cell r="C575" t="str">
            <v>قالب تعمیری</v>
          </cell>
          <cell r="AF575">
            <v>2</v>
          </cell>
          <cell r="AR575">
            <v>1500000</v>
          </cell>
        </row>
        <row r="576">
          <cell r="B576" t="str">
            <v xml:space="preserve">قالب پخت کلاچ پیکان </v>
          </cell>
          <cell r="C576" t="str">
            <v>قالب تعمیری</v>
          </cell>
          <cell r="AF576">
            <v>1</v>
          </cell>
          <cell r="AR576">
            <v>750000</v>
          </cell>
        </row>
        <row r="577">
          <cell r="B577" t="str">
            <v>برشی نیوفیس C&amp;C</v>
          </cell>
          <cell r="C577" t="str">
            <v>قالب نو</v>
          </cell>
          <cell r="H577">
            <v>30487</v>
          </cell>
          <cell r="AF577">
            <v>6.5</v>
          </cell>
          <cell r="AR577">
            <v>4875000</v>
          </cell>
        </row>
        <row r="578">
          <cell r="B578" t="str">
            <v xml:space="preserve">قالب پخت کلاچ پیکان </v>
          </cell>
          <cell r="C578" t="str">
            <v>قالب تعمیری</v>
          </cell>
          <cell r="AF578">
            <v>11</v>
          </cell>
          <cell r="AR578">
            <v>16500000</v>
          </cell>
        </row>
        <row r="579">
          <cell r="B579" t="str">
            <v>برشی نیوفیس C&amp;C</v>
          </cell>
          <cell r="C579" t="str">
            <v>قالب نو</v>
          </cell>
          <cell r="H579">
            <v>30487</v>
          </cell>
          <cell r="AF579">
            <v>11</v>
          </cell>
          <cell r="AR579">
            <v>8250000</v>
          </cell>
        </row>
        <row r="580">
          <cell r="B580" t="str">
            <v xml:space="preserve">قالب پخت کلاچ پیکان </v>
          </cell>
          <cell r="C580" t="str">
            <v>قالب تعمیری</v>
          </cell>
          <cell r="AF580">
            <v>11</v>
          </cell>
          <cell r="AR580">
            <v>16500000</v>
          </cell>
        </row>
        <row r="581">
          <cell r="B581" t="str">
            <v>قالب پخت کلاچ پژو 405</v>
          </cell>
          <cell r="C581" t="str">
            <v>قالب تعمیری</v>
          </cell>
          <cell r="AF581">
            <v>7.5</v>
          </cell>
          <cell r="AR581">
            <v>5625000</v>
          </cell>
        </row>
        <row r="582">
          <cell r="B582" t="str">
            <v>پخت کلاچ پراید</v>
          </cell>
          <cell r="C582" t="str">
            <v>قالب تعمیری</v>
          </cell>
          <cell r="H582" t="str">
            <v>08s</v>
          </cell>
          <cell r="AF582">
            <v>3</v>
          </cell>
          <cell r="AR582">
            <v>2250000</v>
          </cell>
        </row>
        <row r="583">
          <cell r="B583" t="str">
            <v>قالب مینی بوس آریا</v>
          </cell>
          <cell r="C583" t="str">
            <v>قالب نو</v>
          </cell>
          <cell r="H583">
            <v>30303</v>
          </cell>
          <cell r="AF583">
            <v>11</v>
          </cell>
          <cell r="AR583">
            <v>8250000</v>
          </cell>
        </row>
        <row r="584">
          <cell r="B584" t="str">
            <v>برشی نیوفیس C&amp;C</v>
          </cell>
          <cell r="C584" t="str">
            <v>قالب نو</v>
          </cell>
          <cell r="H584">
            <v>30487</v>
          </cell>
          <cell r="AF584">
            <v>6</v>
          </cell>
          <cell r="AR584">
            <v>4500000</v>
          </cell>
        </row>
        <row r="585">
          <cell r="B585" t="str">
            <v>اصول 5S
کلاس ایمنی و بهداشت</v>
          </cell>
          <cell r="C585" t="str">
            <v>نظافت</v>
          </cell>
          <cell r="AF585">
            <v>1.5</v>
          </cell>
          <cell r="AR585">
            <v>1125000</v>
          </cell>
        </row>
        <row r="586">
          <cell r="B586" t="str">
            <v>ویوینگ</v>
          </cell>
          <cell r="C586" t="str">
            <v>قطعه تعمیری</v>
          </cell>
          <cell r="AF586">
            <v>9.5</v>
          </cell>
          <cell r="AR586">
            <v>7125000</v>
          </cell>
        </row>
        <row r="587">
          <cell r="B587" t="str">
            <v xml:space="preserve">قالب پخت کلاچ پیکان </v>
          </cell>
          <cell r="C587" t="str">
            <v>قالب تعمیری</v>
          </cell>
          <cell r="AF587">
            <v>5</v>
          </cell>
          <cell r="AR587">
            <v>3750000</v>
          </cell>
        </row>
        <row r="588">
          <cell r="B588" t="str">
            <v xml:space="preserve">قالب پخت کلاچ پیکان </v>
          </cell>
          <cell r="C588" t="str">
            <v>قالب تعمیری</v>
          </cell>
          <cell r="AF588">
            <v>4</v>
          </cell>
          <cell r="AR588">
            <v>3000000</v>
          </cell>
        </row>
        <row r="589">
          <cell r="B589" t="str">
            <v>قالب قطاری</v>
          </cell>
          <cell r="C589" t="str">
            <v>قالب تعمیری</v>
          </cell>
          <cell r="H589" t="str">
            <v>MT30158-01S</v>
          </cell>
          <cell r="AF589">
            <v>2</v>
          </cell>
          <cell r="AR589">
            <v>1500000</v>
          </cell>
        </row>
        <row r="590">
          <cell r="B590" t="str">
            <v xml:space="preserve">قالب پخت کلاچ پیکان </v>
          </cell>
          <cell r="C590" t="str">
            <v>قالب تعمیری</v>
          </cell>
          <cell r="AF590">
            <v>4</v>
          </cell>
          <cell r="AR590">
            <v>3000000</v>
          </cell>
        </row>
        <row r="591">
          <cell r="B591" t="str">
            <v>قالب پخت کلاچ پژو 405</v>
          </cell>
          <cell r="C591" t="str">
            <v>قالب تعمیری</v>
          </cell>
          <cell r="AF591">
            <v>4</v>
          </cell>
          <cell r="AR591">
            <v>3000000</v>
          </cell>
        </row>
        <row r="592">
          <cell r="B592" t="str">
            <v xml:space="preserve">قالب پخت کلاچ پیکان </v>
          </cell>
          <cell r="C592" t="str">
            <v>قالب تعمیری</v>
          </cell>
          <cell r="AF592">
            <v>2</v>
          </cell>
          <cell r="AR592">
            <v>1500000</v>
          </cell>
        </row>
        <row r="593">
          <cell r="B593" t="str">
            <v>سری نقطه جوش</v>
          </cell>
          <cell r="C593" t="str">
            <v>قطعه تعمیری</v>
          </cell>
          <cell r="AF593">
            <v>1</v>
          </cell>
          <cell r="AR593">
            <v>750000</v>
          </cell>
        </row>
        <row r="594">
          <cell r="B594" t="str">
            <v xml:space="preserve">قالب پخت کلاچ پیکان </v>
          </cell>
          <cell r="C594" t="str">
            <v>قالب تعمیری</v>
          </cell>
          <cell r="AF594">
            <v>2</v>
          </cell>
          <cell r="AR594">
            <v>1500000</v>
          </cell>
        </row>
        <row r="595">
          <cell r="B595" t="str">
            <v>پخت کلاچ پراید</v>
          </cell>
          <cell r="C595" t="str">
            <v>قالب تعمیری</v>
          </cell>
          <cell r="H595" t="str">
            <v>08s</v>
          </cell>
          <cell r="AF595">
            <v>2</v>
          </cell>
          <cell r="AR595">
            <v>1500000</v>
          </cell>
        </row>
        <row r="596">
          <cell r="B596" t="str">
            <v xml:space="preserve">قالب پخت کلاچ پیکان </v>
          </cell>
          <cell r="C596" t="str">
            <v>قالب تعمیری</v>
          </cell>
          <cell r="AF596">
            <v>2</v>
          </cell>
          <cell r="AR596">
            <v>1500000</v>
          </cell>
        </row>
        <row r="597">
          <cell r="B597" t="str">
            <v>قالب قطاری</v>
          </cell>
          <cell r="C597" t="str">
            <v>قالب تعمیری</v>
          </cell>
          <cell r="H597" t="str">
            <v>MT30158-01S</v>
          </cell>
          <cell r="AF597">
            <v>4</v>
          </cell>
          <cell r="AR597">
            <v>3000000</v>
          </cell>
        </row>
        <row r="598">
          <cell r="B598" t="str">
            <v xml:space="preserve">قالب پخت کلاچ پیکان </v>
          </cell>
          <cell r="C598" t="str">
            <v>قالب تعمیری</v>
          </cell>
          <cell r="AF598">
            <v>7.5</v>
          </cell>
          <cell r="AR598">
            <v>11250000</v>
          </cell>
        </row>
        <row r="599">
          <cell r="B599" t="str">
            <v>دریل یزدخواستی کلاچ</v>
          </cell>
          <cell r="C599" t="str">
            <v>قطعه نو</v>
          </cell>
          <cell r="AF599">
            <v>5.5</v>
          </cell>
          <cell r="AR599">
            <v>8250000</v>
          </cell>
        </row>
        <row r="600">
          <cell r="B600" t="str">
            <v xml:space="preserve">قالب پخت کلاچ پیکان </v>
          </cell>
          <cell r="C600" t="str">
            <v>قالب تعمیری</v>
          </cell>
          <cell r="AF600">
            <v>7.5</v>
          </cell>
          <cell r="AR600">
            <v>11250000</v>
          </cell>
        </row>
        <row r="601">
          <cell r="B601" t="str">
            <v>برشی نیوفیس C&amp;C</v>
          </cell>
          <cell r="C601" t="str">
            <v>قالب نو</v>
          </cell>
          <cell r="H601">
            <v>30487</v>
          </cell>
          <cell r="AF601">
            <v>7.5</v>
          </cell>
          <cell r="AR601">
            <v>5625000</v>
          </cell>
        </row>
        <row r="602">
          <cell r="B602" t="str">
            <v>قالب کوبه نک SAF</v>
          </cell>
          <cell r="C602" t="str">
            <v>قالب تعمیری</v>
          </cell>
          <cell r="H602">
            <v>1</v>
          </cell>
          <cell r="AF602">
            <v>3</v>
          </cell>
          <cell r="AR602">
            <v>2250000</v>
          </cell>
        </row>
        <row r="603">
          <cell r="B603" t="str">
            <v xml:space="preserve">قالب پخت کلاچ پیکان </v>
          </cell>
          <cell r="C603" t="str">
            <v>قالب تعمیری</v>
          </cell>
          <cell r="AF603">
            <v>3</v>
          </cell>
          <cell r="AR603">
            <v>2250000</v>
          </cell>
        </row>
        <row r="604">
          <cell r="B604" t="str">
            <v>اصول 5S</v>
          </cell>
          <cell r="C604" t="str">
            <v>نظافت</v>
          </cell>
          <cell r="AF604">
            <v>0.5</v>
          </cell>
          <cell r="AR604">
            <v>375000</v>
          </cell>
        </row>
        <row r="605">
          <cell r="B605" t="str">
            <v xml:space="preserve">قالب پخت کلاچ پیکان </v>
          </cell>
          <cell r="C605" t="str">
            <v>قالب تعمیری</v>
          </cell>
          <cell r="AF605">
            <v>4</v>
          </cell>
          <cell r="AR605">
            <v>3000000</v>
          </cell>
        </row>
        <row r="606">
          <cell r="B606" t="str">
            <v xml:space="preserve">قالب پخت کلاچ پیکان </v>
          </cell>
          <cell r="C606" t="str">
            <v>قالب تعمیری</v>
          </cell>
          <cell r="AF606">
            <v>1</v>
          </cell>
          <cell r="AR606">
            <v>750000</v>
          </cell>
        </row>
        <row r="607">
          <cell r="B607" t="str">
            <v>ویوینگ</v>
          </cell>
          <cell r="C607" t="str">
            <v>قطعه تعمیری</v>
          </cell>
          <cell r="AF607">
            <v>3</v>
          </cell>
          <cell r="AR607">
            <v>2250000</v>
          </cell>
        </row>
        <row r="608">
          <cell r="B608" t="str">
            <v xml:space="preserve">قالب پخت کلاچ پیکان </v>
          </cell>
          <cell r="C608" t="str">
            <v>قالب تعمیری</v>
          </cell>
          <cell r="AF608">
            <v>2</v>
          </cell>
          <cell r="AR608">
            <v>1500000</v>
          </cell>
        </row>
        <row r="609">
          <cell r="B609" t="str">
            <v>اصول 5S</v>
          </cell>
          <cell r="C609" t="str">
            <v>نظافت</v>
          </cell>
          <cell r="AF609">
            <v>2</v>
          </cell>
          <cell r="AR609">
            <v>1500000</v>
          </cell>
        </row>
        <row r="610">
          <cell r="B610" t="str">
            <v>قالب پخت SAF</v>
          </cell>
          <cell r="C610" t="str">
            <v>قالب تعمیری</v>
          </cell>
          <cell r="H610">
            <v>29087</v>
          </cell>
          <cell r="AF610">
            <v>3</v>
          </cell>
          <cell r="AR610">
            <v>2250000</v>
          </cell>
        </row>
        <row r="611">
          <cell r="B611" t="str">
            <v>پخت کلاچ پراید</v>
          </cell>
          <cell r="C611" t="str">
            <v>قالب تعمیری</v>
          </cell>
          <cell r="H611" t="str">
            <v>08s</v>
          </cell>
          <cell r="AF611">
            <v>2</v>
          </cell>
          <cell r="AR611">
            <v>1500000</v>
          </cell>
        </row>
        <row r="612">
          <cell r="B612" t="str">
            <v>اصول 5S</v>
          </cell>
          <cell r="C612" t="str">
            <v>نظافت</v>
          </cell>
          <cell r="AF612">
            <v>1</v>
          </cell>
          <cell r="AR612">
            <v>750000</v>
          </cell>
        </row>
        <row r="613">
          <cell r="B613" t="str">
            <v>قالب پخت SAF</v>
          </cell>
          <cell r="C613" t="str">
            <v>قالب تعمیری</v>
          </cell>
          <cell r="H613">
            <v>29087</v>
          </cell>
          <cell r="AF613">
            <v>1</v>
          </cell>
          <cell r="AR613">
            <v>750000</v>
          </cell>
        </row>
        <row r="614">
          <cell r="B614" t="str">
            <v xml:space="preserve">قالب پخت کلاچ پیکان </v>
          </cell>
          <cell r="C614" t="str">
            <v>قالب تعمیری</v>
          </cell>
          <cell r="AF614">
            <v>2</v>
          </cell>
          <cell r="AR614">
            <v>1500000</v>
          </cell>
        </row>
        <row r="615">
          <cell r="B615" t="str">
            <v>قالب پخت کلاچ پژو 405</v>
          </cell>
          <cell r="C615" t="str">
            <v>قالب تعمیری</v>
          </cell>
          <cell r="AF615">
            <v>2.5</v>
          </cell>
          <cell r="AR615">
            <v>1875000</v>
          </cell>
        </row>
        <row r="616">
          <cell r="B616" t="str">
            <v>اصول 5S</v>
          </cell>
          <cell r="C616" t="str">
            <v>نظافت</v>
          </cell>
          <cell r="AF616">
            <v>0.5</v>
          </cell>
          <cell r="AR616">
            <v>375000</v>
          </cell>
        </row>
        <row r="617">
          <cell r="B617" t="str">
            <v>قالب مینی بوس آریا</v>
          </cell>
          <cell r="C617" t="str">
            <v>قالب نو</v>
          </cell>
          <cell r="H617">
            <v>30303</v>
          </cell>
          <cell r="AF617">
            <v>4</v>
          </cell>
          <cell r="AR617">
            <v>3000000</v>
          </cell>
        </row>
        <row r="618">
          <cell r="B618" t="str">
            <v xml:space="preserve">قالب پخت کلاچ پیکان </v>
          </cell>
          <cell r="C618" t="str">
            <v>قالب تعمیری</v>
          </cell>
          <cell r="AF618">
            <v>1</v>
          </cell>
          <cell r="AR618">
            <v>750000</v>
          </cell>
        </row>
        <row r="619">
          <cell r="B619" t="str">
            <v>برشی نیوفیس C&amp;C</v>
          </cell>
          <cell r="C619" t="str">
            <v>قالب نو</v>
          </cell>
          <cell r="H619">
            <v>30487</v>
          </cell>
          <cell r="AF619">
            <v>1</v>
          </cell>
          <cell r="AR619">
            <v>750000</v>
          </cell>
        </row>
        <row r="620">
          <cell r="B620" t="str">
            <v>پخت کلاچ پراید</v>
          </cell>
          <cell r="C620" t="str">
            <v>قالب تعمیری</v>
          </cell>
          <cell r="AF620">
            <v>1</v>
          </cell>
          <cell r="AR620">
            <v>750000</v>
          </cell>
        </row>
        <row r="621">
          <cell r="B621" t="str">
            <v>قالب پخت کلاچ پژو 405</v>
          </cell>
          <cell r="C621" t="str">
            <v>قالب تعمیری</v>
          </cell>
          <cell r="AF621">
            <v>8</v>
          </cell>
          <cell r="AR621">
            <v>6000000</v>
          </cell>
        </row>
        <row r="622">
          <cell r="B622" t="str">
            <v>قالب عقب F12</v>
          </cell>
          <cell r="C622" t="str">
            <v>قالب نو</v>
          </cell>
          <cell r="AF622">
            <v>8</v>
          </cell>
          <cell r="AR622">
            <v>6000000</v>
          </cell>
        </row>
        <row r="623">
          <cell r="B623" t="str">
            <v>لودر دیسکی  XGL 50</v>
          </cell>
          <cell r="C623" t="str">
            <v>قالب نو</v>
          </cell>
          <cell r="H623">
            <v>29935</v>
          </cell>
          <cell r="AF623">
            <v>8</v>
          </cell>
          <cell r="AR623">
            <v>6000000</v>
          </cell>
        </row>
        <row r="624">
          <cell r="B624" t="str">
            <v>برشی نیوفیس C&amp;C</v>
          </cell>
          <cell r="C624" t="str">
            <v>قالب نو</v>
          </cell>
          <cell r="H624">
            <v>30487</v>
          </cell>
          <cell r="AF624">
            <v>8</v>
          </cell>
          <cell r="AR624">
            <v>6000000</v>
          </cell>
        </row>
        <row r="625">
          <cell r="B625" t="str">
            <v>قالب مینی بوس آریا</v>
          </cell>
          <cell r="C625" t="str">
            <v>قالب نو</v>
          </cell>
          <cell r="H625">
            <v>30303</v>
          </cell>
          <cell r="AF625">
            <v>4</v>
          </cell>
          <cell r="AR625">
            <v>3000000</v>
          </cell>
        </row>
        <row r="626">
          <cell r="B626" t="str">
            <v>لنت ترمز دیسكی جلو دیما(خم)</v>
          </cell>
          <cell r="C626" t="str">
            <v>قالب نو</v>
          </cell>
          <cell r="H626">
            <v>30416</v>
          </cell>
          <cell r="AF626">
            <v>5</v>
          </cell>
          <cell r="AR626">
            <v>3750000</v>
          </cell>
        </row>
        <row r="627">
          <cell r="B627" t="str">
            <v>قالب پخت کلاچ پژو 405</v>
          </cell>
          <cell r="C627" t="str">
            <v>قالب تعمیری</v>
          </cell>
          <cell r="AF627">
            <v>5</v>
          </cell>
          <cell r="AR627">
            <v>3750000</v>
          </cell>
        </row>
        <row r="628">
          <cell r="B628" t="str">
            <v>قالب عقب F12</v>
          </cell>
          <cell r="C628" t="str">
            <v>قالب نو</v>
          </cell>
          <cell r="AF628">
            <v>5</v>
          </cell>
          <cell r="AR628">
            <v>3750000</v>
          </cell>
        </row>
        <row r="629">
          <cell r="B629" t="str">
            <v>برشی نیوفیس C&amp;C</v>
          </cell>
          <cell r="C629" t="str">
            <v>قالب نو</v>
          </cell>
          <cell r="H629">
            <v>30487</v>
          </cell>
          <cell r="AF629">
            <v>5</v>
          </cell>
          <cell r="AR629">
            <v>3750000</v>
          </cell>
        </row>
        <row r="630">
          <cell r="B630" t="str">
            <v>قالب مینی بوس آریا</v>
          </cell>
          <cell r="C630" t="str">
            <v>قالب نو</v>
          </cell>
          <cell r="H630">
            <v>30303</v>
          </cell>
          <cell r="AF630">
            <v>5</v>
          </cell>
          <cell r="AR630">
            <v>3750000</v>
          </cell>
        </row>
        <row r="631">
          <cell r="B631" t="str">
            <v>قالب پخت کلاچ پژو 405</v>
          </cell>
          <cell r="C631" t="str">
            <v>قالب تعمیری</v>
          </cell>
          <cell r="AF631">
            <v>2</v>
          </cell>
          <cell r="AR631">
            <v>1500000</v>
          </cell>
        </row>
        <row r="632">
          <cell r="B632" t="str">
            <v>پخت کلاچ پراید</v>
          </cell>
          <cell r="C632" t="str">
            <v>قالب تعمیری</v>
          </cell>
          <cell r="H632" t="str">
            <v>MC30246-09S</v>
          </cell>
          <cell r="AF632">
            <v>2</v>
          </cell>
          <cell r="AR632">
            <v>1500000</v>
          </cell>
        </row>
        <row r="633">
          <cell r="B633" t="str">
            <v>برشی نیوفیس C&amp;C</v>
          </cell>
          <cell r="C633" t="str">
            <v>قالب نو</v>
          </cell>
          <cell r="H633">
            <v>30487</v>
          </cell>
          <cell r="AF633">
            <v>11</v>
          </cell>
          <cell r="AR633">
            <v>8250000</v>
          </cell>
        </row>
        <row r="634">
          <cell r="B634" t="str">
            <v>دریل یزدخواستی کلاچ</v>
          </cell>
          <cell r="C634" t="str">
            <v>قطعه نو</v>
          </cell>
          <cell r="AF634">
            <v>4.5</v>
          </cell>
          <cell r="AR634">
            <v>6750000</v>
          </cell>
        </row>
        <row r="635">
          <cell r="B635" t="str">
            <v>دریل یزدخواستی کلاچ</v>
          </cell>
          <cell r="C635" t="str">
            <v>قطعه نو</v>
          </cell>
          <cell r="AF635">
            <v>6.5</v>
          </cell>
          <cell r="AR635">
            <v>9750000</v>
          </cell>
        </row>
        <row r="636">
          <cell r="B636" t="str">
            <v>پخت کلاچ پراید</v>
          </cell>
          <cell r="C636" t="str">
            <v>قالب تعمیری</v>
          </cell>
          <cell r="AF636">
            <v>11</v>
          </cell>
          <cell r="AR636">
            <v>8250000</v>
          </cell>
        </row>
        <row r="637">
          <cell r="B637" t="str">
            <v>برشی نیوفیس C&amp;C</v>
          </cell>
          <cell r="C637" t="str">
            <v>قالب نو</v>
          </cell>
          <cell r="H637">
            <v>30487</v>
          </cell>
          <cell r="AF637">
            <v>11</v>
          </cell>
          <cell r="AR637">
            <v>8250000</v>
          </cell>
        </row>
        <row r="638">
          <cell r="B638" t="str">
            <v>پخت کلاچ پراید</v>
          </cell>
          <cell r="C638" t="str">
            <v>قالب تعمیری</v>
          </cell>
          <cell r="AF638">
            <v>7.5</v>
          </cell>
          <cell r="AR638">
            <v>11250000</v>
          </cell>
        </row>
        <row r="639">
          <cell r="B639" t="str">
            <v>پخت کلاچ پراید</v>
          </cell>
          <cell r="C639" t="str">
            <v>قالب تعمیری</v>
          </cell>
          <cell r="AF639">
            <v>3.5</v>
          </cell>
          <cell r="AR639">
            <v>5250000</v>
          </cell>
        </row>
        <row r="640">
          <cell r="B640" t="str">
            <v xml:space="preserve">قالب پخت کلاچ پیکان </v>
          </cell>
          <cell r="C640" t="str">
            <v>قالب تعمیری</v>
          </cell>
          <cell r="AF640">
            <v>3.6666666666666665</v>
          </cell>
          <cell r="AR640">
            <v>2750000</v>
          </cell>
        </row>
        <row r="641">
          <cell r="B641" t="str">
            <v>دسته پران لنت</v>
          </cell>
          <cell r="C641" t="str">
            <v>قطعه نو</v>
          </cell>
          <cell r="AF641">
            <v>3</v>
          </cell>
          <cell r="AR641">
            <v>2250000</v>
          </cell>
        </row>
        <row r="642">
          <cell r="B642" t="str">
            <v>پخت کلاچ پراید</v>
          </cell>
          <cell r="C642" t="str">
            <v>قالب تعمیری</v>
          </cell>
          <cell r="AF642">
            <v>4.5</v>
          </cell>
          <cell r="AR642">
            <v>3375000</v>
          </cell>
        </row>
        <row r="643">
          <cell r="B643" t="str">
            <v>سری نقطه جوش</v>
          </cell>
          <cell r="C643" t="str">
            <v>قطعه تعمیری</v>
          </cell>
          <cell r="AF643">
            <v>1</v>
          </cell>
          <cell r="AR643">
            <v>750000</v>
          </cell>
        </row>
        <row r="644">
          <cell r="B644" t="str">
            <v>پخت کلاچ پراید</v>
          </cell>
          <cell r="C644" t="str">
            <v>قالب تعمیری</v>
          </cell>
          <cell r="AF644">
            <v>4</v>
          </cell>
          <cell r="AR644">
            <v>3000000</v>
          </cell>
        </row>
        <row r="645">
          <cell r="B645" t="str">
            <v>پخت کلاچ پراید</v>
          </cell>
          <cell r="C645" t="str">
            <v>قالب تعمیری</v>
          </cell>
          <cell r="AF645">
            <v>4</v>
          </cell>
          <cell r="AR645">
            <v>3000000</v>
          </cell>
        </row>
        <row r="646">
          <cell r="B646" t="str">
            <v>برشی نیوفیس C&amp;C</v>
          </cell>
          <cell r="C646" t="str">
            <v>قالب نو</v>
          </cell>
          <cell r="H646">
            <v>30487</v>
          </cell>
          <cell r="AF646">
            <v>1</v>
          </cell>
          <cell r="AR646">
            <v>750000</v>
          </cell>
        </row>
        <row r="647">
          <cell r="B647" t="str">
            <v>لودر دیسکی  XGL 50</v>
          </cell>
          <cell r="C647" t="str">
            <v>قالب نو</v>
          </cell>
          <cell r="H647">
            <v>29935</v>
          </cell>
          <cell r="AF647">
            <v>4</v>
          </cell>
          <cell r="AR647">
            <v>3000000</v>
          </cell>
        </row>
        <row r="648">
          <cell r="B648" t="str">
            <v>لودر دیسکی  XGL 50</v>
          </cell>
          <cell r="C648" t="str">
            <v>قالب نو</v>
          </cell>
          <cell r="H648">
            <v>29935</v>
          </cell>
          <cell r="AF648">
            <v>1.5</v>
          </cell>
          <cell r="AR648">
            <v>1125000</v>
          </cell>
        </row>
        <row r="649">
          <cell r="B649" t="str">
            <v>Hammer Mill Machine</v>
          </cell>
          <cell r="C649" t="str">
            <v>قطعه تعمیری</v>
          </cell>
          <cell r="AF649">
            <v>5</v>
          </cell>
          <cell r="AR649">
            <v>3750000</v>
          </cell>
        </row>
        <row r="650">
          <cell r="B650" t="str">
            <v>دستگاه پرس پخت</v>
          </cell>
          <cell r="C650" t="str">
            <v>قطعه تعمیری</v>
          </cell>
          <cell r="AF650">
            <v>4</v>
          </cell>
          <cell r="AR650">
            <v>3000000</v>
          </cell>
        </row>
        <row r="651">
          <cell r="B651" t="str">
            <v>قالب پخت SAF</v>
          </cell>
          <cell r="C651" t="str">
            <v>قالب تعمیری</v>
          </cell>
          <cell r="H651">
            <v>29087</v>
          </cell>
          <cell r="AF651">
            <v>2</v>
          </cell>
          <cell r="AR651">
            <v>1500000</v>
          </cell>
        </row>
        <row r="652">
          <cell r="B652" t="str">
            <v>پخت کلاچ پراید</v>
          </cell>
          <cell r="C652" t="str">
            <v>قالب تعمیری</v>
          </cell>
          <cell r="AF652">
            <v>2</v>
          </cell>
          <cell r="AR652">
            <v>1500000</v>
          </cell>
        </row>
        <row r="653">
          <cell r="B653" t="str">
            <v xml:space="preserve">قالب پخت کلاچ پیکان </v>
          </cell>
          <cell r="C653" t="str">
            <v>قالب تعمیری</v>
          </cell>
          <cell r="AF653">
            <v>2</v>
          </cell>
          <cell r="AR653">
            <v>1500000</v>
          </cell>
        </row>
        <row r="654">
          <cell r="B654" t="str">
            <v>پخت کلاچ پراید</v>
          </cell>
          <cell r="C654" t="str">
            <v>قالب تعمیری</v>
          </cell>
          <cell r="AF654">
            <v>5</v>
          </cell>
          <cell r="AR654">
            <v>3750000</v>
          </cell>
        </row>
        <row r="655">
          <cell r="B655" t="str">
            <v>دسته پران لنت</v>
          </cell>
          <cell r="C655" t="str">
            <v>قطعه نو</v>
          </cell>
          <cell r="AF655">
            <v>1</v>
          </cell>
          <cell r="AR655">
            <v>750000</v>
          </cell>
        </row>
        <row r="656">
          <cell r="B656" t="str">
            <v>پخت کلاچ پراید</v>
          </cell>
          <cell r="C656" t="str">
            <v>قالب تعمیری</v>
          </cell>
          <cell r="AF656">
            <v>1</v>
          </cell>
          <cell r="AR656">
            <v>750000</v>
          </cell>
        </row>
        <row r="657">
          <cell r="B657" t="str">
            <v>پخت کلاچ پراید</v>
          </cell>
          <cell r="C657" t="str">
            <v>قالب تعمیری</v>
          </cell>
          <cell r="AF657">
            <v>3</v>
          </cell>
          <cell r="AR657">
            <v>2250000</v>
          </cell>
        </row>
        <row r="658">
          <cell r="B658" t="str">
            <v>پخت کلاچ پراید</v>
          </cell>
          <cell r="C658" t="str">
            <v>قالب تعمیری</v>
          </cell>
          <cell r="AF658">
            <v>3</v>
          </cell>
          <cell r="AR658">
            <v>2250000</v>
          </cell>
        </row>
        <row r="659">
          <cell r="B659" t="str">
            <v>پخت کلاچ پراید</v>
          </cell>
          <cell r="C659" t="str">
            <v>قالب تعمیری</v>
          </cell>
          <cell r="AF659">
            <v>2</v>
          </cell>
          <cell r="AR659">
            <v>1500000</v>
          </cell>
        </row>
        <row r="660">
          <cell r="B660" t="str">
            <v>پخت کلاچ پراید</v>
          </cell>
          <cell r="C660" t="str">
            <v>قالب تعمیری</v>
          </cell>
          <cell r="AF660">
            <v>3</v>
          </cell>
          <cell r="AR660">
            <v>2250000</v>
          </cell>
        </row>
        <row r="661">
          <cell r="B661" t="str">
            <v>قالب پخت کلاچ پژو 405</v>
          </cell>
          <cell r="C661" t="str">
            <v>قالب تعمیری</v>
          </cell>
          <cell r="AF661">
            <v>12</v>
          </cell>
          <cell r="AR661">
            <v>9000000</v>
          </cell>
        </row>
        <row r="662">
          <cell r="B662" t="str">
            <v>برشی نیوفیس C&amp;C</v>
          </cell>
          <cell r="C662" t="str">
            <v>قالب نو</v>
          </cell>
          <cell r="H662">
            <v>30487</v>
          </cell>
          <cell r="AF662">
            <v>4</v>
          </cell>
          <cell r="AR662">
            <v>3000000</v>
          </cell>
        </row>
        <row r="663">
          <cell r="B663" t="str">
            <v>دستگاه فرز</v>
          </cell>
          <cell r="C663" t="str">
            <v>قطعه تعمیری</v>
          </cell>
          <cell r="AF663">
            <v>2</v>
          </cell>
          <cell r="AR663">
            <v>1500000</v>
          </cell>
        </row>
        <row r="664">
          <cell r="B664" t="str">
            <v>لنت ترمز دیسكی جلو دیما(خم)</v>
          </cell>
          <cell r="C664" t="str">
            <v>قالب نو</v>
          </cell>
          <cell r="H664">
            <v>30416</v>
          </cell>
          <cell r="AF664">
            <v>12</v>
          </cell>
          <cell r="AR664">
            <v>9000000</v>
          </cell>
        </row>
        <row r="665">
          <cell r="B665" t="str">
            <v>قالب عقب F12</v>
          </cell>
          <cell r="C665" t="str">
            <v>قالب نو</v>
          </cell>
          <cell r="AF665">
            <v>12</v>
          </cell>
          <cell r="AR665">
            <v>9000000</v>
          </cell>
        </row>
        <row r="666">
          <cell r="B666" t="str">
            <v>قالب مینی بوس آریا</v>
          </cell>
          <cell r="C666" t="str">
            <v>قالب نو</v>
          </cell>
          <cell r="H666">
            <v>30303</v>
          </cell>
          <cell r="AF666">
            <v>12</v>
          </cell>
          <cell r="AR666">
            <v>9000000</v>
          </cell>
        </row>
        <row r="667">
          <cell r="B667" t="str">
            <v>پخت کلاچ پراید</v>
          </cell>
          <cell r="C667" t="str">
            <v>قالب تعمیری</v>
          </cell>
          <cell r="AF667">
            <v>11</v>
          </cell>
          <cell r="AR667">
            <v>16500000</v>
          </cell>
        </row>
        <row r="668">
          <cell r="B668" t="str">
            <v>لودر دیسکی  XGL 50</v>
          </cell>
          <cell r="C668" t="str">
            <v>قالب نو</v>
          </cell>
          <cell r="H668">
            <v>29935</v>
          </cell>
          <cell r="AF668">
            <v>6.5</v>
          </cell>
          <cell r="AR668">
            <v>4875000</v>
          </cell>
        </row>
        <row r="669">
          <cell r="B669" t="str">
            <v>برشی نیوفیس C&amp;C</v>
          </cell>
          <cell r="C669" t="str">
            <v>قالب نو</v>
          </cell>
          <cell r="H669">
            <v>30487</v>
          </cell>
          <cell r="AF669">
            <v>3.5</v>
          </cell>
          <cell r="AR669">
            <v>2625000</v>
          </cell>
        </row>
        <row r="670">
          <cell r="B670" t="str">
            <v>برشی نیوفیس C&amp;C</v>
          </cell>
          <cell r="C670" t="str">
            <v>قالب نو</v>
          </cell>
          <cell r="H670">
            <v>30487</v>
          </cell>
          <cell r="AF670">
            <v>7.5</v>
          </cell>
          <cell r="AR670">
            <v>5625000</v>
          </cell>
        </row>
        <row r="671">
          <cell r="B671" t="str">
            <v>دریل یزدخواستی کلاچ</v>
          </cell>
          <cell r="C671" t="str">
            <v>قطعه نو</v>
          </cell>
          <cell r="AF671">
            <v>3.5</v>
          </cell>
          <cell r="AR671">
            <v>5250000</v>
          </cell>
        </row>
        <row r="672">
          <cell r="B672" t="str">
            <v>برشی نیوفیس C&amp;C</v>
          </cell>
          <cell r="C672" t="str">
            <v>قالب نو</v>
          </cell>
          <cell r="H672">
            <v>30487</v>
          </cell>
          <cell r="AF672">
            <v>7.5</v>
          </cell>
          <cell r="AR672">
            <v>11250000</v>
          </cell>
        </row>
        <row r="673">
          <cell r="B673" t="str">
            <v xml:space="preserve">قالب پخت کلاچ پیکان </v>
          </cell>
          <cell r="C673" t="str">
            <v>قالب تعمیری</v>
          </cell>
          <cell r="AF673">
            <v>11</v>
          </cell>
          <cell r="AR673">
            <v>8250000</v>
          </cell>
        </row>
        <row r="674">
          <cell r="B674" t="str">
            <v xml:space="preserve">قالب پخت کلاچ پیکان </v>
          </cell>
          <cell r="C674" t="str">
            <v>قالب تعمیری</v>
          </cell>
          <cell r="AF674">
            <v>5</v>
          </cell>
          <cell r="AR674">
            <v>3750000</v>
          </cell>
        </row>
        <row r="675">
          <cell r="B675" t="str">
            <v>دستگاه پشم فلز آلمانی</v>
          </cell>
          <cell r="C675" t="str">
            <v>قطعه تعمیری</v>
          </cell>
          <cell r="AF675">
            <v>6</v>
          </cell>
          <cell r="AR675">
            <v>4500000</v>
          </cell>
        </row>
        <row r="676">
          <cell r="B676" t="str">
            <v>پخت کلاچ پراید</v>
          </cell>
          <cell r="C676" t="str">
            <v>قالب تعمیری</v>
          </cell>
          <cell r="AF676">
            <v>3</v>
          </cell>
          <cell r="AR676">
            <v>2250000</v>
          </cell>
        </row>
        <row r="677">
          <cell r="B677" t="str">
            <v>قالب BPW تاجدار</v>
          </cell>
          <cell r="C677" t="str">
            <v>قالب تعمیری</v>
          </cell>
          <cell r="AF677">
            <v>3</v>
          </cell>
          <cell r="AR677">
            <v>2250000</v>
          </cell>
        </row>
        <row r="678">
          <cell r="B678" t="str">
            <v>پخت کلاچ ایویکو سوراخدار</v>
          </cell>
          <cell r="C678" t="str">
            <v>قالب تعمیری</v>
          </cell>
          <cell r="H678" t="str">
            <v>FC30249-01S</v>
          </cell>
          <cell r="AF678">
            <v>3</v>
          </cell>
          <cell r="AR678">
            <v>2250000</v>
          </cell>
        </row>
        <row r="679">
          <cell r="B679" t="str">
            <v>پخت کلاچ پراید</v>
          </cell>
          <cell r="C679" t="str">
            <v>قالب تعمیری</v>
          </cell>
          <cell r="AF679">
            <v>2</v>
          </cell>
          <cell r="AR679">
            <v>1500000</v>
          </cell>
        </row>
        <row r="680">
          <cell r="B680" t="str">
            <v>قالب ولوو سوپر</v>
          </cell>
          <cell r="C680" t="str">
            <v>قالب تعمیری</v>
          </cell>
          <cell r="H680" t="str">
            <v>MH19562-01P</v>
          </cell>
          <cell r="AF680">
            <v>2</v>
          </cell>
          <cell r="AR680">
            <v>1500000</v>
          </cell>
        </row>
        <row r="681">
          <cell r="B681" t="str">
            <v>ویوینگ</v>
          </cell>
          <cell r="C681" t="str">
            <v>قطعه تعمیری</v>
          </cell>
          <cell r="AF681">
            <v>1</v>
          </cell>
          <cell r="AR681">
            <v>750000</v>
          </cell>
        </row>
        <row r="682">
          <cell r="B682" t="str">
            <v>پخت کلاچ پراید</v>
          </cell>
          <cell r="C682" t="str">
            <v>قالب تعمیری</v>
          </cell>
          <cell r="AF682">
            <v>0.5</v>
          </cell>
          <cell r="AR682">
            <v>375000</v>
          </cell>
        </row>
        <row r="683">
          <cell r="B683" t="str">
            <v>قالب ولوو سوپر</v>
          </cell>
          <cell r="C683" t="str">
            <v>قالب تعمیری</v>
          </cell>
          <cell r="H683" t="str">
            <v>MH19562-01P</v>
          </cell>
          <cell r="AF683">
            <v>4</v>
          </cell>
          <cell r="AR683">
            <v>3000000</v>
          </cell>
        </row>
        <row r="684">
          <cell r="B684" t="str">
            <v>پخت کلاچ پراید</v>
          </cell>
          <cell r="C684" t="str">
            <v>قالب تعمیری</v>
          </cell>
          <cell r="AF684">
            <v>1</v>
          </cell>
          <cell r="AR684">
            <v>750000</v>
          </cell>
        </row>
        <row r="685">
          <cell r="B685" t="str">
            <v>پخت کلاچ پراید</v>
          </cell>
          <cell r="C685" t="str">
            <v>قالب تعمیری</v>
          </cell>
          <cell r="AF685">
            <v>2</v>
          </cell>
          <cell r="AR685">
            <v>1500000</v>
          </cell>
        </row>
        <row r="686">
          <cell r="B686" t="str">
            <v>قالب BPW تاجدار</v>
          </cell>
          <cell r="C686" t="str">
            <v>قالب تعمیری</v>
          </cell>
          <cell r="AF686">
            <v>1.5</v>
          </cell>
          <cell r="AR686">
            <v>1125000</v>
          </cell>
        </row>
        <row r="687">
          <cell r="B687" t="str">
            <v>قالب BPW تاجدار</v>
          </cell>
          <cell r="C687" t="str">
            <v>قالب تعمیری</v>
          </cell>
          <cell r="AF687">
            <v>1.5</v>
          </cell>
          <cell r="AR687">
            <v>1125000</v>
          </cell>
        </row>
        <row r="688">
          <cell r="B688" t="str">
            <v>برشی نیوفیس C&amp;C</v>
          </cell>
          <cell r="C688" t="str">
            <v>قالب نو</v>
          </cell>
          <cell r="H688">
            <v>30487</v>
          </cell>
          <cell r="AF688">
            <v>11</v>
          </cell>
          <cell r="AR688">
            <v>8250000</v>
          </cell>
        </row>
        <row r="689">
          <cell r="B689" t="str">
            <v>قالب توری SAF قدیم</v>
          </cell>
          <cell r="C689" t="str">
            <v>قالب تعمیری</v>
          </cell>
          <cell r="AF689">
            <v>1.5</v>
          </cell>
          <cell r="AR689">
            <v>1125000</v>
          </cell>
        </row>
        <row r="690">
          <cell r="B690" t="str">
            <v>قالب توری SAF قدیم</v>
          </cell>
          <cell r="C690" t="str">
            <v>قالب تعمیری</v>
          </cell>
          <cell r="AF690">
            <v>1.5</v>
          </cell>
          <cell r="AR690">
            <v>1125000</v>
          </cell>
        </row>
        <row r="691">
          <cell r="B691" t="str">
            <v>لنت ترمز دیسكی جلو دیما(خم)</v>
          </cell>
          <cell r="C691" t="str">
            <v>قالب نو</v>
          </cell>
          <cell r="H691">
            <v>30416</v>
          </cell>
          <cell r="AF691">
            <v>3</v>
          </cell>
          <cell r="AR691">
            <v>2250000</v>
          </cell>
        </row>
        <row r="692">
          <cell r="B692" t="str">
            <v>دستگاه پرس پخت</v>
          </cell>
          <cell r="C692" t="str">
            <v>قطعه تعمیری</v>
          </cell>
          <cell r="AF692">
            <v>2</v>
          </cell>
          <cell r="AR692">
            <v>1500000</v>
          </cell>
        </row>
        <row r="693">
          <cell r="B693" t="str">
            <v>دستگاه پشم فلز آلمانی</v>
          </cell>
          <cell r="C693" t="str">
            <v>قطعه تعمیری</v>
          </cell>
          <cell r="AF693">
            <v>1</v>
          </cell>
          <cell r="AR693">
            <v>750000</v>
          </cell>
        </row>
        <row r="694">
          <cell r="B694" t="str">
            <v>دستگاه پشم فلز آلمانی</v>
          </cell>
          <cell r="C694" t="str">
            <v>قطعه نو</v>
          </cell>
          <cell r="AF694">
            <v>2</v>
          </cell>
          <cell r="AR694">
            <v>1500000</v>
          </cell>
        </row>
        <row r="695">
          <cell r="B695" t="str">
            <v>دستگاه پشم فلز آلمانی</v>
          </cell>
          <cell r="C695" t="str">
            <v>قطعه نو</v>
          </cell>
          <cell r="AF695">
            <v>1</v>
          </cell>
          <cell r="AR695">
            <v>750000</v>
          </cell>
        </row>
        <row r="696">
          <cell r="B696" t="str">
            <v>قالب پخت کلاچ پژو 405</v>
          </cell>
          <cell r="C696" t="str">
            <v>قالب تعمیری</v>
          </cell>
          <cell r="AF696">
            <v>3</v>
          </cell>
          <cell r="AR696">
            <v>2250000</v>
          </cell>
        </row>
        <row r="697">
          <cell r="B697" t="str">
            <v>قالب مینی بوس آریا</v>
          </cell>
          <cell r="C697" t="str">
            <v>قالب نو</v>
          </cell>
          <cell r="H697">
            <v>30303</v>
          </cell>
          <cell r="AF697">
            <v>9</v>
          </cell>
          <cell r="AR697">
            <v>6750000</v>
          </cell>
        </row>
        <row r="698">
          <cell r="B698" t="str">
            <v>لنت ترمز دیسكی جلو دیما(خم)</v>
          </cell>
          <cell r="C698" t="str">
            <v>قالب نو</v>
          </cell>
          <cell r="H698">
            <v>30416</v>
          </cell>
          <cell r="AF698">
            <v>6</v>
          </cell>
          <cell r="AR698">
            <v>4500000</v>
          </cell>
        </row>
        <row r="699">
          <cell r="B699" t="str">
            <v>قالب عقب F12</v>
          </cell>
          <cell r="C699" t="str">
            <v>قالب نو</v>
          </cell>
          <cell r="AF699">
            <v>12</v>
          </cell>
          <cell r="AR699">
            <v>9000000</v>
          </cell>
        </row>
        <row r="700">
          <cell r="B700" t="str">
            <v>قالب مینی بوس آریا</v>
          </cell>
          <cell r="C700" t="str">
            <v>قالب نو</v>
          </cell>
          <cell r="H700">
            <v>30303</v>
          </cell>
          <cell r="AF700">
            <v>6</v>
          </cell>
          <cell r="AR700">
            <v>4500000</v>
          </cell>
        </row>
        <row r="701">
          <cell r="B701" t="str">
            <v>لودر دیسکی  XGL 50</v>
          </cell>
          <cell r="C701" t="str">
            <v>قالب نو</v>
          </cell>
          <cell r="H701">
            <v>29935</v>
          </cell>
          <cell r="AF701">
            <v>6</v>
          </cell>
          <cell r="AR701">
            <v>4500000</v>
          </cell>
        </row>
        <row r="702">
          <cell r="B702" t="str">
            <v>لودر دیسکی  XGL 50</v>
          </cell>
          <cell r="C702" t="str">
            <v>قالب نو</v>
          </cell>
          <cell r="H702">
            <v>29935</v>
          </cell>
          <cell r="AF702">
            <v>6.5</v>
          </cell>
          <cell r="AR702">
            <v>4875000</v>
          </cell>
        </row>
        <row r="703">
          <cell r="B703" t="str">
            <v>برشی نیوفیس C&amp;C</v>
          </cell>
          <cell r="C703" t="str">
            <v>قالب نو</v>
          </cell>
          <cell r="H703">
            <v>30487</v>
          </cell>
          <cell r="AF703">
            <v>7.5</v>
          </cell>
          <cell r="AR703">
            <v>11250000</v>
          </cell>
        </row>
        <row r="704">
          <cell r="B704" t="str">
            <v>برشی نیوفیس C&amp;C</v>
          </cell>
          <cell r="C704" t="str">
            <v>قالب نو</v>
          </cell>
          <cell r="H704">
            <v>30487</v>
          </cell>
          <cell r="AF704">
            <v>3.5</v>
          </cell>
          <cell r="AR704">
            <v>5250000</v>
          </cell>
        </row>
        <row r="705">
          <cell r="B705" t="str">
            <v>پخت کلاچ پراید</v>
          </cell>
          <cell r="C705" t="str">
            <v>قالب تعمیری</v>
          </cell>
          <cell r="AF705">
            <v>6.5</v>
          </cell>
          <cell r="AR705">
            <v>9750000</v>
          </cell>
        </row>
        <row r="706">
          <cell r="B706" t="str">
            <v>پخت کلاچ پراید</v>
          </cell>
          <cell r="C706" t="str">
            <v>قالب تعمیری</v>
          </cell>
          <cell r="AF706">
            <v>4.5</v>
          </cell>
          <cell r="AR706">
            <v>6750000</v>
          </cell>
        </row>
        <row r="707">
          <cell r="B707" t="str">
            <v>دستگاه پشم فلز آلمانی</v>
          </cell>
          <cell r="C707" t="str">
            <v>قطعه تعمیری</v>
          </cell>
          <cell r="AF707">
            <v>4</v>
          </cell>
          <cell r="AR707">
            <v>3000000</v>
          </cell>
        </row>
        <row r="708">
          <cell r="B708" t="str">
            <v>دستگاه پرس پخت</v>
          </cell>
          <cell r="C708" t="str">
            <v>قطعه تعمیری</v>
          </cell>
          <cell r="AF708">
            <v>4.333333333333333</v>
          </cell>
          <cell r="AR708">
            <v>3250000</v>
          </cell>
        </row>
        <row r="709">
          <cell r="B709" t="str">
            <v>پخت کلاچ ایویکو سوراخدار</v>
          </cell>
          <cell r="C709" t="str">
            <v>قالب تعمیری</v>
          </cell>
          <cell r="H709" t="str">
            <v>FC30249-01S</v>
          </cell>
          <cell r="AF709">
            <v>4</v>
          </cell>
          <cell r="AR709">
            <v>3000000</v>
          </cell>
        </row>
        <row r="710">
          <cell r="B710" t="str">
            <v>قالب ولوو سوپر</v>
          </cell>
          <cell r="C710" t="str">
            <v>قالب تعمیری</v>
          </cell>
          <cell r="H710" t="str">
            <v>MH19562-01P</v>
          </cell>
          <cell r="AF710">
            <v>3</v>
          </cell>
          <cell r="AR710">
            <v>2250000</v>
          </cell>
        </row>
        <row r="711">
          <cell r="B711" t="str">
            <v xml:space="preserve">قالب پخت کلاچ پیکان </v>
          </cell>
          <cell r="C711" t="str">
            <v>قالب تعمیری</v>
          </cell>
          <cell r="AF711">
            <v>11</v>
          </cell>
          <cell r="AR711">
            <v>8250000</v>
          </cell>
        </row>
        <row r="712">
          <cell r="B712" t="str">
            <v>قالب ولوو سوپر</v>
          </cell>
          <cell r="C712" t="str">
            <v>قالب تعمیری</v>
          </cell>
          <cell r="H712" t="str">
            <v>MH19562-01P</v>
          </cell>
          <cell r="AF712">
            <v>5</v>
          </cell>
          <cell r="AR712">
            <v>3750000</v>
          </cell>
        </row>
        <row r="713">
          <cell r="B713" t="str">
            <v>برشی نیوفیس C&amp;C</v>
          </cell>
          <cell r="C713" t="str">
            <v>قالب نو</v>
          </cell>
          <cell r="H713">
            <v>30487</v>
          </cell>
          <cell r="AF713">
            <v>2</v>
          </cell>
          <cell r="AR713">
            <v>1500000</v>
          </cell>
        </row>
        <row r="714">
          <cell r="B714" t="str">
            <v>پخت کلاچ پراید</v>
          </cell>
          <cell r="C714" t="str">
            <v>قالب تعمیری</v>
          </cell>
          <cell r="AF714">
            <v>3</v>
          </cell>
          <cell r="AR714">
            <v>2250000</v>
          </cell>
        </row>
        <row r="715">
          <cell r="B715" t="str">
            <v>قالب مینی بوس آریا</v>
          </cell>
          <cell r="C715" t="str">
            <v>قالب نو</v>
          </cell>
          <cell r="H715">
            <v>30303</v>
          </cell>
          <cell r="AF715">
            <v>12</v>
          </cell>
          <cell r="AR715">
            <v>9000000</v>
          </cell>
        </row>
        <row r="716">
          <cell r="B716" t="str">
            <v>لنت ترمز دیسكی جلو دیما(خم)</v>
          </cell>
          <cell r="C716" t="str">
            <v>قالب نو</v>
          </cell>
          <cell r="H716">
            <v>30416</v>
          </cell>
          <cell r="AF716">
            <v>6</v>
          </cell>
          <cell r="AR716">
            <v>4500000</v>
          </cell>
        </row>
        <row r="717">
          <cell r="B717" t="str">
            <v>قالب عقب F12</v>
          </cell>
          <cell r="C717" t="str">
            <v>قالب نو</v>
          </cell>
          <cell r="AF717">
            <v>12</v>
          </cell>
          <cell r="AR717">
            <v>9000000</v>
          </cell>
        </row>
        <row r="718">
          <cell r="B718" t="str">
            <v>Hammer Mill Machine</v>
          </cell>
          <cell r="C718" t="str">
            <v>قطعه تعمیری</v>
          </cell>
          <cell r="AF718">
            <v>5.5</v>
          </cell>
          <cell r="AR718">
            <v>4125000</v>
          </cell>
        </row>
        <row r="719">
          <cell r="B719" t="str">
            <v>دستگاه پرس پخت</v>
          </cell>
          <cell r="C719" t="str">
            <v>قطعه تعمیری</v>
          </cell>
          <cell r="AF719">
            <v>1</v>
          </cell>
          <cell r="AR719">
            <v>750000</v>
          </cell>
        </row>
        <row r="720">
          <cell r="B720" t="str">
            <v>ویوینگ</v>
          </cell>
          <cell r="C720" t="str">
            <v>قطعه تعمیری</v>
          </cell>
          <cell r="AF720">
            <v>2.5</v>
          </cell>
          <cell r="AR720">
            <v>1875000</v>
          </cell>
        </row>
        <row r="721">
          <cell r="B721" t="str">
            <v>قالب ولوو سوپر</v>
          </cell>
          <cell r="C721" t="str">
            <v>قالب تعمیری</v>
          </cell>
          <cell r="H721" t="str">
            <v>MH19562-01P</v>
          </cell>
          <cell r="AF721">
            <v>5</v>
          </cell>
          <cell r="AR721">
            <v>3750000</v>
          </cell>
        </row>
        <row r="722">
          <cell r="B722" t="str">
            <v>برشی نیوفیس C&amp;C</v>
          </cell>
          <cell r="C722" t="str">
            <v>قالب نو</v>
          </cell>
          <cell r="H722">
            <v>30487</v>
          </cell>
          <cell r="AF722">
            <v>1</v>
          </cell>
          <cell r="AR722">
            <v>750000</v>
          </cell>
        </row>
        <row r="723">
          <cell r="B723" t="str">
            <v>Hammer Mill Machine</v>
          </cell>
          <cell r="C723" t="str">
            <v>قطعه تعمیری</v>
          </cell>
          <cell r="AF723">
            <v>1</v>
          </cell>
          <cell r="AR723">
            <v>750000</v>
          </cell>
        </row>
        <row r="724">
          <cell r="B724" t="str">
            <v>پخت کلاچ پراید</v>
          </cell>
          <cell r="C724" t="str">
            <v>قالب تعمیری</v>
          </cell>
          <cell r="AF724">
            <v>1</v>
          </cell>
          <cell r="AR724">
            <v>750000</v>
          </cell>
        </row>
        <row r="725">
          <cell r="B725" t="str">
            <v>برشی نیوفیس C&amp;C</v>
          </cell>
          <cell r="C725" t="str">
            <v>قالب نو</v>
          </cell>
          <cell r="H725">
            <v>30487</v>
          </cell>
          <cell r="AF725">
            <v>9</v>
          </cell>
          <cell r="AR725">
            <v>6750000</v>
          </cell>
        </row>
        <row r="726">
          <cell r="B726" t="str">
            <v>قالب ولوو سوپر</v>
          </cell>
          <cell r="C726" t="str">
            <v>قالب تعمیری</v>
          </cell>
          <cell r="H726" t="str">
            <v>MH19562-01P</v>
          </cell>
          <cell r="AF726">
            <v>3</v>
          </cell>
          <cell r="AR726">
            <v>2250000</v>
          </cell>
        </row>
        <row r="727">
          <cell r="B727" t="str">
            <v>پخت کلاچ پراید</v>
          </cell>
          <cell r="C727" t="str">
            <v>قالب تعمیری</v>
          </cell>
          <cell r="AF727">
            <v>1</v>
          </cell>
          <cell r="AR727">
            <v>750000</v>
          </cell>
        </row>
        <row r="728">
          <cell r="B728" t="str">
            <v>برشی نیوفیس C&amp;C</v>
          </cell>
          <cell r="C728" t="str">
            <v>قالب نو</v>
          </cell>
          <cell r="H728">
            <v>30487</v>
          </cell>
          <cell r="AF728">
            <v>3</v>
          </cell>
          <cell r="AR728">
            <v>2250000</v>
          </cell>
        </row>
        <row r="729">
          <cell r="B729" t="str">
            <v xml:space="preserve">قالب پخت کلاچ پیکان </v>
          </cell>
          <cell r="C729" t="str">
            <v>قالب تعمیری</v>
          </cell>
          <cell r="AF729">
            <v>11</v>
          </cell>
          <cell r="AR729">
            <v>16500000</v>
          </cell>
        </row>
        <row r="730">
          <cell r="B730" t="str">
            <v>Hammer Mill Machine</v>
          </cell>
          <cell r="C730" t="str">
            <v>قطعه نو</v>
          </cell>
          <cell r="AF730">
            <v>11</v>
          </cell>
          <cell r="AR730">
            <v>8250000</v>
          </cell>
        </row>
        <row r="731">
          <cell r="B731" t="str">
            <v>Hammer Mill Machine</v>
          </cell>
          <cell r="C731" t="str">
            <v>قطعه نو</v>
          </cell>
          <cell r="AF731">
            <v>3.5</v>
          </cell>
          <cell r="AR731">
            <v>2625000</v>
          </cell>
        </row>
        <row r="732">
          <cell r="B732" t="str">
            <v>Hammer Mill Machine</v>
          </cell>
          <cell r="C732" t="str">
            <v>قطعه نو</v>
          </cell>
          <cell r="AF732">
            <v>3</v>
          </cell>
          <cell r="AR732">
            <v>2250000</v>
          </cell>
        </row>
        <row r="733">
          <cell r="B733" t="str">
            <v>برشی نیوفیس C&amp;C</v>
          </cell>
          <cell r="C733" t="str">
            <v>قالب نو</v>
          </cell>
          <cell r="H733">
            <v>30487</v>
          </cell>
          <cell r="AF733">
            <v>6.5</v>
          </cell>
          <cell r="AR733">
            <v>9750000</v>
          </cell>
        </row>
        <row r="734">
          <cell r="B734" t="str">
            <v>برشی نیوفیس C&amp;C</v>
          </cell>
          <cell r="C734" t="str">
            <v>قالب نو</v>
          </cell>
          <cell r="H734">
            <v>30487</v>
          </cell>
          <cell r="AF734">
            <v>4.5</v>
          </cell>
          <cell r="AR734">
            <v>6750000</v>
          </cell>
        </row>
        <row r="735">
          <cell r="B735" t="str">
            <v>دستگاه پرس پخت</v>
          </cell>
          <cell r="C735" t="str">
            <v>قطعه تعمیری</v>
          </cell>
          <cell r="AF735">
            <v>2</v>
          </cell>
          <cell r="AR735">
            <v>1500000</v>
          </cell>
        </row>
        <row r="736">
          <cell r="B736" t="str">
            <v>ویوینگ</v>
          </cell>
          <cell r="C736" t="str">
            <v>قطعه تعمیری</v>
          </cell>
          <cell r="AF736">
            <v>9</v>
          </cell>
          <cell r="AR736">
            <v>6750000</v>
          </cell>
        </row>
        <row r="737">
          <cell r="B737" t="str">
            <v>دستگاه پرس پخت</v>
          </cell>
          <cell r="C737" t="str">
            <v>قطعه نو</v>
          </cell>
          <cell r="AF737">
            <v>4</v>
          </cell>
          <cell r="AR737">
            <v>3000000</v>
          </cell>
        </row>
        <row r="738">
          <cell r="B738" t="str">
            <v>ایسوزو 6 تن</v>
          </cell>
          <cell r="C738" t="str">
            <v>قالب تعمیری</v>
          </cell>
          <cell r="H738">
            <v>1</v>
          </cell>
          <cell r="AF738">
            <v>4</v>
          </cell>
          <cell r="AR738">
            <v>3000000</v>
          </cell>
        </row>
        <row r="739">
          <cell r="B739" t="str">
            <v>ایسوزو 6 تن</v>
          </cell>
          <cell r="C739" t="str">
            <v>قالب تعمیری</v>
          </cell>
          <cell r="H739">
            <v>1</v>
          </cell>
          <cell r="AF739">
            <v>3</v>
          </cell>
          <cell r="AR739">
            <v>2250000</v>
          </cell>
        </row>
        <row r="740">
          <cell r="B740" t="str">
            <v xml:space="preserve">قالب پخت کلاچ پیکان </v>
          </cell>
          <cell r="C740" t="str">
            <v>قالب تعمیری</v>
          </cell>
          <cell r="AF740">
            <v>3.5</v>
          </cell>
          <cell r="AR740">
            <v>2625000</v>
          </cell>
        </row>
        <row r="741">
          <cell r="B741" t="str">
            <v>پایه پرچ لنت نیسان</v>
          </cell>
          <cell r="C741" t="str">
            <v>قطعه نو</v>
          </cell>
          <cell r="AF741">
            <v>2</v>
          </cell>
          <cell r="AR741">
            <v>1500000</v>
          </cell>
        </row>
        <row r="742">
          <cell r="B742" t="str">
            <v>Hammer Mill Machine</v>
          </cell>
          <cell r="C742" t="str">
            <v>قطعه نو</v>
          </cell>
          <cell r="AF742">
            <v>5.5</v>
          </cell>
          <cell r="AR742">
            <v>4125000</v>
          </cell>
        </row>
        <row r="743">
          <cell r="B743" t="str">
            <v>Hammer Mill Machine</v>
          </cell>
          <cell r="C743" t="str">
            <v>قطعه نو</v>
          </cell>
          <cell r="AF743">
            <v>2</v>
          </cell>
          <cell r="AR743">
            <v>1500000</v>
          </cell>
        </row>
        <row r="744">
          <cell r="B744" t="str">
            <v>ده تن سوراخدار</v>
          </cell>
          <cell r="C744" t="str">
            <v>قالب تعمیری</v>
          </cell>
          <cell r="H744" t="str">
            <v>MC30298-01S</v>
          </cell>
          <cell r="AF744">
            <v>1</v>
          </cell>
          <cell r="AR744">
            <v>750000</v>
          </cell>
        </row>
        <row r="745">
          <cell r="B745" t="str">
            <v>پخت کلاچ اینترکولر</v>
          </cell>
          <cell r="C745" t="str">
            <v>قالب تعمیری</v>
          </cell>
          <cell r="AF745">
            <v>3</v>
          </cell>
          <cell r="AR745">
            <v>2250000</v>
          </cell>
        </row>
        <row r="746">
          <cell r="B746" t="str">
            <v>پخت کلاچ پراید</v>
          </cell>
          <cell r="C746" t="str">
            <v>قالب تعمیری</v>
          </cell>
          <cell r="AF746">
            <v>2</v>
          </cell>
          <cell r="AR746">
            <v>1500000</v>
          </cell>
        </row>
        <row r="747">
          <cell r="B747" t="str">
            <v>پخت کلاچ پراید</v>
          </cell>
          <cell r="C747" t="str">
            <v>قالب تعمیری</v>
          </cell>
          <cell r="AF747">
            <v>2.5</v>
          </cell>
          <cell r="AR747">
            <v>1875000</v>
          </cell>
        </row>
        <row r="748">
          <cell r="B748" t="str">
            <v>جلو ریو</v>
          </cell>
          <cell r="C748" t="str">
            <v>قالب تعمیری</v>
          </cell>
          <cell r="H748" t="str">
            <v>ML23873-03S</v>
          </cell>
          <cell r="AF748">
            <v>0.5</v>
          </cell>
          <cell r="AR748">
            <v>375000</v>
          </cell>
        </row>
        <row r="749">
          <cell r="B749" t="str">
            <v>Hammer Mill Machine</v>
          </cell>
          <cell r="C749" t="str">
            <v>قطعه نو</v>
          </cell>
          <cell r="AF749">
            <v>1</v>
          </cell>
          <cell r="AR749">
            <v>750000</v>
          </cell>
        </row>
        <row r="750">
          <cell r="B750" t="str">
            <v>ایسوزو 6 تن</v>
          </cell>
          <cell r="C750" t="str">
            <v>قالب تعمیری</v>
          </cell>
          <cell r="H750">
            <v>1</v>
          </cell>
          <cell r="AF750">
            <v>1</v>
          </cell>
          <cell r="AR750">
            <v>750000</v>
          </cell>
        </row>
        <row r="751">
          <cell r="B751" t="str">
            <v>ایسوزو 6 تن</v>
          </cell>
          <cell r="C751" t="str">
            <v>قالب تعمیری</v>
          </cell>
          <cell r="H751">
            <v>1</v>
          </cell>
          <cell r="AF751">
            <v>1</v>
          </cell>
          <cell r="AR751">
            <v>750000</v>
          </cell>
        </row>
        <row r="752">
          <cell r="B752" t="str">
            <v>ایسوزو 6 تن</v>
          </cell>
          <cell r="C752" t="str">
            <v>قالب تعمیری</v>
          </cell>
          <cell r="H752">
            <v>1</v>
          </cell>
          <cell r="AF752">
            <v>1</v>
          </cell>
          <cell r="AR752">
            <v>750000</v>
          </cell>
        </row>
        <row r="753">
          <cell r="B753" t="str">
            <v>ده تن سوراخدار</v>
          </cell>
          <cell r="C753" t="str">
            <v>قالب تعمیری</v>
          </cell>
          <cell r="H753" t="str">
            <v>MC30298-01S</v>
          </cell>
          <cell r="AF753">
            <v>1</v>
          </cell>
          <cell r="AR753">
            <v>750000</v>
          </cell>
        </row>
        <row r="754">
          <cell r="B754" t="str">
            <v>پخت کلاچ اینترکولر</v>
          </cell>
          <cell r="C754" t="str">
            <v>قالب تعمیری</v>
          </cell>
          <cell r="AF754">
            <v>1</v>
          </cell>
          <cell r="AR754">
            <v>750000</v>
          </cell>
        </row>
        <row r="755">
          <cell r="B755" t="str">
            <v>برشی نیوفیس C&amp;C</v>
          </cell>
          <cell r="C755" t="str">
            <v>قالب نو</v>
          </cell>
          <cell r="H755">
            <v>30487</v>
          </cell>
          <cell r="AF755">
            <v>11</v>
          </cell>
          <cell r="AR755">
            <v>8250000</v>
          </cell>
        </row>
        <row r="756">
          <cell r="B756" t="str">
            <v>برشی نیوفیس C&amp;C</v>
          </cell>
          <cell r="C756" t="str">
            <v>قالب نو</v>
          </cell>
          <cell r="H756">
            <v>30487</v>
          </cell>
          <cell r="AF756">
            <v>5</v>
          </cell>
          <cell r="AR756">
            <v>3750000</v>
          </cell>
        </row>
        <row r="757">
          <cell r="B757" t="str">
            <v>قالب توری SAF قدیم</v>
          </cell>
          <cell r="C757" t="str">
            <v>قالب تعمیری</v>
          </cell>
          <cell r="AF757">
            <v>1.5</v>
          </cell>
          <cell r="AR757">
            <v>1125000</v>
          </cell>
        </row>
        <row r="758">
          <cell r="B758" t="str">
            <v>قالب توری SAF قدیم</v>
          </cell>
          <cell r="C758" t="str">
            <v>قالب تعمیری</v>
          </cell>
          <cell r="AF758">
            <v>1.5</v>
          </cell>
          <cell r="AR758">
            <v>1125000</v>
          </cell>
        </row>
        <row r="759">
          <cell r="B759" t="str">
            <v>پخت کلاچ پراید</v>
          </cell>
          <cell r="C759" t="str">
            <v>قالب تعمیری</v>
          </cell>
          <cell r="AF759">
            <v>2</v>
          </cell>
          <cell r="AR759">
            <v>1500000</v>
          </cell>
        </row>
        <row r="760">
          <cell r="B760" t="str">
            <v>Hammer Mill Machine</v>
          </cell>
          <cell r="C760" t="str">
            <v>قطعه نو</v>
          </cell>
          <cell r="AF760">
            <v>11</v>
          </cell>
          <cell r="AR760">
            <v>8250000</v>
          </cell>
        </row>
        <row r="761">
          <cell r="B761" t="str">
            <v>Hammer Mill Machine</v>
          </cell>
          <cell r="C761" t="str">
            <v>قطعه تعمیری</v>
          </cell>
          <cell r="AF761">
            <v>11</v>
          </cell>
          <cell r="AR761">
            <v>8250000</v>
          </cell>
        </row>
        <row r="762">
          <cell r="B762" t="str">
            <v xml:space="preserve">قالب پخت کلاچ پیکان </v>
          </cell>
          <cell r="C762" t="str">
            <v>قالب تعمیری</v>
          </cell>
          <cell r="AF762">
            <v>8</v>
          </cell>
          <cell r="AR762">
            <v>12000000</v>
          </cell>
        </row>
        <row r="763">
          <cell r="B763" t="str">
            <v xml:space="preserve">قالب پخت کلاچ پیکان </v>
          </cell>
          <cell r="C763" t="str">
            <v>قالب تعمیری</v>
          </cell>
          <cell r="AF763">
            <v>3</v>
          </cell>
          <cell r="AR763">
            <v>4500000</v>
          </cell>
        </row>
        <row r="764">
          <cell r="B764" t="str">
            <v>برشی نیوفیس C&amp;C</v>
          </cell>
          <cell r="C764" t="str">
            <v>قالب نو</v>
          </cell>
          <cell r="H764">
            <v>30487</v>
          </cell>
          <cell r="AF764">
            <v>9</v>
          </cell>
          <cell r="AR764">
            <v>13500000</v>
          </cell>
        </row>
        <row r="765">
          <cell r="B765" t="str">
            <v>سوراخکاری پیلسان</v>
          </cell>
          <cell r="C765" t="str">
            <v>قطعه نو</v>
          </cell>
          <cell r="AF765">
            <v>2</v>
          </cell>
          <cell r="AR765">
            <v>3000000</v>
          </cell>
        </row>
        <row r="766">
          <cell r="B766" t="str">
            <v>ویوینگ</v>
          </cell>
          <cell r="C766" t="str">
            <v>قطعه تعمیری</v>
          </cell>
          <cell r="AF766">
            <v>0.75</v>
          </cell>
          <cell r="AR766">
            <v>562500</v>
          </cell>
        </row>
        <row r="767">
          <cell r="B767" t="str">
            <v>دستگاه پشم فلز</v>
          </cell>
          <cell r="C767" t="str">
            <v>قطعه تعمیری</v>
          </cell>
          <cell r="AF767">
            <v>5.75</v>
          </cell>
          <cell r="AR767">
            <v>4312500</v>
          </cell>
        </row>
        <row r="768">
          <cell r="B768" t="str">
            <v>پخت کلاچ اینترکولر</v>
          </cell>
          <cell r="C768" t="str">
            <v>قالب تعمیری</v>
          </cell>
          <cell r="H768" t="str">
            <v>01S</v>
          </cell>
          <cell r="AF768">
            <v>4</v>
          </cell>
          <cell r="AR768">
            <v>3000000</v>
          </cell>
        </row>
        <row r="769">
          <cell r="B769" t="str">
            <v>قالب ولوو سوپر</v>
          </cell>
          <cell r="C769" t="str">
            <v>قالب تعمیری</v>
          </cell>
          <cell r="H769" t="str">
            <v>MH19562-01P</v>
          </cell>
          <cell r="AF769">
            <v>4</v>
          </cell>
          <cell r="AR769">
            <v>3000000</v>
          </cell>
        </row>
        <row r="770">
          <cell r="B770" t="str">
            <v xml:space="preserve">قالب پخت کلاچ پیکان </v>
          </cell>
          <cell r="C770" t="str">
            <v>قالب تعمیری</v>
          </cell>
          <cell r="AF770">
            <v>2</v>
          </cell>
          <cell r="AR770">
            <v>1500000</v>
          </cell>
        </row>
        <row r="771">
          <cell r="B771" t="str">
            <v>ایسوزو 6 تن</v>
          </cell>
          <cell r="C771" t="str">
            <v>قالب تعمیری</v>
          </cell>
          <cell r="H771">
            <v>1</v>
          </cell>
          <cell r="AF771">
            <v>4</v>
          </cell>
          <cell r="AR771">
            <v>3000000</v>
          </cell>
        </row>
        <row r="772">
          <cell r="B772" t="str">
            <v>شمش پراید</v>
          </cell>
          <cell r="C772" t="str">
            <v>قالب نو</v>
          </cell>
          <cell r="AF772">
            <v>1</v>
          </cell>
          <cell r="AR772">
            <v>750000</v>
          </cell>
        </row>
        <row r="773">
          <cell r="B773" t="str">
            <v>دریل یزدخواستی کلاچ</v>
          </cell>
          <cell r="C773" t="str">
            <v>قطعه نو</v>
          </cell>
          <cell r="AF773">
            <v>1</v>
          </cell>
          <cell r="AR773">
            <v>750000</v>
          </cell>
        </row>
        <row r="774">
          <cell r="B774" t="str">
            <v xml:space="preserve">قالب پخت کلاچ پیکان </v>
          </cell>
          <cell r="C774" t="str">
            <v>قالب تعمیری</v>
          </cell>
          <cell r="AF774">
            <v>2</v>
          </cell>
          <cell r="AR774">
            <v>1500000</v>
          </cell>
        </row>
        <row r="775">
          <cell r="B775" t="str">
            <v>ایسوزو 6 تن</v>
          </cell>
          <cell r="C775" t="str">
            <v>قالب تعمیری</v>
          </cell>
          <cell r="H775">
            <v>1</v>
          </cell>
          <cell r="AF775">
            <v>4</v>
          </cell>
          <cell r="AR775">
            <v>3000000</v>
          </cell>
        </row>
        <row r="776">
          <cell r="B776" t="str">
            <v>شمش پراید</v>
          </cell>
          <cell r="C776" t="str">
            <v>قالب نو</v>
          </cell>
          <cell r="AF776">
            <v>3</v>
          </cell>
          <cell r="AR776">
            <v>2250000</v>
          </cell>
        </row>
        <row r="777">
          <cell r="B777" t="str">
            <v>Hammer Mill Machine</v>
          </cell>
          <cell r="C777" t="str">
            <v>قطعه نو</v>
          </cell>
          <cell r="AF777">
            <v>2</v>
          </cell>
          <cell r="AR777">
            <v>1500000</v>
          </cell>
        </row>
        <row r="778">
          <cell r="B778" t="str">
            <v xml:space="preserve">قالب پخت کلاچ پیکان </v>
          </cell>
          <cell r="C778" t="str">
            <v>قالب تعمیری</v>
          </cell>
          <cell r="AF778">
            <v>2</v>
          </cell>
          <cell r="AR778">
            <v>1500000</v>
          </cell>
        </row>
        <row r="779">
          <cell r="B779" t="str">
            <v>قالب مینی بوس آریا</v>
          </cell>
          <cell r="C779" t="str">
            <v>قالب نو</v>
          </cell>
          <cell r="H779">
            <v>30303</v>
          </cell>
          <cell r="AF779">
            <v>12</v>
          </cell>
          <cell r="AR779">
            <v>9000000</v>
          </cell>
        </row>
        <row r="780">
          <cell r="B780" t="str">
            <v>برشی نیوفیس C&amp;C</v>
          </cell>
          <cell r="C780" t="str">
            <v>قالب نو</v>
          </cell>
          <cell r="H780">
            <v>30487</v>
          </cell>
          <cell r="AF780">
            <v>7</v>
          </cell>
          <cell r="AR780">
            <v>5250000</v>
          </cell>
        </row>
        <row r="781">
          <cell r="B781" t="str">
            <v>قالب کوبه نک SAF</v>
          </cell>
          <cell r="C781" t="str">
            <v>قالب تعمیری</v>
          </cell>
          <cell r="H781">
            <v>1</v>
          </cell>
          <cell r="AF781">
            <v>1</v>
          </cell>
          <cell r="AR781">
            <v>750000</v>
          </cell>
        </row>
        <row r="782">
          <cell r="B782" t="str">
            <v>قالب پخت کلاچ پژو 405</v>
          </cell>
          <cell r="C782" t="str">
            <v>قالب تعمیری</v>
          </cell>
          <cell r="AF782">
            <v>4</v>
          </cell>
          <cell r="AR782">
            <v>3000000</v>
          </cell>
        </row>
        <row r="783">
          <cell r="B783" t="str">
            <v>دستگاه فرز</v>
          </cell>
          <cell r="C783" t="str">
            <v>قطعه تعمیری</v>
          </cell>
          <cell r="AF783">
            <v>4</v>
          </cell>
          <cell r="AR783">
            <v>3000000</v>
          </cell>
        </row>
        <row r="784">
          <cell r="B784" t="str">
            <v>قالب عقب F12</v>
          </cell>
          <cell r="C784" t="str">
            <v>قالب نو</v>
          </cell>
          <cell r="AF784">
            <v>12</v>
          </cell>
          <cell r="AR784">
            <v>9000000</v>
          </cell>
        </row>
        <row r="785">
          <cell r="B785" t="str">
            <v>دستگاه پرس پخت</v>
          </cell>
          <cell r="C785" t="str">
            <v>قطعه تعمیری</v>
          </cell>
          <cell r="AF785">
            <v>2.5</v>
          </cell>
          <cell r="AR785">
            <v>1875000</v>
          </cell>
        </row>
        <row r="786">
          <cell r="B786" t="str">
            <v>ویوینگ</v>
          </cell>
          <cell r="C786" t="str">
            <v>قطعه تعمیری</v>
          </cell>
          <cell r="AF786">
            <v>2</v>
          </cell>
          <cell r="AR786">
            <v>1500000</v>
          </cell>
        </row>
        <row r="787">
          <cell r="B787" t="str">
            <v>ویوینگ</v>
          </cell>
          <cell r="C787" t="str">
            <v>قطعه تعمیری</v>
          </cell>
          <cell r="AF787">
            <v>1.5</v>
          </cell>
          <cell r="AR787">
            <v>1125000</v>
          </cell>
        </row>
        <row r="788">
          <cell r="B788" t="str">
            <v>دستگاه پرس پخت</v>
          </cell>
          <cell r="C788" t="str">
            <v>قطعه تعمیری</v>
          </cell>
          <cell r="AF788">
            <v>1.5</v>
          </cell>
          <cell r="AR788">
            <v>1125000</v>
          </cell>
        </row>
        <row r="789">
          <cell r="B789" t="str">
            <v>دستگاه پرس پخت</v>
          </cell>
          <cell r="C789" t="str">
            <v>قطعه تعمیری</v>
          </cell>
          <cell r="AF789">
            <v>1</v>
          </cell>
          <cell r="AR789">
            <v>750000</v>
          </cell>
        </row>
      </sheetData>
      <sheetData sheetId="4">
        <row r="4">
          <cell r="B4" t="str">
            <v>شمش پراید</v>
          </cell>
          <cell r="C4" t="str">
            <v>قالب نو</v>
          </cell>
          <cell r="AF4">
            <v>7.5</v>
          </cell>
          <cell r="AR4">
            <v>5625000</v>
          </cell>
        </row>
        <row r="5">
          <cell r="B5" t="str">
            <v xml:space="preserve">قالب پخت کلاچ پیکان </v>
          </cell>
          <cell r="C5" t="str">
            <v>قالب تعمیری</v>
          </cell>
          <cell r="AF5">
            <v>3.5</v>
          </cell>
          <cell r="AR5">
            <v>2625000</v>
          </cell>
        </row>
        <row r="6">
          <cell r="B6" t="str">
            <v>قالب ولوو سوپر</v>
          </cell>
          <cell r="C6" t="str">
            <v>قالب تعمیری</v>
          </cell>
          <cell r="H6" t="str">
            <v>MH19562-01P</v>
          </cell>
          <cell r="AF6">
            <v>3</v>
          </cell>
          <cell r="AR6">
            <v>2250000</v>
          </cell>
        </row>
        <row r="7">
          <cell r="B7" t="str">
            <v>اصول 5S</v>
          </cell>
          <cell r="C7" t="str">
            <v>نظافت</v>
          </cell>
          <cell r="AF7">
            <v>1</v>
          </cell>
          <cell r="AR7">
            <v>750000</v>
          </cell>
        </row>
        <row r="8">
          <cell r="B8" t="str">
            <v>اصول 5S</v>
          </cell>
          <cell r="C8" t="str">
            <v>نظافت</v>
          </cell>
          <cell r="AF8">
            <v>1</v>
          </cell>
          <cell r="AR8">
            <v>750000</v>
          </cell>
        </row>
        <row r="9">
          <cell r="B9" t="str">
            <v xml:space="preserve">قالب پخت کلاچ پیکان </v>
          </cell>
          <cell r="C9" t="str">
            <v>قالب تعمیری</v>
          </cell>
          <cell r="AF9">
            <v>2.5</v>
          </cell>
          <cell r="AR9">
            <v>3750000</v>
          </cell>
        </row>
        <row r="10">
          <cell r="B10" t="str">
            <v xml:space="preserve">قالب پخت کلاچ پیکان </v>
          </cell>
          <cell r="C10" t="str">
            <v>قالب تعمیری</v>
          </cell>
          <cell r="AF10">
            <v>5</v>
          </cell>
          <cell r="AR10">
            <v>7500000</v>
          </cell>
        </row>
        <row r="11">
          <cell r="B11" t="str">
            <v xml:space="preserve">قالب پخت کلاچ پیکان </v>
          </cell>
          <cell r="C11" t="str">
            <v>قالب تعمیری</v>
          </cell>
          <cell r="AF11">
            <v>3.3333333333333335</v>
          </cell>
          <cell r="AR11">
            <v>2500000</v>
          </cell>
        </row>
        <row r="12">
          <cell r="B12" t="str">
            <v xml:space="preserve">قالب پخت کلاچ پیکان </v>
          </cell>
          <cell r="C12" t="str">
            <v>قالب تعمیری</v>
          </cell>
          <cell r="AF12">
            <v>3.3333333333333335</v>
          </cell>
          <cell r="AR12">
            <v>2500000</v>
          </cell>
        </row>
        <row r="13">
          <cell r="B13" t="str">
            <v>اصول 5S</v>
          </cell>
          <cell r="C13" t="str">
            <v>نظافت</v>
          </cell>
          <cell r="AF13">
            <v>0.83333333333333337</v>
          </cell>
          <cell r="AR13">
            <v>625000</v>
          </cell>
        </row>
        <row r="14">
          <cell r="B14" t="str">
            <v>ایسوزو 6 تن</v>
          </cell>
          <cell r="C14" t="str">
            <v>قالب تعمیری</v>
          </cell>
          <cell r="H14">
            <v>1</v>
          </cell>
          <cell r="AF14">
            <v>4</v>
          </cell>
          <cell r="AR14">
            <v>3000000</v>
          </cell>
        </row>
        <row r="15">
          <cell r="B15" t="str">
            <v>سری نقطه جوش</v>
          </cell>
          <cell r="C15" t="str">
            <v>قطعه تعمیری</v>
          </cell>
          <cell r="AF15">
            <v>1</v>
          </cell>
          <cell r="AR15">
            <v>750000</v>
          </cell>
        </row>
        <row r="16">
          <cell r="B16" t="str">
            <v>اصول 5S</v>
          </cell>
          <cell r="C16" t="str">
            <v>نظافت</v>
          </cell>
          <cell r="AF16">
            <v>1.5</v>
          </cell>
          <cell r="AR16">
            <v>1125000</v>
          </cell>
        </row>
        <row r="17">
          <cell r="B17" t="str">
            <v>دستگاه پرس پخت</v>
          </cell>
          <cell r="C17" t="str">
            <v>قطعه تعمیری</v>
          </cell>
          <cell r="AF17">
            <v>4</v>
          </cell>
          <cell r="AR17">
            <v>3000000</v>
          </cell>
        </row>
        <row r="18">
          <cell r="B18" t="str">
            <v>دیتگاه وایر</v>
          </cell>
          <cell r="C18" t="str">
            <v>قطعه نو</v>
          </cell>
          <cell r="AF18">
            <v>1</v>
          </cell>
          <cell r="AR18">
            <v>750000</v>
          </cell>
        </row>
        <row r="19">
          <cell r="B19" t="str">
            <v>قالب پخت کلاچ پژو 405</v>
          </cell>
          <cell r="C19" t="str">
            <v>قالب تعمیری</v>
          </cell>
          <cell r="AF19">
            <v>1</v>
          </cell>
          <cell r="AR19">
            <v>750000</v>
          </cell>
        </row>
        <row r="20">
          <cell r="B20" t="str">
            <v>اصول 5S</v>
          </cell>
          <cell r="C20" t="str">
            <v>نظافت</v>
          </cell>
          <cell r="AF20">
            <v>1</v>
          </cell>
          <cell r="AR20">
            <v>750000</v>
          </cell>
        </row>
        <row r="21">
          <cell r="B21" t="str">
            <v>قالب مینی بوس آریا</v>
          </cell>
          <cell r="C21" t="str">
            <v>قالب نو</v>
          </cell>
          <cell r="H21">
            <v>30303</v>
          </cell>
          <cell r="AF21">
            <v>8</v>
          </cell>
          <cell r="AR21">
            <v>6000000</v>
          </cell>
        </row>
        <row r="22">
          <cell r="B22" t="str">
            <v>قالب پخت کلاچ پژو 405</v>
          </cell>
          <cell r="C22" t="str">
            <v>قالب تعمیری</v>
          </cell>
          <cell r="AF22">
            <v>8</v>
          </cell>
          <cell r="AR22">
            <v>6000000</v>
          </cell>
        </row>
        <row r="23">
          <cell r="B23" t="str">
            <v>قلم پژو 405</v>
          </cell>
          <cell r="C23" t="str">
            <v>قطعه تعمیری</v>
          </cell>
          <cell r="AF23">
            <v>5</v>
          </cell>
          <cell r="AR23">
            <v>3750000</v>
          </cell>
        </row>
        <row r="24">
          <cell r="B24" t="str">
            <v>قالب عقب F12</v>
          </cell>
          <cell r="C24" t="str">
            <v>قالب تعمیری</v>
          </cell>
          <cell r="AF24">
            <v>8</v>
          </cell>
          <cell r="AR24">
            <v>6000000</v>
          </cell>
        </row>
        <row r="25">
          <cell r="B25" t="str">
            <v xml:space="preserve">قالب پخت کلاچ پیکان </v>
          </cell>
          <cell r="C25" t="str">
            <v>قالب تعمیری</v>
          </cell>
          <cell r="AF25">
            <v>2.5</v>
          </cell>
          <cell r="AR25">
            <v>1875000</v>
          </cell>
        </row>
        <row r="26">
          <cell r="B26" t="str">
            <v>رادیاتور آغشته کاری</v>
          </cell>
          <cell r="C26" t="str">
            <v>قطعه تعمیری</v>
          </cell>
          <cell r="AF26">
            <v>0.5</v>
          </cell>
          <cell r="AR26">
            <v>375000</v>
          </cell>
        </row>
        <row r="27">
          <cell r="B27" t="str">
            <v>ویوینگ</v>
          </cell>
          <cell r="C27" t="str">
            <v>قطعه تعمیری</v>
          </cell>
          <cell r="AF27">
            <v>1</v>
          </cell>
          <cell r="AR27">
            <v>750000</v>
          </cell>
        </row>
        <row r="28">
          <cell r="B28" t="str">
            <v>ایسوزو 6 تن</v>
          </cell>
          <cell r="C28" t="str">
            <v>قالب تعمیری</v>
          </cell>
          <cell r="H28">
            <v>1</v>
          </cell>
          <cell r="AF28">
            <v>2.5</v>
          </cell>
          <cell r="AR28">
            <v>1875000</v>
          </cell>
        </row>
        <row r="29">
          <cell r="B29" t="str">
            <v>برشی نیوفیس C&amp;C</v>
          </cell>
          <cell r="C29" t="str">
            <v>قالب نو</v>
          </cell>
          <cell r="H29">
            <v>30487</v>
          </cell>
          <cell r="AF29">
            <v>1</v>
          </cell>
          <cell r="AR29">
            <v>750000</v>
          </cell>
        </row>
        <row r="30">
          <cell r="B30" t="str">
            <v>قالب ولوو سوپر</v>
          </cell>
          <cell r="C30" t="str">
            <v>قالب تعمیری</v>
          </cell>
          <cell r="H30" t="str">
            <v>MH19562-01P</v>
          </cell>
          <cell r="AF30">
            <v>3</v>
          </cell>
          <cell r="AR30">
            <v>2250000</v>
          </cell>
        </row>
        <row r="31">
          <cell r="B31" t="str">
            <v>قالب ولوو سوپر</v>
          </cell>
          <cell r="C31" t="str">
            <v>قالب تعمیری</v>
          </cell>
          <cell r="H31" t="str">
            <v>MH19562-01P</v>
          </cell>
          <cell r="AF31">
            <v>8</v>
          </cell>
          <cell r="AR31">
            <v>6000000</v>
          </cell>
        </row>
        <row r="32">
          <cell r="B32" t="str">
            <v>برشی نیوفیس C&amp;C</v>
          </cell>
          <cell r="C32" t="str">
            <v>قالب نو</v>
          </cell>
          <cell r="H32">
            <v>30487</v>
          </cell>
          <cell r="AF32">
            <v>3.5</v>
          </cell>
          <cell r="AR32">
            <v>5250000</v>
          </cell>
        </row>
        <row r="33">
          <cell r="B33" t="str">
            <v>ویوینگ</v>
          </cell>
          <cell r="C33" t="str">
            <v>قالب تعمیری</v>
          </cell>
          <cell r="H33">
            <v>1</v>
          </cell>
          <cell r="AF33">
            <v>7.5</v>
          </cell>
          <cell r="AR33">
            <v>11250000</v>
          </cell>
        </row>
        <row r="34">
          <cell r="B34" t="str">
            <v>Hammer Mill Machine</v>
          </cell>
          <cell r="C34" t="str">
            <v>قطعه تعمیری</v>
          </cell>
          <cell r="AF34">
            <v>7.5</v>
          </cell>
          <cell r="AR34">
            <v>5625000</v>
          </cell>
        </row>
        <row r="35">
          <cell r="B35" t="str">
            <v>ویوینگ</v>
          </cell>
          <cell r="C35" t="str">
            <v>قالب تعمیری</v>
          </cell>
          <cell r="H35">
            <v>1</v>
          </cell>
          <cell r="AF35">
            <v>3.5</v>
          </cell>
          <cell r="AR35">
            <v>2625000</v>
          </cell>
        </row>
        <row r="36">
          <cell r="B36" t="str">
            <v>جلو سمند سورن</v>
          </cell>
          <cell r="C36" t="str">
            <v>قالب تعمیری</v>
          </cell>
          <cell r="H36" t="str">
            <v>ML30256-01S</v>
          </cell>
          <cell r="AF36">
            <v>4.166666666666667</v>
          </cell>
          <cell r="AR36">
            <v>3125000</v>
          </cell>
        </row>
        <row r="37">
          <cell r="B37" t="str">
            <v>جلو ریو</v>
          </cell>
          <cell r="C37" t="str">
            <v>قالب تعمیری</v>
          </cell>
          <cell r="H37" t="str">
            <v>ML23873-03S</v>
          </cell>
          <cell r="AF37">
            <v>4.166666666666667</v>
          </cell>
          <cell r="AR37">
            <v>3125000</v>
          </cell>
        </row>
        <row r="38">
          <cell r="B38" t="str">
            <v>جلو ریو</v>
          </cell>
          <cell r="C38" t="str">
            <v>قالب تعمیری</v>
          </cell>
          <cell r="H38" t="str">
            <v>ML23873-03S</v>
          </cell>
          <cell r="AF38">
            <v>2.1666666666666665</v>
          </cell>
          <cell r="AR38">
            <v>1625000</v>
          </cell>
        </row>
        <row r="39">
          <cell r="B39" t="str">
            <v>قالب مینی بوس آریا</v>
          </cell>
          <cell r="C39" t="str">
            <v>قالب نو</v>
          </cell>
          <cell r="H39">
            <v>30303</v>
          </cell>
          <cell r="AF39">
            <v>12</v>
          </cell>
          <cell r="AR39">
            <v>9000000</v>
          </cell>
        </row>
        <row r="40">
          <cell r="B40" t="str">
            <v>قالب پخت کلاچ پژو 405</v>
          </cell>
          <cell r="C40" t="str">
            <v>قالب تعمیری</v>
          </cell>
          <cell r="AF40">
            <v>8</v>
          </cell>
          <cell r="AR40">
            <v>6000000</v>
          </cell>
        </row>
        <row r="41">
          <cell r="B41" t="str">
            <v>قالب مینی بوس آریا</v>
          </cell>
          <cell r="C41" t="str">
            <v>قالب نو</v>
          </cell>
          <cell r="H41">
            <v>30303</v>
          </cell>
          <cell r="AF41">
            <v>12</v>
          </cell>
          <cell r="AR41">
            <v>9000000</v>
          </cell>
        </row>
        <row r="42">
          <cell r="B42" t="str">
            <v>قالب عقب F12</v>
          </cell>
          <cell r="C42" t="str">
            <v>قالب تعمیری</v>
          </cell>
          <cell r="AF42">
            <v>12</v>
          </cell>
          <cell r="AR42">
            <v>9000000</v>
          </cell>
        </row>
        <row r="43">
          <cell r="B43" t="str">
            <v>Hammer Mill Machine</v>
          </cell>
          <cell r="C43" t="str">
            <v>قطعه تعمیری</v>
          </cell>
          <cell r="AF43">
            <v>4</v>
          </cell>
          <cell r="AR43">
            <v>3000000</v>
          </cell>
        </row>
        <row r="44">
          <cell r="B44" t="str">
            <v>قالب ولوو سوپر</v>
          </cell>
          <cell r="C44" t="str">
            <v>قالب تعمیری</v>
          </cell>
          <cell r="H44" t="str">
            <v>MH19562-01P</v>
          </cell>
          <cell r="AF44">
            <v>2</v>
          </cell>
          <cell r="AR44">
            <v>1500000</v>
          </cell>
        </row>
        <row r="45">
          <cell r="B45" t="str">
            <v>سوراخکاری پیلسان</v>
          </cell>
          <cell r="C45" t="str">
            <v>قطعه نو</v>
          </cell>
          <cell r="AF45">
            <v>0.5</v>
          </cell>
          <cell r="AR45">
            <v>375000</v>
          </cell>
        </row>
        <row r="46">
          <cell r="B46" t="str">
            <v>کوبه برش پراید</v>
          </cell>
          <cell r="C46" t="str">
            <v>قطعه تعمیری</v>
          </cell>
          <cell r="AF46">
            <v>0.5</v>
          </cell>
          <cell r="AR46">
            <v>375000</v>
          </cell>
        </row>
        <row r="47">
          <cell r="B47" t="str">
            <v>جلو ریو</v>
          </cell>
          <cell r="C47" t="str">
            <v>قالب تعمیری</v>
          </cell>
          <cell r="H47" t="str">
            <v>ML23873-03S</v>
          </cell>
          <cell r="AF47">
            <v>4</v>
          </cell>
          <cell r="AR47">
            <v>3000000</v>
          </cell>
        </row>
        <row r="48">
          <cell r="B48" t="str">
            <v>دریل یزدخواستی کلاچ</v>
          </cell>
          <cell r="C48" t="str">
            <v>قطعه نو</v>
          </cell>
          <cell r="AF48">
            <v>1</v>
          </cell>
          <cell r="AR48">
            <v>750000</v>
          </cell>
        </row>
        <row r="49">
          <cell r="B49" t="str">
            <v>پخت کلاچ پراید</v>
          </cell>
          <cell r="C49" t="str">
            <v>قالب تعمیری</v>
          </cell>
          <cell r="AF49">
            <v>2</v>
          </cell>
          <cell r="AR49">
            <v>1500000</v>
          </cell>
        </row>
        <row r="50">
          <cell r="B50" t="str">
            <v>پخت کلاچ 309 سوراخدار</v>
          </cell>
          <cell r="C50" t="str">
            <v>قالب تعمیری</v>
          </cell>
          <cell r="H50" t="str">
            <v>MC30250-02S</v>
          </cell>
          <cell r="AF50">
            <v>1</v>
          </cell>
          <cell r="AR50">
            <v>750000</v>
          </cell>
        </row>
        <row r="51">
          <cell r="B51" t="str">
            <v>شمش پراید</v>
          </cell>
          <cell r="C51" t="str">
            <v>قالب نو</v>
          </cell>
          <cell r="AF51">
            <v>3</v>
          </cell>
          <cell r="AR51">
            <v>2250000</v>
          </cell>
        </row>
        <row r="52">
          <cell r="B52" t="str">
            <v>لنت ترمز دیسكی جلو دیما(خم)</v>
          </cell>
          <cell r="C52" t="str">
            <v>قالب نو</v>
          </cell>
          <cell r="H52">
            <v>30416</v>
          </cell>
          <cell r="AF52">
            <v>1</v>
          </cell>
          <cell r="AR52">
            <v>750000</v>
          </cell>
        </row>
        <row r="53">
          <cell r="B53" t="str">
            <v>پخت کلاچ 309 سوراخدار</v>
          </cell>
          <cell r="C53" t="str">
            <v>قالب تعمیری</v>
          </cell>
          <cell r="H53" t="str">
            <v>MC30250-02S</v>
          </cell>
          <cell r="AF53">
            <v>2</v>
          </cell>
          <cell r="AR53">
            <v>1500000</v>
          </cell>
        </row>
        <row r="54">
          <cell r="B54" t="str">
            <v>پخت کلاچ 309 سوراخدار</v>
          </cell>
          <cell r="C54" t="str">
            <v>قالب تعمیری</v>
          </cell>
          <cell r="H54" t="str">
            <v>MC30250-02S</v>
          </cell>
          <cell r="AF54">
            <v>8</v>
          </cell>
          <cell r="AR54">
            <v>6000000</v>
          </cell>
        </row>
        <row r="55">
          <cell r="B55" t="str">
            <v>ایسوزو 6 تن</v>
          </cell>
          <cell r="C55" t="str">
            <v>قالب تعمیری</v>
          </cell>
          <cell r="H55">
            <v>1</v>
          </cell>
          <cell r="AF55">
            <v>3</v>
          </cell>
          <cell r="AR55">
            <v>2250000</v>
          </cell>
        </row>
        <row r="56">
          <cell r="B56" t="str">
            <v>برشی نیوفیس C&amp;C</v>
          </cell>
          <cell r="C56" t="str">
            <v>قالب نو</v>
          </cell>
          <cell r="H56">
            <v>30487</v>
          </cell>
          <cell r="AF56">
            <v>3</v>
          </cell>
          <cell r="AR56">
            <v>2250000</v>
          </cell>
        </row>
        <row r="57">
          <cell r="B57" t="str">
            <v>جلو سمند سورن</v>
          </cell>
          <cell r="C57" t="str">
            <v>قالب تعمیری</v>
          </cell>
          <cell r="H57" t="str">
            <v>ML30256-01S</v>
          </cell>
          <cell r="AF57">
            <v>2</v>
          </cell>
          <cell r="AR57">
            <v>1500000</v>
          </cell>
        </row>
        <row r="58">
          <cell r="B58" t="str">
            <v>جلو ریو</v>
          </cell>
          <cell r="C58" t="str">
            <v>قالب تعمیری</v>
          </cell>
          <cell r="H58" t="str">
            <v>ML23873-03S</v>
          </cell>
          <cell r="AF58">
            <v>2</v>
          </cell>
          <cell r="AR58">
            <v>1500000</v>
          </cell>
        </row>
        <row r="59">
          <cell r="B59" t="str">
            <v>پخت کلاچ 309 سوراخدار</v>
          </cell>
          <cell r="C59" t="str">
            <v>قالب تعمیری</v>
          </cell>
          <cell r="H59" t="str">
            <v>MC30250-02S</v>
          </cell>
          <cell r="AF59">
            <v>1</v>
          </cell>
          <cell r="AR59">
            <v>750000</v>
          </cell>
        </row>
        <row r="60">
          <cell r="B60" t="str">
            <v>دستگاه رولینگ</v>
          </cell>
          <cell r="C60" t="str">
            <v>قطعه نو</v>
          </cell>
          <cell r="AF60">
            <v>4</v>
          </cell>
          <cell r="AR60">
            <v>3000000</v>
          </cell>
        </row>
        <row r="61">
          <cell r="B61" t="str">
            <v>قالب پخت کلاچ پژو 405</v>
          </cell>
          <cell r="C61" t="str">
            <v>قالب تعمیری</v>
          </cell>
          <cell r="AF61">
            <v>3</v>
          </cell>
          <cell r="AR61">
            <v>2250000</v>
          </cell>
        </row>
        <row r="62">
          <cell r="B62" t="str">
            <v xml:space="preserve">قالب پخت کلاچ پیکان </v>
          </cell>
          <cell r="C62" t="str">
            <v>قالب تعمیری</v>
          </cell>
          <cell r="AF62">
            <v>1</v>
          </cell>
          <cell r="AR62">
            <v>750000</v>
          </cell>
        </row>
        <row r="63">
          <cell r="B63" t="str">
            <v>جلو ریو</v>
          </cell>
          <cell r="C63" t="str">
            <v>قالب تعمیری</v>
          </cell>
          <cell r="H63" t="str">
            <v>ML23873-03S</v>
          </cell>
          <cell r="AF63">
            <v>1</v>
          </cell>
          <cell r="AR63">
            <v>750000</v>
          </cell>
        </row>
        <row r="64">
          <cell r="B64" t="str">
            <v>دستگاه پشم فلز</v>
          </cell>
          <cell r="C64" t="str">
            <v>قطعه تعمیری</v>
          </cell>
          <cell r="AF64">
            <v>6.5</v>
          </cell>
          <cell r="AR64">
            <v>4875000</v>
          </cell>
        </row>
        <row r="65">
          <cell r="B65" t="str">
            <v>پخت عقب پژو 405 شمشی پایه کوتاه</v>
          </cell>
          <cell r="C65" t="str">
            <v>قالب نو</v>
          </cell>
          <cell r="H65">
            <v>30091</v>
          </cell>
          <cell r="AF65">
            <v>7.5</v>
          </cell>
          <cell r="AR65">
            <v>11250000</v>
          </cell>
        </row>
        <row r="66">
          <cell r="B66" t="str">
            <v xml:space="preserve">قالب پخت کلاچ پیکان </v>
          </cell>
          <cell r="C66" t="str">
            <v>قالب تعمیری</v>
          </cell>
          <cell r="AF66">
            <v>7.5</v>
          </cell>
          <cell r="AR66">
            <v>11250000</v>
          </cell>
        </row>
        <row r="67">
          <cell r="B67" t="str">
            <v xml:space="preserve">قالب پخت کلاچ پیکان </v>
          </cell>
          <cell r="C67" t="str">
            <v>قالب تعمیری</v>
          </cell>
          <cell r="AF67">
            <v>3.5</v>
          </cell>
          <cell r="AR67">
            <v>5250000</v>
          </cell>
        </row>
        <row r="68">
          <cell r="B68" t="str">
            <v>ویوینگ</v>
          </cell>
          <cell r="C68" t="str">
            <v>قطعه تعمیری</v>
          </cell>
          <cell r="H68">
            <v>6411</v>
          </cell>
          <cell r="AF68">
            <v>4.5</v>
          </cell>
          <cell r="AR68">
            <v>3375000</v>
          </cell>
        </row>
        <row r="69">
          <cell r="B69" t="str">
            <v>ساب ترابوزا</v>
          </cell>
          <cell r="C69" t="str">
            <v>قطعه تعمیری</v>
          </cell>
          <cell r="AF69">
            <v>6.5</v>
          </cell>
          <cell r="AR69">
            <v>4875000</v>
          </cell>
        </row>
        <row r="70">
          <cell r="B70" t="str">
            <v>پخت کلاچ ایسوزو</v>
          </cell>
          <cell r="C70" t="str">
            <v>قالب تعمیری</v>
          </cell>
          <cell r="H70" t="str">
            <v>02S</v>
          </cell>
          <cell r="AF70">
            <v>1</v>
          </cell>
          <cell r="AR70">
            <v>750000</v>
          </cell>
        </row>
        <row r="71">
          <cell r="B71" t="str">
            <v>پخت کلاچ 309 سوراخدار</v>
          </cell>
          <cell r="C71" t="str">
            <v>قالب تعمیری</v>
          </cell>
          <cell r="H71" t="str">
            <v>01S</v>
          </cell>
          <cell r="AF71">
            <v>1</v>
          </cell>
          <cell r="AR71">
            <v>750000</v>
          </cell>
        </row>
        <row r="72">
          <cell r="B72" t="str">
            <v xml:space="preserve">قالب پخت کلاچ پیکان </v>
          </cell>
          <cell r="C72" t="str">
            <v>قالب تعمیری</v>
          </cell>
          <cell r="AF72">
            <v>2</v>
          </cell>
          <cell r="AR72">
            <v>1500000</v>
          </cell>
        </row>
        <row r="73">
          <cell r="B73" t="str">
            <v xml:space="preserve">قالب پخت کلاچ پیکان </v>
          </cell>
          <cell r="C73" t="str">
            <v>قالب تعمیری</v>
          </cell>
          <cell r="AF73">
            <v>4</v>
          </cell>
          <cell r="AR73">
            <v>3000000</v>
          </cell>
        </row>
        <row r="74">
          <cell r="B74" t="str">
            <v>ویوینگ</v>
          </cell>
          <cell r="C74" t="str">
            <v>قطعه تعمیری</v>
          </cell>
          <cell r="H74">
            <v>6411</v>
          </cell>
          <cell r="AF74">
            <v>1.5</v>
          </cell>
          <cell r="AR74">
            <v>2250000</v>
          </cell>
        </row>
        <row r="75">
          <cell r="B75" t="str">
            <v>سوراخکاری پیلسان</v>
          </cell>
          <cell r="C75" t="str">
            <v>قطعه نو</v>
          </cell>
          <cell r="H75">
            <v>29385</v>
          </cell>
          <cell r="AF75">
            <v>6.5</v>
          </cell>
          <cell r="AR75">
            <v>9750000</v>
          </cell>
        </row>
        <row r="76">
          <cell r="B76" t="str">
            <v>ویوینگ</v>
          </cell>
          <cell r="C76" t="str">
            <v>قطعه تعمیری</v>
          </cell>
          <cell r="H76">
            <v>6411</v>
          </cell>
          <cell r="AF76">
            <v>3</v>
          </cell>
          <cell r="AR76">
            <v>4500000</v>
          </cell>
        </row>
        <row r="77">
          <cell r="B77" t="str">
            <v>پخت کلاچ 309 سوراخدار</v>
          </cell>
          <cell r="C77" t="str">
            <v>قالب تعمیری</v>
          </cell>
          <cell r="H77" t="str">
            <v>01S</v>
          </cell>
          <cell r="AF77">
            <v>11</v>
          </cell>
          <cell r="AR77">
            <v>8250000</v>
          </cell>
        </row>
        <row r="78">
          <cell r="B78" t="str">
            <v>برشی نیوفیس C&amp;C</v>
          </cell>
          <cell r="C78" t="str">
            <v>قالب نو</v>
          </cell>
          <cell r="H78">
            <v>30487</v>
          </cell>
          <cell r="AF78">
            <v>3.5</v>
          </cell>
          <cell r="AR78">
            <v>2625000</v>
          </cell>
        </row>
        <row r="79">
          <cell r="B79" t="str">
            <v>لنت ترمز دیسكی جلو دیما(خم)</v>
          </cell>
          <cell r="C79" t="str">
            <v>قالب نو</v>
          </cell>
          <cell r="H79">
            <v>30416</v>
          </cell>
          <cell r="AF79">
            <v>3.5</v>
          </cell>
          <cell r="AR79">
            <v>2625000</v>
          </cell>
        </row>
        <row r="80">
          <cell r="B80" t="str">
            <v>Hammer Mill Machine</v>
          </cell>
          <cell r="C80" t="str">
            <v>قطعه تعمیری</v>
          </cell>
          <cell r="AF80">
            <v>4</v>
          </cell>
          <cell r="AR80">
            <v>3000000</v>
          </cell>
        </row>
        <row r="81">
          <cell r="B81" t="str">
            <v>سری نقطه جوش</v>
          </cell>
          <cell r="C81" t="str">
            <v>قطعه تعمیری</v>
          </cell>
          <cell r="AF81">
            <v>1</v>
          </cell>
          <cell r="AR81">
            <v>750000</v>
          </cell>
        </row>
        <row r="82">
          <cell r="B82" t="str">
            <v xml:space="preserve">قالب پخت کلاچ پیکان </v>
          </cell>
          <cell r="C82" t="str">
            <v>قالب تعمیری</v>
          </cell>
          <cell r="AF82">
            <v>3.3333333333333335</v>
          </cell>
          <cell r="AR82">
            <v>2500000</v>
          </cell>
        </row>
        <row r="83">
          <cell r="B83" t="str">
            <v>قالب مینی بوس آریا</v>
          </cell>
          <cell r="C83" t="str">
            <v>قالب نو</v>
          </cell>
          <cell r="H83">
            <v>30303</v>
          </cell>
          <cell r="AF83">
            <v>12</v>
          </cell>
          <cell r="AR83">
            <v>9000000</v>
          </cell>
        </row>
        <row r="84">
          <cell r="B84" t="str">
            <v xml:space="preserve">قالب پخت کلاچ پیکان </v>
          </cell>
          <cell r="C84" t="str">
            <v>قالب تعمیری</v>
          </cell>
          <cell r="AF84">
            <v>7</v>
          </cell>
          <cell r="AR84">
            <v>5250000</v>
          </cell>
        </row>
        <row r="85">
          <cell r="B85" t="str">
            <v>قالب مینی بوس آریا</v>
          </cell>
          <cell r="C85" t="str">
            <v>قالب نو</v>
          </cell>
          <cell r="H85">
            <v>30303</v>
          </cell>
          <cell r="AF85">
            <v>4</v>
          </cell>
          <cell r="AR85">
            <v>3000000</v>
          </cell>
        </row>
        <row r="86">
          <cell r="B86" t="str">
            <v>قالب عقب F12</v>
          </cell>
          <cell r="C86" t="str">
            <v>قالب تعمیری</v>
          </cell>
          <cell r="AF86">
            <v>12</v>
          </cell>
          <cell r="AR86">
            <v>9000000</v>
          </cell>
        </row>
        <row r="87">
          <cell r="B87" t="str">
            <v>جلو سمند سورن</v>
          </cell>
          <cell r="C87" t="str">
            <v>قالب تعمیری</v>
          </cell>
          <cell r="H87" t="str">
            <v>ML30256-01S</v>
          </cell>
          <cell r="AF87">
            <v>8</v>
          </cell>
          <cell r="AR87">
            <v>6000000</v>
          </cell>
        </row>
        <row r="88">
          <cell r="B88" t="str">
            <v>جلو سمند سورن</v>
          </cell>
          <cell r="C88" t="str">
            <v>قالب تعمیری</v>
          </cell>
          <cell r="H88" t="str">
            <v>ML30256-01S</v>
          </cell>
          <cell r="AF88">
            <v>5</v>
          </cell>
          <cell r="AR88">
            <v>3750000</v>
          </cell>
        </row>
        <row r="89">
          <cell r="B89" t="str">
            <v>پخت کلاچ 309 سوراخدار</v>
          </cell>
          <cell r="C89" t="str">
            <v>قالب تعمیری</v>
          </cell>
          <cell r="H89" t="str">
            <v>01S</v>
          </cell>
          <cell r="AF89">
            <v>2</v>
          </cell>
          <cell r="AR89">
            <v>1500000</v>
          </cell>
        </row>
        <row r="90">
          <cell r="B90" t="str">
            <v>پخت کلاچ 309 سوراخدار</v>
          </cell>
          <cell r="C90" t="str">
            <v>قالب تعمیری</v>
          </cell>
          <cell r="H90" t="str">
            <v>01S</v>
          </cell>
          <cell r="AF90">
            <v>2</v>
          </cell>
          <cell r="AR90">
            <v>1500000</v>
          </cell>
        </row>
        <row r="91">
          <cell r="B91" t="str">
            <v>پخت کلاچ 309 سوراخدار</v>
          </cell>
          <cell r="C91" t="str">
            <v>قالب تعمیری</v>
          </cell>
          <cell r="H91" t="str">
            <v>01S</v>
          </cell>
          <cell r="AF91">
            <v>2</v>
          </cell>
          <cell r="AR91">
            <v>1500000</v>
          </cell>
        </row>
        <row r="92">
          <cell r="B92" t="str">
            <v>جلو ریو</v>
          </cell>
          <cell r="C92" t="str">
            <v>قالب تعمیری</v>
          </cell>
          <cell r="H92" t="str">
            <v>ML23873-03S</v>
          </cell>
          <cell r="AF92">
            <v>3</v>
          </cell>
          <cell r="AR92">
            <v>2250000</v>
          </cell>
        </row>
        <row r="93">
          <cell r="B93" t="str">
            <v>جلو ریو</v>
          </cell>
          <cell r="C93" t="str">
            <v>قالب تعمیری</v>
          </cell>
          <cell r="H93" t="str">
            <v>ML23873-03S</v>
          </cell>
          <cell r="AF93">
            <v>3</v>
          </cell>
          <cell r="AR93">
            <v>2250000</v>
          </cell>
        </row>
        <row r="94">
          <cell r="B94" t="str">
            <v xml:space="preserve">قالب پخت کلاچ پیکان </v>
          </cell>
          <cell r="C94" t="str">
            <v>قالب تعمیری</v>
          </cell>
          <cell r="AF94">
            <v>2</v>
          </cell>
          <cell r="AR94">
            <v>1500000</v>
          </cell>
        </row>
        <row r="95">
          <cell r="B95" t="str">
            <v>قالب ولوو سوپر</v>
          </cell>
          <cell r="C95" t="str">
            <v>قالب تعمیری</v>
          </cell>
          <cell r="H95" t="str">
            <v>MH19562-01P</v>
          </cell>
          <cell r="AF95">
            <v>1</v>
          </cell>
          <cell r="AR95">
            <v>750000</v>
          </cell>
        </row>
        <row r="96">
          <cell r="B96" t="str">
            <v>پخت کلاچ 309 سوراخدار</v>
          </cell>
          <cell r="C96" t="str">
            <v>قالب تعمیری</v>
          </cell>
          <cell r="H96" t="str">
            <v>01S</v>
          </cell>
          <cell r="AF96">
            <v>1</v>
          </cell>
          <cell r="AR96">
            <v>750000</v>
          </cell>
        </row>
        <row r="97">
          <cell r="B97" t="str">
            <v>پخت کلاچ ایسوزو</v>
          </cell>
          <cell r="C97" t="str">
            <v>قالب تعمیری</v>
          </cell>
          <cell r="H97" t="str">
            <v>02S</v>
          </cell>
          <cell r="AF97">
            <v>1</v>
          </cell>
          <cell r="AR97">
            <v>750000</v>
          </cell>
        </row>
        <row r="98">
          <cell r="B98" t="str">
            <v>ویوینگ</v>
          </cell>
          <cell r="C98" t="str">
            <v>قطعه تعمیری</v>
          </cell>
          <cell r="H98">
            <v>6411</v>
          </cell>
          <cell r="AF98">
            <v>3</v>
          </cell>
          <cell r="AR98">
            <v>2250000</v>
          </cell>
        </row>
        <row r="99">
          <cell r="B99" t="str">
            <v>پخت عقب پژو 405 شمشی پایه کوتاه</v>
          </cell>
          <cell r="C99" t="str">
            <v>قالب نو</v>
          </cell>
          <cell r="H99">
            <v>30091</v>
          </cell>
          <cell r="AF99">
            <v>11</v>
          </cell>
          <cell r="AR99">
            <v>16500000</v>
          </cell>
        </row>
        <row r="100">
          <cell r="B100" t="str">
            <v>دستگاه پشم فلز</v>
          </cell>
          <cell r="C100" t="str">
            <v>قطعه تعمیری</v>
          </cell>
          <cell r="AF100">
            <v>6.5</v>
          </cell>
          <cell r="AR100">
            <v>4875000</v>
          </cell>
        </row>
        <row r="101">
          <cell r="B101" t="str">
            <v>آسیاب پشم فلز</v>
          </cell>
          <cell r="C101" t="str">
            <v>قطعه تعمیری</v>
          </cell>
          <cell r="AF101">
            <v>1</v>
          </cell>
          <cell r="AR101">
            <v>750000</v>
          </cell>
        </row>
        <row r="102">
          <cell r="B102" t="str">
            <v>قالب ولوو سوپر</v>
          </cell>
          <cell r="C102" t="str">
            <v>قالب تعمیری</v>
          </cell>
          <cell r="H102" t="str">
            <v>MH19562-01P</v>
          </cell>
          <cell r="AF102">
            <v>10</v>
          </cell>
          <cell r="AR102">
            <v>7500000</v>
          </cell>
        </row>
        <row r="103">
          <cell r="B103" t="str">
            <v>ویوینگ</v>
          </cell>
          <cell r="C103" t="str">
            <v>قطعه تعمیری</v>
          </cell>
          <cell r="H103">
            <v>6411</v>
          </cell>
          <cell r="AF103">
            <v>2</v>
          </cell>
          <cell r="AR103">
            <v>3000000</v>
          </cell>
        </row>
        <row r="104">
          <cell r="B104" t="str">
            <v>برشی نیوفیس C&amp;C</v>
          </cell>
          <cell r="C104" t="str">
            <v>قالب نو</v>
          </cell>
          <cell r="H104">
            <v>30487</v>
          </cell>
          <cell r="AF104">
            <v>2.5</v>
          </cell>
          <cell r="AR104">
            <v>3750000</v>
          </cell>
        </row>
        <row r="105">
          <cell r="B105" t="str">
            <v>برشی نیوفیس C&amp;C</v>
          </cell>
          <cell r="C105" t="str">
            <v>قالب نو</v>
          </cell>
          <cell r="H105">
            <v>30487</v>
          </cell>
          <cell r="AF105">
            <v>3</v>
          </cell>
          <cell r="AR105">
            <v>4500000</v>
          </cell>
        </row>
        <row r="106">
          <cell r="B106" t="str">
            <v>ویوینگ</v>
          </cell>
          <cell r="C106" t="str">
            <v>قطعه تعمیری</v>
          </cell>
          <cell r="H106">
            <v>6411</v>
          </cell>
          <cell r="AF106">
            <v>3</v>
          </cell>
          <cell r="AR106">
            <v>2250000</v>
          </cell>
        </row>
        <row r="107">
          <cell r="B107" t="str">
            <v>کولر</v>
          </cell>
          <cell r="C107" t="str">
            <v>دستگاه تعمیری</v>
          </cell>
          <cell r="AF107">
            <v>3</v>
          </cell>
          <cell r="AR107">
            <v>2250000</v>
          </cell>
        </row>
        <row r="108">
          <cell r="B108" t="str">
            <v>دستگاه چسب زنی</v>
          </cell>
          <cell r="C108" t="str">
            <v>قطعه تعمیری</v>
          </cell>
          <cell r="AF108">
            <v>3</v>
          </cell>
          <cell r="AR108">
            <v>2250000</v>
          </cell>
        </row>
        <row r="109">
          <cell r="B109" t="str">
            <v xml:space="preserve">قالب پخت کلاچ پیکان </v>
          </cell>
          <cell r="C109" t="str">
            <v>قالب تعمیری</v>
          </cell>
          <cell r="AF109">
            <v>5</v>
          </cell>
          <cell r="AR109">
            <v>3750000</v>
          </cell>
        </row>
        <row r="110">
          <cell r="B110" t="str">
            <v xml:space="preserve">قالب پخت کلاچ پیکان </v>
          </cell>
          <cell r="C110" t="str">
            <v>قالب تعمیری</v>
          </cell>
          <cell r="AF110">
            <v>2</v>
          </cell>
          <cell r="AR110">
            <v>1500000</v>
          </cell>
        </row>
        <row r="111">
          <cell r="B111" t="str">
            <v>قالب توری پگاسوز</v>
          </cell>
          <cell r="C111" t="str">
            <v>قالب تعمیری</v>
          </cell>
          <cell r="H111">
            <v>30425</v>
          </cell>
          <cell r="AF111">
            <v>2</v>
          </cell>
          <cell r="AR111">
            <v>1500000</v>
          </cell>
        </row>
        <row r="112">
          <cell r="B112" t="str">
            <v>پخت کلاچ پراید</v>
          </cell>
          <cell r="C112" t="str">
            <v>قالب تعمیری</v>
          </cell>
          <cell r="AF112">
            <v>1</v>
          </cell>
          <cell r="AR112">
            <v>750000</v>
          </cell>
        </row>
        <row r="113">
          <cell r="B113" t="str">
            <v>Hammer Mill Machine</v>
          </cell>
          <cell r="C113" t="str">
            <v>قطعه نو</v>
          </cell>
          <cell r="AF113">
            <v>2</v>
          </cell>
          <cell r="AR113">
            <v>1500000</v>
          </cell>
        </row>
        <row r="114">
          <cell r="B114" t="str">
            <v>پخت کلاچ پراید</v>
          </cell>
          <cell r="C114" t="str">
            <v>قالب تعمیری</v>
          </cell>
          <cell r="AF114">
            <v>2</v>
          </cell>
          <cell r="AR114">
            <v>1500000</v>
          </cell>
        </row>
        <row r="115">
          <cell r="B115" t="str">
            <v>سری نقطه جوش</v>
          </cell>
          <cell r="C115" t="str">
            <v>قطعه تعمیری</v>
          </cell>
          <cell r="AF115">
            <v>2</v>
          </cell>
          <cell r="AR115">
            <v>1500000</v>
          </cell>
        </row>
        <row r="116">
          <cell r="B116" t="str">
            <v>پخت کلاچ پراید</v>
          </cell>
          <cell r="C116" t="str">
            <v>قالب تعمیری</v>
          </cell>
          <cell r="AF116">
            <v>2</v>
          </cell>
          <cell r="AR116">
            <v>1500000</v>
          </cell>
        </row>
        <row r="117">
          <cell r="B117" t="str">
            <v>پخت کلاچ 309 سوراخدار</v>
          </cell>
          <cell r="C117" t="str">
            <v>قالب تعمیری</v>
          </cell>
          <cell r="H117" t="str">
            <v>01S</v>
          </cell>
          <cell r="AF117">
            <v>6</v>
          </cell>
          <cell r="AR117">
            <v>4500000</v>
          </cell>
        </row>
        <row r="118">
          <cell r="B118" t="str">
            <v>برشی نیوفیس C&amp;C</v>
          </cell>
          <cell r="C118" t="str">
            <v>قالب نو</v>
          </cell>
          <cell r="H118">
            <v>30487</v>
          </cell>
          <cell r="AF118">
            <v>2.5</v>
          </cell>
          <cell r="AR118">
            <v>1875000</v>
          </cell>
        </row>
        <row r="119">
          <cell r="B119" t="str">
            <v>لنت ترمز دیسكی جلو دیما(خم)</v>
          </cell>
          <cell r="C119" t="str">
            <v>قالب نو</v>
          </cell>
          <cell r="H119">
            <v>30416</v>
          </cell>
          <cell r="AF119">
            <v>2.5</v>
          </cell>
          <cell r="AR119">
            <v>1875000</v>
          </cell>
        </row>
        <row r="120">
          <cell r="B120" t="str">
            <v>پخت کلاچ 309 سوراخدار</v>
          </cell>
          <cell r="C120" t="str">
            <v>قالب تعمیری</v>
          </cell>
          <cell r="H120" t="str">
            <v>01S</v>
          </cell>
          <cell r="AF120">
            <v>5</v>
          </cell>
          <cell r="AR120">
            <v>3750000</v>
          </cell>
        </row>
        <row r="121">
          <cell r="B121" t="str">
            <v>قالب توری پگاسوز</v>
          </cell>
          <cell r="C121" t="str">
            <v>قالب تعمیری</v>
          </cell>
          <cell r="H121">
            <v>30425</v>
          </cell>
          <cell r="AF121">
            <v>1</v>
          </cell>
          <cell r="AR121">
            <v>750000</v>
          </cell>
        </row>
        <row r="122">
          <cell r="B122" t="str">
            <v xml:space="preserve">قالب پخت کلاچ پیکان </v>
          </cell>
          <cell r="C122" t="str">
            <v>قالب تعمیری</v>
          </cell>
          <cell r="AF122">
            <v>2.5</v>
          </cell>
          <cell r="AR122">
            <v>1875000</v>
          </cell>
        </row>
        <row r="123">
          <cell r="B123" t="str">
            <v>قالب ولوو سوپر</v>
          </cell>
          <cell r="C123" t="str">
            <v>قالب تعمیری</v>
          </cell>
          <cell r="H123" t="str">
            <v>MH19562-01P</v>
          </cell>
          <cell r="AF123">
            <v>1.5</v>
          </cell>
          <cell r="AR123">
            <v>1125000</v>
          </cell>
        </row>
        <row r="124">
          <cell r="B124" t="str">
            <v>قالب مینی بوس آریا</v>
          </cell>
          <cell r="C124" t="str">
            <v>قالب نو</v>
          </cell>
          <cell r="H124">
            <v>30303</v>
          </cell>
          <cell r="AF124">
            <v>11</v>
          </cell>
          <cell r="AR124">
            <v>8250000</v>
          </cell>
        </row>
        <row r="125">
          <cell r="B125" t="str">
            <v>جلو سمند سورن</v>
          </cell>
          <cell r="C125" t="str">
            <v>قالب تعمیری</v>
          </cell>
          <cell r="H125" t="str">
            <v>ML30256-01S</v>
          </cell>
          <cell r="AF125">
            <v>11</v>
          </cell>
          <cell r="AR125">
            <v>8250000</v>
          </cell>
        </row>
        <row r="126">
          <cell r="B126" t="str">
            <v>جلو سمند سورن</v>
          </cell>
          <cell r="C126" t="str">
            <v>قالب تعمیری</v>
          </cell>
          <cell r="H126" t="str">
            <v>ML30256-01S</v>
          </cell>
          <cell r="AF126">
            <v>11</v>
          </cell>
          <cell r="AR126">
            <v>8250000</v>
          </cell>
        </row>
        <row r="127">
          <cell r="B127" t="str">
            <v>قالب عقب F12</v>
          </cell>
          <cell r="C127" t="str">
            <v>قالب نو</v>
          </cell>
          <cell r="AF127">
            <v>11</v>
          </cell>
          <cell r="AR127">
            <v>8250000</v>
          </cell>
        </row>
        <row r="128">
          <cell r="B128" t="str">
            <v>ویوینگ</v>
          </cell>
          <cell r="C128" t="str">
            <v>قطعه تعمیری</v>
          </cell>
          <cell r="H128">
            <v>6411</v>
          </cell>
          <cell r="AF128">
            <v>6</v>
          </cell>
          <cell r="AR128">
            <v>4500000</v>
          </cell>
        </row>
        <row r="129">
          <cell r="B129" t="str">
            <v>ویوینگ</v>
          </cell>
          <cell r="C129" t="str">
            <v>قطعه تعمیری</v>
          </cell>
          <cell r="H129">
            <v>6411</v>
          </cell>
          <cell r="AF129">
            <v>1</v>
          </cell>
          <cell r="AR129">
            <v>750000</v>
          </cell>
        </row>
        <row r="130">
          <cell r="B130" t="str">
            <v>قالب ولوو سوپر</v>
          </cell>
          <cell r="C130" t="str">
            <v>قالب تعمیری</v>
          </cell>
          <cell r="H130" t="str">
            <v>MH19562-01P</v>
          </cell>
          <cell r="AF130">
            <v>11</v>
          </cell>
          <cell r="AR130">
            <v>8250000</v>
          </cell>
        </row>
        <row r="131">
          <cell r="B131" t="str">
            <v>لنت ترمز دیسكی جلو دیما(خم)</v>
          </cell>
          <cell r="C131" t="str">
            <v>قالب نو</v>
          </cell>
          <cell r="H131">
            <v>30416</v>
          </cell>
          <cell r="AF131">
            <v>7.5</v>
          </cell>
          <cell r="AR131">
            <v>5625000</v>
          </cell>
        </row>
        <row r="132">
          <cell r="B132" t="str">
            <v>پخت کلاچ پراید</v>
          </cell>
          <cell r="C132" t="str">
            <v>قالب تعمیری</v>
          </cell>
          <cell r="AF132">
            <v>3.5</v>
          </cell>
          <cell r="AR132">
            <v>2625000</v>
          </cell>
        </row>
        <row r="133">
          <cell r="B133" t="str">
            <v>پخت عقب پژو 405 شمشی پایه کوتاه</v>
          </cell>
          <cell r="C133" t="str">
            <v>قالب نو</v>
          </cell>
          <cell r="H133">
            <v>30091</v>
          </cell>
          <cell r="AF133">
            <v>13</v>
          </cell>
          <cell r="AR133">
            <v>19500000</v>
          </cell>
        </row>
        <row r="134">
          <cell r="B134" t="str">
            <v>دستگاه پشم فلز</v>
          </cell>
          <cell r="C134" t="str">
            <v>قطعه تعمیری</v>
          </cell>
          <cell r="AF134">
            <v>6.5</v>
          </cell>
          <cell r="AR134">
            <v>4875000</v>
          </cell>
        </row>
        <row r="135">
          <cell r="B135" t="str">
            <v>قالب ولوو سوپر</v>
          </cell>
          <cell r="C135" t="str">
            <v>قالب تعمیری</v>
          </cell>
          <cell r="H135" t="str">
            <v>MH19562-01P</v>
          </cell>
          <cell r="AF135">
            <v>11</v>
          </cell>
          <cell r="AR135">
            <v>8250000</v>
          </cell>
        </row>
        <row r="136">
          <cell r="B136" t="str">
            <v>قالب پخت کلاچ پژو 405</v>
          </cell>
          <cell r="C136" t="str">
            <v>قالب تعمیری</v>
          </cell>
          <cell r="AF136">
            <v>3</v>
          </cell>
          <cell r="AR136">
            <v>2250000</v>
          </cell>
        </row>
        <row r="137">
          <cell r="B137" t="str">
            <v>پخت کلاچ پراید</v>
          </cell>
          <cell r="C137" t="str">
            <v>قالب تعمیری</v>
          </cell>
          <cell r="AF137">
            <v>8</v>
          </cell>
          <cell r="AR137">
            <v>6000000</v>
          </cell>
        </row>
        <row r="138">
          <cell r="B138" t="str">
            <v>ویوینگ</v>
          </cell>
          <cell r="C138" t="str">
            <v>قطعه تعمیری</v>
          </cell>
          <cell r="AF138">
            <v>4.5</v>
          </cell>
          <cell r="AR138">
            <v>3375000</v>
          </cell>
        </row>
        <row r="139">
          <cell r="B139" t="str">
            <v>ویوینگ</v>
          </cell>
          <cell r="C139" t="str">
            <v>قطعه تعمیری</v>
          </cell>
          <cell r="AF139">
            <v>4.5</v>
          </cell>
          <cell r="AR139">
            <v>3375000</v>
          </cell>
        </row>
        <row r="140">
          <cell r="B140" t="str">
            <v>دستگاه پرچ زنی</v>
          </cell>
          <cell r="C140" t="str">
            <v>قطعه تعمیری</v>
          </cell>
          <cell r="AF140">
            <v>1</v>
          </cell>
          <cell r="AR140">
            <v>750000</v>
          </cell>
        </row>
        <row r="141">
          <cell r="B141" t="str">
            <v>دستگاه پرچ زنی</v>
          </cell>
          <cell r="C141" t="str">
            <v>قطعه تعمیری</v>
          </cell>
          <cell r="AF141">
            <v>1</v>
          </cell>
          <cell r="AR141">
            <v>750000</v>
          </cell>
        </row>
        <row r="142">
          <cell r="B142" t="str">
            <v>لنت ترمز دیسكی جلو دیما(خم)</v>
          </cell>
          <cell r="C142" t="str">
            <v>قالب نو</v>
          </cell>
          <cell r="H142">
            <v>30416</v>
          </cell>
          <cell r="AF142">
            <v>3</v>
          </cell>
          <cell r="AR142">
            <v>2250000</v>
          </cell>
        </row>
        <row r="143">
          <cell r="B143" t="str">
            <v>پخت کلاچ 309 سوراخدار</v>
          </cell>
          <cell r="C143" t="str">
            <v>قالب تعمیری</v>
          </cell>
          <cell r="H143" t="str">
            <v>01S</v>
          </cell>
          <cell r="AF143">
            <v>6</v>
          </cell>
          <cell r="AR143">
            <v>4500000</v>
          </cell>
        </row>
        <row r="144">
          <cell r="B144" t="str">
            <v>جلو سمند سورن</v>
          </cell>
          <cell r="C144" t="str">
            <v>قالب تعمیری</v>
          </cell>
          <cell r="H144" t="str">
            <v>ML30256-01S</v>
          </cell>
          <cell r="AF144">
            <v>5</v>
          </cell>
          <cell r="AR144">
            <v>3750000</v>
          </cell>
        </row>
        <row r="145">
          <cell r="B145" t="str">
            <v>پخت کلاچ 309 سوراخدار</v>
          </cell>
          <cell r="C145" t="str">
            <v>قالب تعمیری</v>
          </cell>
          <cell r="H145" t="str">
            <v>01S</v>
          </cell>
          <cell r="AF145">
            <v>4</v>
          </cell>
          <cell r="AR145">
            <v>3000000</v>
          </cell>
        </row>
        <row r="146">
          <cell r="B146" t="str">
            <v>قالب پخت کلاچ پژو 405</v>
          </cell>
          <cell r="C146" t="str">
            <v>قالب تعمیری</v>
          </cell>
          <cell r="AF146">
            <v>4</v>
          </cell>
          <cell r="AR146">
            <v>3000000</v>
          </cell>
        </row>
        <row r="147">
          <cell r="B147" t="str">
            <v>سری نقطه جوش</v>
          </cell>
          <cell r="C147" t="str">
            <v>قطعه تعمیری</v>
          </cell>
          <cell r="AF147">
            <v>1</v>
          </cell>
          <cell r="AR147">
            <v>750000</v>
          </cell>
        </row>
        <row r="148">
          <cell r="B148" t="str">
            <v>برشی نیوفیس C&amp;C</v>
          </cell>
          <cell r="C148" t="str">
            <v>قالب نو</v>
          </cell>
          <cell r="H148">
            <v>30487</v>
          </cell>
          <cell r="AF148">
            <v>2.5</v>
          </cell>
          <cell r="AR148">
            <v>3750000</v>
          </cell>
        </row>
        <row r="149">
          <cell r="B149" t="str">
            <v>لودر دیسکی XGL 50</v>
          </cell>
          <cell r="C149" t="str">
            <v>قالب نو</v>
          </cell>
          <cell r="H149">
            <v>29935</v>
          </cell>
          <cell r="AF149">
            <v>3</v>
          </cell>
          <cell r="AR149">
            <v>4500000</v>
          </cell>
        </row>
        <row r="150">
          <cell r="B150" t="str">
            <v>لنت ترمز دیسكی جلو دیما(خم)</v>
          </cell>
          <cell r="C150" t="str">
            <v>قالب نو</v>
          </cell>
          <cell r="H150">
            <v>30416</v>
          </cell>
          <cell r="AF150">
            <v>5.5</v>
          </cell>
          <cell r="AR150">
            <v>8250000</v>
          </cell>
        </row>
        <row r="151">
          <cell r="B151" t="str">
            <v>دستگاه پرچ زنی</v>
          </cell>
          <cell r="C151" t="str">
            <v>قطعه تعمیری</v>
          </cell>
          <cell r="AF151">
            <v>3</v>
          </cell>
          <cell r="AR151">
            <v>2250000</v>
          </cell>
        </row>
        <row r="152">
          <cell r="B152" t="str">
            <v>ساب ترابوزا</v>
          </cell>
          <cell r="C152" t="str">
            <v>قطعه نو</v>
          </cell>
          <cell r="AF152">
            <v>3</v>
          </cell>
          <cell r="AR152">
            <v>2250000</v>
          </cell>
        </row>
        <row r="153">
          <cell r="B153" t="str">
            <v>Hammer Mill Machine</v>
          </cell>
          <cell r="C153" t="str">
            <v>قطعه نو</v>
          </cell>
          <cell r="AF153">
            <v>1</v>
          </cell>
          <cell r="AR153">
            <v>750000</v>
          </cell>
        </row>
        <row r="154">
          <cell r="B154" t="str">
            <v>دستگاه پرس پخت</v>
          </cell>
          <cell r="C154" t="str">
            <v>قطعه نو</v>
          </cell>
          <cell r="AF154">
            <v>2</v>
          </cell>
          <cell r="AR154">
            <v>1500000</v>
          </cell>
        </row>
        <row r="155">
          <cell r="B155" t="str">
            <v>دستگاه پرس پخت</v>
          </cell>
          <cell r="C155" t="str">
            <v>قطعه تعمیری</v>
          </cell>
          <cell r="AF155">
            <v>3</v>
          </cell>
          <cell r="AR155">
            <v>2250000</v>
          </cell>
        </row>
        <row r="156">
          <cell r="B156" t="str">
            <v>قالب پخت SAF</v>
          </cell>
          <cell r="C156" t="str">
            <v>قالب تعمیری</v>
          </cell>
          <cell r="H156">
            <v>29087</v>
          </cell>
          <cell r="AF156">
            <v>12</v>
          </cell>
          <cell r="AR156">
            <v>9000000</v>
          </cell>
        </row>
        <row r="157">
          <cell r="B157" t="str">
            <v>جلو سمند سورن</v>
          </cell>
          <cell r="C157" t="str">
            <v>قالب تعمیری</v>
          </cell>
          <cell r="H157" t="str">
            <v>ML30256-01S</v>
          </cell>
          <cell r="AF157">
            <v>3</v>
          </cell>
          <cell r="AR157">
            <v>2250000</v>
          </cell>
        </row>
        <row r="158">
          <cell r="B158" t="str">
            <v>فیکسچر کفشک پژو 405</v>
          </cell>
          <cell r="C158" t="str">
            <v>قطعه نو</v>
          </cell>
          <cell r="AF158">
            <v>6</v>
          </cell>
          <cell r="AR158">
            <v>4500000</v>
          </cell>
        </row>
        <row r="159">
          <cell r="B159" t="str">
            <v>جلو سمند سورن</v>
          </cell>
          <cell r="C159" t="str">
            <v>قالب تعمیری</v>
          </cell>
          <cell r="H159" t="str">
            <v>ML30256-01S</v>
          </cell>
          <cell r="AF159">
            <v>9</v>
          </cell>
          <cell r="AR159">
            <v>6750000</v>
          </cell>
        </row>
        <row r="160">
          <cell r="B160" t="str">
            <v>لنت ترمز دیسكی جلو دیما(خم)</v>
          </cell>
          <cell r="C160" t="str">
            <v>قالب نو</v>
          </cell>
          <cell r="H160">
            <v>30416</v>
          </cell>
          <cell r="AF160">
            <v>12</v>
          </cell>
          <cell r="AR160">
            <v>9000000</v>
          </cell>
        </row>
        <row r="161">
          <cell r="B161" t="str">
            <v>برشی نیوفیس C&amp;C</v>
          </cell>
          <cell r="C161" t="str">
            <v>قالب نو</v>
          </cell>
          <cell r="H161">
            <v>30487</v>
          </cell>
          <cell r="AF161">
            <v>4</v>
          </cell>
          <cell r="AR161">
            <v>3000000</v>
          </cell>
        </row>
        <row r="162">
          <cell r="B162" t="str">
            <v>پخت کلاچ ده تن</v>
          </cell>
          <cell r="C162" t="str">
            <v>قالب تعمیری</v>
          </cell>
          <cell r="H162" t="str">
            <v>MC30298-01s</v>
          </cell>
          <cell r="AF162">
            <v>5</v>
          </cell>
          <cell r="AR162">
            <v>3750000</v>
          </cell>
        </row>
        <row r="163">
          <cell r="B163" t="str">
            <v>پخت عقب پژو 405 شمشی پایه کوتاه</v>
          </cell>
          <cell r="C163" t="str">
            <v>قالب نو</v>
          </cell>
          <cell r="H163">
            <v>30091</v>
          </cell>
          <cell r="AF163">
            <v>2</v>
          </cell>
          <cell r="AR163">
            <v>1500000</v>
          </cell>
        </row>
        <row r="164">
          <cell r="B164" t="str">
            <v>پخت عقب پژو 405 شمشی پایه کوتاه</v>
          </cell>
          <cell r="C164" t="str">
            <v>قالب نو</v>
          </cell>
          <cell r="H164">
            <v>30091</v>
          </cell>
          <cell r="AF164">
            <v>11</v>
          </cell>
          <cell r="AR164">
            <v>16500000</v>
          </cell>
        </row>
        <row r="165">
          <cell r="B165" t="str">
            <v>پخت کلاچ پراید</v>
          </cell>
          <cell r="C165" t="str">
            <v>قالب تعمیری</v>
          </cell>
          <cell r="AF165">
            <v>11</v>
          </cell>
          <cell r="AR165">
            <v>8250000</v>
          </cell>
        </row>
        <row r="166">
          <cell r="B166" t="str">
            <v>قالب ولوو سوپر</v>
          </cell>
          <cell r="C166" t="str">
            <v>قالب تعمیری</v>
          </cell>
          <cell r="H166" t="str">
            <v>MH19562-01P</v>
          </cell>
          <cell r="AF166">
            <v>11</v>
          </cell>
          <cell r="AR166">
            <v>8250000</v>
          </cell>
        </row>
        <row r="167">
          <cell r="B167" t="str">
            <v>لنت ترمز دیسكی جلو دیما(خم)</v>
          </cell>
          <cell r="C167" t="str">
            <v>قالب نو</v>
          </cell>
          <cell r="H167">
            <v>30416</v>
          </cell>
          <cell r="AF167">
            <v>5.5</v>
          </cell>
          <cell r="AR167">
            <v>8250000</v>
          </cell>
        </row>
        <row r="168">
          <cell r="B168" t="str">
            <v>برشی نیوفیس C&amp;C</v>
          </cell>
          <cell r="C168" t="str">
            <v>قالب نو</v>
          </cell>
          <cell r="H168">
            <v>30487</v>
          </cell>
          <cell r="AF168">
            <v>5.5</v>
          </cell>
          <cell r="AR168">
            <v>8250000</v>
          </cell>
        </row>
        <row r="169">
          <cell r="B169" t="str">
            <v>دستگاه پرس پخت</v>
          </cell>
          <cell r="C169" t="str">
            <v>قطعه نو</v>
          </cell>
          <cell r="AF169">
            <v>2</v>
          </cell>
          <cell r="AR169">
            <v>1500000</v>
          </cell>
        </row>
        <row r="170">
          <cell r="B170" t="str">
            <v>دستگاه پرس پخت</v>
          </cell>
          <cell r="C170" t="str">
            <v>قطعه تعمیری</v>
          </cell>
          <cell r="AF170">
            <v>2</v>
          </cell>
          <cell r="AR170">
            <v>1500000</v>
          </cell>
        </row>
        <row r="171">
          <cell r="B171" t="str">
            <v>دستگاه پرس 400 تن</v>
          </cell>
          <cell r="C171" t="str">
            <v>قطعه تعمیری</v>
          </cell>
          <cell r="AF171">
            <v>1</v>
          </cell>
          <cell r="AR171">
            <v>750000</v>
          </cell>
        </row>
        <row r="172">
          <cell r="B172" t="str">
            <v>دستگاه پرس 400 تن</v>
          </cell>
          <cell r="C172" t="str">
            <v>قطعه تعمیری</v>
          </cell>
          <cell r="AF172">
            <v>1</v>
          </cell>
          <cell r="AR172">
            <v>750000</v>
          </cell>
        </row>
        <row r="173">
          <cell r="B173" t="str">
            <v>دستگاه پرس 400 تن</v>
          </cell>
          <cell r="C173" t="str">
            <v>قطعه تعمیری</v>
          </cell>
          <cell r="AF173">
            <v>1</v>
          </cell>
          <cell r="AR173">
            <v>750000</v>
          </cell>
        </row>
        <row r="174">
          <cell r="B174" t="str">
            <v>دستگاه پرس 400 تن</v>
          </cell>
          <cell r="C174" t="str">
            <v>قطعه نو</v>
          </cell>
          <cell r="AF174">
            <v>2</v>
          </cell>
          <cell r="AR174">
            <v>1500000</v>
          </cell>
        </row>
        <row r="175">
          <cell r="B175" t="str">
            <v>قالب مینی بوس آریا</v>
          </cell>
          <cell r="C175" t="str">
            <v>قالب نو</v>
          </cell>
          <cell r="H175">
            <v>30303</v>
          </cell>
          <cell r="AF175">
            <v>2.5</v>
          </cell>
          <cell r="AR175">
            <v>1875000</v>
          </cell>
        </row>
        <row r="176">
          <cell r="B176" t="str">
            <v>قالب مینی بوس آریا</v>
          </cell>
          <cell r="C176" t="str">
            <v>قالب نو</v>
          </cell>
          <cell r="H176">
            <v>30303</v>
          </cell>
          <cell r="AF176">
            <v>1.5</v>
          </cell>
          <cell r="AR176">
            <v>1125000</v>
          </cell>
        </row>
        <row r="177">
          <cell r="B177" t="str">
            <v>شمش پراید</v>
          </cell>
          <cell r="C177" t="str">
            <v>قالب نو</v>
          </cell>
          <cell r="AF177">
            <v>3</v>
          </cell>
          <cell r="AR177">
            <v>2250000</v>
          </cell>
        </row>
        <row r="178">
          <cell r="B178" t="str">
            <v>ویوینگ</v>
          </cell>
          <cell r="C178" t="str">
            <v>قطعه تعمیری</v>
          </cell>
          <cell r="AF178">
            <v>0.5</v>
          </cell>
          <cell r="AR178">
            <v>375000</v>
          </cell>
        </row>
        <row r="179">
          <cell r="B179" t="str">
            <v>ویوینگ</v>
          </cell>
          <cell r="C179" t="str">
            <v>قطعه تعمیری</v>
          </cell>
          <cell r="AF179">
            <v>0.5</v>
          </cell>
          <cell r="AR179">
            <v>375000</v>
          </cell>
        </row>
        <row r="180">
          <cell r="B180" t="str">
            <v>برشی نیوفیس C&amp;C</v>
          </cell>
          <cell r="C180" t="str">
            <v>قالب نو</v>
          </cell>
          <cell r="H180">
            <v>30487</v>
          </cell>
          <cell r="AF180">
            <v>1</v>
          </cell>
          <cell r="AR180">
            <v>750000</v>
          </cell>
        </row>
        <row r="181">
          <cell r="B181" t="str">
            <v>برشی نیوفیس C&amp;C</v>
          </cell>
          <cell r="C181" t="str">
            <v>قالب نو</v>
          </cell>
          <cell r="H181">
            <v>30487</v>
          </cell>
          <cell r="AF181">
            <v>2</v>
          </cell>
          <cell r="AR181">
            <v>1500000</v>
          </cell>
        </row>
        <row r="182">
          <cell r="B182" t="str">
            <v>قالب پخت SAF</v>
          </cell>
          <cell r="C182" t="str">
            <v>قالب تعمیری</v>
          </cell>
          <cell r="H182">
            <v>29087</v>
          </cell>
          <cell r="AF182">
            <v>10</v>
          </cell>
          <cell r="AR182">
            <v>7500000</v>
          </cell>
        </row>
        <row r="183">
          <cell r="B183" t="str">
            <v>سری تراش</v>
          </cell>
          <cell r="C183" t="str">
            <v>قطعه تعمیری</v>
          </cell>
          <cell r="AF183">
            <v>2</v>
          </cell>
          <cell r="AR183">
            <v>1500000</v>
          </cell>
        </row>
        <row r="184">
          <cell r="B184" t="str">
            <v>قالب مینی بوس آریا</v>
          </cell>
          <cell r="C184" t="str">
            <v>قالب نو</v>
          </cell>
          <cell r="H184">
            <v>30303</v>
          </cell>
          <cell r="AF184">
            <v>8</v>
          </cell>
          <cell r="AR184">
            <v>6000000</v>
          </cell>
        </row>
        <row r="185">
          <cell r="B185" t="str">
            <v>دسنگاه چسب زنی</v>
          </cell>
          <cell r="C185" t="str">
            <v>قطعه نو</v>
          </cell>
          <cell r="AF185">
            <v>6</v>
          </cell>
          <cell r="AR185">
            <v>4500000</v>
          </cell>
        </row>
        <row r="186">
          <cell r="B186" t="str">
            <v>لنت ترمز دیسكی جلو دیما(خم)</v>
          </cell>
          <cell r="C186" t="str">
            <v>قالب نو</v>
          </cell>
          <cell r="H186">
            <v>30416</v>
          </cell>
          <cell r="AF186">
            <v>2</v>
          </cell>
          <cell r="AR186">
            <v>1500000</v>
          </cell>
        </row>
        <row r="187">
          <cell r="B187" t="str">
            <v>دسنگاه چسب زنی</v>
          </cell>
          <cell r="C187" t="str">
            <v>قطعه نو</v>
          </cell>
          <cell r="AF187">
            <v>7</v>
          </cell>
          <cell r="AR187">
            <v>5250000</v>
          </cell>
        </row>
        <row r="188">
          <cell r="B188" t="str">
            <v>فیکسچر کفشک پژو 405</v>
          </cell>
          <cell r="C188" t="str">
            <v>قطعه نو</v>
          </cell>
          <cell r="AF188">
            <v>3</v>
          </cell>
          <cell r="AR188">
            <v>2250000</v>
          </cell>
        </row>
        <row r="189">
          <cell r="B189" t="str">
            <v>قالب کوبه نک SAF</v>
          </cell>
          <cell r="C189" t="str">
            <v>قالب تعمیری</v>
          </cell>
          <cell r="H189">
            <v>1</v>
          </cell>
          <cell r="AF189">
            <v>1</v>
          </cell>
          <cell r="AR189">
            <v>750000</v>
          </cell>
        </row>
        <row r="190">
          <cell r="B190" t="str">
            <v>جلو سمند سورن</v>
          </cell>
          <cell r="C190" t="str">
            <v>قالب تعمیری</v>
          </cell>
          <cell r="H190" t="str">
            <v>ML30256-01S</v>
          </cell>
          <cell r="AF190">
            <v>10</v>
          </cell>
          <cell r="AR190">
            <v>7500000</v>
          </cell>
        </row>
        <row r="191">
          <cell r="B191" t="str">
            <v>پخت کلاچ ایسوزو</v>
          </cell>
          <cell r="C191" t="str">
            <v>قالب تعمیری</v>
          </cell>
          <cell r="H191" t="str">
            <v>02S</v>
          </cell>
          <cell r="AF191">
            <v>1</v>
          </cell>
          <cell r="AR191">
            <v>750000</v>
          </cell>
        </row>
        <row r="192">
          <cell r="B192" t="str">
            <v>پخت کلاچ ایسوزو</v>
          </cell>
          <cell r="C192" t="str">
            <v>قالب تعمیری</v>
          </cell>
          <cell r="H192" t="str">
            <v>02S</v>
          </cell>
          <cell r="AF192">
            <v>5.5</v>
          </cell>
          <cell r="AR192">
            <v>4125000</v>
          </cell>
        </row>
        <row r="193">
          <cell r="B193" t="str">
            <v>قالب مینی بوس آریا</v>
          </cell>
          <cell r="C193" t="str">
            <v>قالب نو</v>
          </cell>
          <cell r="H193">
            <v>30303</v>
          </cell>
          <cell r="AF193">
            <v>1.5</v>
          </cell>
          <cell r="AR193">
            <v>1125000</v>
          </cell>
        </row>
        <row r="194">
          <cell r="B194" t="str">
            <v>شمش پراید</v>
          </cell>
          <cell r="C194" t="str">
            <v>قالب نو</v>
          </cell>
          <cell r="AF194">
            <v>1.5</v>
          </cell>
          <cell r="AR194">
            <v>1125000</v>
          </cell>
        </row>
        <row r="195">
          <cell r="B195" t="str">
            <v>ویوینگ</v>
          </cell>
          <cell r="C195" t="str">
            <v>قطعه تعمیری</v>
          </cell>
          <cell r="AF195">
            <v>2</v>
          </cell>
          <cell r="AR195">
            <v>1500000</v>
          </cell>
        </row>
        <row r="196">
          <cell r="B196" t="str">
            <v>ویوینگ</v>
          </cell>
          <cell r="C196" t="str">
            <v>قطعه تعمیری</v>
          </cell>
          <cell r="AF196">
            <v>1</v>
          </cell>
          <cell r="AR196">
            <v>750000</v>
          </cell>
        </row>
        <row r="197">
          <cell r="B197" t="str">
            <v>برشی نیوفیس C&amp;C</v>
          </cell>
          <cell r="C197" t="str">
            <v>قالب نو</v>
          </cell>
          <cell r="H197">
            <v>30487</v>
          </cell>
          <cell r="AF197">
            <v>1</v>
          </cell>
          <cell r="AR197">
            <v>750000</v>
          </cell>
        </row>
        <row r="198">
          <cell r="B198" t="str">
            <v>برشی نیوفیس C&amp;C</v>
          </cell>
          <cell r="C198" t="str">
            <v>قالب نو</v>
          </cell>
          <cell r="H198">
            <v>30487</v>
          </cell>
          <cell r="AF198">
            <v>1</v>
          </cell>
          <cell r="AR198">
            <v>750000</v>
          </cell>
        </row>
        <row r="199">
          <cell r="B199" t="str">
            <v>شمش پراید</v>
          </cell>
          <cell r="C199" t="str">
            <v>قالب نو</v>
          </cell>
          <cell r="AF199">
            <v>3</v>
          </cell>
          <cell r="AR199">
            <v>2250000</v>
          </cell>
        </row>
        <row r="200">
          <cell r="B200" t="str">
            <v xml:space="preserve">قالب پخت کلاچ پیکان </v>
          </cell>
          <cell r="C200" t="str">
            <v>قالب تعمیری</v>
          </cell>
          <cell r="AF200">
            <v>3</v>
          </cell>
          <cell r="AR200">
            <v>2250000</v>
          </cell>
        </row>
        <row r="201">
          <cell r="B201" t="str">
            <v>برشی نیوفیس C&amp;C</v>
          </cell>
          <cell r="C201" t="str">
            <v>قالب نو</v>
          </cell>
          <cell r="H201">
            <v>30487</v>
          </cell>
          <cell r="AF201">
            <v>7.5</v>
          </cell>
          <cell r="AR201">
            <v>11250000</v>
          </cell>
        </row>
        <row r="202">
          <cell r="B202" t="str">
            <v>دستگاه پشم فلز</v>
          </cell>
          <cell r="C202" t="str">
            <v>قطعه تعمیری</v>
          </cell>
          <cell r="AF202">
            <v>6.5</v>
          </cell>
          <cell r="AR202">
            <v>4875000</v>
          </cell>
        </row>
        <row r="203">
          <cell r="B203" t="str">
            <v>لنت ترمز دیسكی جلو دیما(خم)</v>
          </cell>
          <cell r="C203" t="str">
            <v>قالب نو</v>
          </cell>
          <cell r="H203">
            <v>30416</v>
          </cell>
          <cell r="AF203">
            <v>7.5</v>
          </cell>
          <cell r="AR203">
            <v>5625000</v>
          </cell>
        </row>
        <row r="204">
          <cell r="B204" t="str">
            <v>شمش پراید</v>
          </cell>
          <cell r="C204" t="str">
            <v>قالب نو</v>
          </cell>
          <cell r="AF204">
            <v>1</v>
          </cell>
          <cell r="AR204">
            <v>750000</v>
          </cell>
        </row>
        <row r="205">
          <cell r="B205" t="str">
            <v xml:space="preserve">قالب پخت کلاچ پیکان </v>
          </cell>
          <cell r="C205" t="str">
            <v>قالب تعمیری</v>
          </cell>
          <cell r="H205" t="str">
            <v>MC30241-08s</v>
          </cell>
          <cell r="AF205">
            <v>6</v>
          </cell>
          <cell r="AR205">
            <v>4500000</v>
          </cell>
        </row>
        <row r="206">
          <cell r="B206" t="str">
            <v>اصول 5S</v>
          </cell>
          <cell r="C206" t="str">
            <v>نظافت</v>
          </cell>
          <cell r="AF206">
            <v>1</v>
          </cell>
          <cell r="AR206">
            <v>750000</v>
          </cell>
        </row>
        <row r="207">
          <cell r="B207" t="str">
            <v>شمش پراید</v>
          </cell>
          <cell r="C207" t="str">
            <v>قالب نو</v>
          </cell>
          <cell r="AF207">
            <v>3</v>
          </cell>
          <cell r="AR207">
            <v>2250000</v>
          </cell>
        </row>
        <row r="208">
          <cell r="B208" t="str">
            <v xml:space="preserve">قالب پخت کلاچ پیکان </v>
          </cell>
          <cell r="C208" t="str">
            <v>قالب تعمیری</v>
          </cell>
          <cell r="H208" t="str">
            <v>MC30241-08s</v>
          </cell>
          <cell r="AF208">
            <v>2</v>
          </cell>
          <cell r="AR208">
            <v>1500000</v>
          </cell>
        </row>
        <row r="209">
          <cell r="B209" t="str">
            <v>پخت کلاچ ایسوزو</v>
          </cell>
          <cell r="C209" t="str">
            <v>قالب تعمیری</v>
          </cell>
          <cell r="H209" t="str">
            <v>02S</v>
          </cell>
          <cell r="AF209">
            <v>2</v>
          </cell>
          <cell r="AR209">
            <v>1500000</v>
          </cell>
        </row>
        <row r="210">
          <cell r="B210" t="str">
            <v>اصول 5S</v>
          </cell>
          <cell r="C210" t="str">
            <v>نظافت</v>
          </cell>
          <cell r="AF210">
            <v>1</v>
          </cell>
          <cell r="AR210">
            <v>750000</v>
          </cell>
        </row>
        <row r="211">
          <cell r="B211" t="str">
            <v>قالب پخت SAF</v>
          </cell>
          <cell r="C211" t="str">
            <v>قالب تعمیری</v>
          </cell>
          <cell r="H211">
            <v>29087</v>
          </cell>
          <cell r="AF211">
            <v>8</v>
          </cell>
          <cell r="AR211">
            <v>6000000</v>
          </cell>
        </row>
        <row r="212">
          <cell r="B212" t="str">
            <v>قالب مینی بوس آریا</v>
          </cell>
          <cell r="C212" t="str">
            <v>قالب نو</v>
          </cell>
          <cell r="H212">
            <v>30303</v>
          </cell>
          <cell r="AF212">
            <v>8</v>
          </cell>
          <cell r="AR212">
            <v>6000000</v>
          </cell>
        </row>
        <row r="213">
          <cell r="B213" t="str">
            <v>دسنگاه چسب زنی</v>
          </cell>
          <cell r="C213" t="str">
            <v>قطعه نو</v>
          </cell>
          <cell r="AF213">
            <v>8</v>
          </cell>
          <cell r="AR213">
            <v>6000000</v>
          </cell>
        </row>
        <row r="214">
          <cell r="B214" t="str">
            <v>دسنگاه چسب زنی</v>
          </cell>
          <cell r="C214" t="str">
            <v>قطعه نو</v>
          </cell>
          <cell r="AF214">
            <v>8</v>
          </cell>
          <cell r="AR214">
            <v>6000000</v>
          </cell>
        </row>
        <row r="215">
          <cell r="B215" t="str">
            <v>ابزار زنی</v>
          </cell>
          <cell r="C215" t="str">
            <v>قطعه نو</v>
          </cell>
          <cell r="AF215">
            <v>4</v>
          </cell>
          <cell r="AR215">
            <v>3000000</v>
          </cell>
        </row>
        <row r="216">
          <cell r="B216" t="str">
            <v>جک ترمز کلاچ</v>
          </cell>
          <cell r="C216" t="str">
            <v>قطعه تعمیری</v>
          </cell>
          <cell r="AF216">
            <v>1</v>
          </cell>
          <cell r="AR216">
            <v>750000</v>
          </cell>
        </row>
        <row r="217">
          <cell r="B217" t="str">
            <v>دستگاه پرس 400 تن</v>
          </cell>
          <cell r="C217" t="str">
            <v>قطعه نو</v>
          </cell>
          <cell r="AF217">
            <v>1</v>
          </cell>
          <cell r="AR217">
            <v>750000</v>
          </cell>
        </row>
        <row r="218">
          <cell r="B218" t="str">
            <v>اصول 5S</v>
          </cell>
          <cell r="C218" t="str">
            <v>نظافت</v>
          </cell>
          <cell r="AF218">
            <v>1</v>
          </cell>
          <cell r="AR218">
            <v>750000</v>
          </cell>
        </row>
        <row r="219">
          <cell r="B219" t="str">
            <v>شمش پراید</v>
          </cell>
          <cell r="C219" t="str">
            <v>قالب نو</v>
          </cell>
          <cell r="AF219">
            <v>2</v>
          </cell>
          <cell r="AR219">
            <v>1500000</v>
          </cell>
        </row>
        <row r="220">
          <cell r="B220" t="str">
            <v>شمش پراید</v>
          </cell>
          <cell r="C220" t="str">
            <v>قالب نو</v>
          </cell>
          <cell r="AF220">
            <v>1</v>
          </cell>
          <cell r="AR220">
            <v>750000</v>
          </cell>
        </row>
        <row r="221">
          <cell r="B221" t="str">
            <v>قالب ولوو سوپر</v>
          </cell>
          <cell r="C221" t="str">
            <v>قالب تعمیری</v>
          </cell>
          <cell r="H221" t="str">
            <v>MH19562-01P</v>
          </cell>
          <cell r="AF221">
            <v>1</v>
          </cell>
          <cell r="AR221">
            <v>750000</v>
          </cell>
        </row>
        <row r="222">
          <cell r="B222" t="str">
            <v>اصول 5S</v>
          </cell>
          <cell r="C222" t="str">
            <v>نظافت</v>
          </cell>
          <cell r="AF222">
            <v>1</v>
          </cell>
          <cell r="AR222">
            <v>750000</v>
          </cell>
        </row>
        <row r="223">
          <cell r="B223" t="str">
            <v>پخت کلاچ پراید</v>
          </cell>
          <cell r="C223" t="str">
            <v>قالب تعمیری</v>
          </cell>
          <cell r="AF223">
            <v>11</v>
          </cell>
          <cell r="AR223">
            <v>8250000</v>
          </cell>
        </row>
        <row r="224">
          <cell r="B224" t="str">
            <v>پخت کلاچ 309 سوراخدار</v>
          </cell>
          <cell r="C224" t="str">
            <v>قالب تعمیری</v>
          </cell>
          <cell r="H224" t="str">
            <v>01S</v>
          </cell>
          <cell r="AF224">
            <v>5.5</v>
          </cell>
          <cell r="AR224">
            <v>8250000</v>
          </cell>
        </row>
        <row r="225">
          <cell r="B225" t="str">
            <v>پخت عقب پژو 405 شمشی پایه کوتاه</v>
          </cell>
          <cell r="C225" t="str">
            <v>قالب نو</v>
          </cell>
          <cell r="H225">
            <v>30091</v>
          </cell>
          <cell r="AF225">
            <v>7.5</v>
          </cell>
          <cell r="AR225">
            <v>11250000</v>
          </cell>
        </row>
        <row r="226">
          <cell r="B226" t="str">
            <v>برشی نیوفیس C&amp;C</v>
          </cell>
          <cell r="C226" t="str">
            <v>قالب نو</v>
          </cell>
          <cell r="H226">
            <v>30487</v>
          </cell>
          <cell r="AF226">
            <v>7.5</v>
          </cell>
          <cell r="AR226">
            <v>11250000</v>
          </cell>
        </row>
        <row r="227">
          <cell r="B227" t="str">
            <v>لودر دیسکی XGL 50</v>
          </cell>
          <cell r="C227" t="str">
            <v>قالب نو</v>
          </cell>
          <cell r="H227">
            <v>29935</v>
          </cell>
          <cell r="AF227">
            <v>7.5</v>
          </cell>
          <cell r="AR227">
            <v>11250000</v>
          </cell>
        </row>
        <row r="228">
          <cell r="B228" t="str">
            <v xml:space="preserve">قالب پخت کلاچ پیکان </v>
          </cell>
          <cell r="C228" t="str">
            <v>قالب تعمیری</v>
          </cell>
          <cell r="AF228">
            <v>7.5</v>
          </cell>
          <cell r="AR228">
            <v>5625000</v>
          </cell>
        </row>
        <row r="229">
          <cell r="B229" t="str">
            <v xml:space="preserve">قالب پخت کلاچ پیکان </v>
          </cell>
          <cell r="C229" t="str">
            <v>قالب تعمیری</v>
          </cell>
          <cell r="AF229">
            <v>7.5</v>
          </cell>
          <cell r="AR229">
            <v>5625000</v>
          </cell>
        </row>
        <row r="230">
          <cell r="B230" t="str">
            <v>پخت کلاچ ایسوزو</v>
          </cell>
          <cell r="C230" t="str">
            <v>قالب تعمیری</v>
          </cell>
          <cell r="H230" t="str">
            <v>02S</v>
          </cell>
          <cell r="AF230">
            <v>3</v>
          </cell>
          <cell r="AR230">
            <v>2250000</v>
          </cell>
        </row>
        <row r="231">
          <cell r="B231" t="str">
            <v>پخت کلاچ ایسوزو</v>
          </cell>
          <cell r="C231" t="str">
            <v>قالب تعمیری</v>
          </cell>
          <cell r="H231" t="str">
            <v>02S</v>
          </cell>
          <cell r="AF231">
            <v>2</v>
          </cell>
          <cell r="AR231">
            <v>1500000</v>
          </cell>
        </row>
        <row r="232">
          <cell r="B232" t="str">
            <v>پخت کلاچ تیبا چپ</v>
          </cell>
          <cell r="C232" t="str">
            <v>قالب نو</v>
          </cell>
          <cell r="H232">
            <v>30274</v>
          </cell>
          <cell r="AF232">
            <v>8</v>
          </cell>
          <cell r="AR232">
            <v>6000000</v>
          </cell>
        </row>
        <row r="233">
          <cell r="B233" t="str">
            <v>پخت کلاچ تیبا چپ</v>
          </cell>
          <cell r="C233" t="str">
            <v>قالب نو</v>
          </cell>
          <cell r="H233">
            <v>30274</v>
          </cell>
          <cell r="AF233">
            <v>3</v>
          </cell>
          <cell r="AR233">
            <v>2250000</v>
          </cell>
        </row>
        <row r="234">
          <cell r="B234" t="str">
            <v>دستگاه پشم فلز</v>
          </cell>
          <cell r="C234" t="str">
            <v>قطعه تعمیری</v>
          </cell>
          <cell r="AF234">
            <v>3.5</v>
          </cell>
          <cell r="AR234">
            <v>2625000</v>
          </cell>
        </row>
        <row r="235">
          <cell r="B235" t="str">
            <v>دستگاه پشم فلز</v>
          </cell>
          <cell r="C235" t="str">
            <v>قطعه تعمیری</v>
          </cell>
          <cell r="AF235">
            <v>3</v>
          </cell>
          <cell r="AR235">
            <v>2250000</v>
          </cell>
        </row>
        <row r="236">
          <cell r="B236" t="str">
            <v>دستگاه پشم فلز</v>
          </cell>
          <cell r="C236" t="str">
            <v>قطعه تعمیری</v>
          </cell>
          <cell r="AF236">
            <v>2</v>
          </cell>
          <cell r="AR236">
            <v>1500000</v>
          </cell>
        </row>
        <row r="237">
          <cell r="B237" t="str">
            <v>پخت کلاچ پراید</v>
          </cell>
          <cell r="C237" t="str">
            <v>قالب تعمیری</v>
          </cell>
          <cell r="AF237">
            <v>3</v>
          </cell>
          <cell r="AR237">
            <v>2250000</v>
          </cell>
        </row>
        <row r="238">
          <cell r="B238" t="str">
            <v>دستگاه پرس پخت</v>
          </cell>
          <cell r="C238" t="str">
            <v>قطعه تعمیری</v>
          </cell>
          <cell r="AF238">
            <v>2</v>
          </cell>
          <cell r="AR238">
            <v>1500000</v>
          </cell>
        </row>
        <row r="239">
          <cell r="B239" t="str">
            <v>شمش پراید</v>
          </cell>
          <cell r="C239" t="str">
            <v>قالب نو</v>
          </cell>
          <cell r="AF239">
            <v>0.5</v>
          </cell>
          <cell r="AR239">
            <v>375000</v>
          </cell>
        </row>
        <row r="240">
          <cell r="B240" t="str">
            <v xml:space="preserve">قالب پخت کلاچ پیکان </v>
          </cell>
          <cell r="C240" t="str">
            <v>قالب تعمیری</v>
          </cell>
          <cell r="AF240">
            <v>2</v>
          </cell>
          <cell r="AR240">
            <v>1500000</v>
          </cell>
        </row>
        <row r="241">
          <cell r="B241" t="str">
            <v>ابزار زنی</v>
          </cell>
          <cell r="C241" t="str">
            <v>قطعه نو</v>
          </cell>
          <cell r="AF241">
            <v>2</v>
          </cell>
          <cell r="AR241">
            <v>1500000</v>
          </cell>
        </row>
        <row r="242">
          <cell r="B242" t="str">
            <v>آغشته کاری</v>
          </cell>
          <cell r="C242" t="str">
            <v>قطعه تعمیری</v>
          </cell>
          <cell r="AF242">
            <v>2</v>
          </cell>
          <cell r="AR242">
            <v>1500000</v>
          </cell>
        </row>
        <row r="243">
          <cell r="B243" t="str">
            <v>آغشته کاری</v>
          </cell>
          <cell r="C243" t="str">
            <v>قطعه تعمیری</v>
          </cell>
          <cell r="AF243">
            <v>2</v>
          </cell>
          <cell r="AR243">
            <v>1500000</v>
          </cell>
        </row>
        <row r="244">
          <cell r="B244" t="str">
            <v>بسته بندی</v>
          </cell>
          <cell r="C244" t="str">
            <v>قطعه نو</v>
          </cell>
          <cell r="AF244">
            <v>1</v>
          </cell>
          <cell r="AR244">
            <v>750000</v>
          </cell>
        </row>
        <row r="245">
          <cell r="B245" t="str">
            <v>ابزار زنی</v>
          </cell>
          <cell r="C245" t="str">
            <v>قطعه نو</v>
          </cell>
          <cell r="AF245">
            <v>4</v>
          </cell>
          <cell r="AR245">
            <v>3000000</v>
          </cell>
        </row>
        <row r="246">
          <cell r="B246" t="str">
            <v>پخت کلاچ ایویکو سوراخدار</v>
          </cell>
          <cell r="C246" t="str">
            <v>قالب تعمیری</v>
          </cell>
          <cell r="H246" t="str">
            <v>MC30249-01S</v>
          </cell>
          <cell r="AF246">
            <v>1.5</v>
          </cell>
          <cell r="AR246">
            <v>1125000</v>
          </cell>
        </row>
        <row r="247">
          <cell r="B247" t="str">
            <v>پخت کلاچ ایویکو سوراخدار</v>
          </cell>
          <cell r="C247" t="str">
            <v>قالب تعمیری</v>
          </cell>
          <cell r="H247" t="str">
            <v>MC30249-01S</v>
          </cell>
          <cell r="AF247">
            <v>1.5</v>
          </cell>
          <cell r="AR247">
            <v>1125000</v>
          </cell>
        </row>
        <row r="248">
          <cell r="B248" t="str">
            <v xml:space="preserve">قالب پخت کلاچ پیکان </v>
          </cell>
          <cell r="C248" t="str">
            <v>قالب تعمیری</v>
          </cell>
          <cell r="AF248">
            <v>2</v>
          </cell>
          <cell r="AR248">
            <v>1500000</v>
          </cell>
        </row>
        <row r="249">
          <cell r="B249" t="str">
            <v xml:space="preserve">قالب پخت کلاچ پیکان </v>
          </cell>
          <cell r="C249" t="str">
            <v>قالب تعمیری</v>
          </cell>
          <cell r="AF249">
            <v>2.5</v>
          </cell>
          <cell r="AR249">
            <v>1875000</v>
          </cell>
        </row>
        <row r="250">
          <cell r="B250" t="str">
            <v>بسته بندی</v>
          </cell>
          <cell r="C250" t="str">
            <v>قطعه تعمیری</v>
          </cell>
          <cell r="AF250">
            <v>4</v>
          </cell>
          <cell r="AR250">
            <v>3000000</v>
          </cell>
        </row>
        <row r="251">
          <cell r="B251" t="str">
            <v>پخت کلاچ 309 سوراخدار</v>
          </cell>
          <cell r="C251" t="str">
            <v>قالب تعمیری</v>
          </cell>
          <cell r="H251" t="str">
            <v>01S</v>
          </cell>
          <cell r="AF251">
            <v>3</v>
          </cell>
          <cell r="AR251">
            <v>2250000</v>
          </cell>
        </row>
        <row r="252">
          <cell r="B252" t="str">
            <v>دستگاه پرس پخت</v>
          </cell>
          <cell r="C252" t="str">
            <v>قطعه تعمیری</v>
          </cell>
          <cell r="AF252">
            <v>2.5</v>
          </cell>
          <cell r="AR252">
            <v>1875000</v>
          </cell>
        </row>
        <row r="253">
          <cell r="B253" t="str">
            <v xml:space="preserve">قالب پخت کلاچ پیکان </v>
          </cell>
          <cell r="C253" t="str">
            <v>قالب تعمیری</v>
          </cell>
          <cell r="AF253">
            <v>2.5</v>
          </cell>
          <cell r="AR253">
            <v>1875000</v>
          </cell>
        </row>
        <row r="254">
          <cell r="B254" t="str">
            <v>پخت عقب پژو 405 شمشی پایه کوتاه</v>
          </cell>
          <cell r="C254" t="str">
            <v>قالب نو</v>
          </cell>
          <cell r="H254">
            <v>30091</v>
          </cell>
          <cell r="AF254">
            <v>7.5</v>
          </cell>
          <cell r="AR254">
            <v>11250000</v>
          </cell>
        </row>
        <row r="255">
          <cell r="B255" t="str">
            <v xml:space="preserve">قالب پخت کلاچ پیکان </v>
          </cell>
          <cell r="C255" t="str">
            <v>قالب تعمیری</v>
          </cell>
          <cell r="AF255">
            <v>5</v>
          </cell>
          <cell r="AR255">
            <v>3750000</v>
          </cell>
        </row>
        <row r="256">
          <cell r="B256" t="str">
            <v xml:space="preserve">قالب پخت کلاچ پیکان </v>
          </cell>
          <cell r="C256" t="str">
            <v>قالب تعمیری</v>
          </cell>
          <cell r="AF256">
            <v>7.5</v>
          </cell>
          <cell r="AR256">
            <v>5625000</v>
          </cell>
        </row>
        <row r="257">
          <cell r="B257" t="str">
            <v>پخت کلاچ تیبا راست</v>
          </cell>
          <cell r="C257" t="str">
            <v>قالب نو</v>
          </cell>
          <cell r="AF257">
            <v>7.5</v>
          </cell>
          <cell r="AR257">
            <v>5625000</v>
          </cell>
        </row>
        <row r="258">
          <cell r="B258" t="str">
            <v>قالب پخت کلاچ پژو 405</v>
          </cell>
          <cell r="C258" t="str">
            <v>قالب تعمیری</v>
          </cell>
          <cell r="AF258">
            <v>2</v>
          </cell>
          <cell r="AR258">
            <v>1500000</v>
          </cell>
        </row>
        <row r="259">
          <cell r="B259" t="str">
            <v>قالب پخت کلاچ پژو 405</v>
          </cell>
          <cell r="C259" t="str">
            <v>قالب تعمیری</v>
          </cell>
          <cell r="AF259">
            <v>3.5</v>
          </cell>
          <cell r="AR259">
            <v>2625000</v>
          </cell>
        </row>
        <row r="260">
          <cell r="B260" t="str">
            <v>لودر دیسکی XGL 50</v>
          </cell>
          <cell r="C260" t="str">
            <v>قالب نو</v>
          </cell>
          <cell r="H260">
            <v>29935</v>
          </cell>
          <cell r="AF260">
            <v>5.5</v>
          </cell>
          <cell r="AR260">
            <v>8250000</v>
          </cell>
        </row>
        <row r="261">
          <cell r="B261" t="str">
            <v>لودر دیسکی XGL 50</v>
          </cell>
          <cell r="C261" t="str">
            <v>قالب نو</v>
          </cell>
          <cell r="H261">
            <v>29935</v>
          </cell>
          <cell r="AF261">
            <v>4.5</v>
          </cell>
          <cell r="AR261">
            <v>6750000</v>
          </cell>
        </row>
        <row r="262">
          <cell r="B262" t="str">
            <v>قالب پخت کلاچ پژو 405</v>
          </cell>
          <cell r="C262" t="str">
            <v>قالب تعمیری</v>
          </cell>
          <cell r="AF262">
            <v>2</v>
          </cell>
          <cell r="AR262">
            <v>1500000</v>
          </cell>
        </row>
        <row r="263">
          <cell r="B263" t="str">
            <v>قالب پخت کلاچ پژو 405</v>
          </cell>
          <cell r="C263" t="str">
            <v>قالب تعمیری</v>
          </cell>
          <cell r="AF263">
            <v>2</v>
          </cell>
          <cell r="AR263">
            <v>1500000</v>
          </cell>
        </row>
        <row r="264">
          <cell r="B264" t="str">
            <v>پخت کلاچ پراید</v>
          </cell>
          <cell r="C264" t="str">
            <v>قالب تعمیری</v>
          </cell>
          <cell r="AF264">
            <v>1</v>
          </cell>
          <cell r="AR264">
            <v>750000</v>
          </cell>
        </row>
        <row r="265">
          <cell r="B265" t="str">
            <v>ابزار زنی</v>
          </cell>
          <cell r="C265" t="str">
            <v>قطعه نو</v>
          </cell>
          <cell r="AF265">
            <v>1</v>
          </cell>
          <cell r="AR265">
            <v>750000</v>
          </cell>
        </row>
        <row r="266">
          <cell r="B266" t="str">
            <v>دستگاه پشم فلز</v>
          </cell>
          <cell r="C266" t="str">
            <v>قطعه تعمیری</v>
          </cell>
          <cell r="AF266">
            <v>4</v>
          </cell>
          <cell r="AR266">
            <v>3000000</v>
          </cell>
        </row>
        <row r="267">
          <cell r="B267" t="str">
            <v>قالب پخت کلاچ پژو 405</v>
          </cell>
          <cell r="C267" t="str">
            <v>قالب تعمیری</v>
          </cell>
          <cell r="AF267">
            <v>2</v>
          </cell>
          <cell r="AR267">
            <v>1500000</v>
          </cell>
        </row>
        <row r="268">
          <cell r="B268" t="str">
            <v>قالب پخت کلاچ پژو 405</v>
          </cell>
          <cell r="C268" t="str">
            <v>قالب تعمیری</v>
          </cell>
          <cell r="AF268">
            <v>1</v>
          </cell>
          <cell r="AR268">
            <v>750000</v>
          </cell>
        </row>
        <row r="269">
          <cell r="B269" t="str">
            <v>پخت کلاچ پراید</v>
          </cell>
          <cell r="C269" t="str">
            <v>قالب تعمیری</v>
          </cell>
          <cell r="AF269">
            <v>7.5</v>
          </cell>
          <cell r="AR269">
            <v>5625000</v>
          </cell>
        </row>
        <row r="270">
          <cell r="B270" t="str">
            <v>لودر دیسکی XGL 50</v>
          </cell>
          <cell r="C270" t="str">
            <v>قالب نو</v>
          </cell>
          <cell r="H270">
            <v>29935</v>
          </cell>
          <cell r="AF270">
            <v>4.5</v>
          </cell>
          <cell r="AR270">
            <v>6750000</v>
          </cell>
        </row>
        <row r="271">
          <cell r="B271" t="str">
            <v>قالب شمشی عقب پیکان</v>
          </cell>
          <cell r="C271" t="str">
            <v>قالب نو</v>
          </cell>
          <cell r="AF271">
            <v>7</v>
          </cell>
          <cell r="AR271">
            <v>10500000</v>
          </cell>
        </row>
        <row r="272">
          <cell r="B272" t="str">
            <v>پخت عقب پژو 405 شمشی پایه کوتاه</v>
          </cell>
          <cell r="C272" t="str">
            <v>قالب نو</v>
          </cell>
          <cell r="H272">
            <v>30091</v>
          </cell>
          <cell r="AF272">
            <v>7.5</v>
          </cell>
          <cell r="AR272">
            <v>11250000</v>
          </cell>
        </row>
        <row r="273">
          <cell r="B273" t="str">
            <v>دستگاه پشم فلز</v>
          </cell>
          <cell r="C273" t="str">
            <v>قطعه تعمیری</v>
          </cell>
          <cell r="AF273">
            <v>2.5</v>
          </cell>
          <cell r="AR273">
            <v>1875000</v>
          </cell>
        </row>
        <row r="274">
          <cell r="B274" t="str">
            <v>قالب پخت کلاچ پژو 405</v>
          </cell>
          <cell r="C274" t="str">
            <v>قالب تعمیری</v>
          </cell>
          <cell r="AF274">
            <v>3</v>
          </cell>
          <cell r="AR274">
            <v>2250000</v>
          </cell>
        </row>
        <row r="275">
          <cell r="B275" t="str">
            <v>ترابوزا</v>
          </cell>
          <cell r="C275" t="str">
            <v>قالب تعمیری</v>
          </cell>
          <cell r="H275">
            <v>5</v>
          </cell>
          <cell r="AF275">
            <v>2</v>
          </cell>
          <cell r="AR275">
            <v>1500000</v>
          </cell>
        </row>
        <row r="276">
          <cell r="B276" t="str">
            <v>پخت کلاچ لندکروز</v>
          </cell>
          <cell r="C276" t="str">
            <v>قالب تعمیری</v>
          </cell>
          <cell r="H276" t="str">
            <v>Mc30276-01S</v>
          </cell>
          <cell r="AF276">
            <v>2</v>
          </cell>
          <cell r="AR276">
            <v>1500000</v>
          </cell>
        </row>
        <row r="277">
          <cell r="B277" t="str">
            <v>فوتون 107</v>
          </cell>
          <cell r="C277" t="str">
            <v>قالب تعمیری</v>
          </cell>
          <cell r="H277" t="str">
            <v>MS29983-01S</v>
          </cell>
          <cell r="AF277">
            <v>2</v>
          </cell>
          <cell r="AR277">
            <v>1500000</v>
          </cell>
        </row>
        <row r="278">
          <cell r="B278" t="str">
            <v>قالب پخت کلاچ پژو 405</v>
          </cell>
          <cell r="C278" t="str">
            <v>قالب تعمیری</v>
          </cell>
          <cell r="AF278">
            <v>4.666666666666667</v>
          </cell>
          <cell r="AR278">
            <v>3500000</v>
          </cell>
        </row>
        <row r="279">
          <cell r="B279" t="str">
            <v>قالب پخت کلاچ پژو 405</v>
          </cell>
          <cell r="C279" t="str">
            <v>قالب تعمیری</v>
          </cell>
          <cell r="AF279">
            <v>7.5</v>
          </cell>
          <cell r="AR279">
            <v>5625000</v>
          </cell>
        </row>
        <row r="280">
          <cell r="B280" t="str">
            <v>پخت عقب پژو 405 شمشی پایه کوتاه</v>
          </cell>
          <cell r="C280" t="str">
            <v>قالب نو</v>
          </cell>
          <cell r="H280">
            <v>30091</v>
          </cell>
          <cell r="AF280">
            <v>7.5</v>
          </cell>
          <cell r="AR280">
            <v>11250000</v>
          </cell>
        </row>
        <row r="281">
          <cell r="B281" t="str">
            <v>قالب پخت کلاچ پژو 405</v>
          </cell>
          <cell r="C281" t="str">
            <v>قالب تعمیری</v>
          </cell>
          <cell r="AF281">
            <v>4.5</v>
          </cell>
          <cell r="AR281">
            <v>3375000</v>
          </cell>
        </row>
        <row r="282">
          <cell r="B282" t="str">
            <v>برشی نیوفیس C&amp;C</v>
          </cell>
          <cell r="C282" t="str">
            <v>قالب نو</v>
          </cell>
          <cell r="H282">
            <v>30487</v>
          </cell>
          <cell r="AF282">
            <v>7.5</v>
          </cell>
          <cell r="AR282">
            <v>5625000</v>
          </cell>
        </row>
        <row r="283">
          <cell r="B283" t="str">
            <v>پخت کلاچ تیبا راست</v>
          </cell>
          <cell r="C283" t="str">
            <v>قالب نو</v>
          </cell>
          <cell r="AF283">
            <v>5</v>
          </cell>
          <cell r="AR283">
            <v>3750000</v>
          </cell>
        </row>
        <row r="284">
          <cell r="B284" t="str">
            <v>قالب پخت کلاچ پژو 405</v>
          </cell>
          <cell r="C284" t="str">
            <v>قالب تعمیری</v>
          </cell>
          <cell r="AF284">
            <v>2</v>
          </cell>
          <cell r="AR284">
            <v>1500000</v>
          </cell>
        </row>
        <row r="285">
          <cell r="B285" t="str">
            <v>پخت کلاچ تیبا راست</v>
          </cell>
          <cell r="C285" t="str">
            <v>قالب نو</v>
          </cell>
          <cell r="AF285">
            <v>11</v>
          </cell>
          <cell r="AR285">
            <v>8250000</v>
          </cell>
        </row>
        <row r="286">
          <cell r="B286" t="str">
            <v>برشی نیوفیس C&amp;C</v>
          </cell>
          <cell r="C286" t="str">
            <v>قالب نو</v>
          </cell>
          <cell r="H286">
            <v>30487</v>
          </cell>
          <cell r="AF286">
            <v>2</v>
          </cell>
          <cell r="AR286">
            <v>1500000</v>
          </cell>
        </row>
        <row r="287">
          <cell r="B287" t="str">
            <v>جک ترمز کلاچ</v>
          </cell>
          <cell r="C287" t="str">
            <v>قطعه تعمیری</v>
          </cell>
          <cell r="AF287">
            <v>1</v>
          </cell>
          <cell r="AR287">
            <v>750000</v>
          </cell>
        </row>
        <row r="288">
          <cell r="B288" t="str">
            <v>پخت کلاچ تیبا راست</v>
          </cell>
          <cell r="C288" t="str">
            <v>قالب نو</v>
          </cell>
          <cell r="AF288">
            <v>6.5</v>
          </cell>
          <cell r="AR288">
            <v>4875000</v>
          </cell>
        </row>
        <row r="289">
          <cell r="B289" t="str">
            <v>پخت کلاچ تیبا راست</v>
          </cell>
          <cell r="C289" t="str">
            <v>قالب نو</v>
          </cell>
          <cell r="AF289">
            <v>6.5</v>
          </cell>
          <cell r="AR289">
            <v>4875000</v>
          </cell>
        </row>
        <row r="290">
          <cell r="B290" t="str">
            <v>ترابوزا</v>
          </cell>
          <cell r="C290" t="str">
            <v>قالب تعمیری</v>
          </cell>
          <cell r="H290">
            <v>5</v>
          </cell>
          <cell r="AF290">
            <v>5</v>
          </cell>
          <cell r="AR290">
            <v>3750000</v>
          </cell>
        </row>
        <row r="291">
          <cell r="B291" t="str">
            <v>فوتون 107</v>
          </cell>
          <cell r="C291" t="str">
            <v>قالب تعمیری</v>
          </cell>
          <cell r="H291" t="str">
            <v>MS29983-01S</v>
          </cell>
          <cell r="AF291">
            <v>6.5</v>
          </cell>
          <cell r="AR291">
            <v>4875000</v>
          </cell>
        </row>
        <row r="292">
          <cell r="B292" t="str">
            <v>اصول 5S</v>
          </cell>
          <cell r="C292" t="str">
            <v>نظافت</v>
          </cell>
          <cell r="AF292">
            <v>1</v>
          </cell>
          <cell r="AR292">
            <v>750000</v>
          </cell>
        </row>
        <row r="293">
          <cell r="B293" t="str">
            <v>لودر دیسکی XGL 50</v>
          </cell>
          <cell r="C293" t="str">
            <v>قالب نو</v>
          </cell>
          <cell r="H293">
            <v>29935</v>
          </cell>
          <cell r="AF293">
            <v>7.5</v>
          </cell>
          <cell r="AR293">
            <v>11250000</v>
          </cell>
        </row>
        <row r="294">
          <cell r="B294" t="str">
            <v>قالب شمشی عقب پیکان</v>
          </cell>
          <cell r="C294" t="str">
            <v>قالب نو</v>
          </cell>
          <cell r="AF294">
            <v>7.5</v>
          </cell>
          <cell r="AR294">
            <v>11250000</v>
          </cell>
        </row>
        <row r="295">
          <cell r="B295" t="str">
            <v>برشی نیوفیس C&amp;C</v>
          </cell>
          <cell r="C295" t="str">
            <v>قالب نو</v>
          </cell>
          <cell r="H295">
            <v>30487</v>
          </cell>
          <cell r="AF295">
            <v>4.5</v>
          </cell>
          <cell r="AR295">
            <v>3375000</v>
          </cell>
        </row>
        <row r="296">
          <cell r="B296" t="str">
            <v>برشی نیوفیس C&amp;C</v>
          </cell>
          <cell r="C296" t="str">
            <v>قالب نو</v>
          </cell>
          <cell r="H296">
            <v>30487</v>
          </cell>
          <cell r="AF296">
            <v>11</v>
          </cell>
          <cell r="AR296">
            <v>8250000</v>
          </cell>
        </row>
        <row r="297">
          <cell r="B297" t="str">
            <v>قالب شمشی عقب پیکان</v>
          </cell>
          <cell r="C297" t="str">
            <v>قالب نو</v>
          </cell>
          <cell r="AF297">
            <v>7.5</v>
          </cell>
          <cell r="AR297">
            <v>11250000</v>
          </cell>
        </row>
        <row r="298">
          <cell r="B298" t="str">
            <v>لودر دیسکی XGL 50</v>
          </cell>
          <cell r="C298" t="str">
            <v>قالب نو</v>
          </cell>
          <cell r="H298">
            <v>29935</v>
          </cell>
          <cell r="AF298">
            <v>7.5</v>
          </cell>
          <cell r="AR298">
            <v>11250000</v>
          </cell>
        </row>
        <row r="299">
          <cell r="B299" t="str">
            <v>برشی نیوفیس C&amp;C</v>
          </cell>
          <cell r="C299" t="str">
            <v>قالب نو</v>
          </cell>
          <cell r="H299">
            <v>30487</v>
          </cell>
          <cell r="AF299">
            <v>4.5</v>
          </cell>
          <cell r="AR299">
            <v>6750000</v>
          </cell>
        </row>
        <row r="300">
          <cell r="B300" t="str">
            <v>لودر دیسکی XGL 50</v>
          </cell>
          <cell r="C300" t="str">
            <v>قالب نو</v>
          </cell>
          <cell r="H300">
            <v>29935</v>
          </cell>
          <cell r="AF300">
            <v>11</v>
          </cell>
          <cell r="AR300">
            <v>16500000</v>
          </cell>
        </row>
        <row r="301">
          <cell r="B301" t="str">
            <v>قالب پخت SAF</v>
          </cell>
          <cell r="C301" t="str">
            <v>قالب تعمیری</v>
          </cell>
          <cell r="H301">
            <v>29087</v>
          </cell>
          <cell r="AF301">
            <v>12</v>
          </cell>
          <cell r="AR301">
            <v>9000000</v>
          </cell>
        </row>
        <row r="302">
          <cell r="B302" t="str">
            <v>دسنگاه چسب زنی</v>
          </cell>
          <cell r="C302" t="str">
            <v>قطعه نو</v>
          </cell>
          <cell r="AF302">
            <v>4</v>
          </cell>
          <cell r="AR302">
            <v>3000000</v>
          </cell>
        </row>
        <row r="303">
          <cell r="B303" t="str">
            <v>دسنگاه چسب زنی</v>
          </cell>
          <cell r="C303" t="str">
            <v>قطعه نو</v>
          </cell>
          <cell r="AF303">
            <v>3</v>
          </cell>
          <cell r="AR303">
            <v>2250000</v>
          </cell>
        </row>
        <row r="304">
          <cell r="B304" t="str">
            <v>دسنگاه چسب زنی</v>
          </cell>
          <cell r="C304" t="str">
            <v>قطعه نو</v>
          </cell>
          <cell r="AF304">
            <v>9</v>
          </cell>
          <cell r="AR304">
            <v>6750000</v>
          </cell>
        </row>
        <row r="305">
          <cell r="B305" t="str">
            <v>لودر دیسکی XGL 50</v>
          </cell>
          <cell r="C305" t="str">
            <v>قالب نو</v>
          </cell>
          <cell r="H305">
            <v>29935</v>
          </cell>
          <cell r="AF305">
            <v>8</v>
          </cell>
          <cell r="AR305">
            <v>6000000</v>
          </cell>
        </row>
        <row r="306">
          <cell r="B306" t="str">
            <v>قطعه بیرونی</v>
          </cell>
          <cell r="C306" t="str">
            <v>قطعه تعمیری</v>
          </cell>
          <cell r="AF306">
            <v>0.5</v>
          </cell>
          <cell r="AR306">
            <v>375000</v>
          </cell>
        </row>
        <row r="307">
          <cell r="B307" t="str">
            <v>فوتون 107</v>
          </cell>
          <cell r="C307" t="str">
            <v>قالب تعمیری</v>
          </cell>
          <cell r="H307" t="str">
            <v>MS29983-01S</v>
          </cell>
          <cell r="AF307">
            <v>2</v>
          </cell>
          <cell r="AR307">
            <v>1500000</v>
          </cell>
        </row>
        <row r="308">
          <cell r="B308" t="str">
            <v>پایه پرچ عقب نیسان</v>
          </cell>
          <cell r="C308" t="str">
            <v>قطعه نو</v>
          </cell>
          <cell r="AF308">
            <v>6.5</v>
          </cell>
          <cell r="AR308">
            <v>4875000</v>
          </cell>
        </row>
        <row r="309">
          <cell r="B309" t="str">
            <v>اصول 5S</v>
          </cell>
          <cell r="C309" t="str">
            <v>نظافت</v>
          </cell>
          <cell r="AF309">
            <v>1</v>
          </cell>
          <cell r="AR309">
            <v>750000</v>
          </cell>
        </row>
        <row r="310">
          <cell r="B310" t="str">
            <v>پایه پرچ عقب نیسان</v>
          </cell>
          <cell r="C310" t="str">
            <v>قطعه نو</v>
          </cell>
          <cell r="AF310">
            <v>4</v>
          </cell>
          <cell r="AR310">
            <v>3000000</v>
          </cell>
        </row>
        <row r="311">
          <cell r="B311" t="str">
            <v>برشی نیوفیس C&amp;C</v>
          </cell>
          <cell r="C311" t="str">
            <v>قالب نو</v>
          </cell>
          <cell r="H311">
            <v>30487</v>
          </cell>
          <cell r="AF311">
            <v>3</v>
          </cell>
          <cell r="AR311">
            <v>2250000</v>
          </cell>
        </row>
        <row r="312">
          <cell r="B312" t="str">
            <v>دستگاه ساب سمباده ای</v>
          </cell>
          <cell r="C312" t="str">
            <v>قطعه تعمیری</v>
          </cell>
          <cell r="AF312">
            <v>3</v>
          </cell>
          <cell r="AR312">
            <v>2250000</v>
          </cell>
        </row>
        <row r="313">
          <cell r="B313" t="str">
            <v>ساب ترابوزا</v>
          </cell>
          <cell r="C313" t="str">
            <v>قطعه نو</v>
          </cell>
          <cell r="AF313">
            <v>9</v>
          </cell>
          <cell r="AR313">
            <v>6750000</v>
          </cell>
        </row>
        <row r="314">
          <cell r="B314" t="str">
            <v>قالب عقب F12</v>
          </cell>
          <cell r="C314" t="str">
            <v>قالب نو</v>
          </cell>
          <cell r="AF314">
            <v>11</v>
          </cell>
          <cell r="AR314">
            <v>16500000</v>
          </cell>
        </row>
        <row r="315">
          <cell r="B315" t="str">
            <v>پخت عقب پژو 405 شمشی پایه کوتاه</v>
          </cell>
          <cell r="C315" t="str">
            <v>قالب نو</v>
          </cell>
          <cell r="H315">
            <v>30091</v>
          </cell>
          <cell r="AF315">
            <v>11</v>
          </cell>
          <cell r="AR315">
            <v>16500000</v>
          </cell>
        </row>
        <row r="316">
          <cell r="B316" t="str">
            <v>قالب شمشی عقب پیکان</v>
          </cell>
          <cell r="C316" t="str">
            <v>قالب نو</v>
          </cell>
          <cell r="AF316">
            <v>6.5</v>
          </cell>
          <cell r="AR316">
            <v>4875000</v>
          </cell>
        </row>
        <row r="317">
          <cell r="B317" t="str">
            <v>پخت کلاچ تیبا چپ</v>
          </cell>
          <cell r="C317" t="str">
            <v>قالب نو</v>
          </cell>
          <cell r="H317">
            <v>30274</v>
          </cell>
          <cell r="AF317">
            <v>11</v>
          </cell>
          <cell r="AR317">
            <v>8250000</v>
          </cell>
        </row>
        <row r="318">
          <cell r="B318" t="str">
            <v>پخت عقب پژو 405 شمشی پایه کوتاه</v>
          </cell>
          <cell r="C318" t="str">
            <v>قالب نو</v>
          </cell>
          <cell r="H318">
            <v>30091</v>
          </cell>
          <cell r="AF318">
            <v>11</v>
          </cell>
          <cell r="AR318">
            <v>16500000</v>
          </cell>
        </row>
        <row r="319">
          <cell r="B319" t="str">
            <v>برشی نیوفیس C&amp;C</v>
          </cell>
          <cell r="C319" t="str">
            <v>قالب نو</v>
          </cell>
          <cell r="H319">
            <v>30487</v>
          </cell>
          <cell r="AF319">
            <v>7.5</v>
          </cell>
          <cell r="AR319">
            <v>11250000</v>
          </cell>
        </row>
        <row r="320">
          <cell r="B320" t="str">
            <v>قالب پخت SAF</v>
          </cell>
          <cell r="C320" t="str">
            <v>قالب تعمیری</v>
          </cell>
          <cell r="H320">
            <v>29087</v>
          </cell>
          <cell r="AF320">
            <v>12</v>
          </cell>
          <cell r="AR320">
            <v>9000000</v>
          </cell>
        </row>
        <row r="321">
          <cell r="B321" t="str">
            <v>دسنگاه چسب زنی</v>
          </cell>
          <cell r="C321" t="str">
            <v>قطعه نو</v>
          </cell>
          <cell r="AF321">
            <v>11</v>
          </cell>
          <cell r="AR321">
            <v>8250000</v>
          </cell>
        </row>
        <row r="322">
          <cell r="B322" t="str">
            <v>ترابوزا</v>
          </cell>
          <cell r="C322" t="str">
            <v>قالب تعمیری</v>
          </cell>
          <cell r="H322">
            <v>5</v>
          </cell>
          <cell r="AF322">
            <v>12</v>
          </cell>
          <cell r="AR322">
            <v>9000000</v>
          </cell>
        </row>
        <row r="323">
          <cell r="B323" t="str">
            <v>قطعه بیرونی</v>
          </cell>
          <cell r="C323" t="str">
            <v>قطعه تعمیری</v>
          </cell>
          <cell r="AF323">
            <v>2</v>
          </cell>
          <cell r="AR323">
            <v>1500000</v>
          </cell>
        </row>
        <row r="324">
          <cell r="B324" t="str">
            <v>ویوینگ</v>
          </cell>
          <cell r="C324" t="str">
            <v>قطعه تعمیری</v>
          </cell>
          <cell r="AF324">
            <v>1</v>
          </cell>
          <cell r="AR324">
            <v>750000</v>
          </cell>
        </row>
        <row r="325">
          <cell r="B325" t="str">
            <v>ساب ترابوزا</v>
          </cell>
          <cell r="C325" t="str">
            <v>قطعه نو</v>
          </cell>
          <cell r="AF325">
            <v>3</v>
          </cell>
          <cell r="AR325">
            <v>2250000</v>
          </cell>
        </row>
        <row r="326">
          <cell r="B326" t="str">
            <v>ابزار زنی</v>
          </cell>
          <cell r="C326" t="str">
            <v>قطعه تعمیری</v>
          </cell>
          <cell r="AF326">
            <v>2</v>
          </cell>
          <cell r="AR326">
            <v>1500000</v>
          </cell>
        </row>
        <row r="327">
          <cell r="B327" t="str">
            <v>میکس</v>
          </cell>
          <cell r="C327" t="str">
            <v>قطعه نو</v>
          </cell>
          <cell r="AF327">
            <v>3</v>
          </cell>
          <cell r="AR327">
            <v>2250000</v>
          </cell>
        </row>
        <row r="328">
          <cell r="B328" t="str">
            <v>آغشته کاری</v>
          </cell>
          <cell r="C328" t="str">
            <v>قطعه نو</v>
          </cell>
          <cell r="AF328">
            <v>2</v>
          </cell>
          <cell r="AR328">
            <v>1500000</v>
          </cell>
        </row>
        <row r="329">
          <cell r="B329" t="str">
            <v>سری تراش</v>
          </cell>
          <cell r="C329" t="str">
            <v>قطعه نو</v>
          </cell>
          <cell r="AF329">
            <v>11</v>
          </cell>
          <cell r="AR329">
            <v>8250000</v>
          </cell>
        </row>
        <row r="330">
          <cell r="B330" t="str">
            <v>سری تراش</v>
          </cell>
          <cell r="C330" t="str">
            <v>قطعه نو</v>
          </cell>
          <cell r="AF330">
            <v>3.3333333333333335</v>
          </cell>
          <cell r="AR330">
            <v>2500000</v>
          </cell>
        </row>
        <row r="331">
          <cell r="B331" t="str">
            <v>پایه پرچ عقب نیسان</v>
          </cell>
          <cell r="C331" t="str">
            <v>قطعه تعمیری</v>
          </cell>
          <cell r="AF331">
            <v>5</v>
          </cell>
          <cell r="AR331">
            <v>3750000</v>
          </cell>
        </row>
        <row r="332">
          <cell r="B332" t="str">
            <v>ساب کف گرگی</v>
          </cell>
          <cell r="C332" t="str">
            <v>قطعه تعمیری</v>
          </cell>
          <cell r="AF332">
            <v>2.6666666666666665</v>
          </cell>
          <cell r="AR332">
            <v>2000000</v>
          </cell>
        </row>
        <row r="333">
          <cell r="B333" t="str">
            <v>سری تراش</v>
          </cell>
          <cell r="C333" t="str">
            <v>قطعه نو</v>
          </cell>
          <cell r="AF333">
            <v>1</v>
          </cell>
          <cell r="AR333">
            <v>750000</v>
          </cell>
        </row>
        <row r="334">
          <cell r="B334" t="str">
            <v>پخت عقب پژو 405 شمشی پایه کوتاه</v>
          </cell>
          <cell r="C334" t="str">
            <v>قالب نو</v>
          </cell>
          <cell r="H334">
            <v>30091</v>
          </cell>
          <cell r="AF334">
            <v>1</v>
          </cell>
          <cell r="AR334">
            <v>750000</v>
          </cell>
        </row>
        <row r="335">
          <cell r="B335" t="str">
            <v xml:space="preserve">پخت کلاچ پراید سکو </v>
          </cell>
          <cell r="C335" t="str">
            <v>قالب تعمیری</v>
          </cell>
          <cell r="H335" t="str">
            <v xml:space="preserve">MC30357-01S </v>
          </cell>
          <cell r="AF335">
            <v>2</v>
          </cell>
          <cell r="AR335">
            <v>1500000</v>
          </cell>
        </row>
        <row r="336">
          <cell r="B336" t="str">
            <v>فوتون 107</v>
          </cell>
          <cell r="C336" t="str">
            <v>قالب تعمیری</v>
          </cell>
          <cell r="H336" t="str">
            <v>MS29983-01S</v>
          </cell>
          <cell r="AF336">
            <v>2</v>
          </cell>
          <cell r="AR336">
            <v>1500000</v>
          </cell>
        </row>
        <row r="337">
          <cell r="B337" t="str">
            <v>فوتون 107</v>
          </cell>
          <cell r="C337" t="str">
            <v>قالب تعمیری</v>
          </cell>
          <cell r="H337" t="str">
            <v>MS29983-01S</v>
          </cell>
          <cell r="AF337">
            <v>2</v>
          </cell>
          <cell r="AR337">
            <v>1500000</v>
          </cell>
        </row>
        <row r="338">
          <cell r="B338" t="str">
            <v xml:space="preserve">پخت کلاچ پراید سکو </v>
          </cell>
          <cell r="C338" t="str">
            <v>قالب تعمیری</v>
          </cell>
          <cell r="H338" t="str">
            <v xml:space="preserve">MC30357-01S </v>
          </cell>
          <cell r="AF338">
            <v>3</v>
          </cell>
          <cell r="AR338">
            <v>2250000</v>
          </cell>
        </row>
        <row r="339">
          <cell r="B339" t="str">
            <v>پخت کلاچ تیبا چپ</v>
          </cell>
          <cell r="C339" t="str">
            <v>قالب نو</v>
          </cell>
          <cell r="H339">
            <v>30274</v>
          </cell>
          <cell r="AF339">
            <v>11</v>
          </cell>
          <cell r="AR339">
            <v>8250000</v>
          </cell>
        </row>
        <row r="340">
          <cell r="B340" t="str">
            <v>پخت کلاچ لندکروز</v>
          </cell>
          <cell r="C340" t="str">
            <v>قالب تعمیری</v>
          </cell>
          <cell r="H340" t="str">
            <v>Mc30276-01S</v>
          </cell>
          <cell r="AF340">
            <v>7.5</v>
          </cell>
          <cell r="AR340">
            <v>5625000</v>
          </cell>
        </row>
        <row r="341">
          <cell r="B341" t="str">
            <v>پخت کلاچ لندکروز</v>
          </cell>
          <cell r="C341" t="str">
            <v>قالب تعمیری</v>
          </cell>
          <cell r="H341" t="str">
            <v>Mc30276-01S</v>
          </cell>
          <cell r="AF341">
            <v>3.5</v>
          </cell>
          <cell r="AR341">
            <v>2625000</v>
          </cell>
        </row>
        <row r="342">
          <cell r="B342" t="str">
            <v>دستگاه ساب سمباده ای</v>
          </cell>
          <cell r="C342" t="str">
            <v>قطعه تعمیری</v>
          </cell>
          <cell r="AF342">
            <v>5.5</v>
          </cell>
          <cell r="AR342">
            <v>4125000</v>
          </cell>
        </row>
        <row r="343">
          <cell r="B343" t="str">
            <v>قالب پخت SAF</v>
          </cell>
          <cell r="C343" t="str">
            <v>قالب نو</v>
          </cell>
          <cell r="H343">
            <v>29087</v>
          </cell>
          <cell r="AF343">
            <v>5.5</v>
          </cell>
          <cell r="AR343">
            <v>4125000</v>
          </cell>
        </row>
        <row r="344">
          <cell r="B344" t="str">
            <v>پخت کلاچ تیبا چپ</v>
          </cell>
          <cell r="C344" t="str">
            <v>قالب نو</v>
          </cell>
          <cell r="H344">
            <v>30274</v>
          </cell>
          <cell r="AF344">
            <v>11</v>
          </cell>
          <cell r="AR344">
            <v>8250000</v>
          </cell>
        </row>
        <row r="345">
          <cell r="B345" t="str">
            <v>لودر دیسکی XGL 50</v>
          </cell>
          <cell r="C345" t="str">
            <v>قالب نو</v>
          </cell>
          <cell r="H345">
            <v>29935</v>
          </cell>
          <cell r="AF345">
            <v>9</v>
          </cell>
          <cell r="AR345">
            <v>13500000</v>
          </cell>
        </row>
        <row r="346">
          <cell r="B346" t="str">
            <v>اصول 5S</v>
          </cell>
          <cell r="C346" t="str">
            <v>نظافت</v>
          </cell>
          <cell r="AF346">
            <v>2</v>
          </cell>
          <cell r="AR346">
            <v>3000000</v>
          </cell>
        </row>
        <row r="347">
          <cell r="B347" t="str">
            <v>پخت عقب پژو 405 شمشی پایه کوتاه</v>
          </cell>
          <cell r="C347" t="str">
            <v>قالب نو</v>
          </cell>
          <cell r="H347">
            <v>30091</v>
          </cell>
          <cell r="AF347">
            <v>11</v>
          </cell>
          <cell r="AR347">
            <v>16500000</v>
          </cell>
        </row>
        <row r="348">
          <cell r="B348" t="str">
            <v>قالب عقب F12</v>
          </cell>
          <cell r="C348" t="str">
            <v>قالب نو</v>
          </cell>
          <cell r="AF348">
            <v>11</v>
          </cell>
          <cell r="AR348">
            <v>16500000</v>
          </cell>
        </row>
        <row r="349">
          <cell r="B349" t="str">
            <v>قالب شمشی عقب پیکان</v>
          </cell>
          <cell r="C349" t="str">
            <v>قالب نو</v>
          </cell>
          <cell r="AF349">
            <v>6.5</v>
          </cell>
          <cell r="AR349">
            <v>4875000</v>
          </cell>
        </row>
        <row r="350">
          <cell r="B350" t="str">
            <v>پخت عقب پژو 405 شمشی پایه کوتاه</v>
          </cell>
          <cell r="C350" t="str">
            <v>قالب نو</v>
          </cell>
          <cell r="H350">
            <v>30091</v>
          </cell>
          <cell r="AF350">
            <v>4</v>
          </cell>
          <cell r="AR350">
            <v>3000000</v>
          </cell>
        </row>
        <row r="351">
          <cell r="B351" t="str">
            <v>سری تراش</v>
          </cell>
          <cell r="C351" t="str">
            <v>قطعه نو</v>
          </cell>
          <cell r="AF351">
            <v>7</v>
          </cell>
          <cell r="AR351">
            <v>5250000</v>
          </cell>
        </row>
        <row r="352">
          <cell r="B352" t="str">
            <v>لنت ترمز دیسكی جلو دیما(خم)</v>
          </cell>
          <cell r="C352" t="str">
            <v>قالب نو</v>
          </cell>
          <cell r="H352">
            <v>30416</v>
          </cell>
          <cell r="AF352">
            <v>5.5</v>
          </cell>
          <cell r="AR352">
            <v>4125000</v>
          </cell>
        </row>
        <row r="353">
          <cell r="B353" t="str">
            <v>برشی نیوفیس C&amp;C</v>
          </cell>
          <cell r="C353" t="str">
            <v>قالب نو</v>
          </cell>
          <cell r="H353">
            <v>30487</v>
          </cell>
          <cell r="AF353">
            <v>2</v>
          </cell>
          <cell r="AR353">
            <v>1500000</v>
          </cell>
        </row>
        <row r="354">
          <cell r="B354" t="str">
            <v>دستگاه پشم فلز</v>
          </cell>
          <cell r="C354" t="str">
            <v>قطعه تعمیری</v>
          </cell>
          <cell r="AF354">
            <v>3.5</v>
          </cell>
          <cell r="AR354">
            <v>2625000</v>
          </cell>
        </row>
        <row r="355">
          <cell r="B355" t="str">
            <v>برشی نیوفیس C&amp;C</v>
          </cell>
          <cell r="C355" t="str">
            <v>قالب نو</v>
          </cell>
          <cell r="H355">
            <v>30487</v>
          </cell>
          <cell r="AF355">
            <v>2</v>
          </cell>
          <cell r="AR355">
            <v>1500000</v>
          </cell>
        </row>
        <row r="356">
          <cell r="B356" t="str">
            <v>برشی نیوفیس C&amp;C</v>
          </cell>
          <cell r="C356" t="str">
            <v>قالب نو</v>
          </cell>
          <cell r="H356">
            <v>30487</v>
          </cell>
          <cell r="AF356">
            <v>2</v>
          </cell>
          <cell r="AR356">
            <v>1500000</v>
          </cell>
        </row>
        <row r="357">
          <cell r="B357" t="str">
            <v xml:space="preserve">پخت کلاچ پراید سکو </v>
          </cell>
          <cell r="C357" t="str">
            <v>قالب تعمیری</v>
          </cell>
          <cell r="H357" t="str">
            <v xml:space="preserve">MC30357-01S </v>
          </cell>
          <cell r="AF357">
            <v>3</v>
          </cell>
          <cell r="AR357">
            <v>2250000</v>
          </cell>
        </row>
        <row r="358">
          <cell r="B358" t="str">
            <v xml:space="preserve">پخت کلاچ پراید سکو </v>
          </cell>
          <cell r="C358" t="str">
            <v>قالب تعمیری</v>
          </cell>
          <cell r="H358" t="str">
            <v xml:space="preserve">MC30357-01S </v>
          </cell>
          <cell r="AF358">
            <v>2</v>
          </cell>
          <cell r="AR358">
            <v>1500000</v>
          </cell>
        </row>
        <row r="359">
          <cell r="B359" t="str">
            <v xml:space="preserve">پخت کلاچ پراید سکو </v>
          </cell>
          <cell r="C359" t="str">
            <v>قالب تعمیری</v>
          </cell>
          <cell r="H359" t="str">
            <v xml:space="preserve">MC30357-01S </v>
          </cell>
          <cell r="AF359">
            <v>2.5</v>
          </cell>
          <cell r="AR359">
            <v>1875000</v>
          </cell>
        </row>
        <row r="360">
          <cell r="B360" t="str">
            <v xml:space="preserve">پخت کلاچ پراید سکو </v>
          </cell>
          <cell r="C360" t="str">
            <v>قالب تعمیری</v>
          </cell>
          <cell r="H360" t="str">
            <v xml:space="preserve">MC30357-01S </v>
          </cell>
          <cell r="AF360">
            <v>2.5</v>
          </cell>
          <cell r="AR360">
            <v>1875000</v>
          </cell>
        </row>
        <row r="361">
          <cell r="B361" t="str">
            <v>ویوینگ</v>
          </cell>
          <cell r="C361" t="str">
            <v>قطعه تعمیری</v>
          </cell>
          <cell r="AF361">
            <v>2</v>
          </cell>
          <cell r="AR361">
            <v>1500000</v>
          </cell>
        </row>
        <row r="362">
          <cell r="B362" t="str">
            <v>پخت عقب پژو 405 شمشی پایه کوتاه</v>
          </cell>
          <cell r="C362" t="str">
            <v>قالب نو</v>
          </cell>
          <cell r="H362">
            <v>30091</v>
          </cell>
          <cell r="AF362">
            <v>2</v>
          </cell>
          <cell r="AR362">
            <v>1500000</v>
          </cell>
        </row>
        <row r="363">
          <cell r="B363" t="str">
            <v>پخت کلاچ تیبا چپ</v>
          </cell>
          <cell r="C363" t="str">
            <v>قالب نو</v>
          </cell>
          <cell r="H363">
            <v>30274</v>
          </cell>
          <cell r="AF363">
            <v>11</v>
          </cell>
          <cell r="AR363">
            <v>8250000</v>
          </cell>
        </row>
        <row r="364">
          <cell r="B364" t="str">
            <v>پخت کلاچ لندکروز</v>
          </cell>
          <cell r="C364" t="str">
            <v>قالب تعمیری</v>
          </cell>
          <cell r="H364" t="str">
            <v>Mc30276-01S</v>
          </cell>
          <cell r="AF364">
            <v>8</v>
          </cell>
          <cell r="AR364">
            <v>6000000</v>
          </cell>
        </row>
        <row r="365">
          <cell r="B365" t="str">
            <v>برشی نیوفیس C&amp;C</v>
          </cell>
          <cell r="C365" t="str">
            <v>قالب نو</v>
          </cell>
          <cell r="H365">
            <v>30487</v>
          </cell>
          <cell r="AF365">
            <v>2</v>
          </cell>
          <cell r="AR365">
            <v>1500000</v>
          </cell>
        </row>
        <row r="366">
          <cell r="B366" t="str">
            <v>پخت کلاچ تیبا راست</v>
          </cell>
          <cell r="C366" t="str">
            <v>قالب نو</v>
          </cell>
          <cell r="AF366">
            <v>1</v>
          </cell>
          <cell r="AR366">
            <v>750000</v>
          </cell>
        </row>
        <row r="367">
          <cell r="B367" t="str">
            <v>قالب پخت SAF</v>
          </cell>
          <cell r="C367" t="str">
            <v>قالب تعمیری</v>
          </cell>
          <cell r="H367">
            <v>29087</v>
          </cell>
          <cell r="AF367">
            <v>12</v>
          </cell>
          <cell r="AR367">
            <v>9000000</v>
          </cell>
        </row>
        <row r="368">
          <cell r="B368" t="str">
            <v>ترابوزا</v>
          </cell>
          <cell r="C368" t="str">
            <v>قالب تعمیری</v>
          </cell>
          <cell r="H368">
            <v>5</v>
          </cell>
          <cell r="AF368">
            <v>12</v>
          </cell>
          <cell r="AR368">
            <v>9000000</v>
          </cell>
        </row>
        <row r="369">
          <cell r="B369" t="str">
            <v>دستگاه پشم فلز</v>
          </cell>
          <cell r="C369" t="str">
            <v>قطعه تعمیری</v>
          </cell>
          <cell r="AF369">
            <v>4</v>
          </cell>
          <cell r="AR369">
            <v>3000000</v>
          </cell>
        </row>
        <row r="370">
          <cell r="B370" t="str">
            <v>دستگاه فرز</v>
          </cell>
          <cell r="C370" t="str">
            <v>قطعه تعمیری</v>
          </cell>
          <cell r="AF370">
            <v>1</v>
          </cell>
          <cell r="AR370">
            <v>750000</v>
          </cell>
        </row>
        <row r="371">
          <cell r="B371" t="str">
            <v>میکس</v>
          </cell>
          <cell r="C371" t="str">
            <v>قطعه تعمیری</v>
          </cell>
          <cell r="AF371">
            <v>8</v>
          </cell>
          <cell r="AR371">
            <v>6000000</v>
          </cell>
        </row>
        <row r="372">
          <cell r="B372" t="str">
            <v>سری تراش</v>
          </cell>
          <cell r="C372" t="str">
            <v>قطعه نو</v>
          </cell>
          <cell r="AF372">
            <v>1</v>
          </cell>
          <cell r="AR372">
            <v>750000</v>
          </cell>
        </row>
        <row r="373">
          <cell r="B373" t="str">
            <v>قالب پخت SAF</v>
          </cell>
          <cell r="C373" t="str">
            <v>قالب نو</v>
          </cell>
          <cell r="H373">
            <v>29087</v>
          </cell>
          <cell r="AF373">
            <v>12</v>
          </cell>
          <cell r="AR373">
            <v>9000000</v>
          </cell>
        </row>
        <row r="374">
          <cell r="B374" t="str">
            <v>پخت عقب پژو 405 شمشی پایه کوتاه</v>
          </cell>
          <cell r="C374" t="str">
            <v>قالب نو</v>
          </cell>
          <cell r="H374">
            <v>30091</v>
          </cell>
          <cell r="AF374">
            <v>11</v>
          </cell>
          <cell r="AR374">
            <v>16500000</v>
          </cell>
        </row>
        <row r="375">
          <cell r="B375" t="str">
            <v>پخت کلاچ لندکروز</v>
          </cell>
          <cell r="C375" t="str">
            <v>قالب تعمیری</v>
          </cell>
          <cell r="H375" t="str">
            <v>Mc30276-01S</v>
          </cell>
          <cell r="AF375">
            <v>11</v>
          </cell>
          <cell r="AR375">
            <v>16500000</v>
          </cell>
        </row>
        <row r="376">
          <cell r="B376" t="str">
            <v>قالب شمشی عقب پیکان</v>
          </cell>
          <cell r="C376" t="str">
            <v>قالب نو</v>
          </cell>
          <cell r="AF376">
            <v>6.5</v>
          </cell>
          <cell r="AR376">
            <v>4875000</v>
          </cell>
        </row>
        <row r="377">
          <cell r="B377" t="str">
            <v>قالب پخت SAF</v>
          </cell>
          <cell r="C377" t="str">
            <v>قالب نو</v>
          </cell>
          <cell r="H377">
            <v>29087</v>
          </cell>
          <cell r="AF377">
            <v>12</v>
          </cell>
          <cell r="AR377">
            <v>9000000</v>
          </cell>
        </row>
        <row r="378">
          <cell r="B378" t="str">
            <v>قالب پخت SAF</v>
          </cell>
          <cell r="C378" t="str">
            <v>قالب تعمیری</v>
          </cell>
          <cell r="H378">
            <v>29087</v>
          </cell>
          <cell r="AF378">
            <v>3</v>
          </cell>
          <cell r="AR378">
            <v>2250000</v>
          </cell>
        </row>
        <row r="379">
          <cell r="B379" t="str">
            <v>عقب لیفتراک</v>
          </cell>
          <cell r="C379" t="str">
            <v>قطعه نو</v>
          </cell>
          <cell r="AF379">
            <v>3</v>
          </cell>
          <cell r="AR379">
            <v>2250000</v>
          </cell>
        </row>
        <row r="380">
          <cell r="B380" t="str">
            <v>قالب پخت SAF</v>
          </cell>
          <cell r="C380" t="str">
            <v>قالب نو</v>
          </cell>
          <cell r="H380">
            <v>29087</v>
          </cell>
          <cell r="AF380">
            <v>6</v>
          </cell>
          <cell r="AR380">
            <v>4500000</v>
          </cell>
        </row>
        <row r="381">
          <cell r="B381" t="str">
            <v>قالب پخت SAF</v>
          </cell>
          <cell r="C381" t="str">
            <v>قالب تعمیری</v>
          </cell>
          <cell r="H381">
            <v>29087</v>
          </cell>
          <cell r="AF381">
            <v>6</v>
          </cell>
          <cell r="AR381">
            <v>4500000</v>
          </cell>
        </row>
        <row r="382">
          <cell r="B382" t="str">
            <v>نگهدارنده پلاک قالب</v>
          </cell>
          <cell r="C382" t="str">
            <v>قطعه نو</v>
          </cell>
          <cell r="AF382">
            <v>6</v>
          </cell>
          <cell r="AR382">
            <v>4500000</v>
          </cell>
        </row>
        <row r="383">
          <cell r="B383" t="str">
            <v>دستگاه پرس 600 تن</v>
          </cell>
          <cell r="C383" t="str">
            <v>قطعه نو</v>
          </cell>
          <cell r="AF383">
            <v>4</v>
          </cell>
          <cell r="AR383">
            <v>3000000</v>
          </cell>
        </row>
        <row r="384">
          <cell r="B384" t="str">
            <v>پخت عقب پژو 405 شمشی پایه کوتاه</v>
          </cell>
          <cell r="C384" t="str">
            <v>قالب نو</v>
          </cell>
          <cell r="H384">
            <v>30091</v>
          </cell>
          <cell r="AF384">
            <v>7.5</v>
          </cell>
          <cell r="AR384">
            <v>5625000</v>
          </cell>
        </row>
        <row r="385">
          <cell r="B385" t="str">
            <v>پین عقب پژو 405</v>
          </cell>
          <cell r="C385" t="str">
            <v>قطعه نو</v>
          </cell>
          <cell r="AF385">
            <v>1.5</v>
          </cell>
          <cell r="AR385">
            <v>1125000</v>
          </cell>
        </row>
        <row r="386">
          <cell r="B386" t="str">
            <v>فوتون 107</v>
          </cell>
          <cell r="C386" t="str">
            <v>قالب تعمیری</v>
          </cell>
          <cell r="H386" t="str">
            <v>MS29983-01S</v>
          </cell>
          <cell r="AF386">
            <v>2</v>
          </cell>
          <cell r="AR386">
            <v>1500000</v>
          </cell>
        </row>
        <row r="387">
          <cell r="B387" t="str">
            <v>فوتون 107</v>
          </cell>
          <cell r="C387" t="str">
            <v>قالب تعمیری</v>
          </cell>
          <cell r="H387" t="str">
            <v>MS29983-01S</v>
          </cell>
          <cell r="AF387">
            <v>1.5</v>
          </cell>
          <cell r="AR387">
            <v>1125000</v>
          </cell>
        </row>
        <row r="388">
          <cell r="B388" t="str">
            <v>پین عقب پژو 405</v>
          </cell>
          <cell r="C388" t="str">
            <v>قطعه نو</v>
          </cell>
          <cell r="AF388">
            <v>5</v>
          </cell>
          <cell r="AR388">
            <v>3750000</v>
          </cell>
        </row>
        <row r="389">
          <cell r="B389" t="str">
            <v>پین عقب پژو 405</v>
          </cell>
          <cell r="C389" t="str">
            <v>قطعه نو</v>
          </cell>
          <cell r="AF389">
            <v>6.5</v>
          </cell>
          <cell r="AR389">
            <v>4875000</v>
          </cell>
        </row>
        <row r="390">
          <cell r="B390" t="str">
            <v>دسنگاه چسب زنی</v>
          </cell>
          <cell r="C390" t="str">
            <v>قطعه نو</v>
          </cell>
          <cell r="AF390">
            <v>2.5</v>
          </cell>
          <cell r="AR390">
            <v>3750000</v>
          </cell>
        </row>
        <row r="391">
          <cell r="B391" t="str">
            <v>قالب شمشی عقب پیکان</v>
          </cell>
          <cell r="C391" t="str">
            <v>قالب نو</v>
          </cell>
          <cell r="AF391">
            <v>8.5</v>
          </cell>
          <cell r="AR391">
            <v>12750000</v>
          </cell>
        </row>
        <row r="392">
          <cell r="B392" t="str">
            <v>فیکسچر کفشک پژو 405</v>
          </cell>
          <cell r="C392" t="str">
            <v>قطعه نو</v>
          </cell>
          <cell r="AF392">
            <v>6.5</v>
          </cell>
          <cell r="AR392">
            <v>9750000</v>
          </cell>
        </row>
        <row r="393">
          <cell r="B393" t="str">
            <v>پایه پرچ عقب نیسان</v>
          </cell>
          <cell r="C393" t="str">
            <v>قطعه تعمیری</v>
          </cell>
          <cell r="AF393">
            <v>6.5</v>
          </cell>
          <cell r="AR393">
            <v>9750000</v>
          </cell>
        </row>
        <row r="394">
          <cell r="B394" t="str">
            <v>پخت کلاچ تیبا چپ</v>
          </cell>
          <cell r="C394" t="str">
            <v>قالب نو</v>
          </cell>
          <cell r="H394">
            <v>30274</v>
          </cell>
          <cell r="AF394">
            <v>3.5</v>
          </cell>
          <cell r="AR394">
            <v>2625000</v>
          </cell>
        </row>
        <row r="395">
          <cell r="B395" t="str">
            <v>پخت عقب پژو 405 شمشی پایه کوتاه</v>
          </cell>
          <cell r="C395" t="str">
            <v>قالب نو</v>
          </cell>
          <cell r="H395">
            <v>30091</v>
          </cell>
          <cell r="AF395">
            <v>7.5</v>
          </cell>
          <cell r="AR395">
            <v>5625000</v>
          </cell>
        </row>
        <row r="396">
          <cell r="B396" t="str">
            <v>پخت عقب پژو 405 شمشی پایه کوتاه</v>
          </cell>
          <cell r="C396" t="str">
            <v>قالب نو</v>
          </cell>
          <cell r="H396">
            <v>30091</v>
          </cell>
          <cell r="AF396">
            <v>6.5</v>
          </cell>
          <cell r="AR396">
            <v>4875000</v>
          </cell>
        </row>
        <row r="397">
          <cell r="B397" t="str">
            <v>پخت کلاچ تیبا چپ</v>
          </cell>
          <cell r="C397" t="str">
            <v>قالب نو</v>
          </cell>
          <cell r="H397">
            <v>30274</v>
          </cell>
          <cell r="AF397">
            <v>11</v>
          </cell>
          <cell r="AR397">
            <v>8250000</v>
          </cell>
        </row>
        <row r="398">
          <cell r="B398" t="str">
            <v>پخت کلاچ تیبا راست</v>
          </cell>
          <cell r="C398" t="str">
            <v>قالب نو</v>
          </cell>
          <cell r="AF398">
            <v>3</v>
          </cell>
          <cell r="AR398">
            <v>2250000</v>
          </cell>
        </row>
        <row r="399">
          <cell r="B399" t="str">
            <v>پخت عقب پژو 405 شمشی پایه کوتاه</v>
          </cell>
          <cell r="C399" t="str">
            <v>قالب نو</v>
          </cell>
          <cell r="H399">
            <v>30091</v>
          </cell>
          <cell r="AF399">
            <v>2</v>
          </cell>
          <cell r="AR399">
            <v>1500000</v>
          </cell>
        </row>
        <row r="400">
          <cell r="B400" t="str">
            <v>پخت کلاچ لندکروز</v>
          </cell>
          <cell r="C400" t="str">
            <v>قالب تعمیری</v>
          </cell>
          <cell r="H400" t="str">
            <v>Mc30276-01S</v>
          </cell>
          <cell r="AF400">
            <v>4</v>
          </cell>
          <cell r="AR400">
            <v>3000000</v>
          </cell>
        </row>
        <row r="401">
          <cell r="B401" t="str">
            <v>فوتون 107</v>
          </cell>
          <cell r="C401" t="str">
            <v>قالب تعمیری</v>
          </cell>
          <cell r="H401" t="str">
            <v>MS29983-01S</v>
          </cell>
          <cell r="AF401">
            <v>2</v>
          </cell>
          <cell r="AR401">
            <v>1500000</v>
          </cell>
        </row>
        <row r="402">
          <cell r="B402" t="str">
            <v xml:space="preserve">قالب پخت کلاچ پیکان </v>
          </cell>
          <cell r="C402" t="str">
            <v>قالب تعمیری</v>
          </cell>
          <cell r="AF402">
            <v>2</v>
          </cell>
          <cell r="AR402">
            <v>1500000</v>
          </cell>
        </row>
        <row r="403">
          <cell r="B403" t="str">
            <v>قالب پخت کلاچ پژو 405</v>
          </cell>
          <cell r="C403" t="str">
            <v>قالب تعمیری</v>
          </cell>
          <cell r="AF403">
            <v>2</v>
          </cell>
          <cell r="AR403">
            <v>1500000</v>
          </cell>
        </row>
        <row r="404">
          <cell r="B404" t="str">
            <v>پخت کلاچ ایسوزو</v>
          </cell>
          <cell r="C404" t="str">
            <v>قالب تعمیری</v>
          </cell>
          <cell r="H404" t="str">
            <v>02S</v>
          </cell>
          <cell r="AF404">
            <v>6.5</v>
          </cell>
          <cell r="AR404">
            <v>4875000</v>
          </cell>
        </row>
        <row r="405">
          <cell r="B405" t="str">
            <v>فوتون 107</v>
          </cell>
          <cell r="C405" t="str">
            <v>قالب تعمیری</v>
          </cell>
          <cell r="H405" t="str">
            <v>MS29983-01S</v>
          </cell>
          <cell r="AF405">
            <v>2</v>
          </cell>
          <cell r="AR405">
            <v>1500000</v>
          </cell>
        </row>
        <row r="406">
          <cell r="B406" t="str">
            <v>شمش پراید</v>
          </cell>
          <cell r="C406" t="str">
            <v>قالب نو</v>
          </cell>
          <cell r="AF406">
            <v>5</v>
          </cell>
          <cell r="AR406">
            <v>3750000</v>
          </cell>
        </row>
        <row r="407">
          <cell r="B407" t="str">
            <v>قالب پخت کلاچ پژو 405</v>
          </cell>
          <cell r="C407" t="str">
            <v>قالب تعمیری</v>
          </cell>
          <cell r="AF407">
            <v>2</v>
          </cell>
          <cell r="AR407">
            <v>1500000</v>
          </cell>
        </row>
        <row r="408">
          <cell r="B408" t="str">
            <v xml:space="preserve">قالب پخت کلاچ پیکان </v>
          </cell>
          <cell r="C408" t="str">
            <v>قالب تعمیری</v>
          </cell>
          <cell r="AF408">
            <v>2</v>
          </cell>
          <cell r="AR408">
            <v>1500000</v>
          </cell>
        </row>
        <row r="409">
          <cell r="B409" t="str">
            <v xml:space="preserve">قالب پخت کلاچ پیکان </v>
          </cell>
          <cell r="C409" t="str">
            <v>قالب تعمیری</v>
          </cell>
          <cell r="H409" t="str">
            <v>MC30241-02s</v>
          </cell>
          <cell r="AF409">
            <v>3</v>
          </cell>
          <cell r="AR409">
            <v>2250000</v>
          </cell>
        </row>
        <row r="410">
          <cell r="B410" t="str">
            <v>قالب پخت کلاچ پژو 405</v>
          </cell>
          <cell r="C410" t="str">
            <v>قالب تعمیری</v>
          </cell>
          <cell r="AF410">
            <v>2</v>
          </cell>
          <cell r="AR410">
            <v>1500000</v>
          </cell>
        </row>
        <row r="411">
          <cell r="B411" t="str">
            <v>سری تراش</v>
          </cell>
          <cell r="C411" t="str">
            <v>قطعه نو</v>
          </cell>
          <cell r="AF411">
            <v>3</v>
          </cell>
          <cell r="AR411">
            <v>2250000</v>
          </cell>
        </row>
        <row r="412">
          <cell r="B412" t="str">
            <v>ویوینگ</v>
          </cell>
          <cell r="C412" t="str">
            <v>قطعه نو</v>
          </cell>
          <cell r="AF412">
            <v>2</v>
          </cell>
          <cell r="AR412">
            <v>1500000</v>
          </cell>
        </row>
        <row r="413">
          <cell r="B413" t="str">
            <v>ترابوزا</v>
          </cell>
          <cell r="C413" t="str">
            <v>قالب تعمیری</v>
          </cell>
          <cell r="H413">
            <v>5</v>
          </cell>
          <cell r="AF413">
            <v>2</v>
          </cell>
          <cell r="AR413">
            <v>1500000</v>
          </cell>
        </row>
        <row r="414">
          <cell r="B414" t="str">
            <v>پایه پرچ عقب نیسان</v>
          </cell>
          <cell r="C414" t="str">
            <v>قطعه تعمیری</v>
          </cell>
          <cell r="AF414">
            <v>4</v>
          </cell>
          <cell r="AR414">
            <v>3000000</v>
          </cell>
        </row>
        <row r="415">
          <cell r="B415" t="str">
            <v>ترابوزا</v>
          </cell>
          <cell r="C415" t="str">
            <v>قالب تعمیری</v>
          </cell>
          <cell r="H415">
            <v>5</v>
          </cell>
          <cell r="AF415">
            <v>1</v>
          </cell>
          <cell r="AR415">
            <v>750000</v>
          </cell>
        </row>
        <row r="416">
          <cell r="B416" t="str">
            <v>ترابوزا</v>
          </cell>
          <cell r="C416" t="str">
            <v>قالب تعمیری</v>
          </cell>
          <cell r="H416">
            <v>5</v>
          </cell>
          <cell r="AF416">
            <v>2</v>
          </cell>
          <cell r="AR416">
            <v>1500000</v>
          </cell>
        </row>
        <row r="417">
          <cell r="B417" t="str">
            <v>ترابوزا</v>
          </cell>
          <cell r="C417" t="str">
            <v>قالب تعمیری</v>
          </cell>
          <cell r="H417">
            <v>5</v>
          </cell>
          <cell r="AF417">
            <v>1</v>
          </cell>
          <cell r="AR417">
            <v>750000</v>
          </cell>
        </row>
        <row r="418">
          <cell r="B418" t="str">
            <v>ویوینگ</v>
          </cell>
          <cell r="C418" t="str">
            <v>قطعه تعمیری</v>
          </cell>
          <cell r="AF418">
            <v>1</v>
          </cell>
          <cell r="AR418">
            <v>750000</v>
          </cell>
        </row>
        <row r="419">
          <cell r="B419" t="str">
            <v>هواکش</v>
          </cell>
          <cell r="C419" t="str">
            <v>قطعه تعمیری</v>
          </cell>
          <cell r="AF419">
            <v>1</v>
          </cell>
          <cell r="AR419">
            <v>750000</v>
          </cell>
        </row>
        <row r="420">
          <cell r="B420" t="str">
            <v>پخت عقب پژو 405 شمشی پایه کوتاه</v>
          </cell>
          <cell r="C420" t="str">
            <v>قالب نو</v>
          </cell>
          <cell r="H420">
            <v>30091</v>
          </cell>
          <cell r="AF420">
            <v>4</v>
          </cell>
          <cell r="AR420">
            <v>3000000</v>
          </cell>
        </row>
        <row r="421">
          <cell r="B421" t="str">
            <v>ویوینگ</v>
          </cell>
          <cell r="C421" t="str">
            <v>قطعه تعمیری</v>
          </cell>
          <cell r="AF421">
            <v>2.5</v>
          </cell>
          <cell r="AR421">
            <v>1875000</v>
          </cell>
        </row>
        <row r="422">
          <cell r="B422" t="str">
            <v>پخت کلاچ لندکروز</v>
          </cell>
          <cell r="C422" t="str">
            <v>قالب تعمیری</v>
          </cell>
          <cell r="H422" t="str">
            <v>Mc30276-01S</v>
          </cell>
          <cell r="AF422">
            <v>6.5</v>
          </cell>
          <cell r="AR422">
            <v>9750000</v>
          </cell>
        </row>
        <row r="423">
          <cell r="B423" t="str">
            <v>پخت کلاچ لندکروز</v>
          </cell>
          <cell r="C423" t="str">
            <v>قالب تعمیری</v>
          </cell>
          <cell r="H423" t="str">
            <v>Mc30276-01S</v>
          </cell>
          <cell r="AF423">
            <v>6.5</v>
          </cell>
          <cell r="AR423">
            <v>9750000</v>
          </cell>
        </row>
        <row r="424">
          <cell r="B424" t="str">
            <v>پخت عقب پژو 405 شمشی پایه کوتاه</v>
          </cell>
          <cell r="C424" t="str">
            <v>قالب نو</v>
          </cell>
          <cell r="H424">
            <v>30091</v>
          </cell>
          <cell r="AF424">
            <v>2.5</v>
          </cell>
          <cell r="AR424">
            <v>1875000</v>
          </cell>
        </row>
        <row r="425">
          <cell r="B425" t="str">
            <v>پخت کلاچ تیبا راست</v>
          </cell>
          <cell r="C425" t="str">
            <v>قالب نو</v>
          </cell>
          <cell r="AF425">
            <v>8.5</v>
          </cell>
          <cell r="AR425">
            <v>6375000</v>
          </cell>
        </row>
        <row r="426">
          <cell r="B426" t="str">
            <v>پین عقب پژو 405</v>
          </cell>
          <cell r="C426" t="str">
            <v>قطعه نو</v>
          </cell>
          <cell r="AF426">
            <v>11</v>
          </cell>
          <cell r="AR426">
            <v>8250000</v>
          </cell>
        </row>
        <row r="427">
          <cell r="B427" t="str">
            <v>پخت کلاچ لندکروز</v>
          </cell>
          <cell r="C427" t="str">
            <v>قالب تعمیری</v>
          </cell>
          <cell r="H427" t="str">
            <v>Mc30276-01S</v>
          </cell>
          <cell r="AF427">
            <v>11</v>
          </cell>
          <cell r="AR427">
            <v>16500000</v>
          </cell>
        </row>
        <row r="428">
          <cell r="B428" t="str">
            <v>قالب پخت کلاچ پژو 405</v>
          </cell>
          <cell r="C428" t="str">
            <v>قالب تعمیری</v>
          </cell>
          <cell r="AF428">
            <v>2.5</v>
          </cell>
          <cell r="AR428">
            <v>1875000</v>
          </cell>
        </row>
        <row r="429">
          <cell r="B429" t="str">
            <v>قالب پخت کلاچ پژو 405</v>
          </cell>
          <cell r="C429" t="str">
            <v>قالب تعمیری</v>
          </cell>
          <cell r="AF429">
            <v>2.5</v>
          </cell>
          <cell r="AR429">
            <v>1875000</v>
          </cell>
        </row>
        <row r="430">
          <cell r="B430" t="str">
            <v>فوتون 107</v>
          </cell>
          <cell r="C430" t="str">
            <v>قالب تعمیری</v>
          </cell>
          <cell r="H430" t="str">
            <v>MS29983-01S</v>
          </cell>
          <cell r="AF430">
            <v>1.5</v>
          </cell>
          <cell r="AR430">
            <v>1125000</v>
          </cell>
        </row>
        <row r="431">
          <cell r="B431" t="str">
            <v>ترابوزا</v>
          </cell>
          <cell r="C431" t="str">
            <v>قالب تعمیری</v>
          </cell>
          <cell r="H431">
            <v>5</v>
          </cell>
          <cell r="AF431">
            <v>4</v>
          </cell>
          <cell r="AR431">
            <v>3000000</v>
          </cell>
        </row>
        <row r="432">
          <cell r="B432" t="str">
            <v>ترابوزا</v>
          </cell>
          <cell r="C432" t="str">
            <v>قالب تعمیری</v>
          </cell>
          <cell r="H432">
            <v>5</v>
          </cell>
          <cell r="AF432">
            <v>1</v>
          </cell>
          <cell r="AR432">
            <v>750000</v>
          </cell>
        </row>
        <row r="433">
          <cell r="B433" t="str">
            <v>ترابوزا</v>
          </cell>
          <cell r="C433" t="str">
            <v>قالب تعمیری</v>
          </cell>
          <cell r="H433">
            <v>5</v>
          </cell>
          <cell r="AF433">
            <v>3</v>
          </cell>
          <cell r="AR433">
            <v>2250000</v>
          </cell>
        </row>
        <row r="434">
          <cell r="B434" t="str">
            <v>قالب پخت SAF</v>
          </cell>
          <cell r="C434" t="str">
            <v>قالب نو</v>
          </cell>
          <cell r="H434">
            <v>29087</v>
          </cell>
          <cell r="AF434">
            <v>12</v>
          </cell>
          <cell r="AR434">
            <v>9000000</v>
          </cell>
        </row>
        <row r="435">
          <cell r="B435" t="str">
            <v>قالب پخت SAF</v>
          </cell>
          <cell r="C435" t="str">
            <v>قالب تعمیری</v>
          </cell>
          <cell r="H435">
            <v>29087</v>
          </cell>
          <cell r="AF435">
            <v>12</v>
          </cell>
          <cell r="AR435">
            <v>9000000</v>
          </cell>
        </row>
        <row r="436">
          <cell r="B436" t="str">
            <v>نگهدارنده پلاک قالب</v>
          </cell>
          <cell r="C436" t="str">
            <v>قطعه نو</v>
          </cell>
          <cell r="AF436">
            <v>12</v>
          </cell>
          <cell r="AR436">
            <v>9000000</v>
          </cell>
        </row>
        <row r="437">
          <cell r="B437" t="str">
            <v>دستگاه پرس 600 تن</v>
          </cell>
          <cell r="C437" t="str">
            <v>قطعه نو</v>
          </cell>
          <cell r="AF437">
            <v>12</v>
          </cell>
          <cell r="AR437">
            <v>9000000</v>
          </cell>
        </row>
        <row r="438">
          <cell r="B438" t="str">
            <v>پایه پرچ عقب نیسان</v>
          </cell>
          <cell r="C438" t="str">
            <v>قطعه تعمیری</v>
          </cell>
          <cell r="AF438">
            <v>11</v>
          </cell>
          <cell r="AR438">
            <v>16500000</v>
          </cell>
        </row>
        <row r="439">
          <cell r="B439" t="str">
            <v>ترابوزا</v>
          </cell>
          <cell r="C439" t="str">
            <v>قالب تعمیری</v>
          </cell>
          <cell r="H439">
            <v>5</v>
          </cell>
          <cell r="AF439">
            <v>4</v>
          </cell>
          <cell r="AR439">
            <v>3000000</v>
          </cell>
        </row>
        <row r="440">
          <cell r="B440" t="str">
            <v>پخت عقب پژو 405 شمشی پایه کوتاه</v>
          </cell>
          <cell r="C440" t="str">
            <v>قالب نو</v>
          </cell>
          <cell r="H440">
            <v>30091</v>
          </cell>
          <cell r="AF440">
            <v>3</v>
          </cell>
          <cell r="AR440">
            <v>2250000</v>
          </cell>
        </row>
        <row r="441">
          <cell r="B441" t="str">
            <v>پخت عقب پژو 405 شمشی پایه کوتاه</v>
          </cell>
          <cell r="C441" t="str">
            <v>قالب نو</v>
          </cell>
          <cell r="H441">
            <v>30091</v>
          </cell>
          <cell r="AF441">
            <v>3</v>
          </cell>
          <cell r="AR441">
            <v>2250000</v>
          </cell>
        </row>
        <row r="442">
          <cell r="B442" t="str">
            <v>پخت عقب پژو 405 شمشی پایه کوتاه</v>
          </cell>
          <cell r="C442" t="str">
            <v>قالب نو</v>
          </cell>
          <cell r="H442">
            <v>30091</v>
          </cell>
          <cell r="AF442">
            <v>2</v>
          </cell>
          <cell r="AR442">
            <v>1500000</v>
          </cell>
        </row>
        <row r="443">
          <cell r="B443" t="str">
            <v>نگهدارنده پلاک قالب</v>
          </cell>
          <cell r="C443" t="str">
            <v>قطعه نو</v>
          </cell>
          <cell r="AF443">
            <v>4</v>
          </cell>
          <cell r="AR443">
            <v>3000000</v>
          </cell>
        </row>
        <row r="444">
          <cell r="B444" t="str">
            <v>پخت عقب پژو 405 شمشی پایه کوتاه</v>
          </cell>
          <cell r="C444" t="str">
            <v>قالب نو</v>
          </cell>
          <cell r="H444">
            <v>30091</v>
          </cell>
          <cell r="AF444">
            <v>5</v>
          </cell>
          <cell r="AR444">
            <v>3750000</v>
          </cell>
        </row>
        <row r="445">
          <cell r="B445" t="str">
            <v>پایه پرچ عقب نیسان</v>
          </cell>
          <cell r="C445" t="str">
            <v>قطعه تعمیری</v>
          </cell>
          <cell r="AF445">
            <v>3</v>
          </cell>
          <cell r="AR445">
            <v>2250000</v>
          </cell>
        </row>
        <row r="446">
          <cell r="B446" t="str">
            <v>پایه پرچ عقب نیسان</v>
          </cell>
          <cell r="C446" t="str">
            <v>قطعه تعمیری</v>
          </cell>
          <cell r="AF446">
            <v>3</v>
          </cell>
          <cell r="AR446">
            <v>2250000</v>
          </cell>
        </row>
        <row r="447">
          <cell r="B447" t="str">
            <v>سری نقطه جوش</v>
          </cell>
          <cell r="C447" t="str">
            <v>قطعه تعمیری</v>
          </cell>
          <cell r="AF447">
            <v>1</v>
          </cell>
          <cell r="AR447">
            <v>750000</v>
          </cell>
        </row>
        <row r="448">
          <cell r="B448" t="str">
            <v>قالب پخت کلاچ پژو 405</v>
          </cell>
          <cell r="C448" t="str">
            <v>قالب تعمیری</v>
          </cell>
          <cell r="AF448">
            <v>4</v>
          </cell>
          <cell r="AR448">
            <v>3000000</v>
          </cell>
        </row>
        <row r="449">
          <cell r="B449" t="str">
            <v>پخت کلاچ لندکروز</v>
          </cell>
          <cell r="C449" t="str">
            <v>قالب تعمیری</v>
          </cell>
          <cell r="H449" t="str">
            <v>Mc30276-01S</v>
          </cell>
          <cell r="AF449">
            <v>4</v>
          </cell>
          <cell r="AR449">
            <v>3000000</v>
          </cell>
        </row>
        <row r="450">
          <cell r="B450" t="str">
            <v>پخت کلاچ ایسوزو</v>
          </cell>
          <cell r="C450" t="str">
            <v>قالب تعمیری</v>
          </cell>
          <cell r="H450" t="str">
            <v>MC30252-02S</v>
          </cell>
          <cell r="AF450">
            <v>9</v>
          </cell>
          <cell r="AR450">
            <v>6750000</v>
          </cell>
        </row>
        <row r="451">
          <cell r="B451" t="str">
            <v>پخت عقب پژو 405 شمشی پایه کوتاه</v>
          </cell>
          <cell r="C451" t="str">
            <v>قالب نو</v>
          </cell>
          <cell r="H451">
            <v>30091</v>
          </cell>
          <cell r="AF451">
            <v>1</v>
          </cell>
          <cell r="AR451">
            <v>750000</v>
          </cell>
        </row>
        <row r="452">
          <cell r="B452" t="str">
            <v>فوتون 107</v>
          </cell>
          <cell r="C452" t="str">
            <v>قالب تعمیری</v>
          </cell>
          <cell r="H452" t="str">
            <v>MS29983-01S</v>
          </cell>
          <cell r="AF452">
            <v>6</v>
          </cell>
          <cell r="AR452">
            <v>4500000</v>
          </cell>
        </row>
        <row r="453">
          <cell r="B453" t="str">
            <v>قالب پخت کلاچ پژو 405</v>
          </cell>
          <cell r="C453" t="str">
            <v>قالب تعمیری</v>
          </cell>
          <cell r="AF453">
            <v>2</v>
          </cell>
          <cell r="AR453">
            <v>1500000</v>
          </cell>
        </row>
        <row r="454">
          <cell r="B454" t="str">
            <v>پخت کلاچ 302 سوراخدار</v>
          </cell>
          <cell r="C454" t="str">
            <v>قالب تعمیری</v>
          </cell>
          <cell r="H454" t="str">
            <v>MC30250-01S</v>
          </cell>
          <cell r="AF454">
            <v>5.5</v>
          </cell>
          <cell r="AR454">
            <v>4125000</v>
          </cell>
        </row>
        <row r="455">
          <cell r="B455" t="str">
            <v>پخت کلاچ 302 سوراخدار</v>
          </cell>
          <cell r="C455" t="str">
            <v>قالب تعمیری</v>
          </cell>
          <cell r="H455" t="str">
            <v>MC30250-01S</v>
          </cell>
          <cell r="AF455">
            <v>5.5</v>
          </cell>
          <cell r="AR455">
            <v>4125000</v>
          </cell>
        </row>
        <row r="456">
          <cell r="B456" t="str">
            <v>پخت کلاچ 302 سوراخدار</v>
          </cell>
          <cell r="C456" t="str">
            <v>قالب تعمیری</v>
          </cell>
          <cell r="H456" t="str">
            <v>MC30250-01S</v>
          </cell>
          <cell r="AF456">
            <v>3</v>
          </cell>
          <cell r="AR456">
            <v>2250000</v>
          </cell>
        </row>
        <row r="457">
          <cell r="B457" t="str">
            <v>پخت کلاچ ایویکو سوراخدار</v>
          </cell>
          <cell r="C457" t="str">
            <v>قالب تعمیری</v>
          </cell>
          <cell r="H457" t="str">
            <v>MC30249-01S</v>
          </cell>
          <cell r="AF457">
            <v>3</v>
          </cell>
          <cell r="AR457">
            <v>2250000</v>
          </cell>
        </row>
        <row r="458">
          <cell r="B458" t="str">
            <v>دستگاه پرس 600 تن</v>
          </cell>
          <cell r="C458" t="str">
            <v>قطعه نو</v>
          </cell>
          <cell r="AF458">
            <v>2</v>
          </cell>
          <cell r="AR458">
            <v>1500000</v>
          </cell>
        </row>
        <row r="459">
          <cell r="B459" t="str">
            <v>پخت عقب پژو 405 شمشی پایه کوتاه</v>
          </cell>
          <cell r="C459" t="str">
            <v>قالب نو</v>
          </cell>
          <cell r="H459">
            <v>30091</v>
          </cell>
          <cell r="AF459">
            <v>1.5</v>
          </cell>
          <cell r="AR459">
            <v>1125000</v>
          </cell>
        </row>
        <row r="460">
          <cell r="B460" t="str">
            <v>پخت کلاچ 302 سوراخدار</v>
          </cell>
          <cell r="C460" t="str">
            <v>قالب تعمیری</v>
          </cell>
          <cell r="H460" t="str">
            <v>MC30250-01S</v>
          </cell>
          <cell r="AF460">
            <v>3</v>
          </cell>
          <cell r="AR460">
            <v>2250000</v>
          </cell>
        </row>
        <row r="461">
          <cell r="B461" t="str">
            <v>قالب پخت کلاچ پژو 405</v>
          </cell>
          <cell r="C461" t="str">
            <v>قالب تعمیری</v>
          </cell>
          <cell r="AF461">
            <v>1.5</v>
          </cell>
          <cell r="AR461">
            <v>1125000</v>
          </cell>
        </row>
        <row r="462">
          <cell r="B462" t="str">
            <v>پخت کلاچ 302 سوراخدار</v>
          </cell>
          <cell r="C462" t="str">
            <v>قالب تعمیری</v>
          </cell>
          <cell r="H462" t="str">
            <v>MC30250-01S</v>
          </cell>
          <cell r="AF462">
            <v>1.5</v>
          </cell>
          <cell r="AR462">
            <v>1125000</v>
          </cell>
        </row>
        <row r="463">
          <cell r="B463" t="str">
            <v>پخت کلاچ ایویکو سوراخدار</v>
          </cell>
          <cell r="C463" t="str">
            <v>قالب تعمیری</v>
          </cell>
          <cell r="H463" t="str">
            <v>MC30249-01S</v>
          </cell>
          <cell r="AF463">
            <v>3</v>
          </cell>
          <cell r="AR463">
            <v>2250000</v>
          </cell>
        </row>
        <row r="464">
          <cell r="B464" t="str">
            <v>قالب پخت SAF</v>
          </cell>
          <cell r="C464" t="str">
            <v>قالب نو</v>
          </cell>
          <cell r="H464">
            <v>29087</v>
          </cell>
          <cell r="AF464">
            <v>7.5</v>
          </cell>
          <cell r="AR464">
            <v>11250000</v>
          </cell>
        </row>
        <row r="465">
          <cell r="B465" t="str">
            <v>پخت کلاچ تیبا راست</v>
          </cell>
          <cell r="C465" t="str">
            <v>قالب نو</v>
          </cell>
          <cell r="AF465">
            <v>3.5</v>
          </cell>
          <cell r="AR465">
            <v>5250000</v>
          </cell>
        </row>
        <row r="466">
          <cell r="B466" t="str">
            <v>فوتون 107</v>
          </cell>
          <cell r="C466" t="str">
            <v>قالب تعمیری</v>
          </cell>
          <cell r="H466" t="str">
            <v>MS29983-01S</v>
          </cell>
          <cell r="AF466">
            <v>11</v>
          </cell>
          <cell r="AR466">
            <v>8250000</v>
          </cell>
        </row>
        <row r="467">
          <cell r="B467" t="str">
            <v>قالب پخت کلاچ پژو 405</v>
          </cell>
          <cell r="C467" t="str">
            <v>قالب تعمیری</v>
          </cell>
          <cell r="AF467">
            <v>9</v>
          </cell>
          <cell r="AR467">
            <v>6750000</v>
          </cell>
        </row>
        <row r="468">
          <cell r="B468" t="str">
            <v>پخت عقب پژو 405 شمشی پایه کوتاه</v>
          </cell>
          <cell r="C468" t="str">
            <v>قالب نو</v>
          </cell>
          <cell r="H468">
            <v>30091</v>
          </cell>
          <cell r="AF468">
            <v>2</v>
          </cell>
          <cell r="AR468">
            <v>1500000</v>
          </cell>
        </row>
        <row r="469">
          <cell r="B469" t="str">
            <v>فوتون 107</v>
          </cell>
          <cell r="C469" t="str">
            <v>قالب تعمیری</v>
          </cell>
          <cell r="H469" t="str">
            <v>MS29983-01S</v>
          </cell>
          <cell r="AF469">
            <v>1.5</v>
          </cell>
          <cell r="AR469">
            <v>1125000</v>
          </cell>
        </row>
        <row r="470">
          <cell r="B470" t="str">
            <v>دستگاه پرس 600 تن</v>
          </cell>
          <cell r="C470" t="str">
            <v>قطعه نو</v>
          </cell>
          <cell r="AF470">
            <v>3</v>
          </cell>
          <cell r="AR470">
            <v>2250000</v>
          </cell>
        </row>
        <row r="471">
          <cell r="B471" t="str">
            <v>فوتون 107</v>
          </cell>
          <cell r="C471" t="str">
            <v>قالب تعمیری</v>
          </cell>
          <cell r="H471" t="str">
            <v>MS29983-01S</v>
          </cell>
          <cell r="AF471">
            <v>2</v>
          </cell>
          <cell r="AR471">
            <v>1500000</v>
          </cell>
        </row>
        <row r="472">
          <cell r="B472" t="str">
            <v>پین عقب پژو 405</v>
          </cell>
          <cell r="C472" t="str">
            <v>قطعه نو</v>
          </cell>
          <cell r="AF472">
            <v>11</v>
          </cell>
          <cell r="AR472">
            <v>8250000</v>
          </cell>
        </row>
        <row r="473">
          <cell r="B473" t="str">
            <v>پخت کلاچ تیبا راست</v>
          </cell>
          <cell r="C473" t="str">
            <v>قالب نو</v>
          </cell>
          <cell r="AF473">
            <v>3.5</v>
          </cell>
          <cell r="AR473">
            <v>2625000</v>
          </cell>
        </row>
        <row r="474">
          <cell r="B474" t="str">
            <v>فوتون 107</v>
          </cell>
          <cell r="C474" t="str">
            <v>قالب تعمیری</v>
          </cell>
          <cell r="H474" t="str">
            <v>MS29983-01S</v>
          </cell>
          <cell r="AF474">
            <v>4</v>
          </cell>
          <cell r="AR474">
            <v>3000000</v>
          </cell>
        </row>
        <row r="475">
          <cell r="B475" t="str">
            <v>پخت کلاچ ایسوزو</v>
          </cell>
          <cell r="C475" t="str">
            <v>قالب تعمیری</v>
          </cell>
          <cell r="H475" t="str">
            <v>MC30252-02S</v>
          </cell>
          <cell r="AF475">
            <v>3.5</v>
          </cell>
          <cell r="AR475">
            <v>2625000</v>
          </cell>
        </row>
        <row r="476">
          <cell r="B476" t="str">
            <v>پخت کلاچ لندکروز</v>
          </cell>
          <cell r="C476" t="str">
            <v>قالب تعمیری</v>
          </cell>
          <cell r="H476" t="str">
            <v>Mc30276-01S</v>
          </cell>
          <cell r="AF476">
            <v>11</v>
          </cell>
          <cell r="AR476">
            <v>16500000</v>
          </cell>
        </row>
        <row r="477">
          <cell r="B477" t="str">
            <v>قالب پخت SAF</v>
          </cell>
          <cell r="C477" t="str">
            <v>قالب تعمیری</v>
          </cell>
          <cell r="H477">
            <v>29087</v>
          </cell>
          <cell r="AF477">
            <v>12</v>
          </cell>
          <cell r="AR477">
            <v>9000000</v>
          </cell>
        </row>
        <row r="478">
          <cell r="B478" t="str">
            <v>نگهدارنده پلاک قالب</v>
          </cell>
          <cell r="C478" t="str">
            <v>قطعه نو</v>
          </cell>
          <cell r="AF478">
            <v>12</v>
          </cell>
          <cell r="AR478">
            <v>9000000</v>
          </cell>
        </row>
        <row r="479">
          <cell r="B479" t="str">
            <v>عقب لیفتراک</v>
          </cell>
          <cell r="C479" t="str">
            <v>قطعه نو</v>
          </cell>
          <cell r="AF479">
            <v>3</v>
          </cell>
          <cell r="AR479">
            <v>2250000</v>
          </cell>
        </row>
        <row r="480">
          <cell r="B480" t="str">
            <v>دستگاه فرز</v>
          </cell>
          <cell r="C480" t="str">
            <v>قطعه تعمیری</v>
          </cell>
          <cell r="AF480">
            <v>3</v>
          </cell>
          <cell r="AR480">
            <v>2250000</v>
          </cell>
        </row>
        <row r="481">
          <cell r="B481" t="str">
            <v>فوتون 107</v>
          </cell>
          <cell r="C481" t="str">
            <v>قالب تعمیری</v>
          </cell>
          <cell r="H481" t="str">
            <v>MS29983-01S</v>
          </cell>
          <cell r="AF481">
            <v>12</v>
          </cell>
          <cell r="AR481">
            <v>9000000</v>
          </cell>
        </row>
        <row r="482">
          <cell r="B482" t="str">
            <v>قالب پخت کلاچ پژو 405</v>
          </cell>
          <cell r="C482" t="str">
            <v>قالب تعمیری</v>
          </cell>
          <cell r="AF482">
            <v>6</v>
          </cell>
          <cell r="AR482">
            <v>4500000</v>
          </cell>
        </row>
        <row r="483">
          <cell r="B483" t="str">
            <v>پایه پرچ عقب نیسان</v>
          </cell>
          <cell r="C483" t="str">
            <v>قطعه تعمیری</v>
          </cell>
          <cell r="AF483">
            <v>4</v>
          </cell>
          <cell r="AR483">
            <v>6000000</v>
          </cell>
        </row>
        <row r="484">
          <cell r="B484" t="str">
            <v>دریل یزدخواستی کلاچ</v>
          </cell>
          <cell r="C484" t="str">
            <v>قطعه نو</v>
          </cell>
          <cell r="AF484">
            <v>3.5</v>
          </cell>
          <cell r="AR484">
            <v>5250000</v>
          </cell>
        </row>
        <row r="485">
          <cell r="B485" t="str">
            <v>دریل یزدخواستی کلاچ</v>
          </cell>
          <cell r="C485" t="str">
            <v>قطعه نو</v>
          </cell>
          <cell r="AF485">
            <v>1.5</v>
          </cell>
          <cell r="AR485">
            <v>2250000</v>
          </cell>
        </row>
        <row r="486">
          <cell r="B486" t="str">
            <v>آغشته کاری</v>
          </cell>
          <cell r="C486" t="str">
            <v>قطعه تعمیری</v>
          </cell>
          <cell r="AF486">
            <v>2</v>
          </cell>
          <cell r="AR486">
            <v>1500000</v>
          </cell>
        </row>
        <row r="487">
          <cell r="B487" t="str">
            <v>ساب ترابوزا</v>
          </cell>
          <cell r="C487" t="str">
            <v>قطعه نو</v>
          </cell>
          <cell r="AF487">
            <v>9</v>
          </cell>
          <cell r="AR487">
            <v>6750000</v>
          </cell>
        </row>
        <row r="488">
          <cell r="B488" t="str">
            <v>پخت کلاچ تیبا راست</v>
          </cell>
          <cell r="C488" t="str">
            <v>قالب نو</v>
          </cell>
          <cell r="AF488">
            <v>11</v>
          </cell>
          <cell r="AR488">
            <v>16500000</v>
          </cell>
        </row>
        <row r="489">
          <cell r="B489" t="str">
            <v>قالب پخت SAF</v>
          </cell>
          <cell r="C489" t="str">
            <v>قالب نو</v>
          </cell>
          <cell r="H489">
            <v>29087</v>
          </cell>
          <cell r="AF489">
            <v>8.5</v>
          </cell>
          <cell r="AR489">
            <v>12750000</v>
          </cell>
        </row>
        <row r="490">
          <cell r="B490" t="str">
            <v>پخت کلاچ لندکروز</v>
          </cell>
          <cell r="C490" t="str">
            <v>قالب تعمیری</v>
          </cell>
          <cell r="H490" t="str">
            <v>Mc30276-01S</v>
          </cell>
          <cell r="AF490">
            <v>2.5</v>
          </cell>
          <cell r="AR490">
            <v>3750000</v>
          </cell>
        </row>
        <row r="491">
          <cell r="B491" t="str">
            <v>قالب پخت SAF</v>
          </cell>
          <cell r="C491" t="str">
            <v>قالب نو</v>
          </cell>
          <cell r="H491">
            <v>29087</v>
          </cell>
          <cell r="AF491">
            <v>11</v>
          </cell>
          <cell r="AR491">
            <v>16500000</v>
          </cell>
        </row>
        <row r="492">
          <cell r="B492" t="str">
            <v>پخت کلاچ ایسوزو</v>
          </cell>
          <cell r="C492" t="str">
            <v>قالب تعمیری</v>
          </cell>
          <cell r="H492" t="str">
            <v>MC30252-02S</v>
          </cell>
          <cell r="AF492">
            <v>11</v>
          </cell>
          <cell r="AR492">
            <v>8250000</v>
          </cell>
        </row>
        <row r="493">
          <cell r="B493" t="str">
            <v>پخت کلاچ ایسوزو</v>
          </cell>
          <cell r="C493" t="str">
            <v>قالب تعمیری</v>
          </cell>
          <cell r="H493" t="str">
            <v>MC30252-02S</v>
          </cell>
          <cell r="AF493">
            <v>11</v>
          </cell>
          <cell r="AR493">
            <v>8250000</v>
          </cell>
        </row>
        <row r="494">
          <cell r="B494" t="str">
            <v>فوتون 107</v>
          </cell>
          <cell r="C494" t="str">
            <v>قالب تعمیری</v>
          </cell>
          <cell r="H494" t="str">
            <v>MS29983-01S</v>
          </cell>
          <cell r="AF494">
            <v>6.5</v>
          </cell>
          <cell r="AR494">
            <v>4875000</v>
          </cell>
        </row>
        <row r="495">
          <cell r="B495" t="str">
            <v>فوتون 107</v>
          </cell>
          <cell r="C495" t="str">
            <v>قالب تعمیری</v>
          </cell>
          <cell r="H495" t="str">
            <v>MS29983-01S</v>
          </cell>
          <cell r="AF495">
            <v>6.5</v>
          </cell>
          <cell r="AR495">
            <v>4875000</v>
          </cell>
        </row>
        <row r="496">
          <cell r="B496" t="str">
            <v>دریل یزدخواستی کلاچ</v>
          </cell>
          <cell r="C496" t="str">
            <v>قطعه نو</v>
          </cell>
          <cell r="AF496">
            <v>8.5</v>
          </cell>
          <cell r="AR496">
            <v>12750000</v>
          </cell>
        </row>
        <row r="497">
          <cell r="B497" t="str">
            <v>دریل یزدخواستی کلاچ</v>
          </cell>
          <cell r="C497" t="str">
            <v>قطعه نو</v>
          </cell>
          <cell r="AF497">
            <v>9.3333333333333339</v>
          </cell>
          <cell r="AR497">
            <v>14000000</v>
          </cell>
        </row>
        <row r="498">
          <cell r="B498" t="str">
            <v>آغشته کاری</v>
          </cell>
          <cell r="C498" t="str">
            <v>قطعه تعمیری</v>
          </cell>
          <cell r="AF498">
            <v>2</v>
          </cell>
          <cell r="AR498">
            <v>1500000</v>
          </cell>
        </row>
        <row r="499">
          <cell r="B499" t="str">
            <v>سری تراش</v>
          </cell>
          <cell r="C499" t="str">
            <v>قطعه نو</v>
          </cell>
          <cell r="AF499">
            <v>2</v>
          </cell>
          <cell r="AR499">
            <v>1500000</v>
          </cell>
        </row>
        <row r="500">
          <cell r="B500" t="str">
            <v>دستگاه پشم فلز</v>
          </cell>
          <cell r="C500" t="str">
            <v>قطعه تعمیری</v>
          </cell>
          <cell r="AF500">
            <v>3</v>
          </cell>
          <cell r="AR500">
            <v>2250000</v>
          </cell>
        </row>
        <row r="501">
          <cell r="B501" t="str">
            <v>Pin zob ahan</v>
          </cell>
          <cell r="C501" t="str">
            <v>قطعه نو</v>
          </cell>
          <cell r="AF501">
            <v>4</v>
          </cell>
          <cell r="AR501">
            <v>3000000</v>
          </cell>
        </row>
        <row r="502">
          <cell r="B502" t="str">
            <v>Pin zob ahan</v>
          </cell>
          <cell r="C502" t="str">
            <v>قطعه نو</v>
          </cell>
          <cell r="AF502">
            <v>11</v>
          </cell>
          <cell r="AR502">
            <v>8250000</v>
          </cell>
        </row>
        <row r="503">
          <cell r="B503" t="str">
            <v>فوتون 107</v>
          </cell>
          <cell r="C503" t="str">
            <v>قالب تعمیری</v>
          </cell>
          <cell r="H503" t="str">
            <v>MS29983-01S</v>
          </cell>
          <cell r="AF503">
            <v>11</v>
          </cell>
          <cell r="AR503">
            <v>8250000</v>
          </cell>
        </row>
        <row r="504">
          <cell r="B504" t="str">
            <v>پخت عقب پژو 405 شمشی پایه کوتاه</v>
          </cell>
          <cell r="C504" t="str">
            <v>قالب نو</v>
          </cell>
          <cell r="H504">
            <v>30091</v>
          </cell>
          <cell r="AF504">
            <v>1</v>
          </cell>
          <cell r="AR504">
            <v>750000</v>
          </cell>
        </row>
        <row r="505">
          <cell r="B505" t="str">
            <v>قالب پخت SAF</v>
          </cell>
          <cell r="C505" t="str">
            <v>قالب تعمیری</v>
          </cell>
          <cell r="H505">
            <v>29087</v>
          </cell>
          <cell r="AF505">
            <v>4</v>
          </cell>
          <cell r="AR505">
            <v>3000000</v>
          </cell>
        </row>
        <row r="506">
          <cell r="B506" t="str">
            <v>قالب پخت SAF</v>
          </cell>
          <cell r="C506" t="str">
            <v>قالب تعمیری</v>
          </cell>
          <cell r="H506">
            <v>29087</v>
          </cell>
          <cell r="AF506">
            <v>11</v>
          </cell>
          <cell r="AR506">
            <v>8250000</v>
          </cell>
        </row>
        <row r="507">
          <cell r="B507" t="str">
            <v>پخت کلاچ پژو 206 TU5</v>
          </cell>
          <cell r="C507" t="str">
            <v>قالب تعمیری</v>
          </cell>
          <cell r="H507" t="str">
            <v>MC30334-01s</v>
          </cell>
          <cell r="AF507">
            <v>4</v>
          </cell>
          <cell r="AR507">
            <v>3000000</v>
          </cell>
        </row>
        <row r="508">
          <cell r="B508" t="str">
            <v>فوتون 107</v>
          </cell>
          <cell r="C508" t="str">
            <v>قالب تعمیری</v>
          </cell>
          <cell r="H508" t="str">
            <v>MS29983-01S</v>
          </cell>
          <cell r="AF508">
            <v>7</v>
          </cell>
          <cell r="AR508">
            <v>5250000</v>
          </cell>
        </row>
        <row r="509">
          <cell r="B509" t="str">
            <v>قالب پخت کلاچ پژو 405</v>
          </cell>
          <cell r="C509" t="str">
            <v>قالب تعمیری</v>
          </cell>
          <cell r="AF509">
            <v>3</v>
          </cell>
          <cell r="AR509">
            <v>2250000</v>
          </cell>
        </row>
        <row r="510">
          <cell r="B510" t="str">
            <v>دستگاه پرس 600 تن</v>
          </cell>
          <cell r="C510" t="str">
            <v>قطعه نو</v>
          </cell>
          <cell r="AF510">
            <v>3</v>
          </cell>
          <cell r="AR510">
            <v>2250000</v>
          </cell>
        </row>
        <row r="511">
          <cell r="B511" t="str">
            <v>پخت کلاچ پژو 206 TU5</v>
          </cell>
          <cell r="C511" t="str">
            <v>قالب تعمیری</v>
          </cell>
          <cell r="H511" t="str">
            <v>MC30334-01s</v>
          </cell>
          <cell r="AF511">
            <v>3</v>
          </cell>
          <cell r="AR511">
            <v>2250000</v>
          </cell>
        </row>
        <row r="512">
          <cell r="B512" t="str">
            <v>قالب عقب F12</v>
          </cell>
          <cell r="C512" t="str">
            <v>قالب نو</v>
          </cell>
          <cell r="AF512">
            <v>2</v>
          </cell>
          <cell r="AR512">
            <v>1500000</v>
          </cell>
        </row>
        <row r="513">
          <cell r="B513" t="str">
            <v>قالب شمشی عقب پیکان</v>
          </cell>
          <cell r="C513" t="str">
            <v>قالب نو</v>
          </cell>
          <cell r="AF513">
            <v>2</v>
          </cell>
          <cell r="AR513">
            <v>1500000</v>
          </cell>
        </row>
        <row r="514">
          <cell r="B514" t="str">
            <v>قالب شمشی عقب پیکان</v>
          </cell>
          <cell r="C514" t="str">
            <v>قالب نو</v>
          </cell>
          <cell r="AF514">
            <v>2</v>
          </cell>
          <cell r="AR514">
            <v>1500000</v>
          </cell>
        </row>
        <row r="515">
          <cell r="B515" t="str">
            <v>قالب پخت کلاچ پژو 405</v>
          </cell>
          <cell r="C515" t="str">
            <v>قالب تعمیری</v>
          </cell>
          <cell r="AF515">
            <v>2</v>
          </cell>
          <cell r="AR515">
            <v>1500000</v>
          </cell>
        </row>
        <row r="516">
          <cell r="B516" t="str">
            <v>قالب مترو مشهد</v>
          </cell>
          <cell r="C516" t="str">
            <v>قالب تعمیری</v>
          </cell>
          <cell r="AF516">
            <v>3</v>
          </cell>
          <cell r="AR516">
            <v>2250000</v>
          </cell>
        </row>
        <row r="517">
          <cell r="B517" t="str">
            <v>ساب ترابوزا</v>
          </cell>
          <cell r="C517" t="str">
            <v>قطعه نو</v>
          </cell>
          <cell r="AF517">
            <v>5</v>
          </cell>
          <cell r="AR517">
            <v>3750000</v>
          </cell>
        </row>
        <row r="518">
          <cell r="B518" t="str">
            <v>آغشته کاری</v>
          </cell>
          <cell r="C518" t="str">
            <v>قطعه تعمیری</v>
          </cell>
          <cell r="AF518">
            <v>1</v>
          </cell>
          <cell r="AR518">
            <v>750000</v>
          </cell>
        </row>
        <row r="519">
          <cell r="B519" t="str">
            <v>ساب سمباده ای</v>
          </cell>
          <cell r="C519" t="str">
            <v>قطعه تعمیری</v>
          </cell>
          <cell r="AF519">
            <v>2</v>
          </cell>
          <cell r="AR519">
            <v>1500000</v>
          </cell>
        </row>
        <row r="520">
          <cell r="B520" t="str">
            <v>ویوینگ</v>
          </cell>
          <cell r="C520" t="str">
            <v>قطعه نو</v>
          </cell>
          <cell r="AF520">
            <v>3</v>
          </cell>
          <cell r="AR520">
            <v>2250000</v>
          </cell>
        </row>
        <row r="521">
          <cell r="B521" t="str">
            <v>ویوینگ</v>
          </cell>
          <cell r="C521" t="str">
            <v>قطعه تعمیری</v>
          </cell>
          <cell r="AF521">
            <v>3</v>
          </cell>
          <cell r="AR521">
            <v>2250000</v>
          </cell>
        </row>
        <row r="522">
          <cell r="B522" t="str">
            <v>دستگاه پرس 600 تن</v>
          </cell>
          <cell r="C522" t="str">
            <v>قطعه نو</v>
          </cell>
          <cell r="AF522">
            <v>6</v>
          </cell>
          <cell r="AR522">
            <v>4500000</v>
          </cell>
        </row>
        <row r="523">
          <cell r="B523" t="str">
            <v>ویوینگ</v>
          </cell>
          <cell r="C523" t="str">
            <v>قطعه تعمیری</v>
          </cell>
          <cell r="AF523">
            <v>0.5</v>
          </cell>
          <cell r="AR523">
            <v>375000</v>
          </cell>
        </row>
        <row r="524">
          <cell r="B524" t="str">
            <v>آغشته کاری</v>
          </cell>
          <cell r="C524" t="str">
            <v>قطعه تعمیری</v>
          </cell>
          <cell r="AF524">
            <v>0.5</v>
          </cell>
          <cell r="AR524">
            <v>375000</v>
          </cell>
        </row>
        <row r="525">
          <cell r="B525" t="str">
            <v>قالب پخت کلاچ پژو 405</v>
          </cell>
          <cell r="C525" t="str">
            <v>قالب تعمیری</v>
          </cell>
          <cell r="AF525">
            <v>3</v>
          </cell>
          <cell r="AR525">
            <v>2250000</v>
          </cell>
        </row>
        <row r="526">
          <cell r="B526" t="str">
            <v>پخت کلاچ پژو 206 TU5</v>
          </cell>
          <cell r="C526" t="str">
            <v>قالب تعمیری</v>
          </cell>
          <cell r="H526" t="str">
            <v>MC30334-01s</v>
          </cell>
          <cell r="AF526">
            <v>5</v>
          </cell>
          <cell r="AR526">
            <v>3750000</v>
          </cell>
        </row>
        <row r="527">
          <cell r="B527" t="str">
            <v>آغشته کاری</v>
          </cell>
          <cell r="C527" t="str">
            <v>قطعه تعمیری</v>
          </cell>
          <cell r="AF527">
            <v>1</v>
          </cell>
          <cell r="AR527">
            <v>750000</v>
          </cell>
        </row>
        <row r="528">
          <cell r="B528" t="str">
            <v>ویوینگ</v>
          </cell>
          <cell r="C528" t="str">
            <v>قطعه تعمیری</v>
          </cell>
          <cell r="AF528">
            <v>1</v>
          </cell>
          <cell r="AR528">
            <v>750000</v>
          </cell>
        </row>
        <row r="529">
          <cell r="B529" t="str">
            <v>قالب پخت کلاچ پژو 405</v>
          </cell>
          <cell r="C529" t="str">
            <v>قالب تعمیری</v>
          </cell>
          <cell r="AF529">
            <v>2.5</v>
          </cell>
          <cell r="AR529">
            <v>1875000</v>
          </cell>
        </row>
        <row r="530">
          <cell r="B530" t="str">
            <v>قالب شمشی عقب پیکان</v>
          </cell>
          <cell r="C530" t="str">
            <v>قالب نو</v>
          </cell>
          <cell r="AF530">
            <v>1.5</v>
          </cell>
          <cell r="AR530">
            <v>1125000</v>
          </cell>
        </row>
        <row r="531">
          <cell r="B531" t="str">
            <v>قالب عقب F12</v>
          </cell>
          <cell r="C531" t="str">
            <v>قالب نو</v>
          </cell>
          <cell r="AF531">
            <v>2</v>
          </cell>
          <cell r="AR531">
            <v>1500000</v>
          </cell>
        </row>
        <row r="532">
          <cell r="B532" t="str">
            <v>قالب پخت کلاچ پژو 405</v>
          </cell>
          <cell r="C532" t="str">
            <v>قالب تعمیری</v>
          </cell>
          <cell r="AF532">
            <v>1</v>
          </cell>
          <cell r="AR532">
            <v>750000</v>
          </cell>
        </row>
        <row r="533">
          <cell r="B533" t="str">
            <v>قالب پخت SAF</v>
          </cell>
          <cell r="C533" t="str">
            <v>قالب تعمیری</v>
          </cell>
          <cell r="H533">
            <v>29087</v>
          </cell>
          <cell r="AF533">
            <v>12</v>
          </cell>
          <cell r="AR533">
            <v>9000000</v>
          </cell>
        </row>
        <row r="534">
          <cell r="B534" t="str">
            <v>نگهدارنده پلاک قالب</v>
          </cell>
          <cell r="C534" t="str">
            <v>قطعه نو</v>
          </cell>
          <cell r="AF534">
            <v>6</v>
          </cell>
          <cell r="AR534">
            <v>4500000</v>
          </cell>
        </row>
        <row r="535">
          <cell r="B535" t="str">
            <v>Pin zob ahan</v>
          </cell>
          <cell r="C535" t="str">
            <v>قطعه نو</v>
          </cell>
          <cell r="AF535">
            <v>2</v>
          </cell>
          <cell r="AR535">
            <v>1500000</v>
          </cell>
        </row>
        <row r="536">
          <cell r="B536" t="str">
            <v>قلم ریو</v>
          </cell>
          <cell r="C536" t="str">
            <v>قطعه تعمیری</v>
          </cell>
          <cell r="AF536">
            <v>3</v>
          </cell>
          <cell r="AR536">
            <v>2250000</v>
          </cell>
        </row>
        <row r="537">
          <cell r="B537" t="str">
            <v>قالب پخت کلاچ پژو 405</v>
          </cell>
          <cell r="C537" t="str">
            <v>قالب تعمیری</v>
          </cell>
          <cell r="AF537">
            <v>12</v>
          </cell>
          <cell r="AR537">
            <v>9000000</v>
          </cell>
        </row>
        <row r="538">
          <cell r="B538" t="str">
            <v>دستگاه پرس 600 تن</v>
          </cell>
          <cell r="C538" t="str">
            <v>قطعه نو</v>
          </cell>
          <cell r="AF538">
            <v>12</v>
          </cell>
          <cell r="AR538">
            <v>9000000</v>
          </cell>
        </row>
        <row r="539">
          <cell r="B539" t="str">
            <v>فوتون 107</v>
          </cell>
          <cell r="C539" t="str">
            <v>قالب تعمیری</v>
          </cell>
          <cell r="H539" t="str">
            <v>MS29983-01S</v>
          </cell>
          <cell r="AF539">
            <v>11</v>
          </cell>
          <cell r="AR539">
            <v>8250000</v>
          </cell>
        </row>
        <row r="540">
          <cell r="B540" t="str">
            <v>فوتون 107</v>
          </cell>
          <cell r="C540" t="str">
            <v>قالب تعمیری</v>
          </cell>
          <cell r="H540" t="str">
            <v>MS29983-01S</v>
          </cell>
          <cell r="AF540">
            <v>11</v>
          </cell>
          <cell r="AR540">
            <v>8250000</v>
          </cell>
        </row>
        <row r="541">
          <cell r="B541" t="str">
            <v>قلم ریو</v>
          </cell>
          <cell r="C541" t="str">
            <v>قطعه تعمیری</v>
          </cell>
          <cell r="AF541">
            <v>2</v>
          </cell>
          <cell r="AR541">
            <v>1500000</v>
          </cell>
        </row>
        <row r="542">
          <cell r="B542" t="str">
            <v>قالب پخت کلاچ پژو 405</v>
          </cell>
          <cell r="C542" t="str">
            <v>قالب تعمیری</v>
          </cell>
          <cell r="AF542">
            <v>3</v>
          </cell>
          <cell r="AR542">
            <v>2250000</v>
          </cell>
        </row>
        <row r="543">
          <cell r="B543" t="str">
            <v>عقب لیفتراک</v>
          </cell>
          <cell r="C543" t="str">
            <v>قطعه نو</v>
          </cell>
          <cell r="AF543">
            <v>1</v>
          </cell>
          <cell r="AR543">
            <v>750000</v>
          </cell>
        </row>
        <row r="544">
          <cell r="B544" t="str">
            <v>نگهدارنده پلاک قالب</v>
          </cell>
          <cell r="C544" t="str">
            <v>قطعه نو</v>
          </cell>
          <cell r="AF544">
            <v>8</v>
          </cell>
          <cell r="AR544">
            <v>6000000</v>
          </cell>
        </row>
        <row r="545">
          <cell r="B545" t="str">
            <v>پین عقب پژو 405</v>
          </cell>
          <cell r="C545" t="str">
            <v>قطعه نو</v>
          </cell>
          <cell r="AF545">
            <v>6.166666666666667</v>
          </cell>
          <cell r="AR545">
            <v>4625000</v>
          </cell>
        </row>
        <row r="546">
          <cell r="B546" t="str">
            <v>فوتون 107</v>
          </cell>
          <cell r="C546" t="str">
            <v>قالب تعمیری</v>
          </cell>
          <cell r="H546" t="str">
            <v>MS29983-01S</v>
          </cell>
          <cell r="AF546">
            <v>1.5</v>
          </cell>
          <cell r="AR546">
            <v>1125000</v>
          </cell>
        </row>
        <row r="547">
          <cell r="B547" t="str">
            <v>دستگاه پرس 600 تن</v>
          </cell>
          <cell r="C547" t="str">
            <v>قطعه نو</v>
          </cell>
          <cell r="AF547">
            <v>3</v>
          </cell>
          <cell r="AR547">
            <v>2250000</v>
          </cell>
        </row>
        <row r="548">
          <cell r="B548" t="str">
            <v>بک پلیت ذوب آهن</v>
          </cell>
          <cell r="C548" t="str">
            <v>قطعه تعمیری</v>
          </cell>
          <cell r="AF548">
            <v>2</v>
          </cell>
          <cell r="AR548">
            <v>1500000</v>
          </cell>
        </row>
        <row r="549">
          <cell r="B549" t="str">
            <v>پرس لودری 70021</v>
          </cell>
          <cell r="C549" t="str">
            <v>قالب تعمیری</v>
          </cell>
          <cell r="AF549">
            <v>11</v>
          </cell>
          <cell r="AR549">
            <v>8250000</v>
          </cell>
        </row>
        <row r="550">
          <cell r="B550" t="str">
            <v>Pin zob ahan</v>
          </cell>
          <cell r="C550" t="str">
            <v>قطعه نو</v>
          </cell>
          <cell r="AF550">
            <v>11</v>
          </cell>
          <cell r="AR550">
            <v>8250000</v>
          </cell>
        </row>
        <row r="551">
          <cell r="B551" t="str">
            <v>پخت عقب پژو 405 شمشی پایه کوتاه</v>
          </cell>
          <cell r="C551" t="str">
            <v>قالب نو</v>
          </cell>
          <cell r="AF551">
            <v>10</v>
          </cell>
          <cell r="AR551">
            <v>7500000</v>
          </cell>
        </row>
        <row r="552">
          <cell r="B552" t="str">
            <v>ساب سمباده ای</v>
          </cell>
          <cell r="C552" t="str">
            <v>قطعه تعمیری</v>
          </cell>
          <cell r="AF552">
            <v>1</v>
          </cell>
          <cell r="AR552">
            <v>750000</v>
          </cell>
        </row>
        <row r="553">
          <cell r="B553" t="str">
            <v>پخت کلاچ ایسوزو</v>
          </cell>
          <cell r="C553" t="str">
            <v>قالب تعمیری</v>
          </cell>
          <cell r="H553" t="str">
            <v>MC30252-02S</v>
          </cell>
          <cell r="AF553">
            <v>11</v>
          </cell>
          <cell r="AR553">
            <v>16500000</v>
          </cell>
        </row>
        <row r="554">
          <cell r="B554" t="str">
            <v>قالب پخت SAF</v>
          </cell>
          <cell r="C554" t="str">
            <v>قالب نو</v>
          </cell>
          <cell r="H554">
            <v>29087</v>
          </cell>
          <cell r="AF554">
            <v>5.5</v>
          </cell>
          <cell r="AR554">
            <v>8250000</v>
          </cell>
        </row>
        <row r="555">
          <cell r="B555" t="str">
            <v>پخت عقب پژو 405 شمشی پایه کوتاه</v>
          </cell>
          <cell r="C555" t="str">
            <v>قالب نو</v>
          </cell>
          <cell r="AF555">
            <v>5.5</v>
          </cell>
          <cell r="AR555">
            <v>8250000</v>
          </cell>
        </row>
        <row r="556">
          <cell r="B556" t="str">
            <v>دریل یزدخواستی کلاچ</v>
          </cell>
          <cell r="C556" t="str">
            <v>قطعه نو</v>
          </cell>
          <cell r="AF556">
            <v>4.5</v>
          </cell>
          <cell r="AR556">
            <v>6750000</v>
          </cell>
        </row>
        <row r="557">
          <cell r="B557" t="str">
            <v>سوراخکاری پیلسان</v>
          </cell>
          <cell r="C557" t="str">
            <v>قطعه نو</v>
          </cell>
          <cell r="H557">
            <v>29385</v>
          </cell>
          <cell r="AF557">
            <v>4.5</v>
          </cell>
          <cell r="AR557">
            <v>6750000</v>
          </cell>
        </row>
        <row r="558">
          <cell r="B558" t="str">
            <v>دریل یزدخواستی کلاچ</v>
          </cell>
          <cell r="C558" t="str">
            <v>قطعه نو</v>
          </cell>
          <cell r="AF558">
            <v>2</v>
          </cell>
          <cell r="AR558">
            <v>3000000</v>
          </cell>
        </row>
        <row r="559">
          <cell r="B559" t="str">
            <v>قالب پخت SAF</v>
          </cell>
          <cell r="C559" t="str">
            <v>قالب نو</v>
          </cell>
          <cell r="H559">
            <v>29087</v>
          </cell>
          <cell r="AF559">
            <v>11</v>
          </cell>
          <cell r="AR559">
            <v>8250000</v>
          </cell>
        </row>
        <row r="560">
          <cell r="B560" t="str">
            <v>قالب مترو مشهد</v>
          </cell>
          <cell r="C560" t="str">
            <v>قالب تعمیری</v>
          </cell>
          <cell r="AF560">
            <v>4</v>
          </cell>
          <cell r="AR560">
            <v>3000000</v>
          </cell>
        </row>
        <row r="561">
          <cell r="B561" t="str">
            <v>قالب مترو مشهد</v>
          </cell>
          <cell r="C561" t="str">
            <v>قالب تعمیری</v>
          </cell>
          <cell r="AF561">
            <v>4</v>
          </cell>
          <cell r="AR561">
            <v>3000000</v>
          </cell>
        </row>
        <row r="562">
          <cell r="B562" t="str">
            <v>فوتون 107</v>
          </cell>
          <cell r="C562" t="str">
            <v>قالب تعمیری</v>
          </cell>
          <cell r="H562" t="str">
            <v>MS29983-01S</v>
          </cell>
          <cell r="AF562">
            <v>2</v>
          </cell>
          <cell r="AR562">
            <v>1500000</v>
          </cell>
        </row>
        <row r="563">
          <cell r="B563" t="str">
            <v>نک آرایش BPW تاجدار</v>
          </cell>
          <cell r="C563" t="str">
            <v>قالب تعمیری</v>
          </cell>
          <cell r="AF563">
            <v>1</v>
          </cell>
          <cell r="AR563">
            <v>750000</v>
          </cell>
        </row>
        <row r="564">
          <cell r="B564" t="str">
            <v>میکس</v>
          </cell>
          <cell r="C564" t="str">
            <v>قطعه تعمیری</v>
          </cell>
          <cell r="AF564">
            <v>4</v>
          </cell>
          <cell r="AR564">
            <v>3000000</v>
          </cell>
        </row>
        <row r="565">
          <cell r="B565" t="str">
            <v>ساب کونیک</v>
          </cell>
          <cell r="C565" t="str">
            <v>قطعه تعمیری</v>
          </cell>
          <cell r="AF565">
            <v>1</v>
          </cell>
          <cell r="AR565">
            <v>750000</v>
          </cell>
        </row>
        <row r="566">
          <cell r="B566" t="str">
            <v>ویوینگ</v>
          </cell>
          <cell r="C566" t="str">
            <v>قطعه تعمیری</v>
          </cell>
          <cell r="AF566">
            <v>0.5</v>
          </cell>
          <cell r="AR566">
            <v>375000</v>
          </cell>
        </row>
        <row r="567">
          <cell r="B567" t="str">
            <v>ساب کونیک</v>
          </cell>
          <cell r="C567" t="str">
            <v>قطعه تعمیری</v>
          </cell>
          <cell r="AF567">
            <v>2</v>
          </cell>
          <cell r="AR567">
            <v>1500000</v>
          </cell>
        </row>
        <row r="568">
          <cell r="B568" t="str">
            <v>ساب سمباده ای</v>
          </cell>
          <cell r="C568" t="str">
            <v>قطعه تعمیری</v>
          </cell>
          <cell r="AF568">
            <v>2</v>
          </cell>
          <cell r="AR568">
            <v>1500000</v>
          </cell>
        </row>
        <row r="569">
          <cell r="B569" t="str">
            <v>فوتون 107</v>
          </cell>
          <cell r="C569" t="str">
            <v>قالب تعمیری</v>
          </cell>
          <cell r="H569" t="str">
            <v>MS29983-01S</v>
          </cell>
          <cell r="AF569">
            <v>12</v>
          </cell>
          <cell r="AR569">
            <v>9000000</v>
          </cell>
        </row>
        <row r="570">
          <cell r="B570" t="str">
            <v>فوتون 107</v>
          </cell>
          <cell r="C570" t="str">
            <v>قالب تعمیری</v>
          </cell>
          <cell r="H570" t="str">
            <v>MS29983-01S</v>
          </cell>
          <cell r="AF570">
            <v>12</v>
          </cell>
          <cell r="AR570">
            <v>9000000</v>
          </cell>
        </row>
        <row r="571">
          <cell r="B571" t="str">
            <v>نگهدارنده پلاک قالب</v>
          </cell>
          <cell r="C571" t="str">
            <v>قطعه نو</v>
          </cell>
          <cell r="AF571">
            <v>12</v>
          </cell>
          <cell r="AR571">
            <v>9000000</v>
          </cell>
        </row>
        <row r="572">
          <cell r="B572" t="str">
            <v>عقب لیفتراک</v>
          </cell>
          <cell r="C572" t="str">
            <v>قطعه نو</v>
          </cell>
          <cell r="AF572">
            <v>6</v>
          </cell>
          <cell r="AR572">
            <v>4500000</v>
          </cell>
        </row>
        <row r="573">
          <cell r="B573" t="str">
            <v>قالب عقب F12</v>
          </cell>
          <cell r="C573" t="str">
            <v>قالب نو</v>
          </cell>
          <cell r="AF573">
            <v>3</v>
          </cell>
          <cell r="AR573">
            <v>2250000</v>
          </cell>
        </row>
        <row r="574">
          <cell r="B574" t="str">
            <v>پخت عقب پژو 405 شمشی پایه کوتاه</v>
          </cell>
          <cell r="C574" t="str">
            <v>قالب نو</v>
          </cell>
          <cell r="H574">
            <v>30091</v>
          </cell>
          <cell r="AF574">
            <v>4</v>
          </cell>
          <cell r="AR574">
            <v>3000000</v>
          </cell>
        </row>
        <row r="575">
          <cell r="B575" t="str">
            <v>قالب عقب F12</v>
          </cell>
          <cell r="C575" t="str">
            <v>قالب نو</v>
          </cell>
          <cell r="AF575">
            <v>3</v>
          </cell>
          <cell r="AR575">
            <v>2250000</v>
          </cell>
        </row>
        <row r="576">
          <cell r="B576" t="str">
            <v>کفشک قطاری</v>
          </cell>
          <cell r="C576" t="str">
            <v>قطعه تعمیری</v>
          </cell>
          <cell r="AF576">
            <v>2</v>
          </cell>
          <cell r="AR576">
            <v>1500000</v>
          </cell>
        </row>
        <row r="577">
          <cell r="B577" t="str">
            <v>کفشک قطاری</v>
          </cell>
          <cell r="C577" t="str">
            <v>قطعه تعمیری</v>
          </cell>
          <cell r="AF577">
            <v>2</v>
          </cell>
          <cell r="AR577">
            <v>1500000</v>
          </cell>
        </row>
        <row r="578">
          <cell r="B578" t="str">
            <v>پخت کلاچ ایویکو سوراخدار</v>
          </cell>
          <cell r="C578" t="str">
            <v>قالب تعمیری</v>
          </cell>
          <cell r="H578" t="str">
            <v>MC30249-01S</v>
          </cell>
          <cell r="AF578">
            <v>2</v>
          </cell>
          <cell r="AR578">
            <v>1500000</v>
          </cell>
        </row>
        <row r="579">
          <cell r="B579" t="str">
            <v>قالب پخت کلاچ</v>
          </cell>
          <cell r="C579" t="str">
            <v>قالب تعمیری</v>
          </cell>
          <cell r="AF579">
            <v>7.5</v>
          </cell>
          <cell r="AR579">
            <v>5625000</v>
          </cell>
        </row>
        <row r="580">
          <cell r="B580" t="str">
            <v>قالب پخت SAF</v>
          </cell>
          <cell r="C580" t="str">
            <v>قالب نو</v>
          </cell>
          <cell r="H580">
            <v>29087</v>
          </cell>
          <cell r="AF580">
            <v>5.5</v>
          </cell>
          <cell r="AR580">
            <v>4125000</v>
          </cell>
        </row>
        <row r="581">
          <cell r="B581" t="str">
            <v>پخت کلاچ پژو 206 TU5</v>
          </cell>
          <cell r="C581" t="str">
            <v>قالب تعمیری</v>
          </cell>
          <cell r="H581" t="str">
            <v>MC30334-01s</v>
          </cell>
          <cell r="AF581">
            <v>2</v>
          </cell>
          <cell r="AR581">
            <v>1500000</v>
          </cell>
        </row>
        <row r="582">
          <cell r="B582" t="str">
            <v>قالب پخت SAF</v>
          </cell>
          <cell r="C582" t="str">
            <v>قالب تعمیری</v>
          </cell>
          <cell r="H582">
            <v>29087</v>
          </cell>
          <cell r="AF582">
            <v>8</v>
          </cell>
          <cell r="AR582">
            <v>6000000</v>
          </cell>
        </row>
        <row r="583">
          <cell r="B583" t="str">
            <v>قالب پخت SAF</v>
          </cell>
          <cell r="C583" t="str">
            <v>قالب تعمیری</v>
          </cell>
          <cell r="H583">
            <v>29087</v>
          </cell>
          <cell r="AF583">
            <v>8</v>
          </cell>
          <cell r="AR583">
            <v>6000000</v>
          </cell>
        </row>
        <row r="584">
          <cell r="B584" t="str">
            <v>قالب پخت SAF</v>
          </cell>
          <cell r="C584" t="str">
            <v>قالب تعمیری</v>
          </cell>
          <cell r="H584">
            <v>29087</v>
          </cell>
          <cell r="AF584">
            <v>8</v>
          </cell>
          <cell r="AR584">
            <v>6000000</v>
          </cell>
        </row>
        <row r="585">
          <cell r="B585" t="str">
            <v>فوتون 107</v>
          </cell>
          <cell r="C585" t="str">
            <v>قالب تعمیری</v>
          </cell>
          <cell r="H585" t="str">
            <v>MS29983-01S</v>
          </cell>
          <cell r="AF585">
            <v>8</v>
          </cell>
          <cell r="AR585">
            <v>6000000</v>
          </cell>
        </row>
        <row r="586">
          <cell r="B586" t="str">
            <v>قطعه بیرونی</v>
          </cell>
          <cell r="C586" t="str">
            <v>قطعه تعمیری</v>
          </cell>
          <cell r="AF586">
            <v>8</v>
          </cell>
          <cell r="AR586">
            <v>6000000</v>
          </cell>
        </row>
        <row r="587">
          <cell r="B587" t="str">
            <v>پخت عقب پژو 405 شمشی پایه کوتاه</v>
          </cell>
          <cell r="C587" t="str">
            <v>قالب نو</v>
          </cell>
          <cell r="H587">
            <v>30091</v>
          </cell>
          <cell r="AF587">
            <v>7.5</v>
          </cell>
          <cell r="AR587">
            <v>11250000</v>
          </cell>
        </row>
        <row r="588">
          <cell r="B588" t="str">
            <v>پخت کلاچ ایسوزو</v>
          </cell>
          <cell r="C588" t="str">
            <v>قالب تعمیری</v>
          </cell>
          <cell r="H588" t="str">
            <v>MC30252-02S</v>
          </cell>
          <cell r="AF588">
            <v>7.5</v>
          </cell>
          <cell r="AR588">
            <v>11250000</v>
          </cell>
        </row>
        <row r="589">
          <cell r="B589" t="str">
            <v>دستگاه پرس 600 تن</v>
          </cell>
          <cell r="C589" t="str">
            <v>قطعه نو</v>
          </cell>
          <cell r="AF589">
            <v>3</v>
          </cell>
          <cell r="AR589">
            <v>2250000</v>
          </cell>
        </row>
        <row r="590">
          <cell r="B590" t="str">
            <v>نوار نقاله</v>
          </cell>
          <cell r="C590" t="str">
            <v>قطعه نو</v>
          </cell>
          <cell r="AF590">
            <v>2</v>
          </cell>
          <cell r="AR590">
            <v>1500000</v>
          </cell>
        </row>
        <row r="591">
          <cell r="B591" t="str">
            <v>نوار نقاله</v>
          </cell>
          <cell r="C591" t="str">
            <v>قطعه نو</v>
          </cell>
          <cell r="AF591">
            <v>1</v>
          </cell>
          <cell r="AR591">
            <v>750000</v>
          </cell>
        </row>
        <row r="592">
          <cell r="B592" t="str">
            <v>میکس</v>
          </cell>
          <cell r="C592" t="str">
            <v>قطعه تعمیری</v>
          </cell>
          <cell r="AF592">
            <v>2</v>
          </cell>
          <cell r="AR592">
            <v>1500000</v>
          </cell>
        </row>
        <row r="593">
          <cell r="B593" t="str">
            <v>Pin zob ahan</v>
          </cell>
          <cell r="C593" t="str">
            <v>قطعه نو</v>
          </cell>
          <cell r="AF593">
            <v>7.5</v>
          </cell>
          <cell r="AR593">
            <v>5625000</v>
          </cell>
        </row>
        <row r="594">
          <cell r="B594" t="str">
            <v>پخت کلاچ پراید</v>
          </cell>
          <cell r="C594" t="str">
            <v>قالب تعمیری</v>
          </cell>
          <cell r="H594">
            <v>8</v>
          </cell>
          <cell r="AF594">
            <v>4</v>
          </cell>
          <cell r="AR594">
            <v>3000000</v>
          </cell>
        </row>
        <row r="595">
          <cell r="B595" t="str">
            <v>پخت عقب پژو 405 شمشی پایه کوتاه</v>
          </cell>
          <cell r="C595" t="str">
            <v>قالب نو</v>
          </cell>
          <cell r="H595">
            <v>30091</v>
          </cell>
          <cell r="AF595">
            <v>1</v>
          </cell>
          <cell r="AR595">
            <v>750000</v>
          </cell>
        </row>
        <row r="596">
          <cell r="B596" t="str">
            <v>پخت عقب پژو 405 شمشی پایه کوتاه</v>
          </cell>
          <cell r="C596" t="str">
            <v>قالب نو</v>
          </cell>
          <cell r="AF596">
            <v>1</v>
          </cell>
          <cell r="AR596">
            <v>750000</v>
          </cell>
        </row>
        <row r="597">
          <cell r="B597" t="str">
            <v>پخت کلاچ ایویکو سوراخدار</v>
          </cell>
          <cell r="C597" t="str">
            <v>قالب تعمیری</v>
          </cell>
          <cell r="H597" t="str">
            <v>MC30249-01S</v>
          </cell>
          <cell r="AF597">
            <v>1</v>
          </cell>
          <cell r="AR597">
            <v>750000</v>
          </cell>
        </row>
        <row r="598">
          <cell r="B598" t="str">
            <v>پخت عقب پژو 405 شمشی پایه کوتاه</v>
          </cell>
          <cell r="C598" t="str">
            <v>قالب نو</v>
          </cell>
          <cell r="AF598">
            <v>5.5</v>
          </cell>
          <cell r="AR598">
            <v>4125000</v>
          </cell>
        </row>
        <row r="599">
          <cell r="B599" t="str">
            <v>پخت عقب پژو 405 شمشی پایه کوتاه</v>
          </cell>
          <cell r="C599" t="str">
            <v>قالب نو</v>
          </cell>
          <cell r="H599">
            <v>30091</v>
          </cell>
          <cell r="AF599">
            <v>11</v>
          </cell>
          <cell r="AR599">
            <v>16500000</v>
          </cell>
        </row>
        <row r="600">
          <cell r="B600" t="str">
            <v>پخت کلاچ تیبا راست</v>
          </cell>
          <cell r="C600" t="str">
            <v>قالب نو</v>
          </cell>
          <cell r="AF600">
            <v>11</v>
          </cell>
          <cell r="AR600">
            <v>16500000</v>
          </cell>
        </row>
        <row r="601">
          <cell r="B601" t="str">
            <v>قالب پخت کلاچ</v>
          </cell>
          <cell r="C601" t="str">
            <v>قالب تعمیری</v>
          </cell>
          <cell r="AF601">
            <v>11</v>
          </cell>
          <cell r="AR601">
            <v>8250000</v>
          </cell>
        </row>
        <row r="602">
          <cell r="B602" t="str">
            <v>قالب مینی بوس آریا</v>
          </cell>
          <cell r="C602" t="str">
            <v>قالب نو</v>
          </cell>
          <cell r="H602">
            <v>30303</v>
          </cell>
          <cell r="AF602">
            <v>11</v>
          </cell>
          <cell r="AR602">
            <v>16500000</v>
          </cell>
        </row>
        <row r="603">
          <cell r="B603" t="str">
            <v>فوتون 107</v>
          </cell>
          <cell r="C603" t="str">
            <v>قالب تعمیری</v>
          </cell>
          <cell r="H603" t="str">
            <v>MS29983-01S</v>
          </cell>
          <cell r="AF603">
            <v>6</v>
          </cell>
          <cell r="AR603">
            <v>4500000</v>
          </cell>
        </row>
        <row r="604">
          <cell r="B604" t="str">
            <v>قالب پخت کلاچ</v>
          </cell>
          <cell r="C604" t="str">
            <v>قالب تعمیری</v>
          </cell>
          <cell r="AF604">
            <v>0.5</v>
          </cell>
          <cell r="AR604">
            <v>375000</v>
          </cell>
        </row>
        <row r="605">
          <cell r="B605" t="str">
            <v>پخت کلاچ لندکروز</v>
          </cell>
          <cell r="C605" t="str">
            <v>قالب تعمیری</v>
          </cell>
          <cell r="H605" t="str">
            <v>Mc30276-01S</v>
          </cell>
          <cell r="AF605">
            <v>5.5</v>
          </cell>
          <cell r="AR605">
            <v>4125000</v>
          </cell>
        </row>
        <row r="606">
          <cell r="B606" t="str">
            <v>Pin zob ahan</v>
          </cell>
          <cell r="C606" t="str">
            <v>قطعه نو</v>
          </cell>
          <cell r="AF606">
            <v>2.5</v>
          </cell>
          <cell r="AR606">
            <v>1875000</v>
          </cell>
        </row>
        <row r="607">
          <cell r="B607" t="str">
            <v>پخت 300 تن</v>
          </cell>
          <cell r="C607" t="str">
            <v>قطعه نو</v>
          </cell>
          <cell r="AF607">
            <v>5</v>
          </cell>
          <cell r="AR607">
            <v>3750000</v>
          </cell>
        </row>
        <row r="608">
          <cell r="B608" t="str">
            <v>پخت 300 تن</v>
          </cell>
          <cell r="C608" t="str">
            <v>قطعه نو</v>
          </cell>
          <cell r="AF608">
            <v>2</v>
          </cell>
          <cell r="AR608">
            <v>1500000</v>
          </cell>
        </row>
        <row r="609">
          <cell r="B609" t="str">
            <v>پخت کلاچ پژو 206 TU5</v>
          </cell>
          <cell r="C609" t="str">
            <v>قالب تعمیری</v>
          </cell>
          <cell r="H609" t="str">
            <v>MC30334-01s</v>
          </cell>
          <cell r="AF609">
            <v>8</v>
          </cell>
          <cell r="AR609">
            <v>6000000</v>
          </cell>
        </row>
        <row r="610">
          <cell r="B610" t="str">
            <v>توری میدل باس</v>
          </cell>
          <cell r="C610" t="str">
            <v>قالب تعمیری</v>
          </cell>
          <cell r="AF610">
            <v>1</v>
          </cell>
          <cell r="AR610">
            <v>750000</v>
          </cell>
        </row>
        <row r="611">
          <cell r="B611" t="str">
            <v>توری میدل باس</v>
          </cell>
          <cell r="C611" t="str">
            <v>قالب تعمیری</v>
          </cell>
          <cell r="AF611">
            <v>1</v>
          </cell>
          <cell r="AR611">
            <v>750000</v>
          </cell>
        </row>
        <row r="612">
          <cell r="B612" t="str">
            <v>پخت کلاچ لندکروز</v>
          </cell>
          <cell r="C612" t="str">
            <v>قالب تعمیری</v>
          </cell>
          <cell r="H612" t="str">
            <v>Mc30276-01S</v>
          </cell>
          <cell r="AF612">
            <v>1</v>
          </cell>
          <cell r="AR612">
            <v>750000</v>
          </cell>
        </row>
        <row r="613">
          <cell r="B613" t="str">
            <v>قالب شمشی عقب پیکان</v>
          </cell>
          <cell r="C613" t="str">
            <v>قالب نو</v>
          </cell>
          <cell r="AF613">
            <v>12</v>
          </cell>
          <cell r="AR613">
            <v>9000000</v>
          </cell>
        </row>
        <row r="614">
          <cell r="B614" t="str">
            <v>فوتون 107</v>
          </cell>
          <cell r="C614" t="str">
            <v>قالب تعمیری</v>
          </cell>
          <cell r="H614" t="str">
            <v>MS29983-01S</v>
          </cell>
          <cell r="AF614">
            <v>12</v>
          </cell>
          <cell r="AR614">
            <v>9000000</v>
          </cell>
        </row>
        <row r="615">
          <cell r="B615" t="str">
            <v>دستگاه CNC</v>
          </cell>
          <cell r="C615" t="str">
            <v>قطعه نو</v>
          </cell>
          <cell r="AF615">
            <v>3</v>
          </cell>
          <cell r="AR615">
            <v>2250000</v>
          </cell>
        </row>
        <row r="616">
          <cell r="B616" t="str">
            <v>ساب کف گرگی</v>
          </cell>
          <cell r="C616" t="str">
            <v>قطعه تعمیری</v>
          </cell>
          <cell r="AF616">
            <v>2</v>
          </cell>
          <cell r="AR616">
            <v>1500000</v>
          </cell>
        </row>
        <row r="617">
          <cell r="B617" t="str">
            <v>نوار نقاله</v>
          </cell>
          <cell r="C617" t="str">
            <v>قطعه نو</v>
          </cell>
          <cell r="AF617">
            <v>3</v>
          </cell>
          <cell r="AR617">
            <v>2250000</v>
          </cell>
        </row>
        <row r="618">
          <cell r="B618" t="str">
            <v>نوار نقاله</v>
          </cell>
          <cell r="C618" t="str">
            <v>قطعه نو</v>
          </cell>
          <cell r="AF618">
            <v>12</v>
          </cell>
          <cell r="AR618">
            <v>9000000</v>
          </cell>
        </row>
        <row r="619">
          <cell r="B619" t="str">
            <v>دستگاه پرس 600 تن</v>
          </cell>
          <cell r="C619" t="str">
            <v>قطعه نو</v>
          </cell>
          <cell r="AF619">
            <v>2</v>
          </cell>
          <cell r="AR619">
            <v>1500000</v>
          </cell>
        </row>
        <row r="620">
          <cell r="B620" t="str">
            <v>کمپرسور باد</v>
          </cell>
          <cell r="C620" t="str">
            <v>قطعه نو</v>
          </cell>
          <cell r="AF620">
            <v>1</v>
          </cell>
          <cell r="AR620">
            <v>750000</v>
          </cell>
        </row>
        <row r="621">
          <cell r="B621" t="str">
            <v>قالب عقب F12</v>
          </cell>
          <cell r="C621" t="str">
            <v>قالب نو</v>
          </cell>
          <cell r="AF621">
            <v>3</v>
          </cell>
          <cell r="AR621">
            <v>2250000</v>
          </cell>
        </row>
        <row r="622">
          <cell r="B622" t="str">
            <v>نوار نقاله</v>
          </cell>
          <cell r="C622" t="str">
            <v>قطعه نو</v>
          </cell>
          <cell r="AF622">
            <v>2</v>
          </cell>
          <cell r="AR622">
            <v>1500000</v>
          </cell>
        </row>
        <row r="623">
          <cell r="B623" t="str">
            <v>پین عقب پژو 405</v>
          </cell>
          <cell r="C623" t="str">
            <v>قطعه نو</v>
          </cell>
          <cell r="AF623">
            <v>4</v>
          </cell>
          <cell r="AR623">
            <v>3000000</v>
          </cell>
        </row>
        <row r="624">
          <cell r="B624" t="str">
            <v>اصول 5S</v>
          </cell>
          <cell r="C624" t="str">
            <v>نظافت</v>
          </cell>
          <cell r="AF624">
            <v>4</v>
          </cell>
        </row>
        <row r="625">
          <cell r="B625" t="str">
            <v>کلمپ زنی</v>
          </cell>
          <cell r="C625" t="str">
            <v>قطعه تعمیری</v>
          </cell>
          <cell r="AF625">
            <v>4</v>
          </cell>
          <cell r="AR625">
            <v>3000000</v>
          </cell>
        </row>
        <row r="626">
          <cell r="AF626">
            <v>0</v>
          </cell>
        </row>
        <row r="627">
          <cell r="AF627">
            <v>0</v>
          </cell>
        </row>
        <row r="628">
          <cell r="AF628">
            <v>0</v>
          </cell>
        </row>
        <row r="629">
          <cell r="AF629">
            <v>0</v>
          </cell>
        </row>
        <row r="630">
          <cell r="AF630">
            <v>0</v>
          </cell>
        </row>
        <row r="631">
          <cell r="AF631">
            <v>0</v>
          </cell>
        </row>
        <row r="632">
          <cell r="AF632">
            <v>0</v>
          </cell>
        </row>
        <row r="633">
          <cell r="AF633">
            <v>0</v>
          </cell>
        </row>
        <row r="634">
          <cell r="AF634">
            <v>0</v>
          </cell>
        </row>
        <row r="635">
          <cell r="AF635">
            <v>0</v>
          </cell>
        </row>
        <row r="636">
          <cell r="AF636">
            <v>0</v>
          </cell>
        </row>
        <row r="637">
          <cell r="AF637">
            <v>0</v>
          </cell>
        </row>
        <row r="638">
          <cell r="AF638">
            <v>0</v>
          </cell>
        </row>
        <row r="639">
          <cell r="AF639">
            <v>0</v>
          </cell>
        </row>
        <row r="640">
          <cell r="AF640">
            <v>0</v>
          </cell>
        </row>
        <row r="641">
          <cell r="AF641">
            <v>0</v>
          </cell>
        </row>
        <row r="642">
          <cell r="AF642">
            <v>0</v>
          </cell>
        </row>
        <row r="643">
          <cell r="AF643">
            <v>0</v>
          </cell>
        </row>
        <row r="644">
          <cell r="AF644">
            <v>0</v>
          </cell>
        </row>
        <row r="645">
          <cell r="AF645">
            <v>0</v>
          </cell>
        </row>
        <row r="646">
          <cell r="AF646">
            <v>0</v>
          </cell>
        </row>
        <row r="647">
          <cell r="AF647">
            <v>0</v>
          </cell>
        </row>
        <row r="648">
          <cell r="AF648">
            <v>0</v>
          </cell>
        </row>
        <row r="649">
          <cell r="AF649">
            <v>0</v>
          </cell>
        </row>
        <row r="650">
          <cell r="AF650">
            <v>0</v>
          </cell>
        </row>
        <row r="651">
          <cell r="AF651">
            <v>0</v>
          </cell>
        </row>
        <row r="652">
          <cell r="AF652">
            <v>0</v>
          </cell>
        </row>
        <row r="653">
          <cell r="AF653">
            <v>0</v>
          </cell>
        </row>
        <row r="654">
          <cell r="AF654">
            <v>0</v>
          </cell>
        </row>
        <row r="655">
          <cell r="AF655">
            <v>0</v>
          </cell>
        </row>
        <row r="656">
          <cell r="AF656">
            <v>0</v>
          </cell>
        </row>
        <row r="657">
          <cell r="AF657">
            <v>0</v>
          </cell>
        </row>
        <row r="658">
          <cell r="AF658">
            <v>0</v>
          </cell>
        </row>
        <row r="659">
          <cell r="AF659">
            <v>0</v>
          </cell>
        </row>
        <row r="660">
          <cell r="AF660">
            <v>0</v>
          </cell>
        </row>
        <row r="661">
          <cell r="AF661">
            <v>0</v>
          </cell>
        </row>
        <row r="662">
          <cell r="AF662">
            <v>0</v>
          </cell>
        </row>
        <row r="663">
          <cell r="AF663">
            <v>0</v>
          </cell>
        </row>
        <row r="664">
          <cell r="AF664">
            <v>0</v>
          </cell>
        </row>
        <row r="665">
          <cell r="AF665">
            <v>0</v>
          </cell>
        </row>
        <row r="666">
          <cell r="AF666">
            <v>0</v>
          </cell>
        </row>
        <row r="667">
          <cell r="AF667">
            <v>0</v>
          </cell>
        </row>
        <row r="668">
          <cell r="AF668">
            <v>0</v>
          </cell>
        </row>
        <row r="669">
          <cell r="AF669">
            <v>0</v>
          </cell>
        </row>
        <row r="670">
          <cell r="AF670">
            <v>0</v>
          </cell>
        </row>
        <row r="671">
          <cell r="AF671">
            <v>0</v>
          </cell>
        </row>
        <row r="672">
          <cell r="AF672">
            <v>0</v>
          </cell>
        </row>
        <row r="673">
          <cell r="AF673">
            <v>0</v>
          </cell>
        </row>
        <row r="674">
          <cell r="AF674">
            <v>0</v>
          </cell>
        </row>
        <row r="675">
          <cell r="AF675">
            <v>0</v>
          </cell>
        </row>
        <row r="676">
          <cell r="AF676">
            <v>0</v>
          </cell>
        </row>
        <row r="677">
          <cell r="AF677">
            <v>0</v>
          </cell>
        </row>
        <row r="678">
          <cell r="AF678">
            <v>0</v>
          </cell>
        </row>
        <row r="679">
          <cell r="AF679">
            <v>0</v>
          </cell>
        </row>
        <row r="680">
          <cell r="AF680">
            <v>0</v>
          </cell>
        </row>
        <row r="681">
          <cell r="AF681">
            <v>0</v>
          </cell>
        </row>
        <row r="682">
          <cell r="AF682">
            <v>0</v>
          </cell>
        </row>
        <row r="683">
          <cell r="AF683">
            <v>0</v>
          </cell>
        </row>
        <row r="684">
          <cell r="AF684">
            <v>0</v>
          </cell>
        </row>
        <row r="685">
          <cell r="AF685">
            <v>0</v>
          </cell>
        </row>
        <row r="686">
          <cell r="AF686">
            <v>0</v>
          </cell>
        </row>
        <row r="687">
          <cell r="AF687">
            <v>0</v>
          </cell>
        </row>
        <row r="688">
          <cell r="AF688">
            <v>0</v>
          </cell>
        </row>
        <row r="689">
          <cell r="AF689">
            <v>0</v>
          </cell>
        </row>
        <row r="690">
          <cell r="AF690">
            <v>0</v>
          </cell>
        </row>
        <row r="691">
          <cell r="AF691">
            <v>0</v>
          </cell>
        </row>
        <row r="692">
          <cell r="AF692">
            <v>0</v>
          </cell>
        </row>
        <row r="693">
          <cell r="AF693">
            <v>0</v>
          </cell>
        </row>
        <row r="694">
          <cell r="AF694">
            <v>0</v>
          </cell>
        </row>
        <row r="695">
          <cell r="AF695">
            <v>0</v>
          </cell>
        </row>
        <row r="696">
          <cell r="AF696">
            <v>0</v>
          </cell>
        </row>
        <row r="697">
          <cell r="AF697">
            <v>0</v>
          </cell>
        </row>
        <row r="698">
          <cell r="AF698">
            <v>0</v>
          </cell>
        </row>
        <row r="699">
          <cell r="AF699">
            <v>0</v>
          </cell>
        </row>
        <row r="700">
          <cell r="AF700">
            <v>0</v>
          </cell>
        </row>
        <row r="701">
          <cell r="AF701">
            <v>0</v>
          </cell>
        </row>
        <row r="702">
          <cell r="AF702">
            <v>0</v>
          </cell>
        </row>
        <row r="703">
          <cell r="AF703">
            <v>0</v>
          </cell>
        </row>
        <row r="704">
          <cell r="AF704">
            <v>0</v>
          </cell>
        </row>
        <row r="705">
          <cell r="AF705">
            <v>0</v>
          </cell>
        </row>
        <row r="706">
          <cell r="AF706">
            <v>0</v>
          </cell>
        </row>
        <row r="707">
          <cell r="AF707">
            <v>0</v>
          </cell>
        </row>
        <row r="708">
          <cell r="AF708">
            <v>0</v>
          </cell>
        </row>
        <row r="709">
          <cell r="AF709">
            <v>0</v>
          </cell>
        </row>
        <row r="710">
          <cell r="AF710">
            <v>0</v>
          </cell>
        </row>
        <row r="711">
          <cell r="AF711">
            <v>0</v>
          </cell>
        </row>
        <row r="712">
          <cell r="AF712">
            <v>0</v>
          </cell>
        </row>
        <row r="713">
          <cell r="AF713">
            <v>0</v>
          </cell>
        </row>
        <row r="714">
          <cell r="AF714">
            <v>0</v>
          </cell>
        </row>
        <row r="715">
          <cell r="AF715">
            <v>0</v>
          </cell>
        </row>
        <row r="716">
          <cell r="AF716">
            <v>0</v>
          </cell>
        </row>
        <row r="717">
          <cell r="AF717">
            <v>0</v>
          </cell>
        </row>
        <row r="718">
          <cell r="AF718">
            <v>0</v>
          </cell>
        </row>
        <row r="719">
          <cell r="AF719">
            <v>0</v>
          </cell>
        </row>
        <row r="720">
          <cell r="AF720">
            <v>0</v>
          </cell>
        </row>
        <row r="721">
          <cell r="AF721">
            <v>0</v>
          </cell>
        </row>
        <row r="722">
          <cell r="AF722">
            <v>0</v>
          </cell>
        </row>
        <row r="723">
          <cell r="AF723">
            <v>0</v>
          </cell>
        </row>
        <row r="724">
          <cell r="AF724">
            <v>0</v>
          </cell>
        </row>
        <row r="725">
          <cell r="AF725">
            <v>0</v>
          </cell>
        </row>
        <row r="726">
          <cell r="AF726">
            <v>0</v>
          </cell>
        </row>
        <row r="727">
          <cell r="AF727">
            <v>0</v>
          </cell>
        </row>
        <row r="728">
          <cell r="AF728">
            <v>0</v>
          </cell>
        </row>
        <row r="729">
          <cell r="AF729">
            <v>0</v>
          </cell>
        </row>
        <row r="730">
          <cell r="AF730">
            <v>0</v>
          </cell>
        </row>
        <row r="731">
          <cell r="AF731">
            <v>0</v>
          </cell>
        </row>
        <row r="732">
          <cell r="AF732">
            <v>0</v>
          </cell>
        </row>
        <row r="733">
          <cell r="AF733">
            <v>0</v>
          </cell>
        </row>
        <row r="734">
          <cell r="AF734">
            <v>0</v>
          </cell>
        </row>
        <row r="735">
          <cell r="AF735">
            <v>0</v>
          </cell>
        </row>
        <row r="736">
          <cell r="AF736">
            <v>0</v>
          </cell>
        </row>
        <row r="737">
          <cell r="AF737">
            <v>0</v>
          </cell>
        </row>
        <row r="738">
          <cell r="AF738">
            <v>0</v>
          </cell>
        </row>
        <row r="739">
          <cell r="AF739">
            <v>0</v>
          </cell>
        </row>
        <row r="740">
          <cell r="AF740">
            <v>0</v>
          </cell>
        </row>
        <row r="741">
          <cell r="AF741">
            <v>0</v>
          </cell>
        </row>
        <row r="742">
          <cell r="AF742">
            <v>0</v>
          </cell>
        </row>
        <row r="743">
          <cell r="AF743">
            <v>0</v>
          </cell>
        </row>
        <row r="744">
          <cell r="AF744">
            <v>0</v>
          </cell>
        </row>
        <row r="745">
          <cell r="AF745">
            <v>0</v>
          </cell>
        </row>
        <row r="746">
          <cell r="AF746">
            <v>0</v>
          </cell>
        </row>
        <row r="747">
          <cell r="AF747">
            <v>0</v>
          </cell>
        </row>
        <row r="748">
          <cell r="AF748">
            <v>0</v>
          </cell>
        </row>
        <row r="749">
          <cell r="AF749">
            <v>0</v>
          </cell>
        </row>
        <row r="750">
          <cell r="AF750">
            <v>0</v>
          </cell>
        </row>
        <row r="751">
          <cell r="AF751">
            <v>0</v>
          </cell>
        </row>
        <row r="752">
          <cell r="AF752">
            <v>0</v>
          </cell>
        </row>
        <row r="753">
          <cell r="AF753">
            <v>0</v>
          </cell>
        </row>
        <row r="754">
          <cell r="AF754">
            <v>0</v>
          </cell>
        </row>
        <row r="755">
          <cell r="AF755">
            <v>0</v>
          </cell>
        </row>
        <row r="756">
          <cell r="AF756">
            <v>0</v>
          </cell>
        </row>
        <row r="757">
          <cell r="AF757">
            <v>0</v>
          </cell>
        </row>
        <row r="758">
          <cell r="AF758">
            <v>0</v>
          </cell>
        </row>
        <row r="759">
          <cell r="AF759">
            <v>0</v>
          </cell>
        </row>
        <row r="760">
          <cell r="AF760">
            <v>0</v>
          </cell>
        </row>
        <row r="761">
          <cell r="AF761">
            <v>0</v>
          </cell>
        </row>
        <row r="762">
          <cell r="AF762">
            <v>0</v>
          </cell>
        </row>
        <row r="763">
          <cell r="AF763">
            <v>0</v>
          </cell>
        </row>
        <row r="764">
          <cell r="AF764">
            <v>0</v>
          </cell>
        </row>
        <row r="765">
          <cell r="AF765">
            <v>0</v>
          </cell>
        </row>
        <row r="766">
          <cell r="AF766">
            <v>0</v>
          </cell>
        </row>
        <row r="767">
          <cell r="AF767">
            <v>0</v>
          </cell>
        </row>
        <row r="768">
          <cell r="AF768">
            <v>0</v>
          </cell>
        </row>
        <row r="769">
          <cell r="AF769">
            <v>0</v>
          </cell>
        </row>
        <row r="770">
          <cell r="AF770">
            <v>0</v>
          </cell>
        </row>
        <row r="771">
          <cell r="AF771">
            <v>0</v>
          </cell>
        </row>
        <row r="772">
          <cell r="AF772">
            <v>0</v>
          </cell>
        </row>
        <row r="773">
          <cell r="AF773">
            <v>0</v>
          </cell>
        </row>
        <row r="774">
          <cell r="AF774">
            <v>0</v>
          </cell>
        </row>
        <row r="775">
          <cell r="AF775">
            <v>0</v>
          </cell>
        </row>
        <row r="776">
          <cell r="AF776">
            <v>0</v>
          </cell>
        </row>
        <row r="777">
          <cell r="AF777">
            <v>0</v>
          </cell>
        </row>
        <row r="778">
          <cell r="AF778">
            <v>0</v>
          </cell>
        </row>
        <row r="779">
          <cell r="AF779">
            <v>0</v>
          </cell>
        </row>
        <row r="780">
          <cell r="AF780">
            <v>0</v>
          </cell>
        </row>
        <row r="781">
          <cell r="AF781">
            <v>0</v>
          </cell>
        </row>
        <row r="782">
          <cell r="AF782">
            <v>0</v>
          </cell>
        </row>
        <row r="783">
          <cell r="AF783">
            <v>0</v>
          </cell>
        </row>
        <row r="784">
          <cell r="AF784">
            <v>0</v>
          </cell>
        </row>
        <row r="785">
          <cell r="AF785">
            <v>0</v>
          </cell>
        </row>
        <row r="786">
          <cell r="AF786">
            <v>0</v>
          </cell>
        </row>
        <row r="787">
          <cell r="AF787">
            <v>0</v>
          </cell>
        </row>
        <row r="788">
          <cell r="AF788">
            <v>0</v>
          </cell>
        </row>
        <row r="789">
          <cell r="AF789">
            <v>0</v>
          </cell>
        </row>
        <row r="790">
          <cell r="AF790">
            <v>0</v>
          </cell>
        </row>
        <row r="791">
          <cell r="AF791">
            <v>0</v>
          </cell>
        </row>
        <row r="792">
          <cell r="AF792">
            <v>0</v>
          </cell>
        </row>
        <row r="793">
          <cell r="AF793">
            <v>0</v>
          </cell>
        </row>
        <row r="794">
          <cell r="AF794">
            <v>0</v>
          </cell>
        </row>
        <row r="795">
          <cell r="AF795">
            <v>0</v>
          </cell>
        </row>
        <row r="796">
          <cell r="AF796">
            <v>0</v>
          </cell>
        </row>
        <row r="797">
          <cell r="AF797">
            <v>0</v>
          </cell>
        </row>
        <row r="798">
          <cell r="AF798">
            <v>0</v>
          </cell>
        </row>
        <row r="799">
          <cell r="AF799">
            <v>0</v>
          </cell>
        </row>
        <row r="800">
          <cell r="AF800">
            <v>0</v>
          </cell>
        </row>
      </sheetData>
      <sheetData sheetId="5">
        <row r="4">
          <cell r="B4" t="str">
            <v>پخت کلاچ تیبا راست</v>
          </cell>
          <cell r="C4" t="str">
            <v>قالب نو</v>
          </cell>
          <cell r="AF4">
            <v>11</v>
          </cell>
          <cell r="AR4">
            <v>16500000</v>
          </cell>
        </row>
        <row r="5">
          <cell r="B5" t="str">
            <v>قالب پخت کلاچ</v>
          </cell>
          <cell r="C5" t="str">
            <v>قالب تعمیری</v>
          </cell>
          <cell r="AF5">
            <v>11</v>
          </cell>
          <cell r="AR5">
            <v>8250000</v>
          </cell>
        </row>
        <row r="6">
          <cell r="B6" t="str">
            <v>قالب پخت کلاچ</v>
          </cell>
          <cell r="C6" t="str">
            <v>قالب تعمیری</v>
          </cell>
          <cell r="AF6">
            <v>6.5</v>
          </cell>
          <cell r="AR6">
            <v>4875000</v>
          </cell>
        </row>
        <row r="7">
          <cell r="B7" t="str">
            <v>ساب ترابوزا</v>
          </cell>
          <cell r="C7" t="str">
            <v>قطعه نو</v>
          </cell>
          <cell r="AF7">
            <v>4.75</v>
          </cell>
          <cell r="AR7">
            <v>3562500</v>
          </cell>
        </row>
        <row r="8">
          <cell r="B8" t="str">
            <v>قالب پخت کلاچ</v>
          </cell>
          <cell r="C8" t="str">
            <v>قالب تعمیری</v>
          </cell>
          <cell r="AF8">
            <v>1.75</v>
          </cell>
          <cell r="AR8">
            <v>1312500</v>
          </cell>
        </row>
        <row r="9">
          <cell r="B9" t="str">
            <v>پخت عقب پژو 405 شمشی پایه کوتاه</v>
          </cell>
          <cell r="C9" t="str">
            <v>قالب نو</v>
          </cell>
          <cell r="AF9">
            <v>2.5</v>
          </cell>
          <cell r="AR9">
            <v>3750000</v>
          </cell>
        </row>
        <row r="10">
          <cell r="B10" t="str">
            <v>پخت کلاچ پژو 206 TU5</v>
          </cell>
          <cell r="C10" t="str">
            <v>قالب تعمیری</v>
          </cell>
          <cell r="H10" t="str">
            <v>MC30334-01s</v>
          </cell>
          <cell r="AF10">
            <v>4.5</v>
          </cell>
          <cell r="AR10">
            <v>6750000</v>
          </cell>
        </row>
        <row r="11">
          <cell r="B11" t="str">
            <v>پخت کلاچ پژو 206 TU5</v>
          </cell>
          <cell r="C11" t="str">
            <v>قالب تعمیری</v>
          </cell>
          <cell r="H11" t="str">
            <v>MC30334-01s</v>
          </cell>
          <cell r="AF11">
            <v>11</v>
          </cell>
          <cell r="AR11">
            <v>16500000</v>
          </cell>
        </row>
        <row r="12">
          <cell r="B12" t="str">
            <v>دستگاه پرس پخت</v>
          </cell>
          <cell r="C12" t="str">
            <v>قطعه نو</v>
          </cell>
          <cell r="AF12">
            <v>4</v>
          </cell>
          <cell r="AR12">
            <v>3000000</v>
          </cell>
        </row>
        <row r="13">
          <cell r="B13" t="str">
            <v>پخت کلاچ پژو 206 TU5</v>
          </cell>
          <cell r="C13" t="str">
            <v>قالب تعمیری</v>
          </cell>
          <cell r="H13" t="str">
            <v>MC30334-01s</v>
          </cell>
          <cell r="AF13">
            <v>4</v>
          </cell>
          <cell r="AR13">
            <v>3000000</v>
          </cell>
        </row>
        <row r="14">
          <cell r="B14" t="str">
            <v>پخت کلاچ پژو 206 TU5</v>
          </cell>
          <cell r="C14" t="str">
            <v>قالب تعمیری</v>
          </cell>
          <cell r="H14" t="str">
            <v>MC30334-01s</v>
          </cell>
          <cell r="AF14">
            <v>11</v>
          </cell>
          <cell r="AR14">
            <v>8250000</v>
          </cell>
        </row>
        <row r="15">
          <cell r="B15" t="str">
            <v>ساب کف گرگی</v>
          </cell>
          <cell r="C15" t="str">
            <v>قطعه نو</v>
          </cell>
          <cell r="AF15">
            <v>2</v>
          </cell>
          <cell r="AR15">
            <v>1500000</v>
          </cell>
        </row>
        <row r="16">
          <cell r="B16" t="str">
            <v>دستگاه پرس پخت</v>
          </cell>
          <cell r="C16" t="str">
            <v>قطعه تعمیری</v>
          </cell>
          <cell r="AF16">
            <v>2</v>
          </cell>
          <cell r="AR16">
            <v>1500000</v>
          </cell>
        </row>
        <row r="17">
          <cell r="B17" t="str">
            <v>دستگاه پرس پخت</v>
          </cell>
          <cell r="C17" t="str">
            <v>قطعه نو</v>
          </cell>
          <cell r="AF17">
            <v>2</v>
          </cell>
          <cell r="AR17">
            <v>1500000</v>
          </cell>
        </row>
        <row r="18">
          <cell r="B18" t="str">
            <v>دستگاه ساب الماسه</v>
          </cell>
          <cell r="C18" t="str">
            <v>قطعه تعمیری</v>
          </cell>
          <cell r="AF18">
            <v>2</v>
          </cell>
          <cell r="AR18">
            <v>1500000</v>
          </cell>
        </row>
        <row r="19">
          <cell r="B19" t="str">
            <v>دستگاه پرس پخت</v>
          </cell>
          <cell r="C19" t="str">
            <v>قطعه تعمیری</v>
          </cell>
          <cell r="AF19">
            <v>3</v>
          </cell>
          <cell r="AR19">
            <v>2250000</v>
          </cell>
        </row>
        <row r="20">
          <cell r="B20" t="str">
            <v>پشم فلز آلمانی</v>
          </cell>
          <cell r="C20" t="str">
            <v>قطعه نو</v>
          </cell>
          <cell r="AF20">
            <v>3</v>
          </cell>
          <cell r="AR20">
            <v>2250000</v>
          </cell>
        </row>
        <row r="21">
          <cell r="B21" t="str">
            <v>دستگاه پرس 600 تن</v>
          </cell>
          <cell r="C21" t="str">
            <v>قطعه نو</v>
          </cell>
          <cell r="AF21">
            <v>5</v>
          </cell>
          <cell r="AR21">
            <v>3750000</v>
          </cell>
        </row>
        <row r="22">
          <cell r="B22" t="str">
            <v>ساب کف گرگی</v>
          </cell>
          <cell r="C22" t="str">
            <v>قطعه نو</v>
          </cell>
          <cell r="AF22">
            <v>2</v>
          </cell>
          <cell r="AR22">
            <v>1500000</v>
          </cell>
        </row>
        <row r="23">
          <cell r="B23" t="str">
            <v>دستگاه پرس 600 تن</v>
          </cell>
          <cell r="C23" t="str">
            <v>قطعه نو</v>
          </cell>
          <cell r="AF23">
            <v>1</v>
          </cell>
          <cell r="AR23">
            <v>750000</v>
          </cell>
        </row>
        <row r="24">
          <cell r="B24" t="str">
            <v>قالب شمشی عقب پیکان</v>
          </cell>
          <cell r="C24" t="str">
            <v>قالب نو</v>
          </cell>
          <cell r="AF24">
            <v>12</v>
          </cell>
          <cell r="AR24">
            <v>9000000</v>
          </cell>
        </row>
        <row r="25">
          <cell r="B25" t="str">
            <v>نگهدارنده پلاک قالب</v>
          </cell>
          <cell r="C25" t="str">
            <v>قطعه نو</v>
          </cell>
          <cell r="AF25">
            <v>11</v>
          </cell>
          <cell r="AR25">
            <v>8250000</v>
          </cell>
        </row>
        <row r="26">
          <cell r="B26" t="str">
            <v>ویوینگ</v>
          </cell>
          <cell r="C26" t="str">
            <v>قطعه تعمیری</v>
          </cell>
          <cell r="AF26">
            <v>5</v>
          </cell>
          <cell r="AR26">
            <v>3750000</v>
          </cell>
        </row>
        <row r="27">
          <cell r="B27" t="str">
            <v>فوتون 107</v>
          </cell>
          <cell r="C27" t="str">
            <v>قالب تعمیری</v>
          </cell>
          <cell r="H27" t="str">
            <v>MS29983-01S</v>
          </cell>
          <cell r="AF27">
            <v>6</v>
          </cell>
          <cell r="AR27">
            <v>4500000</v>
          </cell>
        </row>
        <row r="28">
          <cell r="B28" t="str">
            <v>پخت کلاچ لندکروز</v>
          </cell>
          <cell r="C28" t="str">
            <v>قالب تعمیری</v>
          </cell>
          <cell r="H28" t="str">
            <v>Mc30276-01S</v>
          </cell>
          <cell r="AF28">
            <v>7</v>
          </cell>
          <cell r="AR28">
            <v>5250000</v>
          </cell>
        </row>
        <row r="29">
          <cell r="B29" t="str">
            <v>پخت کلاچ لندکروز</v>
          </cell>
          <cell r="C29" t="str">
            <v>قالب تعمیری</v>
          </cell>
          <cell r="H29" t="str">
            <v>Mc30276-01S</v>
          </cell>
          <cell r="AF29">
            <v>3</v>
          </cell>
          <cell r="AR29">
            <v>2250000</v>
          </cell>
        </row>
        <row r="30">
          <cell r="B30" t="str">
            <v>فوتون 107</v>
          </cell>
          <cell r="C30" t="str">
            <v>قالب تعمیری</v>
          </cell>
          <cell r="H30" t="str">
            <v>MS29983-01S</v>
          </cell>
          <cell r="AF30">
            <v>1</v>
          </cell>
          <cell r="AR30">
            <v>750000</v>
          </cell>
        </row>
        <row r="31">
          <cell r="B31" t="str">
            <v>فوتون 107</v>
          </cell>
          <cell r="C31" t="str">
            <v>قالب تعمیری</v>
          </cell>
          <cell r="H31" t="str">
            <v>MS29983-01S</v>
          </cell>
          <cell r="AF31">
            <v>6</v>
          </cell>
          <cell r="AR31">
            <v>4500000</v>
          </cell>
        </row>
        <row r="32">
          <cell r="B32" t="str">
            <v>قالب پخت کلاچ</v>
          </cell>
          <cell r="C32" t="str">
            <v>قالب تعمیری</v>
          </cell>
          <cell r="AF32">
            <v>5</v>
          </cell>
          <cell r="AR32">
            <v>3750000</v>
          </cell>
        </row>
        <row r="33">
          <cell r="B33" t="str">
            <v>اصول 5S</v>
          </cell>
          <cell r="C33" t="str">
            <v>نظافت</v>
          </cell>
          <cell r="AF33">
            <v>4</v>
          </cell>
          <cell r="AR33">
            <v>3000000</v>
          </cell>
        </row>
        <row r="34">
          <cell r="B34" t="str">
            <v>دستگاه پرس پخت</v>
          </cell>
          <cell r="C34" t="str">
            <v>قطعه تعمیری</v>
          </cell>
          <cell r="AF34">
            <v>2</v>
          </cell>
          <cell r="AR34">
            <v>1500000</v>
          </cell>
        </row>
        <row r="35">
          <cell r="B35" t="str">
            <v>برشی نیوفیس C&amp;C</v>
          </cell>
          <cell r="C35" t="str">
            <v>قالب نو</v>
          </cell>
          <cell r="H35">
            <v>30487</v>
          </cell>
          <cell r="AF35">
            <v>2</v>
          </cell>
          <cell r="AR35">
            <v>1500000</v>
          </cell>
        </row>
        <row r="36">
          <cell r="B36" t="str">
            <v>برشی نیوفیس C&amp;C</v>
          </cell>
          <cell r="C36" t="str">
            <v>قالب نو</v>
          </cell>
          <cell r="H36">
            <v>30487</v>
          </cell>
          <cell r="AF36">
            <v>3</v>
          </cell>
          <cell r="AR36">
            <v>2250000</v>
          </cell>
        </row>
        <row r="37">
          <cell r="B37" t="str">
            <v>قالب پخت کلاچ</v>
          </cell>
          <cell r="C37" t="str">
            <v>قالب تعمیری</v>
          </cell>
          <cell r="AF37">
            <v>4.5</v>
          </cell>
          <cell r="AR37">
            <v>3375000</v>
          </cell>
        </row>
        <row r="38">
          <cell r="B38" t="str">
            <v>پخت کلاچ ایسوزو</v>
          </cell>
          <cell r="C38" t="str">
            <v>قالب تعمیری</v>
          </cell>
          <cell r="H38" t="str">
            <v>02S</v>
          </cell>
          <cell r="AF38">
            <v>3.5</v>
          </cell>
          <cell r="AR38">
            <v>2625000</v>
          </cell>
        </row>
        <row r="39">
          <cell r="B39" t="str">
            <v>قالب پخت کلاچ</v>
          </cell>
          <cell r="C39" t="str">
            <v>قالب تعمیری</v>
          </cell>
          <cell r="AF39">
            <v>3</v>
          </cell>
          <cell r="AR39">
            <v>2250000</v>
          </cell>
        </row>
        <row r="40">
          <cell r="B40" t="str">
            <v>قالب پخت کلاچ</v>
          </cell>
          <cell r="C40" t="str">
            <v>قالب تعمیری</v>
          </cell>
          <cell r="AF40">
            <v>3.5</v>
          </cell>
          <cell r="AR40">
            <v>2625000</v>
          </cell>
        </row>
        <row r="41">
          <cell r="B41" t="str">
            <v>قالب پخت کلاچ</v>
          </cell>
          <cell r="C41" t="str">
            <v>قالب تعمیری</v>
          </cell>
          <cell r="AF41">
            <v>4.5</v>
          </cell>
          <cell r="AR41">
            <v>3375000</v>
          </cell>
        </row>
        <row r="42">
          <cell r="B42" t="str">
            <v>قالب پخت کلاچ</v>
          </cell>
          <cell r="C42" t="str">
            <v>قالب تعمیری</v>
          </cell>
          <cell r="AF42">
            <v>3</v>
          </cell>
          <cell r="AR42">
            <v>2250000</v>
          </cell>
        </row>
        <row r="43">
          <cell r="B43" t="str">
            <v>اصول 5S</v>
          </cell>
          <cell r="C43" t="str">
            <v>نظافت</v>
          </cell>
          <cell r="AF43">
            <v>4</v>
          </cell>
          <cell r="AR43">
            <v>3000000</v>
          </cell>
        </row>
        <row r="44">
          <cell r="B44" t="str">
            <v>نوار نقاله</v>
          </cell>
          <cell r="C44" t="str">
            <v>قطعه نو</v>
          </cell>
          <cell r="AF44">
            <v>1</v>
          </cell>
          <cell r="AR44">
            <v>750000</v>
          </cell>
        </row>
        <row r="45">
          <cell r="B45" t="str">
            <v>نوار نقاله</v>
          </cell>
          <cell r="C45" t="str">
            <v>قطعه نو</v>
          </cell>
          <cell r="AF45">
            <v>1</v>
          </cell>
          <cell r="AR45">
            <v>750000</v>
          </cell>
        </row>
        <row r="46">
          <cell r="B46" t="str">
            <v>پخت عقب پژو 405 شمشی پایه کوتاه</v>
          </cell>
          <cell r="C46" t="str">
            <v>قالب نو</v>
          </cell>
          <cell r="AF46">
            <v>5</v>
          </cell>
          <cell r="AR46">
            <v>3750000</v>
          </cell>
        </row>
        <row r="47">
          <cell r="B47" t="str">
            <v>اصول 5S</v>
          </cell>
          <cell r="C47" t="str">
            <v>نظافت</v>
          </cell>
          <cell r="AF47">
            <v>3</v>
          </cell>
          <cell r="AR47">
            <v>2250000</v>
          </cell>
        </row>
        <row r="48">
          <cell r="B48" t="str">
            <v>قالب عقب F12</v>
          </cell>
          <cell r="C48" t="str">
            <v>قالب نو</v>
          </cell>
          <cell r="AF48">
            <v>3</v>
          </cell>
          <cell r="AR48">
            <v>2250000</v>
          </cell>
        </row>
        <row r="49">
          <cell r="B49" t="str">
            <v>برشی نیوفیس C&amp;C</v>
          </cell>
          <cell r="C49" t="str">
            <v>قالب نو</v>
          </cell>
          <cell r="H49">
            <v>30487</v>
          </cell>
          <cell r="AF49">
            <v>2</v>
          </cell>
          <cell r="AR49">
            <v>1500000</v>
          </cell>
        </row>
        <row r="50">
          <cell r="B50" t="str">
            <v>دستگاه پرس پخت</v>
          </cell>
          <cell r="C50" t="str">
            <v>قطعه تعمیری</v>
          </cell>
          <cell r="AF50">
            <v>3</v>
          </cell>
          <cell r="AR50">
            <v>2250000</v>
          </cell>
        </row>
        <row r="51">
          <cell r="B51" t="str">
            <v>کلمپ زنی</v>
          </cell>
          <cell r="C51" t="str">
            <v>قطعه تعمیری</v>
          </cell>
          <cell r="AF51">
            <v>10</v>
          </cell>
          <cell r="AR51">
            <v>7500000</v>
          </cell>
        </row>
        <row r="52">
          <cell r="B52" t="str">
            <v>قالب پخت کلاچ پژو 405</v>
          </cell>
          <cell r="C52" t="str">
            <v>قالب تعمیری</v>
          </cell>
          <cell r="AF52">
            <v>0.5</v>
          </cell>
          <cell r="AR52">
            <v>375000</v>
          </cell>
        </row>
        <row r="53">
          <cell r="B53" t="str">
            <v>شمش پراید</v>
          </cell>
          <cell r="C53" t="str">
            <v>قالب نو</v>
          </cell>
          <cell r="AF53">
            <v>10</v>
          </cell>
          <cell r="AR53">
            <v>7500000</v>
          </cell>
        </row>
        <row r="54">
          <cell r="B54" t="str">
            <v>کلمپ زنی</v>
          </cell>
          <cell r="C54" t="str">
            <v>قطعه تعمیری</v>
          </cell>
          <cell r="AF54">
            <v>1</v>
          </cell>
          <cell r="AR54">
            <v>750000</v>
          </cell>
        </row>
        <row r="55">
          <cell r="B55" t="str">
            <v>آسانسور</v>
          </cell>
          <cell r="C55" t="str">
            <v>قطعه تعمیری</v>
          </cell>
          <cell r="AF55">
            <v>3</v>
          </cell>
          <cell r="AR55">
            <v>2250000</v>
          </cell>
        </row>
        <row r="56">
          <cell r="B56" t="str">
            <v>پین عقب پژو 405</v>
          </cell>
          <cell r="C56" t="str">
            <v>قطعه نو</v>
          </cell>
          <cell r="AF56">
            <v>2</v>
          </cell>
          <cell r="AR56">
            <v>1500000</v>
          </cell>
        </row>
        <row r="57">
          <cell r="B57" t="str">
            <v>جلو ساب دیسکی</v>
          </cell>
          <cell r="C57" t="str">
            <v>قطعه نو</v>
          </cell>
          <cell r="AF57">
            <v>3</v>
          </cell>
          <cell r="AR57">
            <v>2250000</v>
          </cell>
        </row>
        <row r="58">
          <cell r="B58" t="str">
            <v>پخت کلاچ ایسوزو</v>
          </cell>
          <cell r="C58" t="str">
            <v>قالب تعمیری</v>
          </cell>
          <cell r="H58" t="str">
            <v>02S</v>
          </cell>
          <cell r="AF58">
            <v>1</v>
          </cell>
          <cell r="AR58">
            <v>750000</v>
          </cell>
        </row>
        <row r="59">
          <cell r="B59" t="str">
            <v>شمش پراید</v>
          </cell>
          <cell r="C59" t="str">
            <v>قالب نو</v>
          </cell>
          <cell r="AF59">
            <v>8</v>
          </cell>
          <cell r="AR59">
            <v>6000000</v>
          </cell>
        </row>
        <row r="60">
          <cell r="B60" t="str">
            <v>قالب پخت کلاچ</v>
          </cell>
          <cell r="C60" t="str">
            <v>قالب تعمیری</v>
          </cell>
          <cell r="AF60">
            <v>7</v>
          </cell>
          <cell r="AR60">
            <v>5250000</v>
          </cell>
        </row>
        <row r="61">
          <cell r="B61" t="str">
            <v>قالب شمشی عقب پیکان</v>
          </cell>
          <cell r="C61" t="str">
            <v>قالب نو</v>
          </cell>
          <cell r="AF61">
            <v>2</v>
          </cell>
          <cell r="AR61">
            <v>1500000</v>
          </cell>
        </row>
        <row r="62">
          <cell r="B62" t="str">
            <v>قالب پخت کلاچ</v>
          </cell>
          <cell r="C62" t="str">
            <v>قالب تعمیری</v>
          </cell>
          <cell r="AF62">
            <v>6</v>
          </cell>
          <cell r="AR62">
            <v>4500000</v>
          </cell>
        </row>
        <row r="63">
          <cell r="B63" t="str">
            <v>قالب شمشی عقب پیکان</v>
          </cell>
          <cell r="C63" t="str">
            <v>قالب نو</v>
          </cell>
          <cell r="AF63">
            <v>2</v>
          </cell>
          <cell r="AR63">
            <v>1500000</v>
          </cell>
        </row>
        <row r="64">
          <cell r="B64" t="str">
            <v>برشی نیوفیس C&amp;C</v>
          </cell>
          <cell r="C64" t="str">
            <v>قالب نو</v>
          </cell>
          <cell r="H64">
            <v>30487</v>
          </cell>
          <cell r="AF64">
            <v>1</v>
          </cell>
          <cell r="AR64">
            <v>750000</v>
          </cell>
        </row>
        <row r="65">
          <cell r="B65" t="str">
            <v>برشی نیوفیس C&amp;C</v>
          </cell>
          <cell r="C65" t="str">
            <v>قالب نو</v>
          </cell>
          <cell r="H65">
            <v>30487</v>
          </cell>
          <cell r="AF65">
            <v>2</v>
          </cell>
          <cell r="AR65">
            <v>1500000</v>
          </cell>
        </row>
        <row r="66">
          <cell r="B66" t="str">
            <v>قالب پخت کلاچ</v>
          </cell>
          <cell r="C66" t="str">
            <v>قالب تعمیری</v>
          </cell>
          <cell r="AF66">
            <v>4.5</v>
          </cell>
          <cell r="AR66">
            <v>3375000</v>
          </cell>
        </row>
        <row r="67">
          <cell r="B67" t="str">
            <v>قالب پخت کلاچ</v>
          </cell>
          <cell r="C67" t="str">
            <v>قالب تعمیری</v>
          </cell>
          <cell r="AF67">
            <v>4.5</v>
          </cell>
          <cell r="AR67">
            <v>3375000</v>
          </cell>
        </row>
        <row r="68">
          <cell r="B68" t="str">
            <v>پشم فلز آلمانی</v>
          </cell>
          <cell r="C68" t="str">
            <v>قطعه نو</v>
          </cell>
          <cell r="AF68">
            <v>1</v>
          </cell>
          <cell r="AR68">
            <v>750000</v>
          </cell>
        </row>
        <row r="69">
          <cell r="B69" t="str">
            <v>پشم فلز آلمانی</v>
          </cell>
          <cell r="C69" t="str">
            <v>قطعه نو</v>
          </cell>
          <cell r="AF69">
            <v>2.5</v>
          </cell>
          <cell r="AR69">
            <v>1875000</v>
          </cell>
        </row>
        <row r="70">
          <cell r="B70" t="str">
            <v>جلو ساب دیسکی</v>
          </cell>
          <cell r="C70" t="str">
            <v>قطعه نو</v>
          </cell>
          <cell r="AF70">
            <v>1</v>
          </cell>
          <cell r="AR70">
            <v>750000</v>
          </cell>
        </row>
        <row r="71">
          <cell r="B71" t="str">
            <v>پخت عقب پژو 405 شمشی پایه کوتاه</v>
          </cell>
          <cell r="C71" t="str">
            <v>قالب نو</v>
          </cell>
          <cell r="AF71">
            <v>4.5</v>
          </cell>
          <cell r="AR71">
            <v>3375000</v>
          </cell>
        </row>
        <row r="72">
          <cell r="B72" t="str">
            <v>قالب پخت کلاچ</v>
          </cell>
          <cell r="C72" t="str">
            <v>قالب تعمیری</v>
          </cell>
          <cell r="AF72">
            <v>2</v>
          </cell>
          <cell r="AR72">
            <v>1500000</v>
          </cell>
        </row>
        <row r="73">
          <cell r="B73" t="str">
            <v>قالب پخت کلاچ</v>
          </cell>
          <cell r="C73" t="str">
            <v>قالب تعمیری</v>
          </cell>
          <cell r="AF73">
            <v>11</v>
          </cell>
          <cell r="AR73">
            <v>8250000</v>
          </cell>
        </row>
        <row r="74">
          <cell r="B74" t="str">
            <v>قالب پخت کلاچ</v>
          </cell>
          <cell r="C74" t="str">
            <v>قالب تعمیری</v>
          </cell>
          <cell r="AF74">
            <v>11</v>
          </cell>
          <cell r="AR74">
            <v>8250000</v>
          </cell>
        </row>
        <row r="75">
          <cell r="B75" t="str">
            <v>قالب پخت کلاچ</v>
          </cell>
          <cell r="C75" t="str">
            <v>قالب تعمیری</v>
          </cell>
          <cell r="AF75">
            <v>6.5</v>
          </cell>
          <cell r="AR75">
            <v>4875000</v>
          </cell>
        </row>
        <row r="76">
          <cell r="B76" t="str">
            <v>قالب پخت کلاچ</v>
          </cell>
          <cell r="C76" t="str">
            <v>قالب تعمیری</v>
          </cell>
          <cell r="AF76">
            <v>6.5</v>
          </cell>
          <cell r="AR76">
            <v>4875000</v>
          </cell>
        </row>
        <row r="77">
          <cell r="B77" t="str">
            <v xml:space="preserve">قالب پخت کلاچ پیکان </v>
          </cell>
          <cell r="C77" t="str">
            <v>قالب تعمیری</v>
          </cell>
          <cell r="AF77">
            <v>4</v>
          </cell>
          <cell r="AR77">
            <v>3000000</v>
          </cell>
        </row>
        <row r="78">
          <cell r="B78" t="str">
            <v>جلو ساب دیسکی</v>
          </cell>
          <cell r="C78" t="str">
            <v>قطعه نو</v>
          </cell>
          <cell r="AF78">
            <v>4</v>
          </cell>
          <cell r="AR78">
            <v>3000000</v>
          </cell>
        </row>
        <row r="79">
          <cell r="B79" t="str">
            <v>جلو ساب دیسکی</v>
          </cell>
          <cell r="C79" t="str">
            <v>قطعه نو</v>
          </cell>
          <cell r="AF79">
            <v>2</v>
          </cell>
          <cell r="AR79">
            <v>1500000</v>
          </cell>
        </row>
        <row r="80">
          <cell r="B80" t="str">
            <v>سری نقطه جوش</v>
          </cell>
          <cell r="C80" t="str">
            <v>قطعه تعمیری</v>
          </cell>
          <cell r="AF80">
            <v>1</v>
          </cell>
          <cell r="AR80">
            <v>750000</v>
          </cell>
        </row>
        <row r="81">
          <cell r="B81" t="str">
            <v>آسانسور</v>
          </cell>
          <cell r="C81" t="str">
            <v>قطعه نو</v>
          </cell>
          <cell r="AF81">
            <v>3</v>
          </cell>
          <cell r="AR81">
            <v>2250000</v>
          </cell>
        </row>
        <row r="82">
          <cell r="B82" t="str">
            <v>آسانسور</v>
          </cell>
          <cell r="C82" t="str">
            <v>قطعه تعمیری</v>
          </cell>
          <cell r="AF82">
            <v>2</v>
          </cell>
          <cell r="AR82">
            <v>1500000</v>
          </cell>
        </row>
        <row r="83">
          <cell r="B83" t="str">
            <v>پشم فلز آلمانی</v>
          </cell>
          <cell r="C83" t="str">
            <v>قطعه تعمیری</v>
          </cell>
          <cell r="AF83">
            <v>4</v>
          </cell>
          <cell r="AR83">
            <v>3000000</v>
          </cell>
        </row>
        <row r="84">
          <cell r="B84" t="str">
            <v>پخت عقب پژو 405 شمشی پایه کوتاه</v>
          </cell>
          <cell r="C84" t="str">
            <v>قالب نو</v>
          </cell>
          <cell r="AF84">
            <v>0.5</v>
          </cell>
          <cell r="AR84">
            <v>375000</v>
          </cell>
        </row>
        <row r="85">
          <cell r="B85" t="str">
            <v>شمش پراید</v>
          </cell>
          <cell r="C85" t="str">
            <v>قالب نو</v>
          </cell>
          <cell r="AF85">
            <v>0.5</v>
          </cell>
          <cell r="AR85">
            <v>375000</v>
          </cell>
        </row>
        <row r="86">
          <cell r="B86" t="str">
            <v>ویوینگ</v>
          </cell>
          <cell r="C86" t="str">
            <v>قطعه تعمیری</v>
          </cell>
          <cell r="AF86">
            <v>2</v>
          </cell>
          <cell r="AR86">
            <v>1500000</v>
          </cell>
        </row>
        <row r="87">
          <cell r="B87" t="str">
            <v>جلو ساب دیسکی</v>
          </cell>
          <cell r="C87" t="str">
            <v>قطعه نو</v>
          </cell>
          <cell r="AF87">
            <v>5</v>
          </cell>
          <cell r="AR87">
            <v>3750000</v>
          </cell>
        </row>
        <row r="88">
          <cell r="B88" t="str">
            <v>جلو ساب دیسکی</v>
          </cell>
          <cell r="C88" t="str">
            <v>قطعه نو</v>
          </cell>
          <cell r="AF88">
            <v>2</v>
          </cell>
          <cell r="AR88">
            <v>1500000</v>
          </cell>
        </row>
        <row r="89">
          <cell r="B89" t="str">
            <v>پشم فلز آلمانی</v>
          </cell>
          <cell r="C89" t="str">
            <v>قطعه نو</v>
          </cell>
          <cell r="AF89">
            <v>1</v>
          </cell>
          <cell r="AR89">
            <v>750000</v>
          </cell>
        </row>
        <row r="90">
          <cell r="B90" t="str">
            <v>پشم فلز آلمانی</v>
          </cell>
          <cell r="C90" t="str">
            <v>قطعه نو</v>
          </cell>
          <cell r="AF90">
            <v>5</v>
          </cell>
          <cell r="AR90">
            <v>3750000</v>
          </cell>
        </row>
        <row r="91">
          <cell r="B91" t="str">
            <v>ساب کف گرگی</v>
          </cell>
          <cell r="C91" t="str">
            <v>قطعه نو</v>
          </cell>
          <cell r="AF91">
            <v>3</v>
          </cell>
          <cell r="AR91">
            <v>2250000</v>
          </cell>
        </row>
        <row r="92">
          <cell r="B92" t="str">
            <v>پرچ زنی</v>
          </cell>
          <cell r="C92" t="str">
            <v>قطعه تعمیری</v>
          </cell>
          <cell r="AF92">
            <v>3</v>
          </cell>
          <cell r="AR92">
            <v>2250000</v>
          </cell>
        </row>
        <row r="93">
          <cell r="B93" t="str">
            <v>قالب شمشی عقب پیکان</v>
          </cell>
          <cell r="C93" t="str">
            <v>قالب نو</v>
          </cell>
          <cell r="AF93">
            <v>11</v>
          </cell>
          <cell r="AR93">
            <v>8250000</v>
          </cell>
        </row>
        <row r="94">
          <cell r="B94" t="str">
            <v>نگهدارنده پلاک قالب</v>
          </cell>
          <cell r="C94" t="str">
            <v>قطعه نو</v>
          </cell>
          <cell r="AF94">
            <v>11</v>
          </cell>
          <cell r="AR94">
            <v>8250000</v>
          </cell>
        </row>
        <row r="95">
          <cell r="B95" t="str">
            <v>فوتون 107</v>
          </cell>
          <cell r="C95" t="str">
            <v>قالب تعمیری</v>
          </cell>
          <cell r="H95" t="str">
            <v>MS29983-01S</v>
          </cell>
          <cell r="AF95">
            <v>11</v>
          </cell>
          <cell r="AR95">
            <v>8250000</v>
          </cell>
        </row>
        <row r="96">
          <cell r="B96" t="str">
            <v>پخت کلاچ پژو 206 TU5</v>
          </cell>
          <cell r="C96" t="str">
            <v>قالب تعمیری</v>
          </cell>
          <cell r="H96" t="str">
            <v>MC30334-01s</v>
          </cell>
          <cell r="AF96">
            <v>11</v>
          </cell>
          <cell r="AR96">
            <v>16500000</v>
          </cell>
        </row>
        <row r="97">
          <cell r="B97" t="str">
            <v>پخت کلاچ لندکروز</v>
          </cell>
          <cell r="C97" t="str">
            <v>قالب تعمیری</v>
          </cell>
          <cell r="H97" t="str">
            <v>Mc30276-01S</v>
          </cell>
          <cell r="AF97">
            <v>1.5</v>
          </cell>
          <cell r="AR97">
            <v>2250000</v>
          </cell>
        </row>
        <row r="98">
          <cell r="B98" t="str">
            <v>پخت کلاچ لندکروز</v>
          </cell>
          <cell r="C98" t="str">
            <v>قالب تعمیری</v>
          </cell>
          <cell r="H98" t="str">
            <v>Mc30276-01S</v>
          </cell>
          <cell r="AF98">
            <v>5.5</v>
          </cell>
          <cell r="AR98">
            <v>8250000</v>
          </cell>
        </row>
        <row r="99">
          <cell r="B99" t="str">
            <v>جلو سمند سورن</v>
          </cell>
          <cell r="C99" t="str">
            <v>قالب تعمیری</v>
          </cell>
          <cell r="H99" t="str">
            <v>ML30256-01S</v>
          </cell>
          <cell r="AF99">
            <v>11</v>
          </cell>
          <cell r="AR99">
            <v>16500000</v>
          </cell>
        </row>
        <row r="100">
          <cell r="B100" t="str">
            <v>جلو سمند سورن</v>
          </cell>
          <cell r="C100" t="str">
            <v>قالب تعمیری</v>
          </cell>
          <cell r="H100" t="str">
            <v>ML30256-01S</v>
          </cell>
          <cell r="AF100">
            <v>11</v>
          </cell>
          <cell r="AR100">
            <v>16500000</v>
          </cell>
        </row>
        <row r="101">
          <cell r="B101" t="str">
            <v>پخت کلاچ تیبا چپ</v>
          </cell>
          <cell r="C101" t="str">
            <v>قالب نو</v>
          </cell>
          <cell r="H101">
            <v>30274</v>
          </cell>
          <cell r="AF101">
            <v>11</v>
          </cell>
          <cell r="AR101">
            <v>16500000</v>
          </cell>
        </row>
        <row r="102">
          <cell r="B102" t="str">
            <v>پخت کلاچ تیبا چپ</v>
          </cell>
          <cell r="C102" t="str">
            <v>قالب نو</v>
          </cell>
          <cell r="H102">
            <v>30274</v>
          </cell>
          <cell r="AF102">
            <v>11</v>
          </cell>
          <cell r="AR102">
            <v>16500000</v>
          </cell>
        </row>
        <row r="103">
          <cell r="B103" t="str">
            <v>پخت کلاچ پژو 206 TU5</v>
          </cell>
          <cell r="C103" t="str">
            <v>قالب تعمیری</v>
          </cell>
          <cell r="H103" t="str">
            <v>MC30334-01s</v>
          </cell>
          <cell r="AF103">
            <v>11</v>
          </cell>
          <cell r="AR103">
            <v>16500000</v>
          </cell>
        </row>
        <row r="104">
          <cell r="B104" t="str">
            <v>قالب شمشی عقب پیکان</v>
          </cell>
          <cell r="C104" t="str">
            <v>قالب نو</v>
          </cell>
          <cell r="AF104">
            <v>11</v>
          </cell>
          <cell r="AR104">
            <v>16500000</v>
          </cell>
        </row>
        <row r="105">
          <cell r="B105" t="str">
            <v>قالب شمشی عقب پیکان</v>
          </cell>
          <cell r="C105" t="str">
            <v>قالب نو</v>
          </cell>
          <cell r="AF105">
            <v>11</v>
          </cell>
          <cell r="AR105">
            <v>16500000</v>
          </cell>
        </row>
        <row r="106">
          <cell r="B106" t="str">
            <v>قالب پخت کلاچ</v>
          </cell>
          <cell r="C106" t="str">
            <v>قالب تعمیری</v>
          </cell>
          <cell r="AF106">
            <v>3.5</v>
          </cell>
          <cell r="AR106">
            <v>2625000</v>
          </cell>
        </row>
        <row r="107">
          <cell r="B107" t="str">
            <v>قالب پخت کلاچ</v>
          </cell>
          <cell r="C107" t="str">
            <v>قالب تعمیری</v>
          </cell>
          <cell r="AF107">
            <v>4</v>
          </cell>
          <cell r="AR107">
            <v>3000000</v>
          </cell>
        </row>
        <row r="108">
          <cell r="B108" t="str">
            <v>قالب پخت کلاچ</v>
          </cell>
          <cell r="C108" t="str">
            <v>قالب تعمیری</v>
          </cell>
          <cell r="AF108">
            <v>3.5</v>
          </cell>
          <cell r="AR108">
            <v>2625000</v>
          </cell>
        </row>
        <row r="109">
          <cell r="B109" t="str">
            <v>قالب پخت کلاچ</v>
          </cell>
          <cell r="C109" t="str">
            <v>قالب تعمیری</v>
          </cell>
          <cell r="AF109">
            <v>4</v>
          </cell>
          <cell r="AR109">
            <v>3000000</v>
          </cell>
        </row>
        <row r="110">
          <cell r="B110" t="str">
            <v>لنت ترمز دیسكی جلو دیما(خم)</v>
          </cell>
          <cell r="C110" t="str">
            <v>قالب تعمیری</v>
          </cell>
          <cell r="H110">
            <v>30416</v>
          </cell>
          <cell r="AF110">
            <v>1</v>
          </cell>
          <cell r="AR110">
            <v>750000</v>
          </cell>
        </row>
        <row r="111">
          <cell r="B111" t="str">
            <v>لنت ترمز دیسكی جلو دیما(خم)</v>
          </cell>
          <cell r="C111" t="str">
            <v>قالب تعمیری</v>
          </cell>
          <cell r="H111">
            <v>30416</v>
          </cell>
          <cell r="AF111">
            <v>1</v>
          </cell>
          <cell r="AR111">
            <v>750000</v>
          </cell>
        </row>
        <row r="112">
          <cell r="B112" t="str">
            <v>جلو سمند سورن</v>
          </cell>
          <cell r="C112" t="str">
            <v>قالب تعمیری</v>
          </cell>
          <cell r="H112" t="str">
            <v>ML30256-01S</v>
          </cell>
          <cell r="AF112">
            <v>5</v>
          </cell>
          <cell r="AR112">
            <v>3750000</v>
          </cell>
        </row>
        <row r="113">
          <cell r="B113" t="str">
            <v>لنت صنعتی</v>
          </cell>
          <cell r="C113" t="str">
            <v>قطعه تعمیری</v>
          </cell>
          <cell r="AF113">
            <v>1</v>
          </cell>
          <cell r="AR113">
            <v>750000</v>
          </cell>
        </row>
        <row r="114">
          <cell r="B114" t="str">
            <v>شمش پراید</v>
          </cell>
          <cell r="C114" t="str">
            <v>قالب نو</v>
          </cell>
          <cell r="AF114">
            <v>3</v>
          </cell>
          <cell r="AR114">
            <v>2250000</v>
          </cell>
        </row>
        <row r="115">
          <cell r="B115" t="str">
            <v>پخت عقب پژو 405 شمشی پایه کوتاه</v>
          </cell>
          <cell r="C115" t="str">
            <v>قالب نو</v>
          </cell>
          <cell r="AF115">
            <v>1</v>
          </cell>
          <cell r="AR115">
            <v>750000</v>
          </cell>
        </row>
        <row r="116">
          <cell r="B116" t="str">
            <v>قالب پخت کلاچ</v>
          </cell>
          <cell r="C116" t="str">
            <v>قالب تعمیری</v>
          </cell>
          <cell r="AF116">
            <v>6.5</v>
          </cell>
          <cell r="AR116">
            <v>4875000</v>
          </cell>
        </row>
        <row r="117">
          <cell r="B117" t="str">
            <v>سری نقطه جوش</v>
          </cell>
          <cell r="C117" t="str">
            <v>قطعه تعمیری</v>
          </cell>
          <cell r="AF117">
            <v>1.5</v>
          </cell>
          <cell r="AR117">
            <v>1125000</v>
          </cell>
        </row>
        <row r="118">
          <cell r="B118" t="str">
            <v>ساب کف گرگی</v>
          </cell>
          <cell r="C118" t="str">
            <v>قطعه نو</v>
          </cell>
          <cell r="AF118">
            <v>9.5</v>
          </cell>
          <cell r="AR118">
            <v>7125000</v>
          </cell>
        </row>
        <row r="119">
          <cell r="B119" t="str">
            <v>پخت کلاچ لندکروز</v>
          </cell>
          <cell r="C119" t="str">
            <v>قالب تعمیری</v>
          </cell>
          <cell r="H119" t="str">
            <v>Mc30276-01S</v>
          </cell>
          <cell r="AF119">
            <v>4.5</v>
          </cell>
          <cell r="AR119">
            <v>6750000</v>
          </cell>
        </row>
        <row r="120">
          <cell r="B120" t="str">
            <v>فوتون 107</v>
          </cell>
          <cell r="C120" t="str">
            <v>قالب تعمیری</v>
          </cell>
          <cell r="H120" t="str">
            <v>MS29983-01S</v>
          </cell>
          <cell r="AF120">
            <v>6.5</v>
          </cell>
          <cell r="AR120">
            <v>9750000</v>
          </cell>
        </row>
        <row r="121">
          <cell r="B121" t="str">
            <v>جلو سمند سورن</v>
          </cell>
          <cell r="C121" t="str">
            <v>قالب تعمیری</v>
          </cell>
          <cell r="H121" t="str">
            <v>ML30256-01S</v>
          </cell>
          <cell r="AF121">
            <v>2.5</v>
          </cell>
          <cell r="AR121">
            <v>3750000</v>
          </cell>
        </row>
        <row r="122">
          <cell r="B122" t="str">
            <v>قالب پخت کلاچ پژو 405</v>
          </cell>
          <cell r="C122" t="str">
            <v>قالب تعمیری</v>
          </cell>
          <cell r="AF122">
            <v>8.5</v>
          </cell>
          <cell r="AR122">
            <v>12750000</v>
          </cell>
        </row>
        <row r="123">
          <cell r="B123" t="str">
            <v>قالب پخت کلاچ</v>
          </cell>
          <cell r="C123" t="str">
            <v>قالب تعمیری</v>
          </cell>
          <cell r="AF123">
            <v>11</v>
          </cell>
          <cell r="AR123">
            <v>8250000</v>
          </cell>
        </row>
        <row r="124">
          <cell r="B124" t="str">
            <v>قالب پخت کلاچ</v>
          </cell>
          <cell r="C124" t="str">
            <v>قالب تعمیری</v>
          </cell>
          <cell r="AF124">
            <v>11</v>
          </cell>
          <cell r="AR124">
            <v>8250000</v>
          </cell>
        </row>
        <row r="125">
          <cell r="B125" t="str">
            <v>قالب پخت کلاچ</v>
          </cell>
          <cell r="C125" t="str">
            <v>قالب تعمیری</v>
          </cell>
          <cell r="AF125">
            <v>6.5</v>
          </cell>
          <cell r="AR125">
            <v>4875000</v>
          </cell>
        </row>
        <row r="126">
          <cell r="B126" t="str">
            <v>قالب پخت کلاچ</v>
          </cell>
          <cell r="C126" t="str">
            <v>قالب تعمیری</v>
          </cell>
          <cell r="AF126">
            <v>5.5</v>
          </cell>
          <cell r="AR126">
            <v>4125000</v>
          </cell>
        </row>
        <row r="127">
          <cell r="B127" t="str">
            <v>جلو سمند سورن</v>
          </cell>
          <cell r="C127" t="str">
            <v>قالب تعمیری</v>
          </cell>
          <cell r="H127" t="str">
            <v>ML30256-01S</v>
          </cell>
          <cell r="AF127">
            <v>5.5</v>
          </cell>
          <cell r="AR127">
            <v>4125000</v>
          </cell>
        </row>
        <row r="128">
          <cell r="B128" t="str">
            <v>برشی نیوفیس C&amp;C</v>
          </cell>
          <cell r="C128" t="str">
            <v>قالب نو</v>
          </cell>
          <cell r="H128">
            <v>30487</v>
          </cell>
          <cell r="AF128">
            <v>3</v>
          </cell>
          <cell r="AR128">
            <v>2250000</v>
          </cell>
        </row>
        <row r="129">
          <cell r="B129" t="str">
            <v>فوتون 107</v>
          </cell>
          <cell r="C129" t="str">
            <v>قالب تعمیری</v>
          </cell>
          <cell r="H129" t="str">
            <v>MS29983-01S</v>
          </cell>
          <cell r="AF129">
            <v>12</v>
          </cell>
          <cell r="AR129">
            <v>9000000</v>
          </cell>
        </row>
        <row r="130">
          <cell r="B130" t="str">
            <v>برشی نیوفیس C&amp;C</v>
          </cell>
          <cell r="C130" t="str">
            <v>قالب نو</v>
          </cell>
          <cell r="H130">
            <v>30487</v>
          </cell>
          <cell r="AF130">
            <v>11</v>
          </cell>
          <cell r="AR130">
            <v>8250000</v>
          </cell>
        </row>
        <row r="131">
          <cell r="B131" t="str">
            <v>قالب شمشی عقب پیکان</v>
          </cell>
          <cell r="C131" t="str">
            <v>قالب نو</v>
          </cell>
          <cell r="AF131">
            <v>7</v>
          </cell>
          <cell r="AR131">
            <v>5250000</v>
          </cell>
        </row>
        <row r="132">
          <cell r="B132" t="str">
            <v>برشی نیوفیس C&amp;C</v>
          </cell>
          <cell r="C132" t="str">
            <v>قالب نو</v>
          </cell>
          <cell r="H132">
            <v>30487</v>
          </cell>
          <cell r="AF132">
            <v>9</v>
          </cell>
          <cell r="AR132">
            <v>6750000</v>
          </cell>
        </row>
        <row r="133">
          <cell r="B133" t="str">
            <v>قالب شمشی عقب پیکان</v>
          </cell>
          <cell r="C133" t="str">
            <v>قالب نو</v>
          </cell>
          <cell r="AF133">
            <v>6</v>
          </cell>
          <cell r="AR133">
            <v>4500000</v>
          </cell>
        </row>
        <row r="134">
          <cell r="B134" t="str">
            <v>فوتون 107</v>
          </cell>
          <cell r="C134" t="str">
            <v>قالب تعمیری</v>
          </cell>
          <cell r="H134" t="str">
            <v>MS29983-01S</v>
          </cell>
          <cell r="AF134">
            <v>9</v>
          </cell>
          <cell r="AR134">
            <v>6750000</v>
          </cell>
        </row>
        <row r="135">
          <cell r="B135" t="str">
            <v>شمش پراید</v>
          </cell>
          <cell r="C135" t="str">
            <v>قالب نو</v>
          </cell>
          <cell r="AF135">
            <v>2</v>
          </cell>
          <cell r="AR135">
            <v>1500000</v>
          </cell>
        </row>
        <row r="136">
          <cell r="B136" t="str">
            <v>شمش پراید</v>
          </cell>
          <cell r="C136" t="str">
            <v>قالب نو</v>
          </cell>
          <cell r="AF136">
            <v>3</v>
          </cell>
          <cell r="AR136">
            <v>2250000</v>
          </cell>
        </row>
        <row r="137">
          <cell r="B137" t="str">
            <v>قالب پخت کلاچ پژو 405</v>
          </cell>
          <cell r="C137" t="str">
            <v>قالب تعمیری</v>
          </cell>
          <cell r="AF137">
            <v>11</v>
          </cell>
          <cell r="AR137">
            <v>16500000</v>
          </cell>
        </row>
        <row r="138">
          <cell r="B138" t="str">
            <v>قالب شمشی عقب پیکان</v>
          </cell>
          <cell r="C138" t="str">
            <v>قالب نو</v>
          </cell>
          <cell r="AF138">
            <v>11</v>
          </cell>
          <cell r="AR138">
            <v>16500000</v>
          </cell>
        </row>
        <row r="139">
          <cell r="B139" t="str">
            <v>فوتون 107</v>
          </cell>
          <cell r="C139" t="str">
            <v>قالب تعمیری</v>
          </cell>
          <cell r="H139" t="str">
            <v>MS29983-01S</v>
          </cell>
          <cell r="AF139">
            <v>5.5</v>
          </cell>
          <cell r="AR139">
            <v>8250000</v>
          </cell>
        </row>
        <row r="140">
          <cell r="B140" t="str">
            <v>فوتون 107</v>
          </cell>
          <cell r="C140" t="str">
            <v>قالب تعمیری</v>
          </cell>
          <cell r="H140" t="str">
            <v>MS29983-01S</v>
          </cell>
          <cell r="AF140">
            <v>5.5</v>
          </cell>
          <cell r="AR140">
            <v>8250000</v>
          </cell>
        </row>
        <row r="141">
          <cell r="B141" t="str">
            <v>فوتون 107</v>
          </cell>
          <cell r="C141" t="str">
            <v>قالب تعمیری</v>
          </cell>
          <cell r="H141" t="str">
            <v>MS29983-01S</v>
          </cell>
          <cell r="AF141">
            <v>6</v>
          </cell>
          <cell r="AR141">
            <v>4500000</v>
          </cell>
        </row>
        <row r="142">
          <cell r="B142" t="str">
            <v>قالب شمشی عقب پیکان</v>
          </cell>
          <cell r="C142" t="str">
            <v>قالب نو</v>
          </cell>
          <cell r="AF142">
            <v>4</v>
          </cell>
          <cell r="AR142">
            <v>3000000</v>
          </cell>
        </row>
        <row r="143">
          <cell r="B143" t="str">
            <v>قالب شمشی عقب پیکان</v>
          </cell>
          <cell r="C143" t="str">
            <v>قالب نو</v>
          </cell>
          <cell r="AF143">
            <v>1</v>
          </cell>
          <cell r="AR143">
            <v>750000</v>
          </cell>
        </row>
        <row r="144">
          <cell r="B144" t="str">
            <v>سوراخکاری پیلسان</v>
          </cell>
          <cell r="C144" t="str">
            <v>قطعه نو</v>
          </cell>
          <cell r="H144">
            <v>29385</v>
          </cell>
          <cell r="AF144">
            <v>6.5</v>
          </cell>
          <cell r="AR144">
            <v>9750000</v>
          </cell>
        </row>
        <row r="145">
          <cell r="B145" t="str">
            <v>فوتون 107</v>
          </cell>
          <cell r="C145" t="str">
            <v>قالب تعمیری</v>
          </cell>
          <cell r="H145" t="str">
            <v>MS29983-01S</v>
          </cell>
          <cell r="AF145">
            <v>4.5</v>
          </cell>
          <cell r="AR145">
            <v>6750000</v>
          </cell>
        </row>
        <row r="146">
          <cell r="B146" t="str">
            <v>شمش پراید</v>
          </cell>
          <cell r="C146" t="str">
            <v>قالب نو</v>
          </cell>
          <cell r="AF146">
            <v>3</v>
          </cell>
          <cell r="AR146">
            <v>2250000</v>
          </cell>
        </row>
        <row r="147">
          <cell r="B147" t="str">
            <v>فوتون 107</v>
          </cell>
          <cell r="C147" t="str">
            <v>قالب تعمیری</v>
          </cell>
          <cell r="H147" t="str">
            <v>MS29983-01S</v>
          </cell>
          <cell r="AF147">
            <v>3</v>
          </cell>
          <cell r="AR147">
            <v>2250000</v>
          </cell>
        </row>
        <row r="148">
          <cell r="B148" t="str">
            <v>لودر دیسکی XGL 50</v>
          </cell>
          <cell r="C148" t="str">
            <v>قالب نو</v>
          </cell>
          <cell r="H148">
            <v>29935</v>
          </cell>
          <cell r="AF148">
            <v>2</v>
          </cell>
          <cell r="AR148">
            <v>1500000</v>
          </cell>
        </row>
        <row r="149">
          <cell r="B149" t="str">
            <v>دستگاه ساب الماسه</v>
          </cell>
          <cell r="C149" t="str">
            <v>قطعه نو</v>
          </cell>
          <cell r="AF149">
            <v>1</v>
          </cell>
          <cell r="AR149">
            <v>750000</v>
          </cell>
        </row>
        <row r="150">
          <cell r="B150" t="str">
            <v>دستگاه ساب الماسه</v>
          </cell>
          <cell r="C150" t="str">
            <v>قطعه نو</v>
          </cell>
          <cell r="AF150">
            <v>1</v>
          </cell>
          <cell r="AR150">
            <v>750000</v>
          </cell>
        </row>
        <row r="151">
          <cell r="B151" t="str">
            <v>فوتون 107</v>
          </cell>
          <cell r="C151" t="str">
            <v>قالب تعمیری</v>
          </cell>
          <cell r="H151" t="str">
            <v>MS29983-01S</v>
          </cell>
          <cell r="AF151">
            <v>2</v>
          </cell>
          <cell r="AR151">
            <v>1500000</v>
          </cell>
        </row>
        <row r="152">
          <cell r="B152" t="str">
            <v>قالب مترو مشهد</v>
          </cell>
          <cell r="C152" t="str">
            <v>قالب تعمیری</v>
          </cell>
          <cell r="AF152">
            <v>3</v>
          </cell>
          <cell r="AR152">
            <v>2250000</v>
          </cell>
        </row>
        <row r="153">
          <cell r="B153" t="str">
            <v>پخت کلاچ 309 سوراخدار</v>
          </cell>
          <cell r="C153" t="str">
            <v>قالب تعمیری</v>
          </cell>
          <cell r="H153" t="str">
            <v>02S</v>
          </cell>
          <cell r="AF153">
            <v>2</v>
          </cell>
          <cell r="AR153">
            <v>1500000</v>
          </cell>
        </row>
        <row r="154">
          <cell r="B154" t="str">
            <v>شمش پراید</v>
          </cell>
          <cell r="C154" t="str">
            <v>قالب نو</v>
          </cell>
          <cell r="AF154">
            <v>3</v>
          </cell>
          <cell r="AR154">
            <v>2250000</v>
          </cell>
        </row>
        <row r="155">
          <cell r="B155" t="str">
            <v>قالب مترو مشهد</v>
          </cell>
          <cell r="C155" t="str">
            <v>قالب تعمیری</v>
          </cell>
          <cell r="H155">
            <v>1</v>
          </cell>
          <cell r="AF155">
            <v>3</v>
          </cell>
          <cell r="AR155">
            <v>2250000</v>
          </cell>
        </row>
        <row r="156">
          <cell r="B156" t="str">
            <v>جلو سمند سورن</v>
          </cell>
          <cell r="C156" t="str">
            <v>قالب تعمیری</v>
          </cell>
          <cell r="H156" t="str">
            <v>ML30256-01S</v>
          </cell>
          <cell r="AF156">
            <v>2</v>
          </cell>
          <cell r="AR156">
            <v>1500000</v>
          </cell>
        </row>
        <row r="157">
          <cell r="B157" t="str">
            <v>پخت کلاچ 309 سوراخدار</v>
          </cell>
          <cell r="C157" t="str">
            <v>قالب تعمیری</v>
          </cell>
          <cell r="H157" t="str">
            <v>02S</v>
          </cell>
          <cell r="AF157">
            <v>3</v>
          </cell>
          <cell r="AR157">
            <v>2250000</v>
          </cell>
        </row>
        <row r="158">
          <cell r="B158" t="str">
            <v>دستگاه ساب الماسه</v>
          </cell>
          <cell r="C158" t="str">
            <v>قطعه نو</v>
          </cell>
          <cell r="AF158">
            <v>1</v>
          </cell>
          <cell r="AR158">
            <v>750000</v>
          </cell>
        </row>
        <row r="159">
          <cell r="B159" t="str">
            <v>فوتون 107</v>
          </cell>
          <cell r="C159" t="str">
            <v>قالب تعمیری</v>
          </cell>
          <cell r="H159" t="str">
            <v>MS29983-01S</v>
          </cell>
          <cell r="AF159">
            <v>2.5</v>
          </cell>
          <cell r="AR159">
            <v>3750000</v>
          </cell>
        </row>
        <row r="160">
          <cell r="B160" t="str">
            <v>لودر دیسکی XGL 50</v>
          </cell>
          <cell r="C160" t="str">
            <v>قالب نو</v>
          </cell>
          <cell r="H160">
            <v>29935</v>
          </cell>
          <cell r="AF160">
            <v>2</v>
          </cell>
          <cell r="AR160">
            <v>3000000</v>
          </cell>
        </row>
        <row r="161">
          <cell r="B161" t="str">
            <v>فوتون 107</v>
          </cell>
          <cell r="C161" t="str">
            <v>قالب تعمیری</v>
          </cell>
          <cell r="H161" t="str">
            <v>MS29983-01S</v>
          </cell>
          <cell r="AF161">
            <v>6.5</v>
          </cell>
          <cell r="AR161">
            <v>9750000</v>
          </cell>
        </row>
        <row r="162">
          <cell r="B162" t="str">
            <v>قالب شمشی عقب پیکان</v>
          </cell>
          <cell r="C162" t="str">
            <v>قالب نو</v>
          </cell>
          <cell r="AF162">
            <v>11</v>
          </cell>
          <cell r="AR162">
            <v>16500000</v>
          </cell>
        </row>
        <row r="163">
          <cell r="B163" t="str">
            <v>قالب مترو مشهد</v>
          </cell>
          <cell r="C163" t="str">
            <v>قالب تعمیری</v>
          </cell>
          <cell r="H163">
            <v>1</v>
          </cell>
          <cell r="AF163">
            <v>4.5</v>
          </cell>
          <cell r="AR163">
            <v>3375000</v>
          </cell>
        </row>
        <row r="164">
          <cell r="B164" t="str">
            <v>قالب مترو مشهد</v>
          </cell>
          <cell r="C164" t="str">
            <v>قالب تعمیری</v>
          </cell>
          <cell r="H164">
            <v>1</v>
          </cell>
          <cell r="AF164">
            <v>6.5</v>
          </cell>
          <cell r="AR164">
            <v>4875000</v>
          </cell>
        </row>
        <row r="165">
          <cell r="B165" t="str">
            <v>قالب پخت کلاچ</v>
          </cell>
          <cell r="C165" t="str">
            <v>قالب تعمیری</v>
          </cell>
          <cell r="AF165">
            <v>6.5</v>
          </cell>
          <cell r="AR165">
            <v>4875000</v>
          </cell>
        </row>
        <row r="166">
          <cell r="B166" t="str">
            <v>دستگاه ساب الماسه</v>
          </cell>
          <cell r="C166" t="str">
            <v>قطعه نو</v>
          </cell>
          <cell r="AF166">
            <v>3.3333333333333335</v>
          </cell>
          <cell r="AR166">
            <v>2500000</v>
          </cell>
        </row>
        <row r="167">
          <cell r="B167" t="str">
            <v>پخت کلاچ 309 سوراخدار</v>
          </cell>
          <cell r="C167" t="str">
            <v>قالب تعمیری</v>
          </cell>
          <cell r="H167" t="str">
            <v>02S</v>
          </cell>
          <cell r="AF167">
            <v>4.083333333333333</v>
          </cell>
          <cell r="AR167">
            <v>3062500</v>
          </cell>
        </row>
        <row r="168">
          <cell r="B168" t="str">
            <v>دستگاه ساب الماسه</v>
          </cell>
          <cell r="C168" t="str">
            <v>قطعه نو</v>
          </cell>
          <cell r="AF168">
            <v>9</v>
          </cell>
          <cell r="AR168">
            <v>6750000</v>
          </cell>
        </row>
        <row r="169">
          <cell r="B169" t="str">
            <v>دستگاه کشش سیم مفتول</v>
          </cell>
          <cell r="C169" t="str">
            <v>قطعه نو</v>
          </cell>
          <cell r="AF169">
            <v>2</v>
          </cell>
          <cell r="AR169">
            <v>1500000</v>
          </cell>
        </row>
        <row r="170">
          <cell r="B170" t="str">
            <v>قالب 29162</v>
          </cell>
          <cell r="C170" t="str">
            <v>قالب تعمیری</v>
          </cell>
          <cell r="H170">
            <v>29162</v>
          </cell>
          <cell r="AF170">
            <v>8</v>
          </cell>
          <cell r="AR170">
            <v>6000000</v>
          </cell>
        </row>
        <row r="171">
          <cell r="B171" t="str">
            <v>برشی نیوفیس C&amp;C</v>
          </cell>
          <cell r="C171" t="str">
            <v>قالب نو</v>
          </cell>
          <cell r="H171">
            <v>30487</v>
          </cell>
          <cell r="AF171">
            <v>8</v>
          </cell>
          <cell r="AR171">
            <v>6000000</v>
          </cell>
        </row>
        <row r="172">
          <cell r="B172" t="str">
            <v>شمش پراید</v>
          </cell>
          <cell r="C172" t="str">
            <v>قالب نو</v>
          </cell>
          <cell r="AF172">
            <v>8</v>
          </cell>
          <cell r="AR172">
            <v>6000000</v>
          </cell>
        </row>
        <row r="173">
          <cell r="B173" t="str">
            <v>برشی نیوفیس C&amp;C</v>
          </cell>
          <cell r="C173" t="str">
            <v>قالب نو</v>
          </cell>
          <cell r="H173">
            <v>30487</v>
          </cell>
          <cell r="AF173">
            <v>12</v>
          </cell>
          <cell r="AR173">
            <v>9000000</v>
          </cell>
        </row>
        <row r="174">
          <cell r="B174" t="str">
            <v>قطعه بیرونی</v>
          </cell>
          <cell r="C174" t="str">
            <v>قطعه تعمیری</v>
          </cell>
          <cell r="AF174">
            <v>4</v>
          </cell>
          <cell r="AR174">
            <v>3000000</v>
          </cell>
        </row>
        <row r="175">
          <cell r="B175" t="str">
            <v>پخت عقب پژو 405 شمشی پایه کوتاه</v>
          </cell>
          <cell r="C175" t="str">
            <v>قالب نو</v>
          </cell>
          <cell r="AF175">
            <v>3</v>
          </cell>
          <cell r="AR175">
            <v>2250000</v>
          </cell>
        </row>
        <row r="176">
          <cell r="B176" t="str">
            <v>پخت کلاچ 309 سوراخدار</v>
          </cell>
          <cell r="C176" t="str">
            <v>قالب تعمیری</v>
          </cell>
          <cell r="H176" t="str">
            <v>02S</v>
          </cell>
          <cell r="AF176">
            <v>4</v>
          </cell>
          <cell r="AR176">
            <v>3000000</v>
          </cell>
        </row>
        <row r="177">
          <cell r="B177" t="str">
            <v>دستگاه کشش سیم مفتول</v>
          </cell>
          <cell r="C177" t="str">
            <v>قطعه نو</v>
          </cell>
          <cell r="AF177">
            <v>0.5</v>
          </cell>
          <cell r="AR177">
            <v>375000</v>
          </cell>
        </row>
        <row r="178">
          <cell r="B178" t="str">
            <v>پخت کلاچ 309 سوراخدار</v>
          </cell>
          <cell r="C178" t="str">
            <v>قالب تعمیری</v>
          </cell>
          <cell r="H178" t="str">
            <v>02S</v>
          </cell>
          <cell r="AF178">
            <v>1</v>
          </cell>
          <cell r="AR178">
            <v>750000</v>
          </cell>
        </row>
        <row r="179">
          <cell r="B179" t="str">
            <v>لنت صنعتی</v>
          </cell>
          <cell r="C179" t="str">
            <v>قطعه تعمیری</v>
          </cell>
          <cell r="AF179">
            <v>1</v>
          </cell>
          <cell r="AR179">
            <v>750000</v>
          </cell>
        </row>
        <row r="180">
          <cell r="B180" t="str">
            <v>جلو سمند سورن</v>
          </cell>
          <cell r="C180" t="str">
            <v>قالب تعمیری</v>
          </cell>
          <cell r="H180" t="str">
            <v>ML30256-01S</v>
          </cell>
          <cell r="AF180">
            <v>4</v>
          </cell>
          <cell r="AR180">
            <v>3000000</v>
          </cell>
        </row>
        <row r="181">
          <cell r="B181" t="str">
            <v>لنت صنعتی</v>
          </cell>
          <cell r="C181" t="str">
            <v>قطعه تعمیری</v>
          </cell>
          <cell r="AF181">
            <v>1</v>
          </cell>
          <cell r="AR181">
            <v>750000</v>
          </cell>
        </row>
        <row r="182">
          <cell r="B182" t="str">
            <v>قالب مترو مشهد</v>
          </cell>
          <cell r="C182" t="str">
            <v>قالب تعمیری</v>
          </cell>
          <cell r="H182">
            <v>1</v>
          </cell>
          <cell r="AF182">
            <v>4</v>
          </cell>
          <cell r="AR182">
            <v>3000000</v>
          </cell>
        </row>
        <row r="183">
          <cell r="B183" t="str">
            <v>پخت کلاچ 309 سوراخدار</v>
          </cell>
          <cell r="C183" t="str">
            <v>قالب تعمیری</v>
          </cell>
          <cell r="H183" t="str">
            <v>02S</v>
          </cell>
          <cell r="AF183">
            <v>1</v>
          </cell>
          <cell r="AR183">
            <v>750000</v>
          </cell>
        </row>
        <row r="184">
          <cell r="B184" t="str">
            <v>قالب مترو مشهد</v>
          </cell>
          <cell r="C184" t="str">
            <v>قالب تعمیری</v>
          </cell>
          <cell r="H184">
            <v>1</v>
          </cell>
          <cell r="AF184">
            <v>1</v>
          </cell>
          <cell r="AR184">
            <v>750000</v>
          </cell>
        </row>
        <row r="185">
          <cell r="B185" t="str">
            <v>قالب پخت کلاچ</v>
          </cell>
          <cell r="C185" t="str">
            <v>قالب تعمیری</v>
          </cell>
          <cell r="AF185">
            <v>11</v>
          </cell>
          <cell r="AR185">
            <v>8250000</v>
          </cell>
        </row>
        <row r="186">
          <cell r="B186" t="str">
            <v>قالب شمشی عقب پیکان</v>
          </cell>
          <cell r="C186" t="str">
            <v>قالب نو</v>
          </cell>
          <cell r="AF186">
            <v>6.5</v>
          </cell>
          <cell r="AR186">
            <v>4875000</v>
          </cell>
        </row>
        <row r="187">
          <cell r="B187" t="str">
            <v>ساب ترابوزا</v>
          </cell>
          <cell r="C187" t="str">
            <v>قطعه نو</v>
          </cell>
          <cell r="AF187">
            <v>11</v>
          </cell>
          <cell r="AR187">
            <v>8250000</v>
          </cell>
        </row>
        <row r="188">
          <cell r="B188" t="str">
            <v>قالب شمشی عقب پیکان</v>
          </cell>
          <cell r="C188" t="str">
            <v>قالب نو</v>
          </cell>
          <cell r="AF188">
            <v>11</v>
          </cell>
          <cell r="AR188">
            <v>16500000</v>
          </cell>
        </row>
        <row r="189">
          <cell r="B189" t="str">
            <v>فوتون 107</v>
          </cell>
          <cell r="C189" t="str">
            <v>قالب تعمیری</v>
          </cell>
          <cell r="H189" t="str">
            <v>MS29983-01S</v>
          </cell>
          <cell r="AF189">
            <v>2</v>
          </cell>
          <cell r="AR189">
            <v>3000000</v>
          </cell>
        </row>
        <row r="190">
          <cell r="B190" t="str">
            <v>برشی نیوفیس C&amp;C</v>
          </cell>
          <cell r="C190" t="str">
            <v>قالب نو</v>
          </cell>
          <cell r="H190">
            <v>30487</v>
          </cell>
          <cell r="AF190">
            <v>9</v>
          </cell>
          <cell r="AR190">
            <v>13500000</v>
          </cell>
        </row>
        <row r="191">
          <cell r="B191" t="str">
            <v>فوتون 107</v>
          </cell>
          <cell r="C191" t="str">
            <v>قالب تعمیری</v>
          </cell>
          <cell r="H191" t="str">
            <v>MS29983-01S</v>
          </cell>
          <cell r="AF191">
            <v>2.5</v>
          </cell>
          <cell r="AR191">
            <v>3750000</v>
          </cell>
        </row>
        <row r="192">
          <cell r="B192" t="str">
            <v>پخت عقب پژو 405 شمشی پایه کوتاه</v>
          </cell>
          <cell r="C192" t="str">
            <v>قالب نو</v>
          </cell>
          <cell r="AF192">
            <v>4</v>
          </cell>
          <cell r="AR192">
            <v>6000000</v>
          </cell>
        </row>
        <row r="193">
          <cell r="B193" t="str">
            <v>قالب مینی بوس آریا</v>
          </cell>
          <cell r="C193" t="str">
            <v>قالب نو</v>
          </cell>
          <cell r="H193">
            <v>30303</v>
          </cell>
          <cell r="AF193">
            <v>4.5</v>
          </cell>
          <cell r="AR193">
            <v>6750000</v>
          </cell>
        </row>
        <row r="194">
          <cell r="B194" t="str">
            <v>ویوینگ</v>
          </cell>
          <cell r="C194" t="str">
            <v>قطعه تعمیری</v>
          </cell>
          <cell r="AF194">
            <v>4</v>
          </cell>
          <cell r="AR194">
            <v>3000000</v>
          </cell>
        </row>
        <row r="195">
          <cell r="B195" t="str">
            <v>دستگاه کشش سیم مفتول</v>
          </cell>
          <cell r="C195" t="str">
            <v>قطعه نو</v>
          </cell>
          <cell r="AF195">
            <v>4</v>
          </cell>
          <cell r="AR195">
            <v>3000000</v>
          </cell>
        </row>
        <row r="196">
          <cell r="B196" t="str">
            <v>جلو سمند سورن</v>
          </cell>
          <cell r="C196" t="str">
            <v>قالب تعمیری</v>
          </cell>
          <cell r="H196" t="str">
            <v>ML30256-01S</v>
          </cell>
          <cell r="AF196">
            <v>2</v>
          </cell>
          <cell r="AR196">
            <v>1500000</v>
          </cell>
        </row>
        <row r="197">
          <cell r="B197" t="str">
            <v>قطعه بیرونی</v>
          </cell>
          <cell r="C197" t="str">
            <v>قطعه تعمیری</v>
          </cell>
          <cell r="AF197">
            <v>12</v>
          </cell>
          <cell r="AR197">
            <v>9000000</v>
          </cell>
        </row>
        <row r="198">
          <cell r="B198" t="str">
            <v>پخت کلاچ 309 سوراخدار</v>
          </cell>
          <cell r="C198" t="str">
            <v>قالب تعمیری</v>
          </cell>
          <cell r="H198" t="str">
            <v>02S</v>
          </cell>
          <cell r="AF198">
            <v>4</v>
          </cell>
          <cell r="AR198">
            <v>3000000</v>
          </cell>
        </row>
        <row r="199">
          <cell r="B199" t="str">
            <v>قالب پخت SAF</v>
          </cell>
          <cell r="C199" t="str">
            <v>قالب نو</v>
          </cell>
          <cell r="H199">
            <v>29087</v>
          </cell>
          <cell r="AF199">
            <v>12</v>
          </cell>
          <cell r="AR199">
            <v>9000000</v>
          </cell>
        </row>
        <row r="200">
          <cell r="B200" t="str">
            <v>جلو سمند سورن</v>
          </cell>
          <cell r="C200" t="str">
            <v>قالب تعمیری</v>
          </cell>
          <cell r="H200" t="str">
            <v>ML30256-01S</v>
          </cell>
          <cell r="AF200">
            <v>3</v>
          </cell>
          <cell r="AR200">
            <v>2250000</v>
          </cell>
        </row>
        <row r="201">
          <cell r="B201" t="str">
            <v>پخت کلاچ 309 سوراخدار</v>
          </cell>
          <cell r="C201" t="str">
            <v>قالب تعمیری</v>
          </cell>
          <cell r="H201" t="str">
            <v>02S</v>
          </cell>
          <cell r="AF201">
            <v>2</v>
          </cell>
          <cell r="AR201">
            <v>1500000</v>
          </cell>
        </row>
        <row r="202">
          <cell r="B202" t="str">
            <v>سنگ مغناطیسی</v>
          </cell>
          <cell r="C202" t="str">
            <v>دستگاه تعمیری</v>
          </cell>
          <cell r="H202">
            <v>7501</v>
          </cell>
          <cell r="AF202">
            <v>2</v>
          </cell>
          <cell r="AR202">
            <v>1500000</v>
          </cell>
        </row>
        <row r="203">
          <cell r="B203" t="str">
            <v>فوتون 107</v>
          </cell>
          <cell r="C203" t="str">
            <v>قالب تعمیری</v>
          </cell>
          <cell r="H203" t="str">
            <v>MS29983-01S</v>
          </cell>
          <cell r="AF203">
            <v>4</v>
          </cell>
          <cell r="AR203">
            <v>3000000</v>
          </cell>
        </row>
        <row r="204">
          <cell r="B204" t="str">
            <v>قالب مترو مشهد</v>
          </cell>
          <cell r="C204" t="str">
            <v>قالب تعمیری</v>
          </cell>
          <cell r="H204">
            <v>1</v>
          </cell>
          <cell r="AF204">
            <v>3</v>
          </cell>
          <cell r="AR204">
            <v>2250000</v>
          </cell>
        </row>
        <row r="205">
          <cell r="B205" t="str">
            <v>پخت کلاچ پراید</v>
          </cell>
          <cell r="C205" t="str">
            <v>قالب تعمیری</v>
          </cell>
          <cell r="H205">
            <v>8</v>
          </cell>
          <cell r="AF205">
            <v>3</v>
          </cell>
          <cell r="AR205">
            <v>2250000</v>
          </cell>
        </row>
        <row r="206">
          <cell r="B206" t="str">
            <v>کامیونت هیوندای</v>
          </cell>
          <cell r="C206" t="str">
            <v>قالب نو</v>
          </cell>
          <cell r="H206">
            <v>29889</v>
          </cell>
          <cell r="AF206">
            <v>6.5</v>
          </cell>
          <cell r="AR206">
            <v>4875000</v>
          </cell>
        </row>
        <row r="207">
          <cell r="B207" t="str">
            <v>خودرو دیزل آذربایجان</v>
          </cell>
          <cell r="C207" t="str">
            <v>قالب نو</v>
          </cell>
          <cell r="AF207">
            <v>11</v>
          </cell>
          <cell r="AR207">
            <v>16500000</v>
          </cell>
        </row>
        <row r="208">
          <cell r="B208" t="str">
            <v>کامیونت هیوندای</v>
          </cell>
          <cell r="C208" t="str">
            <v>قالب نو</v>
          </cell>
          <cell r="H208">
            <v>29889</v>
          </cell>
          <cell r="AF208">
            <v>5.5</v>
          </cell>
          <cell r="AR208">
            <v>4125000</v>
          </cell>
        </row>
        <row r="209">
          <cell r="B209" t="str">
            <v>قالب پخت کلاچ</v>
          </cell>
          <cell r="C209" t="str">
            <v>قالب تعمیری</v>
          </cell>
          <cell r="AF209">
            <v>5.5</v>
          </cell>
          <cell r="AR209">
            <v>4125000</v>
          </cell>
        </row>
        <row r="210">
          <cell r="B210" t="str">
            <v>قالب پخت کلاچ</v>
          </cell>
          <cell r="C210" t="str">
            <v>قالب تعمیری</v>
          </cell>
          <cell r="AF210">
            <v>11</v>
          </cell>
          <cell r="AR210">
            <v>8250000</v>
          </cell>
        </row>
        <row r="211">
          <cell r="B211" t="str">
            <v>قالب مینی بوس آریا</v>
          </cell>
          <cell r="C211" t="str">
            <v>قالب نو</v>
          </cell>
          <cell r="H211">
            <v>30303</v>
          </cell>
          <cell r="AF211">
            <v>3</v>
          </cell>
          <cell r="AR211">
            <v>4500000</v>
          </cell>
        </row>
        <row r="212">
          <cell r="B212" t="str">
            <v>قالب مینی بوس آریا</v>
          </cell>
          <cell r="C212" t="str">
            <v>قالب نو</v>
          </cell>
          <cell r="H212">
            <v>30303</v>
          </cell>
          <cell r="AF212">
            <v>8</v>
          </cell>
          <cell r="AR212">
            <v>12000000</v>
          </cell>
        </row>
        <row r="213">
          <cell r="B213" t="str">
            <v>کلمپ زنی</v>
          </cell>
          <cell r="C213" t="str">
            <v>قطعه تعمیری</v>
          </cell>
          <cell r="AF213">
            <v>4</v>
          </cell>
          <cell r="AR213">
            <v>3000000</v>
          </cell>
        </row>
        <row r="214">
          <cell r="B214" t="str">
            <v>ویوینگ</v>
          </cell>
          <cell r="C214" t="str">
            <v>قطعه تعمیری</v>
          </cell>
          <cell r="AF214">
            <v>2</v>
          </cell>
          <cell r="AR214">
            <v>1500000</v>
          </cell>
        </row>
        <row r="215">
          <cell r="B215" t="str">
            <v>ساب سمباده ای</v>
          </cell>
          <cell r="C215" t="str">
            <v>قطعه نو</v>
          </cell>
          <cell r="AF215">
            <v>3</v>
          </cell>
          <cell r="AR215">
            <v>2250000</v>
          </cell>
        </row>
        <row r="216">
          <cell r="B216" t="str">
            <v>برشی نیوفیس C&amp;C</v>
          </cell>
          <cell r="C216" t="str">
            <v>قالب نو</v>
          </cell>
          <cell r="H216">
            <v>30487</v>
          </cell>
          <cell r="AF216">
            <v>2.5</v>
          </cell>
          <cell r="AR216">
            <v>3750000</v>
          </cell>
        </row>
        <row r="217">
          <cell r="B217" t="str">
            <v>سوراخکاری پیلسان</v>
          </cell>
          <cell r="C217" t="str">
            <v>قطعه نو</v>
          </cell>
          <cell r="H217">
            <v>29385</v>
          </cell>
          <cell r="AF217">
            <v>2.5</v>
          </cell>
          <cell r="AR217">
            <v>3750000</v>
          </cell>
        </row>
        <row r="218">
          <cell r="B218" t="str">
            <v>دریل یزدخواستی کلاچ</v>
          </cell>
          <cell r="C218" t="str">
            <v>قطعه نو</v>
          </cell>
          <cell r="AF218">
            <v>3</v>
          </cell>
          <cell r="AR218">
            <v>4500000</v>
          </cell>
        </row>
        <row r="219">
          <cell r="B219" t="str">
            <v>لودر دیسکی XGL 50</v>
          </cell>
          <cell r="C219" t="str">
            <v>قالب نو</v>
          </cell>
          <cell r="H219">
            <v>29935</v>
          </cell>
          <cell r="AF219">
            <v>3</v>
          </cell>
          <cell r="AR219">
            <v>4500000</v>
          </cell>
        </row>
        <row r="220">
          <cell r="B220" t="str">
            <v>پخت کلاچ 309 سوراخدار</v>
          </cell>
          <cell r="C220" t="str">
            <v>قالب تعمیری</v>
          </cell>
          <cell r="H220" t="str">
            <v>02S</v>
          </cell>
          <cell r="AF220">
            <v>12</v>
          </cell>
          <cell r="AR220">
            <v>9000000</v>
          </cell>
        </row>
        <row r="221">
          <cell r="B221" t="str">
            <v>قالب پخت SAF</v>
          </cell>
          <cell r="C221" t="str">
            <v>قالب نو</v>
          </cell>
          <cell r="H221">
            <v>29087</v>
          </cell>
          <cell r="AF221">
            <v>12</v>
          </cell>
          <cell r="AR221">
            <v>9000000</v>
          </cell>
        </row>
        <row r="222">
          <cell r="B222" t="str">
            <v>قطعه بیرونی</v>
          </cell>
          <cell r="C222" t="str">
            <v>قطعه تعمیری</v>
          </cell>
          <cell r="AF222">
            <v>12</v>
          </cell>
          <cell r="AR222">
            <v>9000000</v>
          </cell>
        </row>
        <row r="223">
          <cell r="B223" t="str">
            <v>قالب مترو مشهد</v>
          </cell>
          <cell r="C223" t="str">
            <v>قالب تعمیری</v>
          </cell>
          <cell r="H223">
            <v>1</v>
          </cell>
          <cell r="AF223">
            <v>2</v>
          </cell>
          <cell r="AR223">
            <v>1500000</v>
          </cell>
        </row>
        <row r="224">
          <cell r="B224" t="str">
            <v>پخت کلاچ هوو</v>
          </cell>
          <cell r="C224" t="str">
            <v>قالب تعمیری</v>
          </cell>
          <cell r="H224" t="str">
            <v>MC 30292-01S</v>
          </cell>
          <cell r="AF224">
            <v>4</v>
          </cell>
          <cell r="AR224">
            <v>3000000</v>
          </cell>
        </row>
        <row r="225">
          <cell r="B225" t="str">
            <v>برشی نیوفیس C&amp;C</v>
          </cell>
          <cell r="C225" t="str">
            <v>قالب نو</v>
          </cell>
          <cell r="H225">
            <v>30487</v>
          </cell>
          <cell r="AF225">
            <v>3</v>
          </cell>
          <cell r="AR225">
            <v>2250000</v>
          </cell>
        </row>
        <row r="226">
          <cell r="B226" t="str">
            <v>قالب شمشی عقب پیکان</v>
          </cell>
          <cell r="C226" t="str">
            <v>قالب نو</v>
          </cell>
          <cell r="AF226">
            <v>2</v>
          </cell>
          <cell r="AR226">
            <v>1500000</v>
          </cell>
        </row>
        <row r="227">
          <cell r="B227" t="str">
            <v>ویوینگ</v>
          </cell>
          <cell r="C227" t="str">
            <v>قطعه نو</v>
          </cell>
          <cell r="AF227">
            <v>3</v>
          </cell>
          <cell r="AR227">
            <v>2250000</v>
          </cell>
        </row>
        <row r="228">
          <cell r="B228" t="str">
            <v>ساب ترابوزا</v>
          </cell>
          <cell r="C228" t="str">
            <v>قطعه نو</v>
          </cell>
          <cell r="AF228">
            <v>3</v>
          </cell>
          <cell r="AR228">
            <v>2250000</v>
          </cell>
        </row>
        <row r="229">
          <cell r="B229" t="str">
            <v>پخت کلاچ ایسوزو</v>
          </cell>
          <cell r="C229" t="str">
            <v>قالب تعمیری</v>
          </cell>
          <cell r="H229" t="str">
            <v>02S</v>
          </cell>
          <cell r="AF229">
            <v>5</v>
          </cell>
          <cell r="AR229">
            <v>3750000</v>
          </cell>
        </row>
        <row r="230">
          <cell r="B230" t="str">
            <v>قالب پخت کلاچ</v>
          </cell>
          <cell r="C230" t="str">
            <v>قالب تعمیری</v>
          </cell>
          <cell r="AF230">
            <v>4</v>
          </cell>
          <cell r="AR230">
            <v>3000000</v>
          </cell>
        </row>
        <row r="231">
          <cell r="B231" t="str">
            <v>کامیونت هیوندای</v>
          </cell>
          <cell r="C231" t="str">
            <v>قالب نو</v>
          </cell>
          <cell r="H231">
            <v>29889</v>
          </cell>
          <cell r="AF231">
            <v>6</v>
          </cell>
          <cell r="AR231">
            <v>4500000</v>
          </cell>
        </row>
        <row r="232">
          <cell r="B232" t="str">
            <v>کامیونت هیوندای</v>
          </cell>
          <cell r="C232" t="str">
            <v>قالب نو</v>
          </cell>
          <cell r="H232">
            <v>29889</v>
          </cell>
          <cell r="AF232">
            <v>1</v>
          </cell>
          <cell r="AR232">
            <v>750000</v>
          </cell>
        </row>
        <row r="233">
          <cell r="B233" t="str">
            <v>دریل یزدخواستی کلاچ</v>
          </cell>
          <cell r="C233" t="str">
            <v>قطعه نو</v>
          </cell>
          <cell r="AF233">
            <v>6.5</v>
          </cell>
          <cell r="AR233">
            <v>9750000</v>
          </cell>
        </row>
        <row r="234">
          <cell r="B234" t="str">
            <v xml:space="preserve">قالب پخت کلاچ پیکان </v>
          </cell>
          <cell r="C234" t="str">
            <v>قالب تعمیری</v>
          </cell>
          <cell r="H234" t="str">
            <v>MC30241-02s</v>
          </cell>
          <cell r="AF234">
            <v>11</v>
          </cell>
          <cell r="AR234">
            <v>16500000</v>
          </cell>
        </row>
        <row r="235">
          <cell r="B235" t="str">
            <v>قالب پخت کلاچ</v>
          </cell>
          <cell r="C235" t="str">
            <v>قالب تعمیری</v>
          </cell>
          <cell r="AF235">
            <v>11</v>
          </cell>
          <cell r="AR235">
            <v>8250000</v>
          </cell>
        </row>
        <row r="236">
          <cell r="B236" t="str">
            <v>قالب مینی بوس آریا</v>
          </cell>
          <cell r="C236" t="str">
            <v>قالب نو</v>
          </cell>
          <cell r="H236">
            <v>30303</v>
          </cell>
          <cell r="AF236">
            <v>6.5</v>
          </cell>
          <cell r="AR236">
            <v>9750000</v>
          </cell>
        </row>
        <row r="237">
          <cell r="B237" t="str">
            <v>خودرو دیزل آذربایجان</v>
          </cell>
          <cell r="C237" t="str">
            <v>قالب نو</v>
          </cell>
          <cell r="AF237">
            <v>4.5</v>
          </cell>
          <cell r="AR237">
            <v>6750000</v>
          </cell>
        </row>
        <row r="238">
          <cell r="B238" t="str">
            <v>کامیونت هیوندای</v>
          </cell>
          <cell r="C238" t="str">
            <v>قالب نو</v>
          </cell>
          <cell r="H238">
            <v>29889</v>
          </cell>
          <cell r="AF238">
            <v>5</v>
          </cell>
          <cell r="AR238">
            <v>3750000</v>
          </cell>
        </row>
        <row r="239">
          <cell r="B239" t="str">
            <v>کامیونت هیوندای</v>
          </cell>
          <cell r="C239" t="str">
            <v>قالب نو</v>
          </cell>
          <cell r="H239">
            <v>29889</v>
          </cell>
          <cell r="AF239">
            <v>1.5</v>
          </cell>
          <cell r="AR239">
            <v>1125000</v>
          </cell>
        </row>
        <row r="240">
          <cell r="B240" t="str">
            <v>سنگ مغناطیسی</v>
          </cell>
          <cell r="C240" t="str">
            <v>دستگاه تعمیری</v>
          </cell>
          <cell r="H240">
            <v>7501</v>
          </cell>
          <cell r="AF240">
            <v>5.5</v>
          </cell>
          <cell r="AR240">
            <v>4125000</v>
          </cell>
        </row>
        <row r="241">
          <cell r="B241" t="str">
            <v>قالب پخت کلاچ</v>
          </cell>
          <cell r="C241" t="str">
            <v>قالب تعمیری</v>
          </cell>
          <cell r="AF241">
            <v>5.5</v>
          </cell>
          <cell r="AR241">
            <v>4125000</v>
          </cell>
        </row>
        <row r="242">
          <cell r="B242" t="str">
            <v>ساب سمباده ای</v>
          </cell>
          <cell r="C242" t="str">
            <v>قطعه نو</v>
          </cell>
          <cell r="AF242">
            <v>8</v>
          </cell>
          <cell r="AR242">
            <v>6000000</v>
          </cell>
        </row>
        <row r="243">
          <cell r="B243" t="str">
            <v>پخت عقب پژو 405 شمشی پایه کوتاه</v>
          </cell>
          <cell r="C243" t="str">
            <v>قالب نو</v>
          </cell>
          <cell r="AF243">
            <v>9</v>
          </cell>
          <cell r="AR243">
            <v>6750000</v>
          </cell>
        </row>
        <row r="244">
          <cell r="B244" t="str">
            <v>پخت کلاچ 309 سوراخدار</v>
          </cell>
          <cell r="C244" t="str">
            <v>قالب تعمیری</v>
          </cell>
          <cell r="H244" t="str">
            <v>02S</v>
          </cell>
          <cell r="AF244">
            <v>3</v>
          </cell>
          <cell r="AR244">
            <v>2250000</v>
          </cell>
        </row>
        <row r="245">
          <cell r="B245" t="str">
            <v>لودر دیسکی XGL 50</v>
          </cell>
          <cell r="C245" t="str">
            <v>قالب نو</v>
          </cell>
          <cell r="H245">
            <v>29935</v>
          </cell>
          <cell r="AF245">
            <v>9</v>
          </cell>
          <cell r="AR245">
            <v>6750000</v>
          </cell>
        </row>
        <row r="246">
          <cell r="B246" t="str">
            <v>کامیونت هیوندای</v>
          </cell>
          <cell r="C246" t="str">
            <v>قالب نو</v>
          </cell>
          <cell r="H246">
            <v>29889</v>
          </cell>
          <cell r="AF246">
            <v>6</v>
          </cell>
          <cell r="AR246">
            <v>4500000</v>
          </cell>
        </row>
        <row r="247">
          <cell r="B247" t="str">
            <v>قالب پخت SAF</v>
          </cell>
          <cell r="C247" t="str">
            <v>قالب نو</v>
          </cell>
          <cell r="H247">
            <v>29087</v>
          </cell>
          <cell r="AF247">
            <v>2</v>
          </cell>
          <cell r="AR247">
            <v>1500000</v>
          </cell>
        </row>
        <row r="248">
          <cell r="B248" t="str">
            <v>قالب پخت کلاچ</v>
          </cell>
          <cell r="C248" t="str">
            <v>قالب تعمیری</v>
          </cell>
          <cell r="AF248">
            <v>3</v>
          </cell>
          <cell r="AR248">
            <v>2250000</v>
          </cell>
        </row>
        <row r="249">
          <cell r="B249" t="str">
            <v>خودرو دیزل آذربایجان</v>
          </cell>
          <cell r="C249" t="str">
            <v>قالب نو</v>
          </cell>
          <cell r="AF249">
            <v>4</v>
          </cell>
          <cell r="AR249">
            <v>3000000</v>
          </cell>
        </row>
        <row r="250">
          <cell r="B250" t="str">
            <v>قالب مترو مشهد</v>
          </cell>
          <cell r="C250" t="str">
            <v>قالب تعمیری</v>
          </cell>
          <cell r="H250">
            <v>1</v>
          </cell>
          <cell r="AF250">
            <v>2</v>
          </cell>
          <cell r="AR250">
            <v>1500000</v>
          </cell>
        </row>
        <row r="251">
          <cell r="B251" t="str">
            <v>سنگ مغناطیسی</v>
          </cell>
          <cell r="C251" t="str">
            <v>دستگاه تعمیری</v>
          </cell>
          <cell r="H251">
            <v>7501</v>
          </cell>
          <cell r="AF251">
            <v>2</v>
          </cell>
          <cell r="AR251">
            <v>1500000</v>
          </cell>
        </row>
        <row r="252">
          <cell r="B252" t="str">
            <v>ساب سمباده ای</v>
          </cell>
          <cell r="C252" t="str">
            <v>قطعه نو</v>
          </cell>
          <cell r="AF252">
            <v>4</v>
          </cell>
          <cell r="AR252">
            <v>3000000</v>
          </cell>
        </row>
        <row r="253">
          <cell r="B253" t="str">
            <v>ساب ترابوزا</v>
          </cell>
          <cell r="C253" t="str">
            <v>قطعه نو</v>
          </cell>
          <cell r="AF253">
            <v>3</v>
          </cell>
          <cell r="AR253">
            <v>2250000</v>
          </cell>
        </row>
        <row r="254">
          <cell r="B254" t="str">
            <v>ساب الماسه</v>
          </cell>
          <cell r="C254" t="str">
            <v>قطعه تعمیری</v>
          </cell>
          <cell r="AF254">
            <v>2</v>
          </cell>
          <cell r="AR254">
            <v>1500000</v>
          </cell>
        </row>
        <row r="255">
          <cell r="B255" t="str">
            <v>ساب ترابوزا</v>
          </cell>
          <cell r="C255" t="str">
            <v>قطعه تعمیری</v>
          </cell>
          <cell r="AF255">
            <v>2</v>
          </cell>
          <cell r="AR255">
            <v>1500000</v>
          </cell>
        </row>
        <row r="256">
          <cell r="B256" t="str">
            <v>دستگاه پرس پخت</v>
          </cell>
          <cell r="C256" t="str">
            <v>قطعه تعمیری</v>
          </cell>
          <cell r="AF256">
            <v>1</v>
          </cell>
          <cell r="AR256">
            <v>750000</v>
          </cell>
        </row>
        <row r="257">
          <cell r="B257" t="str">
            <v>ویوینگ</v>
          </cell>
          <cell r="C257" t="str">
            <v>قطعه تعمیری</v>
          </cell>
          <cell r="AF257">
            <v>2</v>
          </cell>
          <cell r="AR257">
            <v>1500000</v>
          </cell>
        </row>
        <row r="258">
          <cell r="B258" t="str">
            <v>قالب مترو مشهد</v>
          </cell>
          <cell r="C258" t="str">
            <v>قالب تعمیری</v>
          </cell>
          <cell r="H258">
            <v>1</v>
          </cell>
          <cell r="AF258">
            <v>2</v>
          </cell>
          <cell r="AR258">
            <v>1500000</v>
          </cell>
        </row>
        <row r="259">
          <cell r="B259" t="str">
            <v>قالب مترو مشهد</v>
          </cell>
          <cell r="C259" t="str">
            <v>قالب تعمیری</v>
          </cell>
          <cell r="H259">
            <v>1</v>
          </cell>
          <cell r="AF259">
            <v>2</v>
          </cell>
          <cell r="AR259">
            <v>1500000</v>
          </cell>
        </row>
        <row r="260">
          <cell r="B260" t="str">
            <v>پخت کلاچ 309 سوراخدار</v>
          </cell>
          <cell r="C260" t="str">
            <v>قالب تعمیری</v>
          </cell>
          <cell r="H260" t="str">
            <v>02S</v>
          </cell>
          <cell r="AF260">
            <v>1</v>
          </cell>
          <cell r="AR260">
            <v>750000</v>
          </cell>
        </row>
        <row r="261">
          <cell r="B261" t="str">
            <v>جلو سمند سورن</v>
          </cell>
          <cell r="C261" t="str">
            <v>قالب تعمیری</v>
          </cell>
          <cell r="H261" t="str">
            <v>ML30256-01S</v>
          </cell>
          <cell r="AF261">
            <v>5</v>
          </cell>
          <cell r="AR261">
            <v>3750000</v>
          </cell>
        </row>
        <row r="262">
          <cell r="B262" t="str">
            <v>قالب مترو مشهد</v>
          </cell>
          <cell r="C262" t="str">
            <v>قالب تعمیری</v>
          </cell>
          <cell r="AF262">
            <v>4</v>
          </cell>
          <cell r="AR262">
            <v>3000000</v>
          </cell>
        </row>
        <row r="263">
          <cell r="B263" t="str">
            <v>پخت کلاچ 309 سوراخدار</v>
          </cell>
          <cell r="C263" t="str">
            <v>قالب تعمیری</v>
          </cell>
          <cell r="H263" t="str">
            <v>02S</v>
          </cell>
          <cell r="AF263">
            <v>1</v>
          </cell>
          <cell r="AR263">
            <v>750000</v>
          </cell>
        </row>
        <row r="264">
          <cell r="B264" t="str">
            <v>خودرو دیزل آذربایجان</v>
          </cell>
          <cell r="C264" t="str">
            <v>قالب نو</v>
          </cell>
          <cell r="AF264">
            <v>11</v>
          </cell>
          <cell r="AR264">
            <v>16500000</v>
          </cell>
        </row>
        <row r="265">
          <cell r="B265" t="str">
            <v xml:space="preserve">قالب پخت کلاچ پیکان </v>
          </cell>
          <cell r="C265" t="str">
            <v>قالب تعمیری</v>
          </cell>
          <cell r="H265" t="str">
            <v>MC30241-02s</v>
          </cell>
          <cell r="AF265">
            <v>11</v>
          </cell>
          <cell r="AR265">
            <v>16500000</v>
          </cell>
        </row>
        <row r="266">
          <cell r="B266" t="str">
            <v>کامیونت هیوندای</v>
          </cell>
          <cell r="C266" t="str">
            <v>قالب نو</v>
          </cell>
          <cell r="H266">
            <v>29889</v>
          </cell>
          <cell r="AF266">
            <v>6.5</v>
          </cell>
          <cell r="AR266">
            <v>4875000</v>
          </cell>
        </row>
        <row r="267">
          <cell r="B267" t="str">
            <v>قالب پخت کلاچ</v>
          </cell>
          <cell r="C267" t="str">
            <v>قالب تعمیری</v>
          </cell>
          <cell r="AF267">
            <v>3.5</v>
          </cell>
          <cell r="AR267">
            <v>2625000</v>
          </cell>
        </row>
        <row r="268">
          <cell r="B268" t="str">
            <v>فرز Taksan</v>
          </cell>
          <cell r="C268" t="str">
            <v>دستگاه تعمیری</v>
          </cell>
          <cell r="AF268">
            <v>7.5</v>
          </cell>
          <cell r="AR268">
            <v>5625000</v>
          </cell>
        </row>
        <row r="269">
          <cell r="B269" t="str">
            <v>کامیونت هیوندای</v>
          </cell>
          <cell r="C269" t="str">
            <v>قالب نو</v>
          </cell>
          <cell r="H269">
            <v>29889</v>
          </cell>
          <cell r="AF269">
            <v>5.5</v>
          </cell>
          <cell r="AR269">
            <v>4125000</v>
          </cell>
        </row>
        <row r="270">
          <cell r="B270" t="str">
            <v>کامیونت هیوندای</v>
          </cell>
          <cell r="C270" t="str">
            <v>قالب نو</v>
          </cell>
          <cell r="H270">
            <v>29889</v>
          </cell>
          <cell r="AF270">
            <v>4.5</v>
          </cell>
          <cell r="AR270">
            <v>3375000</v>
          </cell>
        </row>
        <row r="271">
          <cell r="B271" t="str">
            <v>چکش تست لنت</v>
          </cell>
          <cell r="C271" t="str">
            <v>قطعه تعمیری</v>
          </cell>
          <cell r="AF271">
            <v>1</v>
          </cell>
          <cell r="AR271">
            <v>750000</v>
          </cell>
        </row>
        <row r="272">
          <cell r="B272" t="str">
            <v>پخت کلاچ 309 سوراخدار</v>
          </cell>
          <cell r="C272" t="str">
            <v>قالب تعمیری</v>
          </cell>
          <cell r="H272" t="str">
            <v>02S</v>
          </cell>
          <cell r="AF272">
            <v>3.3333333333333335</v>
          </cell>
          <cell r="AR272">
            <v>2500000</v>
          </cell>
        </row>
        <row r="273">
          <cell r="B273" t="str">
            <v>دستگاه برش جمعی</v>
          </cell>
          <cell r="C273" t="str">
            <v>قطعه تعمیری</v>
          </cell>
          <cell r="AF273">
            <v>3.3333333333333335</v>
          </cell>
          <cell r="AR273">
            <v>2500000</v>
          </cell>
        </row>
        <row r="274">
          <cell r="B274" t="str">
            <v>سری نقطه جوش</v>
          </cell>
          <cell r="C274" t="str">
            <v>قطعه تعمیری</v>
          </cell>
          <cell r="AF274">
            <v>1</v>
          </cell>
          <cell r="AR274">
            <v>750000</v>
          </cell>
        </row>
        <row r="275">
          <cell r="B275" t="str">
            <v>قالب پخت SAF</v>
          </cell>
          <cell r="C275" t="str">
            <v>قالب نو</v>
          </cell>
          <cell r="H275">
            <v>29087</v>
          </cell>
          <cell r="AF275">
            <v>3.3333333333333335</v>
          </cell>
          <cell r="AR275">
            <v>2500000</v>
          </cell>
        </row>
        <row r="276">
          <cell r="B276" t="str">
            <v>پخت عقب پژو 405 شمشی پایه کوتاه</v>
          </cell>
          <cell r="C276" t="str">
            <v>قالب نو</v>
          </cell>
          <cell r="AF276">
            <v>12</v>
          </cell>
          <cell r="AR276">
            <v>9000000</v>
          </cell>
        </row>
        <row r="277">
          <cell r="B277" t="str">
            <v>فیکسچر سوراخکاری  لنت دایان انرژی</v>
          </cell>
          <cell r="C277" t="str">
            <v>قطعه نو</v>
          </cell>
          <cell r="AF277">
            <v>7</v>
          </cell>
          <cell r="AR277">
            <v>5250000</v>
          </cell>
        </row>
        <row r="278">
          <cell r="B278" t="str">
            <v>پشم فلز آلمانی</v>
          </cell>
          <cell r="C278" t="str">
            <v>قطعه نو</v>
          </cell>
          <cell r="AF278">
            <v>4</v>
          </cell>
          <cell r="AR278">
            <v>3000000</v>
          </cell>
        </row>
        <row r="279">
          <cell r="B279" t="str">
            <v>ساب ترابوزا</v>
          </cell>
          <cell r="C279" t="str">
            <v>قطعه نو</v>
          </cell>
          <cell r="AF279">
            <v>3</v>
          </cell>
          <cell r="AR279">
            <v>2250000</v>
          </cell>
        </row>
        <row r="280">
          <cell r="B280" t="str">
            <v>پشم فلز آلمانی</v>
          </cell>
          <cell r="C280" t="str">
            <v>قطعه نو</v>
          </cell>
          <cell r="AF280">
            <v>2</v>
          </cell>
          <cell r="AR280">
            <v>1500000</v>
          </cell>
        </row>
        <row r="281">
          <cell r="B281" t="str">
            <v>اصول 5S</v>
          </cell>
          <cell r="C281" t="str">
            <v>نظافت</v>
          </cell>
          <cell r="AF281">
            <v>1</v>
          </cell>
          <cell r="AR281">
            <v>750000</v>
          </cell>
        </row>
        <row r="282">
          <cell r="B282" t="str">
            <v>خودرو دیزل آذربایجان</v>
          </cell>
          <cell r="C282" t="str">
            <v>قالب نو</v>
          </cell>
          <cell r="AF282">
            <v>3</v>
          </cell>
          <cell r="AR282">
            <v>2250000</v>
          </cell>
        </row>
        <row r="283">
          <cell r="B283" t="str">
            <v>قالب پخت SAF</v>
          </cell>
          <cell r="C283" t="str">
            <v>قالب نو</v>
          </cell>
          <cell r="H283">
            <v>29087</v>
          </cell>
          <cell r="AF283">
            <v>2</v>
          </cell>
          <cell r="AR283">
            <v>1500000</v>
          </cell>
        </row>
        <row r="284">
          <cell r="B284" t="str">
            <v>قالب پخت SAF</v>
          </cell>
          <cell r="C284" t="str">
            <v>قالب نو</v>
          </cell>
          <cell r="H284">
            <v>29087</v>
          </cell>
          <cell r="AF284">
            <v>2</v>
          </cell>
          <cell r="AR284">
            <v>1500000</v>
          </cell>
        </row>
        <row r="285">
          <cell r="B285" t="str">
            <v>Grinding Machine Drum</v>
          </cell>
          <cell r="C285" t="str">
            <v>قطعه نو</v>
          </cell>
          <cell r="AF285">
            <v>5</v>
          </cell>
          <cell r="AR285">
            <v>3750000</v>
          </cell>
        </row>
        <row r="286">
          <cell r="B286" t="str">
            <v>قالب پخت SAF</v>
          </cell>
          <cell r="C286" t="str">
            <v>قالب تعمیری</v>
          </cell>
          <cell r="H286">
            <v>29087</v>
          </cell>
          <cell r="AF286">
            <v>2</v>
          </cell>
          <cell r="AR286">
            <v>1500000</v>
          </cell>
        </row>
        <row r="287">
          <cell r="B287" t="str">
            <v>پخت کلاچ 309 سوراخدار</v>
          </cell>
          <cell r="C287" t="str">
            <v>قالب تعمیری</v>
          </cell>
          <cell r="H287" t="str">
            <v>02S</v>
          </cell>
          <cell r="AF287">
            <v>2</v>
          </cell>
          <cell r="AR287">
            <v>1500000</v>
          </cell>
        </row>
        <row r="288">
          <cell r="B288" t="str">
            <v>قالب پخت SAF</v>
          </cell>
          <cell r="C288" t="str">
            <v>قالب نو</v>
          </cell>
          <cell r="H288">
            <v>29087</v>
          </cell>
          <cell r="AF288">
            <v>2</v>
          </cell>
          <cell r="AR288">
            <v>1500000</v>
          </cell>
        </row>
        <row r="289">
          <cell r="B289" t="str">
            <v>قالب پخت SAF</v>
          </cell>
          <cell r="C289" t="str">
            <v>قالب تعمیری</v>
          </cell>
          <cell r="H289">
            <v>29087</v>
          </cell>
          <cell r="AF289">
            <v>2</v>
          </cell>
          <cell r="AR289">
            <v>1500000</v>
          </cell>
        </row>
        <row r="290">
          <cell r="B290" t="str">
            <v>قالب پخت SAF</v>
          </cell>
          <cell r="C290" t="str">
            <v>قالب تعمیری</v>
          </cell>
          <cell r="H290">
            <v>29087</v>
          </cell>
          <cell r="AF290">
            <v>1</v>
          </cell>
          <cell r="AR290">
            <v>750000</v>
          </cell>
        </row>
        <row r="291">
          <cell r="B291" t="str">
            <v>پخت کلاچ 309 سوراخدار</v>
          </cell>
          <cell r="C291" t="str">
            <v>قالب تعمیری</v>
          </cell>
          <cell r="H291" t="str">
            <v>02S</v>
          </cell>
          <cell r="AF291">
            <v>3</v>
          </cell>
          <cell r="AR291">
            <v>2250000</v>
          </cell>
        </row>
        <row r="292">
          <cell r="B292" t="str">
            <v>پشم فلز آلمانی</v>
          </cell>
          <cell r="C292" t="str">
            <v>قطعه نو</v>
          </cell>
          <cell r="AF292">
            <v>1</v>
          </cell>
          <cell r="AR292">
            <v>750000</v>
          </cell>
        </row>
        <row r="293">
          <cell r="B293" t="str">
            <v>قالب پخت SAF</v>
          </cell>
          <cell r="C293" t="str">
            <v>قالب تعمیری</v>
          </cell>
          <cell r="H293">
            <v>29087</v>
          </cell>
          <cell r="AF293">
            <v>2</v>
          </cell>
          <cell r="AR293">
            <v>1500000</v>
          </cell>
        </row>
        <row r="294">
          <cell r="B294" t="str">
            <v>دریل یزدخواستی کلاچ</v>
          </cell>
          <cell r="C294" t="str">
            <v>قطعه نو</v>
          </cell>
          <cell r="AF294">
            <v>5.5</v>
          </cell>
          <cell r="AR294">
            <v>8250000</v>
          </cell>
        </row>
        <row r="295">
          <cell r="B295" t="str">
            <v>سوراخکاری پیلسان</v>
          </cell>
          <cell r="C295" t="str">
            <v>قطعه نو</v>
          </cell>
          <cell r="H295">
            <v>29385</v>
          </cell>
          <cell r="AF295">
            <v>5.5</v>
          </cell>
          <cell r="AR295">
            <v>8250000</v>
          </cell>
        </row>
        <row r="296">
          <cell r="B296" t="str">
            <v>کامیونت هیوندای</v>
          </cell>
          <cell r="C296" t="str">
            <v>قالب نو</v>
          </cell>
          <cell r="H296">
            <v>29889</v>
          </cell>
          <cell r="AF296">
            <v>6.5</v>
          </cell>
          <cell r="AR296">
            <v>4875000</v>
          </cell>
        </row>
        <row r="297">
          <cell r="B297" t="str">
            <v xml:space="preserve">قالب پخت کلاچ پیکان </v>
          </cell>
          <cell r="C297" t="str">
            <v>قالب تعمیری</v>
          </cell>
          <cell r="H297" t="str">
            <v>MC30241-05s</v>
          </cell>
          <cell r="AF297">
            <v>6</v>
          </cell>
          <cell r="AR297">
            <v>9000000</v>
          </cell>
        </row>
        <row r="298">
          <cell r="B298" t="str">
            <v>اصول 5S</v>
          </cell>
          <cell r="C298" t="str">
            <v>نظافت</v>
          </cell>
          <cell r="AF298">
            <v>1.5</v>
          </cell>
          <cell r="AR298">
            <v>1125000</v>
          </cell>
        </row>
        <row r="299">
          <cell r="B299" t="str">
            <v xml:space="preserve">قالب پخت کلاچ پیکان </v>
          </cell>
          <cell r="C299" t="str">
            <v>قالب تعمیری</v>
          </cell>
          <cell r="H299" t="str">
            <v>MC30241-05s</v>
          </cell>
          <cell r="AF299">
            <v>3.5</v>
          </cell>
          <cell r="AR299">
            <v>5250000</v>
          </cell>
        </row>
        <row r="300">
          <cell r="B300" t="str">
            <v>کامیونت هیوندای</v>
          </cell>
          <cell r="C300" t="str">
            <v>قالب نو</v>
          </cell>
          <cell r="H300">
            <v>29889</v>
          </cell>
          <cell r="AF300">
            <v>3</v>
          </cell>
          <cell r="AR300">
            <v>2250000</v>
          </cell>
        </row>
        <row r="301">
          <cell r="B301" t="str">
            <v>قالب پخت کلاچ</v>
          </cell>
          <cell r="C301" t="str">
            <v>قالب تعمیری</v>
          </cell>
          <cell r="AF301">
            <v>8</v>
          </cell>
          <cell r="AR301">
            <v>6000000</v>
          </cell>
        </row>
        <row r="302">
          <cell r="B302" t="str">
            <v>کامیونت هیوندای</v>
          </cell>
          <cell r="C302" t="str">
            <v>قالب نو</v>
          </cell>
          <cell r="H302">
            <v>29889</v>
          </cell>
          <cell r="AF302">
            <v>3.5</v>
          </cell>
          <cell r="AR302">
            <v>2625000</v>
          </cell>
        </row>
        <row r="303">
          <cell r="B303" t="str">
            <v>قالب پخت کلاچ</v>
          </cell>
          <cell r="C303" t="str">
            <v>قالب تعمیری</v>
          </cell>
          <cell r="AF303">
            <v>7.5</v>
          </cell>
          <cell r="AR303">
            <v>5625000</v>
          </cell>
        </row>
        <row r="304">
          <cell r="B304" t="str">
            <v>خودرو دیزل آذربایجان</v>
          </cell>
          <cell r="C304" t="str">
            <v>قالب نو</v>
          </cell>
          <cell r="AF304">
            <v>6</v>
          </cell>
          <cell r="AR304">
            <v>9000000</v>
          </cell>
        </row>
        <row r="305">
          <cell r="B305" t="str">
            <v>اصول 5S</v>
          </cell>
          <cell r="C305" t="str">
            <v>نظافت</v>
          </cell>
          <cell r="AF305">
            <v>1.5</v>
          </cell>
          <cell r="AR305">
            <v>1125000</v>
          </cell>
        </row>
        <row r="306">
          <cell r="B306" t="str">
            <v>خودرو دیزل آذربایجان</v>
          </cell>
          <cell r="C306" t="str">
            <v>قالب نو</v>
          </cell>
          <cell r="AF306">
            <v>3.5</v>
          </cell>
          <cell r="AR306">
            <v>5250000</v>
          </cell>
        </row>
        <row r="307">
          <cell r="B307" t="str">
            <v>سوراخکاری پیلسان</v>
          </cell>
          <cell r="C307" t="str">
            <v>قطعه نو</v>
          </cell>
          <cell r="H307">
            <v>29385</v>
          </cell>
          <cell r="AF307">
            <v>3.5</v>
          </cell>
          <cell r="AR307">
            <v>5250000</v>
          </cell>
        </row>
        <row r="308">
          <cell r="B308" t="str">
            <v>Grinding Machine Drum</v>
          </cell>
          <cell r="C308" t="str">
            <v>قطعه نو</v>
          </cell>
          <cell r="AF308">
            <v>2</v>
          </cell>
          <cell r="AR308">
            <v>3000000</v>
          </cell>
        </row>
        <row r="309">
          <cell r="B309" t="str">
            <v>Grinding Machine Drum</v>
          </cell>
          <cell r="C309" t="str">
            <v>قطعه نو</v>
          </cell>
          <cell r="AF309">
            <v>1.5</v>
          </cell>
          <cell r="AR309">
            <v>2250000</v>
          </cell>
        </row>
        <row r="310">
          <cell r="B310" t="str">
            <v>اصول 5S</v>
          </cell>
          <cell r="C310" t="str">
            <v>نظافت</v>
          </cell>
          <cell r="AF310">
            <v>1.5</v>
          </cell>
          <cell r="AR310">
            <v>1125000</v>
          </cell>
        </row>
        <row r="311">
          <cell r="B311" t="str">
            <v>ویوینگ</v>
          </cell>
          <cell r="C311" t="str">
            <v>قطعه تعمیری</v>
          </cell>
          <cell r="AF311">
            <v>2</v>
          </cell>
          <cell r="AR311">
            <v>1500000</v>
          </cell>
        </row>
        <row r="312">
          <cell r="B312" t="str">
            <v>ساب دیسکی</v>
          </cell>
          <cell r="C312" t="str">
            <v>قطعه نو</v>
          </cell>
          <cell r="AF312">
            <v>3</v>
          </cell>
          <cell r="AR312">
            <v>2250000</v>
          </cell>
        </row>
        <row r="313">
          <cell r="B313" t="str">
            <v>ساب سمباده ای</v>
          </cell>
          <cell r="C313" t="str">
            <v>قطعه نو</v>
          </cell>
          <cell r="AF313">
            <v>5</v>
          </cell>
          <cell r="AR313">
            <v>3750000</v>
          </cell>
        </row>
        <row r="314">
          <cell r="B314" t="str">
            <v>ویوینگ</v>
          </cell>
          <cell r="C314" t="str">
            <v>قطعه تعمیری</v>
          </cell>
          <cell r="AF314">
            <v>1</v>
          </cell>
          <cell r="AR314">
            <v>750000</v>
          </cell>
        </row>
        <row r="315">
          <cell r="B315" t="str">
            <v>دستگاه پرس پخت</v>
          </cell>
          <cell r="C315" t="str">
            <v>قطعه تعمیری</v>
          </cell>
          <cell r="AF315">
            <v>1</v>
          </cell>
          <cell r="AR315">
            <v>750000</v>
          </cell>
        </row>
        <row r="316">
          <cell r="B316" t="str">
            <v>قالب پخت SAF</v>
          </cell>
          <cell r="C316" t="str">
            <v>قالب نو</v>
          </cell>
          <cell r="H316">
            <v>29087</v>
          </cell>
          <cell r="AF316">
            <v>1</v>
          </cell>
          <cell r="AR316">
            <v>750000</v>
          </cell>
        </row>
        <row r="317">
          <cell r="B317" t="str">
            <v>قالب پخت SAF</v>
          </cell>
          <cell r="C317" t="str">
            <v>قالب تعمیری</v>
          </cell>
          <cell r="H317">
            <v>29087</v>
          </cell>
          <cell r="AF317">
            <v>4</v>
          </cell>
          <cell r="AR317">
            <v>3000000</v>
          </cell>
        </row>
        <row r="318">
          <cell r="B318" t="str">
            <v>قالب مینی بوس آریا</v>
          </cell>
          <cell r="C318" t="str">
            <v>قالب نو</v>
          </cell>
          <cell r="H318">
            <v>30303</v>
          </cell>
          <cell r="AF318">
            <v>4</v>
          </cell>
          <cell r="AR318">
            <v>3000000</v>
          </cell>
        </row>
        <row r="319">
          <cell r="B319" t="str">
            <v>قالب ذوب آهن</v>
          </cell>
          <cell r="C319" t="str">
            <v>قالب تعمیری</v>
          </cell>
          <cell r="H319">
            <v>1</v>
          </cell>
          <cell r="AF319">
            <v>1</v>
          </cell>
          <cell r="AR319">
            <v>750000</v>
          </cell>
        </row>
        <row r="320">
          <cell r="B320" t="str">
            <v>قالب پخت SAF</v>
          </cell>
          <cell r="C320" t="str">
            <v>قالب تعمیری</v>
          </cell>
          <cell r="H320">
            <v>29087</v>
          </cell>
          <cell r="AF320">
            <v>4</v>
          </cell>
          <cell r="AR320">
            <v>3000000</v>
          </cell>
        </row>
        <row r="321">
          <cell r="B321" t="str">
            <v>قالب مینی بوس آریا</v>
          </cell>
          <cell r="C321" t="str">
            <v>قالب نو</v>
          </cell>
          <cell r="H321">
            <v>30303</v>
          </cell>
          <cell r="AF321">
            <v>3</v>
          </cell>
          <cell r="AR321">
            <v>2250000</v>
          </cell>
        </row>
        <row r="322">
          <cell r="B322" t="str">
            <v>ساب دیسکی</v>
          </cell>
          <cell r="C322" t="str">
            <v>قطعه نو</v>
          </cell>
          <cell r="AF322">
            <v>1</v>
          </cell>
          <cell r="AR322">
            <v>750000</v>
          </cell>
        </row>
        <row r="323">
          <cell r="B323" t="str">
            <v>دستگاه پرس پخت</v>
          </cell>
          <cell r="C323" t="str">
            <v>قطعه تعمیری</v>
          </cell>
          <cell r="AF323">
            <v>1</v>
          </cell>
          <cell r="AR323">
            <v>750000</v>
          </cell>
        </row>
        <row r="324">
          <cell r="B324" t="str">
            <v>قالب پخت SAF</v>
          </cell>
          <cell r="C324" t="str">
            <v>قالب نو</v>
          </cell>
          <cell r="H324">
            <v>29087</v>
          </cell>
          <cell r="AF324">
            <v>2</v>
          </cell>
          <cell r="AR324">
            <v>1500000</v>
          </cell>
        </row>
        <row r="325">
          <cell r="B325" t="str">
            <v>کامیونت هیوندای</v>
          </cell>
          <cell r="C325" t="str">
            <v>قالب نو</v>
          </cell>
          <cell r="H325">
            <v>29889</v>
          </cell>
          <cell r="AF325">
            <v>3</v>
          </cell>
          <cell r="AR325">
            <v>2250000</v>
          </cell>
        </row>
        <row r="326">
          <cell r="B326" t="str">
            <v>خودرو دیزل آذربایجان</v>
          </cell>
          <cell r="C326" t="str">
            <v>قالب نو</v>
          </cell>
          <cell r="AF326">
            <v>3</v>
          </cell>
          <cell r="AR326">
            <v>2250000</v>
          </cell>
        </row>
        <row r="327">
          <cell r="B327" t="str">
            <v>پشم فلز آلمانی</v>
          </cell>
          <cell r="C327" t="str">
            <v>قطعه نو</v>
          </cell>
          <cell r="AF327">
            <v>10</v>
          </cell>
          <cell r="AR327">
            <v>7500000</v>
          </cell>
        </row>
        <row r="328">
          <cell r="B328" t="str">
            <v>قالب برشی SAF</v>
          </cell>
          <cell r="C328" t="str">
            <v>قالب تعمیری</v>
          </cell>
          <cell r="H328">
            <v>1</v>
          </cell>
          <cell r="AF328">
            <v>1</v>
          </cell>
          <cell r="AR328">
            <v>750000</v>
          </cell>
        </row>
        <row r="329">
          <cell r="B329" t="str">
            <v>خودرو دیزل آذربایجان</v>
          </cell>
          <cell r="C329" t="str">
            <v>قالب نو</v>
          </cell>
          <cell r="AF329">
            <v>2</v>
          </cell>
          <cell r="AR329">
            <v>1500000</v>
          </cell>
        </row>
        <row r="330">
          <cell r="B330" t="str">
            <v>قالب پخت SAF</v>
          </cell>
          <cell r="C330" t="str">
            <v>قالب نو</v>
          </cell>
          <cell r="H330">
            <v>29087</v>
          </cell>
          <cell r="AF330">
            <v>4</v>
          </cell>
          <cell r="AR330">
            <v>3000000</v>
          </cell>
        </row>
        <row r="331">
          <cell r="B331" t="str">
            <v>قالب پخت SAF</v>
          </cell>
          <cell r="C331" t="str">
            <v>قالب تعمیری</v>
          </cell>
          <cell r="H331">
            <v>29087</v>
          </cell>
          <cell r="AF331">
            <v>4</v>
          </cell>
          <cell r="AR331">
            <v>3000000</v>
          </cell>
        </row>
        <row r="332">
          <cell r="B332" t="str">
            <v>سری نقطه جوش</v>
          </cell>
          <cell r="C332" t="str">
            <v>قطعه تعمیری</v>
          </cell>
          <cell r="AF332">
            <v>3</v>
          </cell>
          <cell r="AR332">
            <v>2250000</v>
          </cell>
        </row>
        <row r="333">
          <cell r="B333" t="str">
            <v>کامیونت هیوندای</v>
          </cell>
          <cell r="C333" t="str">
            <v>قالب نو</v>
          </cell>
          <cell r="H333">
            <v>29889</v>
          </cell>
          <cell r="AF333">
            <v>6.5</v>
          </cell>
          <cell r="AR333">
            <v>4875000</v>
          </cell>
        </row>
        <row r="334">
          <cell r="B334" t="str">
            <v xml:space="preserve">قالب پخت کلاچ پیکان </v>
          </cell>
          <cell r="C334" t="str">
            <v>قالب تعمیری</v>
          </cell>
          <cell r="H334" t="str">
            <v>MC30241-05s</v>
          </cell>
          <cell r="AF334">
            <v>11</v>
          </cell>
          <cell r="AR334">
            <v>16500000</v>
          </cell>
        </row>
        <row r="335">
          <cell r="B335" t="str">
            <v>خودرو دیزل آذربایجان</v>
          </cell>
          <cell r="C335" t="str">
            <v>قالب نو</v>
          </cell>
          <cell r="AF335">
            <v>11</v>
          </cell>
          <cell r="AR335">
            <v>16500000</v>
          </cell>
        </row>
        <row r="336">
          <cell r="B336" t="str">
            <v>ساب ترابوزا</v>
          </cell>
          <cell r="C336" t="str">
            <v>قطعه نو</v>
          </cell>
          <cell r="AF336">
            <v>11</v>
          </cell>
          <cell r="AR336">
            <v>8250000</v>
          </cell>
        </row>
        <row r="337">
          <cell r="B337" t="str">
            <v>کامیونت هیوندای</v>
          </cell>
          <cell r="C337" t="str">
            <v>قالب نو</v>
          </cell>
          <cell r="H337">
            <v>29889</v>
          </cell>
          <cell r="AF337">
            <v>7.5</v>
          </cell>
          <cell r="AR337">
            <v>5625000</v>
          </cell>
        </row>
        <row r="338">
          <cell r="B338" t="str">
            <v>فیکسچر سوراخکاری  لنت دایان انرژی</v>
          </cell>
          <cell r="C338" t="str">
            <v>قطعه نو</v>
          </cell>
          <cell r="AF338">
            <v>3.5</v>
          </cell>
          <cell r="AR338">
            <v>2625000</v>
          </cell>
        </row>
        <row r="339">
          <cell r="B339" t="str">
            <v>Grinding Machine Drum</v>
          </cell>
          <cell r="C339" t="str">
            <v>قطعه نو</v>
          </cell>
          <cell r="AF339">
            <v>2</v>
          </cell>
          <cell r="AR339">
            <v>3000000</v>
          </cell>
        </row>
        <row r="340">
          <cell r="B340" t="str">
            <v>Grinding Machine Drum</v>
          </cell>
          <cell r="C340" t="str">
            <v>قطعه نو</v>
          </cell>
          <cell r="AF340">
            <v>3.5</v>
          </cell>
          <cell r="AR340">
            <v>5250000</v>
          </cell>
        </row>
        <row r="341">
          <cell r="B341" t="str">
            <v>پخت کلاچ 309 سوراخدار</v>
          </cell>
          <cell r="C341" t="str">
            <v>قالب تعمیری</v>
          </cell>
          <cell r="H341" t="str">
            <v>02S</v>
          </cell>
          <cell r="AF341">
            <v>5.5</v>
          </cell>
          <cell r="AR341">
            <v>8250000</v>
          </cell>
        </row>
        <row r="342">
          <cell r="B342" t="str">
            <v>کامیونت هیوندای</v>
          </cell>
          <cell r="C342" t="str">
            <v>قالب نو</v>
          </cell>
          <cell r="H342">
            <v>29889</v>
          </cell>
          <cell r="AF342">
            <v>12</v>
          </cell>
          <cell r="AR342">
            <v>9000000</v>
          </cell>
        </row>
        <row r="343">
          <cell r="B343" t="str">
            <v>خودرو دیزل آذربایجان</v>
          </cell>
          <cell r="C343" t="str">
            <v>قالب نو</v>
          </cell>
          <cell r="AF343">
            <v>9</v>
          </cell>
          <cell r="AR343">
            <v>6750000</v>
          </cell>
        </row>
        <row r="344">
          <cell r="B344" t="str">
            <v>خودرو دیزل آذربایجان</v>
          </cell>
          <cell r="C344" t="str">
            <v>قالب نو</v>
          </cell>
          <cell r="AF344">
            <v>9</v>
          </cell>
          <cell r="AR344">
            <v>6750000</v>
          </cell>
        </row>
        <row r="345">
          <cell r="B345" t="str">
            <v>ساب دیسکی</v>
          </cell>
          <cell r="C345" t="str">
            <v>قطعه نو</v>
          </cell>
          <cell r="AF345">
            <v>1</v>
          </cell>
          <cell r="AR345">
            <v>750000</v>
          </cell>
        </row>
        <row r="346">
          <cell r="B346" t="str">
            <v>فیکسچر سوراخکاری  لنت دایان انرژی</v>
          </cell>
          <cell r="C346" t="str">
            <v>قطعه نو</v>
          </cell>
          <cell r="AF346">
            <v>5</v>
          </cell>
          <cell r="AR346">
            <v>3750000</v>
          </cell>
        </row>
        <row r="347">
          <cell r="B347" t="str">
            <v>قالب شمشی عقب پیکان</v>
          </cell>
          <cell r="C347" t="str">
            <v>قالب نو</v>
          </cell>
          <cell r="AF347">
            <v>1</v>
          </cell>
          <cell r="AR347">
            <v>750000</v>
          </cell>
        </row>
        <row r="348">
          <cell r="B348" t="str">
            <v>قالب شمشی عقب پیکان</v>
          </cell>
          <cell r="C348" t="str">
            <v>قالب نو</v>
          </cell>
          <cell r="AF348">
            <v>2.5</v>
          </cell>
          <cell r="AR348">
            <v>1875000</v>
          </cell>
        </row>
        <row r="349">
          <cell r="B349" t="str">
            <v>قالب کوبه دیما</v>
          </cell>
          <cell r="C349" t="str">
            <v>قالب تعمیری</v>
          </cell>
          <cell r="H349">
            <v>1</v>
          </cell>
          <cell r="AF349">
            <v>5.5</v>
          </cell>
          <cell r="AR349">
            <v>4125000</v>
          </cell>
        </row>
        <row r="350">
          <cell r="B350" t="str">
            <v>قالب عقب F12</v>
          </cell>
          <cell r="C350" t="str">
            <v>قالب نو</v>
          </cell>
          <cell r="AF350">
            <v>4</v>
          </cell>
          <cell r="AR350">
            <v>3000000</v>
          </cell>
        </row>
        <row r="351">
          <cell r="B351" t="str">
            <v>فیکسچر سوراخکاری  لنت دایان انرژی</v>
          </cell>
          <cell r="C351" t="str">
            <v>قطعه نو</v>
          </cell>
          <cell r="AF351">
            <v>6</v>
          </cell>
          <cell r="AR351">
            <v>4500000</v>
          </cell>
        </row>
        <row r="352">
          <cell r="B352" t="str">
            <v>کامیونت هیوندای</v>
          </cell>
          <cell r="C352" t="str">
            <v>قالب نو</v>
          </cell>
          <cell r="H352">
            <v>29889</v>
          </cell>
          <cell r="AF352">
            <v>5</v>
          </cell>
          <cell r="AR352">
            <v>3750000</v>
          </cell>
        </row>
        <row r="353">
          <cell r="B353" t="str">
            <v>کامیونت هیوندای</v>
          </cell>
          <cell r="C353" t="str">
            <v>قالب نو</v>
          </cell>
          <cell r="H353">
            <v>29889</v>
          </cell>
          <cell r="AF353">
            <v>7</v>
          </cell>
          <cell r="AR353">
            <v>5250000</v>
          </cell>
        </row>
        <row r="354">
          <cell r="B354" t="str">
            <v>قالب پخت SAF</v>
          </cell>
          <cell r="C354" t="str">
            <v>قالب تعمیری</v>
          </cell>
          <cell r="H354">
            <v>29087</v>
          </cell>
          <cell r="AF354">
            <v>4</v>
          </cell>
          <cell r="AR354">
            <v>3000000</v>
          </cell>
        </row>
        <row r="355">
          <cell r="B355" t="str">
            <v>دستگاه کشش پشم فلز</v>
          </cell>
          <cell r="C355" t="str">
            <v>قطعه نو</v>
          </cell>
          <cell r="AF355">
            <v>3</v>
          </cell>
          <cell r="AR355">
            <v>2250000</v>
          </cell>
        </row>
        <row r="356">
          <cell r="B356" t="str">
            <v>پشم فلز آلمانی</v>
          </cell>
          <cell r="C356" t="str">
            <v>قطعه تعمیری</v>
          </cell>
          <cell r="AF356">
            <v>2</v>
          </cell>
          <cell r="AR356">
            <v>1500000</v>
          </cell>
        </row>
        <row r="357">
          <cell r="B357" t="str">
            <v>سری نقطه جوش</v>
          </cell>
          <cell r="C357" t="str">
            <v>قطعه تعمیری</v>
          </cell>
          <cell r="AF357">
            <v>2</v>
          </cell>
          <cell r="AR357">
            <v>1500000</v>
          </cell>
        </row>
        <row r="358">
          <cell r="B358" t="str">
            <v>قالب ذوب آهن</v>
          </cell>
          <cell r="C358" t="str">
            <v>قالب تعمیری</v>
          </cell>
          <cell r="H358">
            <v>1</v>
          </cell>
          <cell r="AF358">
            <v>3</v>
          </cell>
          <cell r="AR358">
            <v>2250000</v>
          </cell>
        </row>
        <row r="359">
          <cell r="B359" t="str">
            <v>قالب عقب F12</v>
          </cell>
          <cell r="C359" t="str">
            <v>قالب نو</v>
          </cell>
          <cell r="AF359">
            <v>5</v>
          </cell>
          <cell r="AR359">
            <v>3750000</v>
          </cell>
        </row>
        <row r="360">
          <cell r="B360" t="str">
            <v>قالب مینی بوس آریا</v>
          </cell>
          <cell r="C360" t="str">
            <v>قالب نو</v>
          </cell>
          <cell r="H360">
            <v>30303</v>
          </cell>
          <cell r="AF360">
            <v>2</v>
          </cell>
          <cell r="AR360">
            <v>1500000</v>
          </cell>
        </row>
        <row r="361">
          <cell r="B361" t="str">
            <v>پخت کلاچ 309 سوراخدار</v>
          </cell>
          <cell r="C361" t="str">
            <v>قالب تعمیری</v>
          </cell>
          <cell r="H361" t="str">
            <v>02S</v>
          </cell>
          <cell r="AF361">
            <v>1</v>
          </cell>
          <cell r="AR361">
            <v>750000</v>
          </cell>
        </row>
        <row r="362">
          <cell r="B362" t="str">
            <v>قالب ذوب آهن</v>
          </cell>
          <cell r="C362" t="str">
            <v>قالب تعمیری</v>
          </cell>
          <cell r="H362">
            <v>1</v>
          </cell>
          <cell r="AF362">
            <v>3</v>
          </cell>
          <cell r="AR362">
            <v>2250000</v>
          </cell>
        </row>
        <row r="363">
          <cell r="B363" t="str">
            <v>قالب عقب F12</v>
          </cell>
          <cell r="C363" t="str">
            <v>قالب نو</v>
          </cell>
          <cell r="AF363">
            <v>2</v>
          </cell>
          <cell r="AR363">
            <v>1500000</v>
          </cell>
        </row>
        <row r="364">
          <cell r="B364" t="str">
            <v>آسانسور</v>
          </cell>
          <cell r="C364" t="str">
            <v>قطعه نو</v>
          </cell>
          <cell r="AF364">
            <v>3</v>
          </cell>
          <cell r="AR364">
            <v>2250000</v>
          </cell>
        </row>
        <row r="365">
          <cell r="B365" t="str">
            <v>Grinding Machine Drum</v>
          </cell>
          <cell r="C365" t="str">
            <v>قطعه نو</v>
          </cell>
          <cell r="AF365">
            <v>3</v>
          </cell>
          <cell r="AR365">
            <v>2250000</v>
          </cell>
        </row>
        <row r="366">
          <cell r="B366" t="str">
            <v>فیکسچر سوراخکاری  لنت دایان انرژی</v>
          </cell>
          <cell r="C366" t="str">
            <v>قطعه نو</v>
          </cell>
          <cell r="AF366">
            <v>11</v>
          </cell>
        </row>
        <row r="367">
          <cell r="B367" t="str">
            <v>کامیونت هیوندای</v>
          </cell>
          <cell r="C367" t="str">
            <v>قالب نو</v>
          </cell>
          <cell r="H367">
            <v>29889</v>
          </cell>
          <cell r="AF367">
            <v>6.5</v>
          </cell>
        </row>
        <row r="368">
          <cell r="B368" t="str">
            <v>قالب پیلسان</v>
          </cell>
          <cell r="C368" t="str">
            <v>قالب تعمیری</v>
          </cell>
          <cell r="AF368">
            <v>6.5</v>
          </cell>
        </row>
        <row r="369">
          <cell r="B369" t="str">
            <v>قالب عقب دیما</v>
          </cell>
          <cell r="C369" t="str">
            <v>قالب تعمیری</v>
          </cell>
          <cell r="AF369">
            <v>4.5</v>
          </cell>
        </row>
        <row r="370">
          <cell r="B370" t="str">
            <v xml:space="preserve">قالب پخت کلاچ پیکان </v>
          </cell>
          <cell r="C370" t="str">
            <v>قالب تعمیری</v>
          </cell>
          <cell r="H370" t="str">
            <v>MC30241-05s</v>
          </cell>
          <cell r="AF370">
            <v>10</v>
          </cell>
        </row>
        <row r="371">
          <cell r="B371" t="str">
            <v>فیکسچر سوراخکاری  لنت دایان انرژی</v>
          </cell>
          <cell r="C371" t="str">
            <v>قطعه نو</v>
          </cell>
          <cell r="AF371">
            <v>1</v>
          </cell>
        </row>
        <row r="372">
          <cell r="B372" t="str">
            <v>فیکسچر سوراخکاری  لنت دایان انرژی</v>
          </cell>
          <cell r="C372" t="str">
            <v>قطعه نو</v>
          </cell>
          <cell r="AF372">
            <v>4.5</v>
          </cell>
        </row>
        <row r="373">
          <cell r="B373" t="str">
            <v>کامیونت هیوندای</v>
          </cell>
          <cell r="C373" t="str">
            <v>قالب نو</v>
          </cell>
          <cell r="H373">
            <v>29889</v>
          </cell>
          <cell r="AF373">
            <v>6.5</v>
          </cell>
        </row>
        <row r="374">
          <cell r="B374" t="str">
            <v>پخت کلاچ 309 سوراخدار</v>
          </cell>
          <cell r="C374" t="str">
            <v>قالب تعمیری</v>
          </cell>
          <cell r="H374" t="str">
            <v>02S</v>
          </cell>
          <cell r="AF374">
            <v>2</v>
          </cell>
        </row>
        <row r="375">
          <cell r="B375" t="str">
            <v>پخت کلاچ هوو</v>
          </cell>
          <cell r="C375" t="str">
            <v>قالب تعمیری</v>
          </cell>
          <cell r="H375" t="str">
            <v>MC 30292-01S</v>
          </cell>
          <cell r="AF375">
            <v>3</v>
          </cell>
        </row>
        <row r="376">
          <cell r="B376" t="str">
            <v>قالب پخت SAF</v>
          </cell>
          <cell r="C376" t="str">
            <v>قالب تعمیری</v>
          </cell>
          <cell r="H376">
            <v>29087</v>
          </cell>
          <cell r="AF376">
            <v>2</v>
          </cell>
        </row>
        <row r="377">
          <cell r="B377" t="str">
            <v>قالب عقب F12</v>
          </cell>
          <cell r="C377" t="str">
            <v>قالب نو</v>
          </cell>
          <cell r="AF377">
            <v>3</v>
          </cell>
        </row>
        <row r="378">
          <cell r="B378" t="str">
            <v>قالب پخت SAF</v>
          </cell>
          <cell r="C378" t="str">
            <v>قالب تعمیری</v>
          </cell>
          <cell r="H378">
            <v>29087</v>
          </cell>
          <cell r="AF378">
            <v>2.5</v>
          </cell>
        </row>
        <row r="379">
          <cell r="B379" t="str">
            <v>قالب پخت SAF</v>
          </cell>
          <cell r="C379" t="str">
            <v>قالب تعمیری</v>
          </cell>
          <cell r="H379">
            <v>29087</v>
          </cell>
          <cell r="AF379">
            <v>1.5</v>
          </cell>
        </row>
        <row r="380">
          <cell r="B380" t="str">
            <v>قالب پخت SAF</v>
          </cell>
          <cell r="C380" t="str">
            <v>قالب تعمیری</v>
          </cell>
          <cell r="H380">
            <v>29087</v>
          </cell>
          <cell r="AF380">
            <v>4</v>
          </cell>
        </row>
        <row r="381">
          <cell r="B381" t="str">
            <v>قالب پخت SAF</v>
          </cell>
          <cell r="C381" t="str">
            <v>قالب تعمیری</v>
          </cell>
          <cell r="H381">
            <v>29087</v>
          </cell>
          <cell r="AF381">
            <v>1.5</v>
          </cell>
        </row>
        <row r="382">
          <cell r="B382" t="str">
            <v>قالب شمشی عقب پیکان</v>
          </cell>
          <cell r="C382" t="str">
            <v>قالب نو</v>
          </cell>
          <cell r="AF382">
            <v>1.5</v>
          </cell>
        </row>
        <row r="383">
          <cell r="B383" t="str">
            <v>کامیونت هیوندای</v>
          </cell>
          <cell r="C383" t="str">
            <v>قالب نو</v>
          </cell>
          <cell r="H383">
            <v>29889</v>
          </cell>
          <cell r="AF383">
            <v>12</v>
          </cell>
        </row>
        <row r="384">
          <cell r="B384" t="str">
            <v>دستگاه فرز</v>
          </cell>
          <cell r="C384" t="str">
            <v>قطعه تعمیری</v>
          </cell>
          <cell r="AF384">
            <v>9</v>
          </cell>
        </row>
        <row r="385">
          <cell r="B385" t="str">
            <v>گیج 206 Tu5</v>
          </cell>
          <cell r="C385" t="str">
            <v>قطعه نو</v>
          </cell>
          <cell r="AF385">
            <v>4.5</v>
          </cell>
        </row>
        <row r="386">
          <cell r="B386" t="str">
            <v>گیج پژو 405</v>
          </cell>
          <cell r="C386" t="str">
            <v>قطعه نو</v>
          </cell>
          <cell r="AF386">
            <v>4.5</v>
          </cell>
        </row>
        <row r="387">
          <cell r="B387" t="str">
            <v>گیج پراید پایا</v>
          </cell>
          <cell r="C387" t="str">
            <v>قطعه نو</v>
          </cell>
          <cell r="AF387">
            <v>3</v>
          </cell>
        </row>
        <row r="388">
          <cell r="B388" t="str">
            <v>گیج پیکان 215</v>
          </cell>
          <cell r="C388" t="str">
            <v>قطعه نو</v>
          </cell>
          <cell r="AF388">
            <v>3</v>
          </cell>
        </row>
        <row r="389">
          <cell r="B389" t="str">
            <v>گیج XU</v>
          </cell>
          <cell r="C389" t="str">
            <v>قطعه نو</v>
          </cell>
          <cell r="AF389">
            <v>3</v>
          </cell>
        </row>
        <row r="390">
          <cell r="B390" t="str">
            <v>کامیونت هیوندای</v>
          </cell>
          <cell r="C390" t="str">
            <v>قالب نو</v>
          </cell>
          <cell r="H390">
            <v>29889</v>
          </cell>
          <cell r="AF390">
            <v>11</v>
          </cell>
        </row>
        <row r="391">
          <cell r="B391" t="str">
            <v>کامیونت هیوندای</v>
          </cell>
          <cell r="C391" t="str">
            <v>قالب نو</v>
          </cell>
          <cell r="H391">
            <v>29889</v>
          </cell>
          <cell r="AF391">
            <v>5</v>
          </cell>
        </row>
        <row r="392">
          <cell r="B392" t="str">
            <v>قالب آرایشی SAF</v>
          </cell>
          <cell r="C392" t="str">
            <v>قالب تعمیری</v>
          </cell>
          <cell r="AF392">
            <v>1</v>
          </cell>
        </row>
        <row r="393">
          <cell r="B393" t="str">
            <v>قالب آرایشی SAF</v>
          </cell>
          <cell r="C393" t="str">
            <v>قالب تعمیری</v>
          </cell>
          <cell r="AF393">
            <v>1</v>
          </cell>
        </row>
        <row r="394">
          <cell r="B394" t="str">
            <v>کامیونت هیوندای</v>
          </cell>
          <cell r="C394" t="str">
            <v>قالب نو</v>
          </cell>
          <cell r="H394">
            <v>29889</v>
          </cell>
          <cell r="AF394">
            <v>1</v>
          </cell>
        </row>
        <row r="395">
          <cell r="B395" t="str">
            <v>مهر زنی</v>
          </cell>
          <cell r="C395" t="str">
            <v>قطعه نو</v>
          </cell>
          <cell r="AF395">
            <v>2.5</v>
          </cell>
        </row>
        <row r="396">
          <cell r="B396" t="str">
            <v xml:space="preserve">پرس پخت </v>
          </cell>
          <cell r="C396" t="str">
            <v>قطعه نو</v>
          </cell>
          <cell r="AF396">
            <v>2.5</v>
          </cell>
        </row>
        <row r="397">
          <cell r="B397" t="str">
            <v>گیج 206 Tu5</v>
          </cell>
          <cell r="C397" t="str">
            <v>قطعه نو</v>
          </cell>
          <cell r="AF397">
            <v>2</v>
          </cell>
        </row>
        <row r="398">
          <cell r="B398" t="str">
            <v xml:space="preserve">پرس پخت </v>
          </cell>
          <cell r="C398" t="str">
            <v>قطعه نو</v>
          </cell>
          <cell r="AF398">
            <v>4</v>
          </cell>
        </row>
        <row r="399">
          <cell r="B399" t="str">
            <v>همزن آغشته کاری</v>
          </cell>
          <cell r="C399" t="str">
            <v>قطعه نو</v>
          </cell>
          <cell r="AF399">
            <v>6</v>
          </cell>
        </row>
        <row r="400">
          <cell r="B400" t="str">
            <v>خط مصرف</v>
          </cell>
          <cell r="C400" t="str">
            <v>قطعه تعمیری</v>
          </cell>
          <cell r="AF400">
            <v>5</v>
          </cell>
        </row>
        <row r="401">
          <cell r="B401" t="str">
            <v>سری نقطه جوش</v>
          </cell>
          <cell r="C401" t="str">
            <v>قطعه تعمیری</v>
          </cell>
          <cell r="AF401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3C9D-DE9C-4142-A48C-7044623E4586}">
  <sheetPr>
    <pageSetUpPr fitToPage="1"/>
  </sheetPr>
  <dimension ref="A1:P11"/>
  <sheetViews>
    <sheetView rightToLeft="1" view="pageLayout" zoomScaleNormal="100" workbookViewId="0">
      <selection activeCell="A9" sqref="A9:A10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12" t="s">
        <v>21</v>
      </c>
      <c r="P1" s="14">
        <f>'[1]2'!$P$1</f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1" t="s">
        <v>20</v>
      </c>
      <c r="P2" s="4">
        <f>'[1]2'!$P$2</f>
        <v>2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0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30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31"/>
    </row>
    <row r="5" spans="1:16" ht="46.5" customHeight="1" x14ac:dyDescent="0.25">
      <c r="A5" s="44">
        <v>1</v>
      </c>
      <c r="B5" s="45" t="s">
        <v>50</v>
      </c>
      <c r="C5" s="42" t="s">
        <v>18</v>
      </c>
      <c r="D5" s="40"/>
      <c r="E5" s="40"/>
      <c r="F5" s="40">
        <v>1</v>
      </c>
      <c r="G5" s="40"/>
      <c r="H5" s="51" t="s">
        <v>51</v>
      </c>
      <c r="I5" s="40" t="s">
        <v>52</v>
      </c>
      <c r="J5" s="40" t="s">
        <v>23</v>
      </c>
      <c r="K5" s="40" t="s">
        <v>53</v>
      </c>
      <c r="L5" s="53">
        <v>8</v>
      </c>
      <c r="M5" s="40"/>
      <c r="N5" s="42" t="s">
        <v>54</v>
      </c>
      <c r="O5" s="47"/>
      <c r="P5" s="48">
        <f>L5*700000</f>
        <v>5600000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27</v>
      </c>
      <c r="C7" s="42" t="s">
        <v>18</v>
      </c>
      <c r="D7" s="40"/>
      <c r="E7" s="40"/>
      <c r="F7" s="40" t="s">
        <v>41</v>
      </c>
      <c r="G7" s="40"/>
      <c r="H7" s="51" t="s">
        <v>51</v>
      </c>
      <c r="I7" s="40" t="s">
        <v>52</v>
      </c>
      <c r="J7" s="40" t="s">
        <v>30</v>
      </c>
      <c r="K7" s="40" t="s">
        <v>55</v>
      </c>
      <c r="L7" s="53">
        <v>16</v>
      </c>
      <c r="M7" s="40">
        <v>740</v>
      </c>
      <c r="N7" s="42" t="s">
        <v>56</v>
      </c>
      <c r="O7" s="47"/>
      <c r="P7" s="48">
        <f>L7*700000</f>
        <v>11200000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25.5" customHeight="1" x14ac:dyDescent="0.25">
      <c r="A9" s="49"/>
      <c r="B9" s="45"/>
      <c r="C9" s="42"/>
      <c r="D9" s="40"/>
      <c r="E9" s="40"/>
      <c r="F9" s="40"/>
      <c r="G9" s="40"/>
      <c r="H9" s="51"/>
      <c r="I9" s="51"/>
      <c r="J9" s="40"/>
      <c r="K9" s="40"/>
      <c r="L9" s="53"/>
      <c r="M9" s="55"/>
      <c r="N9" s="42"/>
      <c r="O9" s="57"/>
      <c r="P9" s="48"/>
    </row>
    <row r="10" spans="1:16" ht="25.5" customHeight="1" thickBot="1" x14ac:dyDescent="0.3">
      <c r="A10" s="50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30.75" customHeight="1" thickBot="1" x14ac:dyDescent="0.3">
      <c r="A11" s="5"/>
      <c r="B11" s="56" t="s">
        <v>17</v>
      </c>
      <c r="C11" s="56"/>
      <c r="D11" s="56"/>
      <c r="E11" s="6"/>
      <c r="F11" s="6"/>
      <c r="G11" s="6"/>
      <c r="H11" s="6"/>
      <c r="I11" s="6"/>
      <c r="J11" s="6"/>
      <c r="K11" s="6"/>
      <c r="L11" s="7">
        <f>SUM(L5:L10)</f>
        <v>24</v>
      </c>
      <c r="M11" s="6"/>
      <c r="N11" s="6"/>
      <c r="O11" s="8">
        <f>SUM(O5:O10)</f>
        <v>0</v>
      </c>
      <c r="P11" s="9">
        <f>SUM(P5:P10)</f>
        <v>16800000</v>
      </c>
    </row>
  </sheetData>
  <mergeCells count="65">
    <mergeCell ref="B11:D11"/>
    <mergeCell ref="O9:O10"/>
    <mergeCell ref="P9:P10"/>
    <mergeCell ref="G9:G10"/>
    <mergeCell ref="H9:H10"/>
    <mergeCell ref="I9:I10"/>
    <mergeCell ref="J9:J10"/>
    <mergeCell ref="K9:K10"/>
    <mergeCell ref="L9:L10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9ED5-7E16-417C-B7AC-A740104B230A}">
  <sheetPr>
    <pageSetUpPr fitToPage="1"/>
  </sheetPr>
  <dimension ref="A1:P15"/>
  <sheetViews>
    <sheetView rightToLeft="1" view="pageLayout" zoomScaleNormal="100" workbookViewId="0">
      <selection activeCell="A15" sqref="A15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3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0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28</v>
      </c>
      <c r="C5" s="42" t="s">
        <v>18</v>
      </c>
      <c r="D5" s="40"/>
      <c r="E5" s="40"/>
      <c r="F5" s="40" t="s">
        <v>47</v>
      </c>
      <c r="G5" s="40"/>
      <c r="H5" s="51" t="s">
        <v>34</v>
      </c>
      <c r="I5" s="40" t="s">
        <v>48</v>
      </c>
      <c r="J5" s="40" t="s">
        <v>30</v>
      </c>
      <c r="K5" s="40" t="s">
        <v>49</v>
      </c>
      <c r="L5" s="53">
        <v>95</v>
      </c>
      <c r="M5" s="40">
        <v>720</v>
      </c>
      <c r="N5" s="42"/>
      <c r="O5" s="47">
        <v>15000000</v>
      </c>
      <c r="P5" s="48">
        <f>L5*600000</f>
        <v>57000000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28</v>
      </c>
      <c r="C7" s="42" t="s">
        <v>18</v>
      </c>
      <c r="D7" s="40"/>
      <c r="E7" s="40"/>
      <c r="F7" s="40" t="s">
        <v>33</v>
      </c>
      <c r="G7" s="40"/>
      <c r="H7" s="51" t="s">
        <v>57</v>
      </c>
      <c r="I7" s="40" t="s">
        <v>58</v>
      </c>
      <c r="J7" s="40" t="s">
        <v>30</v>
      </c>
      <c r="K7" s="40" t="s">
        <v>49</v>
      </c>
      <c r="L7" s="53">
        <v>23</v>
      </c>
      <c r="M7" s="40">
        <v>682</v>
      </c>
      <c r="N7" s="42"/>
      <c r="O7" s="47"/>
      <c r="P7" s="48">
        <f>L7*700000</f>
        <v>16100000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25.5" customHeight="1" x14ac:dyDescent="0.25">
      <c r="A9" s="49">
        <v>3</v>
      </c>
      <c r="B9" s="45" t="s">
        <v>43</v>
      </c>
      <c r="C9" s="42" t="s">
        <v>18</v>
      </c>
      <c r="D9" s="40" t="s">
        <v>22</v>
      </c>
      <c r="E9" s="40"/>
      <c r="F9" s="40">
        <v>1</v>
      </c>
      <c r="G9" s="40">
        <v>6003</v>
      </c>
      <c r="H9" s="51" t="s">
        <v>46</v>
      </c>
      <c r="I9" s="40" t="s">
        <v>46</v>
      </c>
      <c r="J9" s="40" t="s">
        <v>23</v>
      </c>
      <c r="K9" s="40"/>
      <c r="L9" s="53">
        <v>1</v>
      </c>
      <c r="M9" s="40">
        <v>893</v>
      </c>
      <c r="N9" s="42" t="s">
        <v>24</v>
      </c>
      <c r="O9" s="57"/>
      <c r="P9" s="48">
        <f>L9*700000</f>
        <v>700000</v>
      </c>
    </row>
    <row r="10" spans="1:16" ht="25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33.75" customHeight="1" x14ac:dyDescent="0.25">
      <c r="A11" s="49">
        <v>4</v>
      </c>
      <c r="B11" s="45" t="s">
        <v>26</v>
      </c>
      <c r="C11" s="42" t="s">
        <v>18</v>
      </c>
      <c r="D11" s="40"/>
      <c r="E11" s="40"/>
      <c r="F11" s="61" t="s">
        <v>59</v>
      </c>
      <c r="G11" s="40"/>
      <c r="H11" s="51" t="s">
        <v>58</v>
      </c>
      <c r="I11" s="51" t="s">
        <v>46</v>
      </c>
      <c r="J11" s="40" t="s">
        <v>30</v>
      </c>
      <c r="K11" s="40" t="s">
        <v>60</v>
      </c>
      <c r="L11" s="53">
        <v>22</v>
      </c>
      <c r="M11" s="55">
        <v>732</v>
      </c>
      <c r="N11" s="42" t="s">
        <v>61</v>
      </c>
      <c r="O11" s="57"/>
      <c r="P11" s="48">
        <f>L11*700000</f>
        <v>15400000</v>
      </c>
    </row>
    <row r="12" spans="1:16" ht="33.75" customHeight="1" thickBot="1" x14ac:dyDescent="0.3">
      <c r="A12" s="60"/>
      <c r="B12" s="46"/>
      <c r="C12" s="43"/>
      <c r="D12" s="41"/>
      <c r="E12" s="41"/>
      <c r="F12" s="62"/>
      <c r="G12" s="41"/>
      <c r="H12" s="52"/>
      <c r="I12" s="52"/>
      <c r="J12" s="41"/>
      <c r="K12" s="41"/>
      <c r="L12" s="54"/>
      <c r="M12" s="41"/>
      <c r="N12" s="43"/>
      <c r="O12" s="47"/>
      <c r="P12" s="48"/>
    </row>
    <row r="13" spans="1:16" ht="33.75" customHeight="1" x14ac:dyDescent="0.25">
      <c r="A13" s="49">
        <v>5</v>
      </c>
      <c r="B13" s="45" t="s">
        <v>40</v>
      </c>
      <c r="C13" s="42" t="s">
        <v>18</v>
      </c>
      <c r="D13" s="40"/>
      <c r="E13" s="40">
        <v>744</v>
      </c>
      <c r="F13" s="40" t="s">
        <v>62</v>
      </c>
      <c r="G13" s="40"/>
      <c r="H13" s="51" t="s">
        <v>37</v>
      </c>
      <c r="I13" s="51" t="s">
        <v>48</v>
      </c>
      <c r="J13" s="40" t="s">
        <v>30</v>
      </c>
      <c r="K13" s="40" t="s">
        <v>60</v>
      </c>
      <c r="L13" s="53">
        <v>92</v>
      </c>
      <c r="M13" s="55"/>
      <c r="N13" s="42" t="s">
        <v>63</v>
      </c>
      <c r="O13" s="57">
        <v>26500000</v>
      </c>
      <c r="P13" s="48">
        <f>L13*700000</f>
        <v>64400000</v>
      </c>
    </row>
    <row r="14" spans="1:16" ht="33.75" customHeight="1" thickBot="1" x14ac:dyDescent="0.3">
      <c r="A14" s="6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20.25" thickBot="1" x14ac:dyDescent="0.3">
      <c r="A15" s="5"/>
      <c r="B15" s="56" t="s">
        <v>17</v>
      </c>
      <c r="C15" s="56"/>
      <c r="D15" s="56"/>
      <c r="E15" s="6"/>
      <c r="F15" s="6"/>
      <c r="G15" s="6"/>
      <c r="H15" s="6"/>
      <c r="I15" s="6"/>
      <c r="J15" s="6"/>
      <c r="K15" s="6"/>
      <c r="L15" s="7">
        <f>SUM(L5:L14)</f>
        <v>233</v>
      </c>
      <c r="M15" s="6"/>
      <c r="N15" s="6"/>
      <c r="O15" s="8">
        <f>SUM(O5:O14)</f>
        <v>41500000</v>
      </c>
      <c r="P15" s="9">
        <f>SUM(P5:P14)</f>
        <v>153600000</v>
      </c>
    </row>
  </sheetData>
  <mergeCells count="97">
    <mergeCell ref="O13:O14"/>
    <mergeCell ref="P13:P14"/>
    <mergeCell ref="B15:D15"/>
    <mergeCell ref="G13:G14"/>
    <mergeCell ref="H13:H14"/>
    <mergeCell ref="I13:I14"/>
    <mergeCell ref="J13:J14"/>
    <mergeCell ref="K13:K14"/>
    <mergeCell ref="L13:L14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9:O10"/>
    <mergeCell ref="P9:P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M11:M12"/>
    <mergeCell ref="N11:N12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8A36-A80E-4DF4-8D85-D9330AE71727}">
  <sheetPr>
    <pageSetUpPr fitToPage="1"/>
  </sheetPr>
  <dimension ref="A1:P15"/>
  <sheetViews>
    <sheetView rightToLeft="1" view="pageLayout" zoomScaleNormal="100" workbookViewId="0">
      <selection activeCell="A15" sqref="A15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4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0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64</v>
      </c>
      <c r="C5" s="42" t="s">
        <v>18</v>
      </c>
      <c r="D5" s="40" t="s">
        <v>22</v>
      </c>
      <c r="E5" s="40"/>
      <c r="F5" s="40">
        <v>1</v>
      </c>
      <c r="G5" s="40"/>
      <c r="H5" s="51" t="s">
        <v>45</v>
      </c>
      <c r="I5" s="40" t="s">
        <v>42</v>
      </c>
      <c r="J5" s="40" t="s">
        <v>23</v>
      </c>
      <c r="K5" s="40"/>
      <c r="L5" s="53">
        <v>12</v>
      </c>
      <c r="M5" s="40"/>
      <c r="N5" s="42" t="s">
        <v>66</v>
      </c>
      <c r="O5" s="47"/>
      <c r="P5" s="48">
        <f>L5*700000</f>
        <v>8400000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35</v>
      </c>
      <c r="C7" s="42" t="s">
        <v>18</v>
      </c>
      <c r="D7" s="40" t="s">
        <v>22</v>
      </c>
      <c r="E7" s="40"/>
      <c r="F7" s="40">
        <v>1</v>
      </c>
      <c r="G7" s="40"/>
      <c r="H7" s="51" t="s">
        <v>42</v>
      </c>
      <c r="I7" s="40" t="s">
        <v>65</v>
      </c>
      <c r="J7" s="40" t="s">
        <v>23</v>
      </c>
      <c r="K7" s="40"/>
      <c r="L7" s="53">
        <v>4</v>
      </c>
      <c r="M7" s="40"/>
      <c r="N7" s="42" t="s">
        <v>66</v>
      </c>
      <c r="O7" s="47"/>
      <c r="P7" s="48">
        <f>L7*700000</f>
        <v>2800000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39.75" customHeight="1" x14ac:dyDescent="0.25">
      <c r="A9" s="49">
        <v>3</v>
      </c>
      <c r="B9" s="45" t="s">
        <v>67</v>
      </c>
      <c r="C9" s="42" t="s">
        <v>19</v>
      </c>
      <c r="D9" s="40"/>
      <c r="E9" s="40"/>
      <c r="F9" s="40" t="s">
        <v>44</v>
      </c>
      <c r="G9" s="40"/>
      <c r="H9" s="51" t="s">
        <v>36</v>
      </c>
      <c r="I9" s="51" t="s">
        <v>68</v>
      </c>
      <c r="J9" s="40" t="s">
        <v>30</v>
      </c>
      <c r="K9" s="40" t="s">
        <v>70</v>
      </c>
      <c r="L9" s="53">
        <v>82</v>
      </c>
      <c r="M9" s="55">
        <v>733</v>
      </c>
      <c r="N9" s="42" t="s">
        <v>69</v>
      </c>
      <c r="O9" s="57"/>
      <c r="P9" s="48">
        <f>L9*700000</f>
        <v>57400000</v>
      </c>
    </row>
    <row r="10" spans="1:16" ht="39.75" customHeight="1" x14ac:dyDescent="0.25">
      <c r="A10" s="50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33.75" customHeight="1" x14ac:dyDescent="0.25">
      <c r="A11" s="49">
        <v>4</v>
      </c>
      <c r="B11" s="45" t="s">
        <v>72</v>
      </c>
      <c r="C11" s="42" t="s">
        <v>18</v>
      </c>
      <c r="D11" s="40" t="s">
        <v>22</v>
      </c>
      <c r="E11" s="40"/>
      <c r="F11" s="40">
        <v>1</v>
      </c>
      <c r="G11" s="40"/>
      <c r="H11" s="51" t="s">
        <v>42</v>
      </c>
      <c r="I11" s="40" t="s">
        <v>42</v>
      </c>
      <c r="J11" s="40" t="s">
        <v>23</v>
      </c>
      <c r="K11" s="40"/>
      <c r="L11" s="53">
        <v>2</v>
      </c>
      <c r="M11" s="40"/>
      <c r="N11" s="42" t="s">
        <v>66</v>
      </c>
      <c r="O11" s="57"/>
      <c r="P11" s="48">
        <f>L11*700000</f>
        <v>1400000</v>
      </c>
    </row>
    <row r="12" spans="1:16" ht="33.75" customHeight="1" thickBot="1" x14ac:dyDescent="0.3">
      <c r="A12" s="60"/>
      <c r="B12" s="46"/>
      <c r="C12" s="43"/>
      <c r="D12" s="41"/>
      <c r="E12" s="41"/>
      <c r="F12" s="41"/>
      <c r="G12" s="41"/>
      <c r="H12" s="52"/>
      <c r="I12" s="41"/>
      <c r="J12" s="41"/>
      <c r="K12" s="41"/>
      <c r="L12" s="54"/>
      <c r="M12" s="41"/>
      <c r="N12" s="43"/>
      <c r="O12" s="47"/>
      <c r="P12" s="48"/>
    </row>
    <row r="13" spans="1:16" ht="33.75" customHeight="1" x14ac:dyDescent="0.25">
      <c r="A13" s="49">
        <v>5</v>
      </c>
      <c r="B13" s="45" t="s">
        <v>73</v>
      </c>
      <c r="C13" s="42" t="s">
        <v>18</v>
      </c>
      <c r="D13" s="40" t="s">
        <v>22</v>
      </c>
      <c r="E13" s="40"/>
      <c r="F13" s="40">
        <v>1</v>
      </c>
      <c r="G13" s="40"/>
      <c r="H13" s="51" t="s">
        <v>42</v>
      </c>
      <c r="I13" s="40" t="s">
        <v>42</v>
      </c>
      <c r="J13" s="40" t="s">
        <v>23</v>
      </c>
      <c r="K13" s="40"/>
      <c r="L13" s="53">
        <v>2</v>
      </c>
      <c r="M13" s="40">
        <v>894</v>
      </c>
      <c r="N13" s="42" t="s">
        <v>66</v>
      </c>
      <c r="O13" s="57"/>
      <c r="P13" s="48">
        <f>L13*700000</f>
        <v>1400000</v>
      </c>
    </row>
    <row r="14" spans="1:16" ht="33.75" customHeight="1" thickBot="1" x14ac:dyDescent="0.3">
      <c r="A14" s="60"/>
      <c r="B14" s="46"/>
      <c r="C14" s="43"/>
      <c r="D14" s="41"/>
      <c r="E14" s="41"/>
      <c r="F14" s="41"/>
      <c r="G14" s="41"/>
      <c r="H14" s="52"/>
      <c r="I14" s="41"/>
      <c r="J14" s="41"/>
      <c r="K14" s="41"/>
      <c r="L14" s="54"/>
      <c r="M14" s="41"/>
      <c r="N14" s="43"/>
      <c r="O14" s="47"/>
      <c r="P14" s="48"/>
    </row>
    <row r="15" spans="1:16" ht="20.25" thickBot="1" x14ac:dyDescent="0.3">
      <c r="A15" s="5"/>
      <c r="B15" s="56" t="s">
        <v>17</v>
      </c>
      <c r="C15" s="56"/>
      <c r="D15" s="56"/>
      <c r="E15" s="6"/>
      <c r="F15" s="6"/>
      <c r="G15" s="6"/>
      <c r="H15" s="6"/>
      <c r="I15" s="6"/>
      <c r="J15" s="6"/>
      <c r="K15" s="6"/>
      <c r="L15" s="7">
        <f>SUM(L5:L14)</f>
        <v>102</v>
      </c>
      <c r="M15" s="6"/>
      <c r="N15" s="6"/>
      <c r="O15" s="8">
        <f>SUM(O5:O14)</f>
        <v>0</v>
      </c>
      <c r="P15" s="9">
        <f>SUM(P5:P14)</f>
        <v>71400000</v>
      </c>
    </row>
  </sheetData>
  <mergeCells count="97">
    <mergeCell ref="O13:O14"/>
    <mergeCell ref="P13:P14"/>
    <mergeCell ref="B15:D15"/>
    <mergeCell ref="G13:G14"/>
    <mergeCell ref="H13:H14"/>
    <mergeCell ref="I13:I14"/>
    <mergeCell ref="J13:J14"/>
    <mergeCell ref="K13:K14"/>
    <mergeCell ref="L13:L14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9:O10"/>
    <mergeCell ref="P9:P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M11:M12"/>
    <mergeCell ref="N11:N12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EDB3-A0DF-4C29-B27E-A30A6C7A17D3}">
  <sheetPr>
    <pageSetUpPr fitToPage="1"/>
  </sheetPr>
  <dimension ref="A1:P15"/>
  <sheetViews>
    <sheetView rightToLeft="1" view="pageLayout" zoomScaleNormal="100" workbookViewId="0">
      <selection activeCell="A13" sqref="A13:A14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5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0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64</v>
      </c>
      <c r="C5" s="42" t="s">
        <v>18</v>
      </c>
      <c r="D5" s="40" t="s">
        <v>22</v>
      </c>
      <c r="E5" s="40"/>
      <c r="F5" s="40">
        <v>1</v>
      </c>
      <c r="G5" s="40"/>
      <c r="H5" s="51" t="s">
        <v>71</v>
      </c>
      <c r="I5" s="40" t="s">
        <v>71</v>
      </c>
      <c r="J5" s="40" t="s">
        <v>23</v>
      </c>
      <c r="K5" s="40"/>
      <c r="L5" s="53">
        <v>12</v>
      </c>
      <c r="M5" s="40"/>
      <c r="N5" s="42" t="s">
        <v>66</v>
      </c>
      <c r="O5" s="47"/>
      <c r="P5" s="48">
        <f>L5*700000</f>
        <v>8400000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38</v>
      </c>
      <c r="C7" s="42" t="s">
        <v>18</v>
      </c>
      <c r="D7" s="40"/>
      <c r="E7" s="40"/>
      <c r="F7" s="40">
        <v>1</v>
      </c>
      <c r="G7" s="40">
        <v>6003</v>
      </c>
      <c r="H7" s="51" t="s">
        <v>71</v>
      </c>
      <c r="I7" s="40" t="s">
        <v>76</v>
      </c>
      <c r="J7" s="40" t="s">
        <v>23</v>
      </c>
      <c r="K7" s="40"/>
      <c r="L7" s="53">
        <v>12</v>
      </c>
      <c r="M7" s="40">
        <v>891</v>
      </c>
      <c r="N7" s="42" t="s">
        <v>39</v>
      </c>
      <c r="O7" s="47"/>
      <c r="P7" s="48">
        <f>L7*500000</f>
        <v>6000000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25.5" customHeight="1" x14ac:dyDescent="0.25">
      <c r="A9" s="49">
        <v>3</v>
      </c>
      <c r="B9" s="45" t="s">
        <v>74</v>
      </c>
      <c r="C9" s="42" t="s">
        <v>18</v>
      </c>
      <c r="D9" s="40"/>
      <c r="E9" s="40"/>
      <c r="F9" s="40">
        <v>1</v>
      </c>
      <c r="G9" s="40"/>
      <c r="H9" s="51" t="s">
        <v>75</v>
      </c>
      <c r="I9" s="40" t="s">
        <v>75</v>
      </c>
      <c r="J9" s="40" t="s">
        <v>23</v>
      </c>
      <c r="K9" s="40"/>
      <c r="L9" s="53">
        <v>8</v>
      </c>
      <c r="M9" s="55"/>
      <c r="N9" s="42" t="s">
        <v>66</v>
      </c>
      <c r="O9" s="57"/>
      <c r="P9" s="48">
        <f>L9*500000</f>
        <v>4000000</v>
      </c>
    </row>
    <row r="10" spans="1:16" ht="25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33.75" customHeight="1" x14ac:dyDescent="0.25">
      <c r="A11" s="49">
        <v>4</v>
      </c>
      <c r="B11" s="45" t="s">
        <v>29</v>
      </c>
      <c r="C11" s="42" t="s">
        <v>19</v>
      </c>
      <c r="D11" s="40"/>
      <c r="E11" s="40">
        <v>130</v>
      </c>
      <c r="F11" s="40" t="s">
        <v>32</v>
      </c>
      <c r="G11" s="40"/>
      <c r="H11" s="51" t="s">
        <v>78</v>
      </c>
      <c r="I11" s="40" t="s">
        <v>79</v>
      </c>
      <c r="J11" s="40" t="s">
        <v>30</v>
      </c>
      <c r="K11" s="40" t="s">
        <v>80</v>
      </c>
      <c r="L11" s="53">
        <v>16</v>
      </c>
      <c r="M11" s="40" t="s">
        <v>77</v>
      </c>
      <c r="N11" s="42" t="s">
        <v>25</v>
      </c>
      <c r="O11" s="57"/>
      <c r="P11" s="48">
        <f>L11*500000</f>
        <v>8000000</v>
      </c>
    </row>
    <row r="12" spans="1:16" ht="33.75" customHeight="1" thickBot="1" x14ac:dyDescent="0.3">
      <c r="A12" s="60"/>
      <c r="B12" s="46"/>
      <c r="C12" s="43"/>
      <c r="D12" s="41"/>
      <c r="E12" s="41"/>
      <c r="F12" s="41"/>
      <c r="G12" s="41"/>
      <c r="H12" s="52"/>
      <c r="I12" s="41"/>
      <c r="J12" s="41"/>
      <c r="K12" s="41"/>
      <c r="L12" s="54"/>
      <c r="M12" s="41"/>
      <c r="N12" s="43"/>
      <c r="O12" s="47"/>
      <c r="P12" s="48"/>
    </row>
    <row r="13" spans="1:16" ht="33.75" customHeight="1" x14ac:dyDescent="0.25">
      <c r="A13" s="49"/>
      <c r="B13" s="45"/>
      <c r="C13" s="42"/>
      <c r="D13" s="40"/>
      <c r="E13" s="40"/>
      <c r="F13" s="40"/>
      <c r="G13" s="40"/>
      <c r="H13" s="51"/>
      <c r="I13" s="51"/>
      <c r="J13" s="40"/>
      <c r="K13" s="40"/>
      <c r="L13" s="53"/>
      <c r="M13" s="55"/>
      <c r="N13" s="42"/>
      <c r="O13" s="57"/>
      <c r="P13" s="48">
        <f>L13*500000</f>
        <v>0</v>
      </c>
    </row>
    <row r="14" spans="1:16" ht="33.75" customHeight="1" thickBot="1" x14ac:dyDescent="0.3">
      <c r="A14" s="6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20.25" thickBot="1" x14ac:dyDescent="0.3">
      <c r="A15" s="5"/>
      <c r="B15" s="56" t="s">
        <v>17</v>
      </c>
      <c r="C15" s="56"/>
      <c r="D15" s="56"/>
      <c r="E15" s="6"/>
      <c r="F15" s="6"/>
      <c r="G15" s="6"/>
      <c r="H15" s="6"/>
      <c r="I15" s="6"/>
      <c r="J15" s="6"/>
      <c r="K15" s="6"/>
      <c r="L15" s="7">
        <f>SUM(L5:L14)</f>
        <v>48</v>
      </c>
      <c r="M15" s="6"/>
      <c r="N15" s="6"/>
      <c r="O15" s="8">
        <f>SUM(O5:O14)</f>
        <v>0</v>
      </c>
      <c r="P15" s="9">
        <f>SUM(P5:P14)</f>
        <v>26400000</v>
      </c>
    </row>
  </sheetData>
  <mergeCells count="97">
    <mergeCell ref="O13:O14"/>
    <mergeCell ref="P13:P14"/>
    <mergeCell ref="B15:D15"/>
    <mergeCell ref="G13:G14"/>
    <mergeCell ref="H13:H14"/>
    <mergeCell ref="I13:I14"/>
    <mergeCell ref="J13:J14"/>
    <mergeCell ref="K13:K14"/>
    <mergeCell ref="L13:L14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9:O10"/>
    <mergeCell ref="P9:P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M11:M12"/>
    <mergeCell ref="N11:N12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C1ED-D0D2-475F-A7AE-585937CEBBD4}">
  <sheetPr>
    <pageSetUpPr fitToPage="1"/>
  </sheetPr>
  <dimension ref="A1:P11"/>
  <sheetViews>
    <sheetView rightToLeft="1" view="pageLayout" zoomScaleNormal="100" workbookViewId="0">
      <selection activeCell="A9" sqref="A9:A10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6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0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29</v>
      </c>
      <c r="C5" s="42" t="s">
        <v>19</v>
      </c>
      <c r="D5" s="40"/>
      <c r="E5" s="40">
        <v>130</v>
      </c>
      <c r="F5" s="40" t="s">
        <v>32</v>
      </c>
      <c r="G5" s="40"/>
      <c r="H5" s="51" t="s">
        <v>81</v>
      </c>
      <c r="I5" s="40" t="s">
        <v>81</v>
      </c>
      <c r="J5" s="40" t="s">
        <v>30</v>
      </c>
      <c r="K5" s="40" t="s">
        <v>80</v>
      </c>
      <c r="L5" s="53">
        <v>4</v>
      </c>
      <c r="M5" s="40"/>
      <c r="N5" s="42" t="s">
        <v>25</v>
      </c>
      <c r="O5" s="47"/>
      <c r="P5" s="48">
        <f>L5*700000</f>
        <v>2800000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86</v>
      </c>
      <c r="C7" s="42" t="s">
        <v>18</v>
      </c>
      <c r="D7" s="40"/>
      <c r="E7" s="40">
        <v>450</v>
      </c>
      <c r="F7" s="40" t="s">
        <v>87</v>
      </c>
      <c r="G7" s="40">
        <v>2014</v>
      </c>
      <c r="H7" s="51" t="s">
        <v>68</v>
      </c>
      <c r="I7" s="51" t="s">
        <v>88</v>
      </c>
      <c r="J7" s="40" t="s">
        <v>30</v>
      </c>
      <c r="K7" s="40"/>
      <c r="L7" s="53">
        <v>95</v>
      </c>
      <c r="M7" s="40" t="s">
        <v>89</v>
      </c>
      <c r="N7" s="42" t="s">
        <v>90</v>
      </c>
      <c r="O7" s="47"/>
      <c r="P7" s="48">
        <f>L7*700000</f>
        <v>66500000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25.5" customHeight="1" x14ac:dyDescent="0.25">
      <c r="A9" s="49"/>
      <c r="B9" s="45"/>
      <c r="C9" s="42"/>
      <c r="D9" s="40"/>
      <c r="E9" s="40"/>
      <c r="F9" s="40"/>
      <c r="G9" s="40"/>
      <c r="H9" s="51"/>
      <c r="I9" s="51"/>
      <c r="J9" s="40"/>
      <c r="K9" s="40"/>
      <c r="L9" s="53"/>
      <c r="M9" s="55"/>
      <c r="N9" s="42"/>
      <c r="O9" s="57"/>
      <c r="P9" s="48">
        <f>L9*700000</f>
        <v>0</v>
      </c>
    </row>
    <row r="10" spans="1:16" ht="25.5" customHeight="1" thickBot="1" x14ac:dyDescent="0.3">
      <c r="A10" s="50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20.25" thickBot="1" x14ac:dyDescent="0.3">
      <c r="A11" s="5"/>
      <c r="B11" s="56" t="s">
        <v>17</v>
      </c>
      <c r="C11" s="56"/>
      <c r="D11" s="56"/>
      <c r="E11" s="6"/>
      <c r="F11" s="6"/>
      <c r="G11" s="6"/>
      <c r="H11" s="6"/>
      <c r="I11" s="6"/>
      <c r="J11" s="6"/>
      <c r="K11" s="6"/>
      <c r="L11" s="7">
        <f>SUM(L5:L10)</f>
        <v>99</v>
      </c>
      <c r="M11" s="6"/>
      <c r="N11" s="6"/>
      <c r="O11" s="8">
        <f>SUM(O5:O10)</f>
        <v>0</v>
      </c>
      <c r="P11" s="9">
        <f>SUM(P5:P10)</f>
        <v>69300000</v>
      </c>
    </row>
  </sheetData>
  <mergeCells count="65">
    <mergeCell ref="B11:D11"/>
    <mergeCell ref="O9:O10"/>
    <mergeCell ref="P9:P10"/>
    <mergeCell ref="G9:G10"/>
    <mergeCell ref="H9:H10"/>
    <mergeCell ref="I9:I10"/>
    <mergeCell ref="J9:J10"/>
    <mergeCell ref="K9:K10"/>
    <mergeCell ref="L9:L10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C772-0DAA-4AE8-A8BB-9FBB91C53688}">
  <sheetPr>
    <pageSetUpPr fitToPage="1"/>
  </sheetPr>
  <dimension ref="A1:P11"/>
  <sheetViews>
    <sheetView rightToLeft="1" view="pageLayout" topLeftCell="A3" zoomScaleNormal="100" workbookViewId="0">
      <selection activeCell="B7" sqref="B7:B8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7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0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29</v>
      </c>
      <c r="C5" s="42" t="s">
        <v>19</v>
      </c>
      <c r="D5" s="40"/>
      <c r="E5" s="40">
        <v>130</v>
      </c>
      <c r="F5" s="40" t="s">
        <v>32</v>
      </c>
      <c r="G5" s="40"/>
      <c r="H5" s="51" t="s">
        <v>82</v>
      </c>
      <c r="I5" s="40" t="s">
        <v>82</v>
      </c>
      <c r="J5" s="40" t="s">
        <v>30</v>
      </c>
      <c r="K5" s="40" t="s">
        <v>80</v>
      </c>
      <c r="L5" s="53">
        <v>9</v>
      </c>
      <c r="M5" s="40"/>
      <c r="N5" s="42" t="s">
        <v>25</v>
      </c>
      <c r="O5" s="47"/>
      <c r="P5" s="48">
        <f>L5*700000</f>
        <v>6300000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83</v>
      </c>
      <c r="C7" s="42" t="s">
        <v>19</v>
      </c>
      <c r="D7" s="40"/>
      <c r="E7" s="40">
        <v>120</v>
      </c>
      <c r="F7" s="40" t="s">
        <v>44</v>
      </c>
      <c r="G7" s="40">
        <v>2055</v>
      </c>
      <c r="H7" s="51" t="s">
        <v>84</v>
      </c>
      <c r="I7" s="40" t="s">
        <v>85</v>
      </c>
      <c r="J7" s="40" t="s">
        <v>30</v>
      </c>
      <c r="K7" s="40" t="s">
        <v>80</v>
      </c>
      <c r="L7" s="53">
        <v>9</v>
      </c>
      <c r="M7" s="40"/>
      <c r="N7" s="42" t="s">
        <v>25</v>
      </c>
      <c r="O7" s="47"/>
      <c r="P7" s="48">
        <f>L7*700000</f>
        <v>6300000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25.5" customHeight="1" x14ac:dyDescent="0.25">
      <c r="A9" s="49"/>
      <c r="B9" s="45"/>
      <c r="C9" s="42"/>
      <c r="D9" s="40"/>
      <c r="E9" s="40"/>
      <c r="F9" s="40"/>
      <c r="G9" s="40"/>
      <c r="H9" s="51"/>
      <c r="I9" s="51"/>
      <c r="J9" s="40"/>
      <c r="K9" s="40"/>
      <c r="L9" s="53"/>
      <c r="M9" s="55"/>
      <c r="N9" s="42"/>
      <c r="O9" s="57"/>
      <c r="P9" s="48">
        <f>L9*700000</f>
        <v>0</v>
      </c>
    </row>
    <row r="10" spans="1:16" ht="25.5" customHeight="1" thickBot="1" x14ac:dyDescent="0.3">
      <c r="A10" s="50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20.25" thickBot="1" x14ac:dyDescent="0.3">
      <c r="A11" s="5"/>
      <c r="B11" s="56" t="s">
        <v>17</v>
      </c>
      <c r="C11" s="56"/>
      <c r="D11" s="56"/>
      <c r="E11" s="6"/>
      <c r="F11" s="6"/>
      <c r="G11" s="6"/>
      <c r="H11" s="6"/>
      <c r="I11" s="6"/>
      <c r="J11" s="6"/>
      <c r="K11" s="6"/>
      <c r="L11" s="7">
        <f>SUM(L5:L10)</f>
        <v>18</v>
      </c>
      <c r="M11" s="6"/>
      <c r="N11" s="6"/>
      <c r="O11" s="8">
        <f>SUM(O5:O10)</f>
        <v>0</v>
      </c>
      <c r="P11" s="9">
        <f>SUM(P5:P10)</f>
        <v>12600000</v>
      </c>
    </row>
  </sheetData>
  <mergeCells count="65">
    <mergeCell ref="B11:D11"/>
    <mergeCell ref="O9:O10"/>
    <mergeCell ref="P9:P10"/>
    <mergeCell ref="G9:G10"/>
    <mergeCell ref="H9:H10"/>
    <mergeCell ref="I9:I10"/>
    <mergeCell ref="J9:J10"/>
    <mergeCell ref="K9:K10"/>
    <mergeCell ref="L9:L10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A14A-016A-41CC-8E21-FAD22F40492A}">
  <sheetPr>
    <pageSetUpPr fitToPage="1"/>
  </sheetPr>
  <dimension ref="A1:P15"/>
  <sheetViews>
    <sheetView rightToLeft="1" view="pageLayout" topLeftCell="A7" zoomScaleNormal="100" workbookViewId="0">
      <selection activeCell="B15" sqref="B15:D15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8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3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91</v>
      </c>
      <c r="C5" s="42" t="s">
        <v>18</v>
      </c>
      <c r="D5" s="40" t="s">
        <v>22</v>
      </c>
      <c r="E5" s="40"/>
      <c r="F5" s="40">
        <v>1</v>
      </c>
      <c r="G5" s="40"/>
      <c r="H5" s="51" t="s">
        <v>92</v>
      </c>
      <c r="I5" s="40" t="s">
        <v>93</v>
      </c>
      <c r="J5" s="40" t="s">
        <v>23</v>
      </c>
      <c r="K5" s="40"/>
      <c r="L5" s="53">
        <f>SUMIFS([2]اردیبهشت!$AF$1:$AF$648,[2]اردیبهشت!$C$1:$C$648,"قالب تعمیری",[2]اردیبهشت!$B$1:$B$648,B5)</f>
        <v>32</v>
      </c>
      <c r="M5" s="40">
        <v>899</v>
      </c>
      <c r="N5" s="42" t="s">
        <v>94</v>
      </c>
      <c r="O5" s="47"/>
      <c r="P5" s="48">
        <f>SUMIFS([2]اردیبهشت!$AR$1:$AR$648,[2]اردیبهشت!$C$1:$C$648,"قالب تعمیری",[2]اردیبهشت!$B$1:$B$648,B5)</f>
        <v>24000000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29</v>
      </c>
      <c r="C7" s="42" t="s">
        <v>19</v>
      </c>
      <c r="D7" s="40"/>
      <c r="E7" s="40"/>
      <c r="F7" s="40" t="s">
        <v>32</v>
      </c>
      <c r="G7" s="40"/>
      <c r="H7" s="51" t="s">
        <v>82</v>
      </c>
      <c r="I7" s="40" t="s">
        <v>95</v>
      </c>
      <c r="J7" s="40" t="s">
        <v>30</v>
      </c>
      <c r="K7" s="40" t="s">
        <v>96</v>
      </c>
      <c r="L7" s="53">
        <f>SUMIFS([2]اردیبهشت!$AF$1:$AF$648,[2]اردیبهشت!$C$1:$C$648,"قالب تعمیری",[2]اردیبهشت!$B$1:$B$648,B7)</f>
        <v>29</v>
      </c>
      <c r="M7" s="40">
        <v>1</v>
      </c>
      <c r="N7" s="42" t="s">
        <v>25</v>
      </c>
      <c r="O7" s="47"/>
      <c r="P7" s="48">
        <f>SUMIFS([2]اردیبهشت!$AR$1:$AR$648,[2]اردیبهشت!$C$1:$C$648,"قالب تعمیری",[2]اردیبهشت!$B$1:$B$648,B7)</f>
        <v>21750000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97</v>
      </c>
      <c r="C9" s="42" t="s">
        <v>18</v>
      </c>
      <c r="D9" s="40"/>
      <c r="E9" s="40"/>
      <c r="F9" s="40" t="s">
        <v>98</v>
      </c>
      <c r="G9" s="40"/>
      <c r="H9" s="51" t="s">
        <v>100</v>
      </c>
      <c r="I9" s="40" t="s">
        <v>92</v>
      </c>
      <c r="J9" s="40" t="s">
        <v>30</v>
      </c>
      <c r="K9" s="40"/>
      <c r="L9" s="53">
        <f>SUMIFS([2]اردیبهشت!$AF$1:$AF$648,[2]اردیبهشت!$C$1:$C$648,"قالب تعمیری",[2]اردیبهشت!$B$1:$B$648,B9)</f>
        <v>15</v>
      </c>
      <c r="M9" s="40" t="s">
        <v>99</v>
      </c>
      <c r="N9" s="42" t="s">
        <v>25</v>
      </c>
      <c r="O9" s="47"/>
      <c r="P9" s="48">
        <f>SUMIFS([2]اردیبهشت!$AR$1:$AR$648,[2]اردیبهشت!$C$1:$C$648,"قالب تعمیری",[2]اردیبهشت!$B$1:$B$648,B9)</f>
        <v>11250000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 t="s">
        <v>101</v>
      </c>
      <c r="C11" s="42" t="s">
        <v>18</v>
      </c>
      <c r="D11" s="40"/>
      <c r="E11" s="40"/>
      <c r="F11" s="40" t="s">
        <v>102</v>
      </c>
      <c r="G11" s="40"/>
      <c r="H11" s="51" t="s">
        <v>105</v>
      </c>
      <c r="I11" s="51" t="s">
        <v>82</v>
      </c>
      <c r="J11" s="40"/>
      <c r="K11" s="40"/>
      <c r="L11" s="53">
        <f>SUMIFS([2]اردیبهشت!$AF$1:$AF$648,[2]اردیبهشت!$C$1:$C$648,"قالب تعمیری",[2]اردیبهشت!$B$1:$B$648,B11)</f>
        <v>5.5</v>
      </c>
      <c r="M11" s="55" t="s">
        <v>103</v>
      </c>
      <c r="N11" s="42" t="s">
        <v>104</v>
      </c>
      <c r="O11" s="57"/>
      <c r="P11" s="48">
        <f>SUMIFS([2]اردیبهشت!$AR$1:$AR$648,[2]اردیبهشت!$C$1:$C$648,"قالب تعمیری",[2]اردیبهشت!$B$1:$B$648,B11)</f>
        <v>4125000</v>
      </c>
    </row>
    <row r="12" spans="1:16" ht="43.5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1"/>
      <c r="N12" s="43"/>
      <c r="O12" s="47"/>
      <c r="P12" s="48"/>
    </row>
    <row r="13" spans="1:16" ht="33" customHeight="1" x14ac:dyDescent="0.25">
      <c r="A13" s="49">
        <v>5</v>
      </c>
      <c r="B13" s="45" t="s">
        <v>106</v>
      </c>
      <c r="C13" s="42" t="s">
        <v>18</v>
      </c>
      <c r="D13" s="40"/>
      <c r="E13" s="40"/>
      <c r="F13" s="40"/>
      <c r="G13" s="40"/>
      <c r="H13" s="51" t="s">
        <v>95</v>
      </c>
      <c r="I13" s="51" t="s">
        <v>93</v>
      </c>
      <c r="J13" s="40"/>
      <c r="K13" s="40"/>
      <c r="L13" s="53">
        <f>SUMIFS([2]اردیبهشت!$AF$409:$AF$648,[2]اردیبهشت!$C$409:$C$648,"قالب تعمیری",[2]اردیبهشت!$B$409:$B$648,B13)</f>
        <v>4</v>
      </c>
      <c r="M13" s="55"/>
      <c r="N13" s="42" t="s">
        <v>107</v>
      </c>
      <c r="O13" s="57"/>
      <c r="P13" s="48">
        <f>SUMIFS([2]اردیبهشت!$AR$1:$AR$648,[2]اردیبهشت!$C$1:$C$648,"قالب تعمیری",[2]اردیبهشت!$B$1:$B$648,B13)</f>
        <v>3000000</v>
      </c>
    </row>
    <row r="14" spans="1:16" ht="33" customHeight="1" thickBot="1" x14ac:dyDescent="0.3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30" customHeight="1" thickBot="1" x14ac:dyDescent="0.3">
      <c r="A15" s="5"/>
      <c r="B15" s="56" t="s">
        <v>17</v>
      </c>
      <c r="C15" s="56"/>
      <c r="D15" s="56"/>
      <c r="E15" s="6"/>
      <c r="F15" s="6"/>
      <c r="G15" s="6"/>
      <c r="H15" s="6"/>
      <c r="I15" s="6"/>
      <c r="J15" s="6"/>
      <c r="K15" s="6"/>
      <c r="L15" s="7">
        <f>SUM(L5:L14)</f>
        <v>85.5</v>
      </c>
      <c r="M15" s="6"/>
      <c r="N15" s="6"/>
      <c r="O15" s="8">
        <f>SUM(O5:O14)</f>
        <v>0</v>
      </c>
      <c r="P15" s="9">
        <f>SUM(P5:P14)</f>
        <v>64125000</v>
      </c>
    </row>
  </sheetData>
  <mergeCells count="97"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F5:F6"/>
    <mergeCell ref="K3:K4"/>
    <mergeCell ref="L3:L4"/>
    <mergeCell ref="M3:M4"/>
    <mergeCell ref="N3:N4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O7:O8"/>
    <mergeCell ref="P7:P8"/>
    <mergeCell ref="A13:A14"/>
    <mergeCell ref="B13:B14"/>
    <mergeCell ref="C13:C14"/>
    <mergeCell ref="D13:D14"/>
    <mergeCell ref="E13:E14"/>
    <mergeCell ref="F13:F14"/>
    <mergeCell ref="G7:G8"/>
    <mergeCell ref="H7:H8"/>
    <mergeCell ref="I7:I8"/>
    <mergeCell ref="J7:J8"/>
    <mergeCell ref="K7:K8"/>
    <mergeCell ref="L7:L8"/>
    <mergeCell ref="E9:E10"/>
    <mergeCell ref="G13:G14"/>
    <mergeCell ref="O13:O14"/>
    <mergeCell ref="P13:P14"/>
    <mergeCell ref="B15:D15"/>
    <mergeCell ref="K13:K14"/>
    <mergeCell ref="L13:L14"/>
    <mergeCell ref="H13:H14"/>
    <mergeCell ref="I13:I14"/>
    <mergeCell ref="J13:J14"/>
    <mergeCell ref="M13:M14"/>
    <mergeCell ref="N13:N14"/>
    <mergeCell ref="P9:P10"/>
    <mergeCell ref="A11:A12"/>
    <mergeCell ref="B11:B12"/>
    <mergeCell ref="C11:C12"/>
    <mergeCell ref="D11:D12"/>
    <mergeCell ref="E11:E12"/>
    <mergeCell ref="F9:F10"/>
    <mergeCell ref="G9:G10"/>
    <mergeCell ref="H9:H10"/>
    <mergeCell ref="I9:I10"/>
    <mergeCell ref="J9:J10"/>
    <mergeCell ref="K9:K10"/>
    <mergeCell ref="A9:A10"/>
    <mergeCell ref="B9:B10"/>
    <mergeCell ref="C9:C10"/>
    <mergeCell ref="D9:D10"/>
    <mergeCell ref="L9:L10"/>
    <mergeCell ref="M9:M10"/>
    <mergeCell ref="N9:N10"/>
    <mergeCell ref="O9:O10"/>
    <mergeCell ref="L11:L12"/>
    <mergeCell ref="M11:M12"/>
    <mergeCell ref="N11:N12"/>
    <mergeCell ref="O11:O12"/>
    <mergeCell ref="P11:P12"/>
    <mergeCell ref="F11:F12"/>
    <mergeCell ref="G11:G12"/>
    <mergeCell ref="H11:H12"/>
    <mergeCell ref="I11:I12"/>
    <mergeCell ref="J11:J12"/>
    <mergeCell ref="K11:K12"/>
  </mergeCells>
  <phoneticPr fontId="14" type="noConversion"/>
  <printOptions horizontalCentered="1" verticalCentered="1"/>
  <pageMargins left="0" right="0" top="0" bottom="0" header="0" footer="0"/>
  <pageSetup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17FD-DB4D-492C-BF61-F49DB1318CC5}">
  <sheetPr>
    <pageSetUpPr fitToPage="1"/>
  </sheetPr>
  <dimension ref="A1:P15"/>
  <sheetViews>
    <sheetView rightToLeft="1" view="pageLayout" topLeftCell="A3" zoomScaleNormal="100" workbookViewId="0">
      <selection activeCell="B11" sqref="B11:B12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8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5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108</v>
      </c>
      <c r="C5" s="42" t="s">
        <v>18</v>
      </c>
      <c r="D5" s="40"/>
      <c r="E5" s="40"/>
      <c r="F5" s="40">
        <v>1</v>
      </c>
      <c r="G5" s="40"/>
      <c r="H5" s="51" t="s">
        <v>109</v>
      </c>
      <c r="I5" s="40" t="s">
        <v>110</v>
      </c>
      <c r="J5" s="40" t="s">
        <v>30</v>
      </c>
      <c r="K5" s="40"/>
      <c r="L5" s="53">
        <v>22</v>
      </c>
      <c r="M5" s="40" t="s">
        <v>111</v>
      </c>
      <c r="N5" s="42" t="s">
        <v>112</v>
      </c>
      <c r="O5" s="47"/>
      <c r="P5" s="48">
        <v>27750000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113</v>
      </c>
      <c r="C7" s="42" t="s">
        <v>18</v>
      </c>
      <c r="D7" s="40" t="s">
        <v>22</v>
      </c>
      <c r="E7" s="40"/>
      <c r="F7" s="40">
        <v>1</v>
      </c>
      <c r="G7" s="40">
        <v>6001</v>
      </c>
      <c r="H7" s="51" t="s">
        <v>114</v>
      </c>
      <c r="I7" s="40" t="s">
        <v>114</v>
      </c>
      <c r="J7" s="40" t="s">
        <v>23</v>
      </c>
      <c r="K7" s="40"/>
      <c r="L7" s="53">
        <v>8</v>
      </c>
      <c r="M7" s="40">
        <v>1701</v>
      </c>
      <c r="N7" s="42" t="s">
        <v>107</v>
      </c>
      <c r="O7" s="47"/>
      <c r="P7" s="48">
        <f>L7*750000</f>
        <v>6000000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118</v>
      </c>
      <c r="C9" s="42" t="s">
        <v>18</v>
      </c>
      <c r="D9" s="40" t="s">
        <v>22</v>
      </c>
      <c r="E9" s="40"/>
      <c r="F9" s="40">
        <v>1</v>
      </c>
      <c r="G9" s="40"/>
      <c r="H9" s="51" t="s">
        <v>119</v>
      </c>
      <c r="I9" s="40" t="s">
        <v>120</v>
      </c>
      <c r="J9" s="40" t="s">
        <v>23</v>
      </c>
      <c r="K9" s="40"/>
      <c r="L9" s="53">
        <v>7.5</v>
      </c>
      <c r="M9" s="40"/>
      <c r="N9" s="42" t="s">
        <v>94</v>
      </c>
      <c r="O9" s="47"/>
      <c r="P9" s="48">
        <f>L9*750000</f>
        <v>5625000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/>
      <c r="C11" s="42"/>
      <c r="D11" s="40"/>
      <c r="E11" s="40"/>
      <c r="F11" s="40"/>
      <c r="G11" s="40"/>
      <c r="H11" s="51"/>
      <c r="I11" s="51"/>
      <c r="J11" s="40"/>
      <c r="K11" s="40"/>
      <c r="L11" s="53"/>
      <c r="M11" s="55"/>
      <c r="N11" s="42"/>
      <c r="O11" s="57"/>
      <c r="P11" s="48">
        <f>SUMIFS([2]اردیبهشت!$AR$1:$AR$648,[2]اردیبهشت!$C$1:$C$648,"قالب تعمیری",[2]اردیبهشت!$B$1:$B$648,B11)</f>
        <v>0</v>
      </c>
    </row>
    <row r="12" spans="1:16" ht="43.5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1"/>
      <c r="N12" s="43"/>
      <c r="O12" s="47"/>
      <c r="P12" s="48"/>
    </row>
    <row r="13" spans="1:16" ht="33" customHeight="1" x14ac:dyDescent="0.25">
      <c r="A13" s="49">
        <v>5</v>
      </c>
      <c r="B13" s="45"/>
      <c r="C13" s="42"/>
      <c r="D13" s="40"/>
      <c r="E13" s="40"/>
      <c r="F13" s="40"/>
      <c r="G13" s="40"/>
      <c r="H13" s="51"/>
      <c r="I13" s="51"/>
      <c r="J13" s="40"/>
      <c r="K13" s="40"/>
      <c r="L13" s="53"/>
      <c r="M13" s="55"/>
      <c r="N13" s="42"/>
      <c r="O13" s="57"/>
      <c r="P13" s="48">
        <f>SUMIFS([2]اردیبهشت!$AR$1:$AR$648,[2]اردیبهشت!$C$1:$C$648,"قالب تعمیری",[2]اردیبهشت!$B$1:$B$648,B13)</f>
        <v>0</v>
      </c>
    </row>
    <row r="14" spans="1:16" ht="33" customHeight="1" thickBot="1" x14ac:dyDescent="0.3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30" customHeight="1" thickBot="1" x14ac:dyDescent="0.3">
      <c r="A15" s="5"/>
      <c r="B15" s="56" t="s">
        <v>17</v>
      </c>
      <c r="C15" s="56"/>
      <c r="D15" s="56"/>
      <c r="E15" s="6"/>
      <c r="F15" s="6"/>
      <c r="G15" s="6"/>
      <c r="H15" s="6"/>
      <c r="I15" s="6"/>
      <c r="J15" s="6"/>
      <c r="K15" s="6"/>
      <c r="L15" s="7">
        <f>SUM(L5:L14)</f>
        <v>37.5</v>
      </c>
      <c r="M15" s="6"/>
      <c r="N15" s="6"/>
      <c r="O15" s="8">
        <f>SUM(O5:O14)</f>
        <v>0</v>
      </c>
      <c r="P15" s="9">
        <f>SUM(P5:P14)</f>
        <v>39375000</v>
      </c>
    </row>
  </sheetData>
  <mergeCells count="97">
    <mergeCell ref="O13:O14"/>
    <mergeCell ref="P13:P14"/>
    <mergeCell ref="B15:D15"/>
    <mergeCell ref="G13:G14"/>
    <mergeCell ref="H13:H14"/>
    <mergeCell ref="I13:I14"/>
    <mergeCell ref="J13:J14"/>
    <mergeCell ref="K13:K14"/>
    <mergeCell ref="L13:L14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9:O10"/>
    <mergeCell ref="P9:P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M11:M12"/>
    <mergeCell ref="N11:N12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F62B-64DA-4097-A450-C6D635D1B3E3}">
  <sheetPr>
    <pageSetUpPr fitToPage="1"/>
  </sheetPr>
  <dimension ref="A1:P17"/>
  <sheetViews>
    <sheetView rightToLeft="1" view="pageLayout" topLeftCell="A9" zoomScaleNormal="100" workbookViewId="0">
      <selection activeCell="B17" sqref="B17:D17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10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5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86</v>
      </c>
      <c r="C5" s="42" t="s">
        <v>18</v>
      </c>
      <c r="D5" s="40"/>
      <c r="E5" s="40">
        <v>450</v>
      </c>
      <c r="F5" s="40" t="s">
        <v>87</v>
      </c>
      <c r="G5" s="40">
        <v>2014</v>
      </c>
      <c r="H5" s="51" t="s">
        <v>68</v>
      </c>
      <c r="I5" s="40" t="s">
        <v>115</v>
      </c>
      <c r="J5" s="40" t="s">
        <v>30</v>
      </c>
      <c r="K5" s="40" t="s">
        <v>116</v>
      </c>
      <c r="L5" s="53">
        <v>169</v>
      </c>
      <c r="M5" s="63" t="s">
        <v>129</v>
      </c>
      <c r="N5" s="42" t="s">
        <v>117</v>
      </c>
      <c r="O5" s="47">
        <v>55000000</v>
      </c>
      <c r="P5" s="48">
        <v>126375000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121</v>
      </c>
      <c r="C7" s="42" t="s">
        <v>19</v>
      </c>
      <c r="D7" s="40"/>
      <c r="E7" s="40"/>
      <c r="F7" s="40" t="s">
        <v>122</v>
      </c>
      <c r="G7" s="40"/>
      <c r="H7" s="51" t="s">
        <v>123</v>
      </c>
      <c r="I7" s="40" t="s">
        <v>115</v>
      </c>
      <c r="J7" s="40" t="s">
        <v>30</v>
      </c>
      <c r="K7" s="40" t="s">
        <v>96</v>
      </c>
      <c r="L7" s="53">
        <v>8</v>
      </c>
      <c r="M7" s="40" t="s">
        <v>124</v>
      </c>
      <c r="N7" s="42" t="s">
        <v>125</v>
      </c>
      <c r="O7" s="47"/>
      <c r="P7" s="48">
        <f>L7*750000</f>
        <v>6000000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126</v>
      </c>
      <c r="C9" s="42" t="s">
        <v>19</v>
      </c>
      <c r="D9" s="40"/>
      <c r="E9" s="40"/>
      <c r="F9" s="40" t="s">
        <v>32</v>
      </c>
      <c r="G9" s="40"/>
      <c r="H9" s="51" t="s">
        <v>127</v>
      </c>
      <c r="I9" s="40" t="s">
        <v>115</v>
      </c>
      <c r="J9" s="40" t="s">
        <v>30</v>
      </c>
      <c r="K9" s="40" t="s">
        <v>96</v>
      </c>
      <c r="L9" s="53">
        <v>6</v>
      </c>
      <c r="M9" s="40" t="s">
        <v>128</v>
      </c>
      <c r="N9" s="42" t="s">
        <v>125</v>
      </c>
      <c r="O9" s="47"/>
      <c r="P9" s="48">
        <f>L9*750000</f>
        <v>4500000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 t="s">
        <v>130</v>
      </c>
      <c r="C11" s="42" t="s">
        <v>131</v>
      </c>
      <c r="D11" s="40"/>
      <c r="E11" s="40"/>
      <c r="F11" s="40"/>
      <c r="G11" s="40"/>
      <c r="H11" s="51" t="s">
        <v>132</v>
      </c>
      <c r="I11" s="51" t="s">
        <v>133</v>
      </c>
      <c r="J11" s="40" t="s">
        <v>30</v>
      </c>
      <c r="K11" s="40"/>
      <c r="L11" s="53">
        <v>17</v>
      </c>
      <c r="M11" s="55"/>
      <c r="N11" s="42" t="s">
        <v>125</v>
      </c>
      <c r="O11" s="57"/>
      <c r="P11" s="48">
        <f>L11*750000</f>
        <v>12750000</v>
      </c>
    </row>
    <row r="12" spans="1:16" ht="43.5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1"/>
      <c r="N12" s="43"/>
      <c r="O12" s="47"/>
      <c r="P12" s="48"/>
    </row>
    <row r="13" spans="1:16" ht="43.5" customHeight="1" x14ac:dyDescent="0.25">
      <c r="A13" s="49">
        <v>5</v>
      </c>
      <c r="B13" s="45" t="s">
        <v>135</v>
      </c>
      <c r="C13" s="42" t="s">
        <v>134</v>
      </c>
      <c r="D13" s="40" t="s">
        <v>22</v>
      </c>
      <c r="E13" s="40"/>
      <c r="F13" s="40">
        <v>1</v>
      </c>
      <c r="G13" s="40"/>
      <c r="H13" s="51" t="s">
        <v>132</v>
      </c>
      <c r="I13" s="51" t="s">
        <v>133</v>
      </c>
      <c r="J13" s="40" t="s">
        <v>23</v>
      </c>
      <c r="K13" s="40"/>
      <c r="L13" s="53">
        <v>10</v>
      </c>
      <c r="M13" s="55">
        <v>1704</v>
      </c>
      <c r="N13" s="42" t="s">
        <v>25</v>
      </c>
      <c r="O13" s="57"/>
      <c r="P13" s="48">
        <f>L13*750000</f>
        <v>7500000</v>
      </c>
    </row>
    <row r="14" spans="1:16" ht="43.5" customHeight="1" x14ac:dyDescent="0.25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33" customHeight="1" x14ac:dyDescent="0.25">
      <c r="A15" s="49">
        <v>6</v>
      </c>
      <c r="B15" s="45"/>
      <c r="C15" s="42"/>
      <c r="D15" s="40"/>
      <c r="E15" s="40"/>
      <c r="F15" s="40"/>
      <c r="G15" s="40"/>
      <c r="H15" s="51"/>
      <c r="I15" s="51"/>
      <c r="J15" s="40"/>
      <c r="K15" s="40"/>
      <c r="L15" s="53"/>
      <c r="M15" s="55"/>
      <c r="N15" s="42"/>
      <c r="O15" s="57"/>
      <c r="P15" s="48">
        <f>SUMIFS([2]اردیبهشت!$AR$1:$AR$648,[2]اردیبهشت!$C$1:$C$648,"قالب تعمیری",[2]اردیبهشت!$B$1:$B$648,B15)</f>
        <v>0</v>
      </c>
    </row>
    <row r="16" spans="1:16" ht="33" customHeight="1" thickBot="1" x14ac:dyDescent="0.3">
      <c r="A16" s="50"/>
      <c r="B16" s="46"/>
      <c r="C16" s="43"/>
      <c r="D16" s="41"/>
      <c r="E16" s="41"/>
      <c r="F16" s="41"/>
      <c r="G16" s="41"/>
      <c r="H16" s="52"/>
      <c r="I16" s="52"/>
      <c r="J16" s="41"/>
      <c r="K16" s="41"/>
      <c r="L16" s="54"/>
      <c r="M16" s="41"/>
      <c r="N16" s="43"/>
      <c r="O16" s="47"/>
      <c r="P16" s="48"/>
    </row>
    <row r="17" spans="1:16" ht="30" customHeight="1" thickBot="1" x14ac:dyDescent="0.3">
      <c r="A17" s="5"/>
      <c r="B17" s="56" t="s">
        <v>17</v>
      </c>
      <c r="C17" s="56"/>
      <c r="D17" s="56"/>
      <c r="E17" s="6"/>
      <c r="F17" s="6"/>
      <c r="G17" s="6"/>
      <c r="H17" s="6"/>
      <c r="I17" s="6"/>
      <c r="J17" s="6"/>
      <c r="K17" s="6"/>
      <c r="L17" s="7">
        <f>SUM(L5:L16)</f>
        <v>210</v>
      </c>
      <c r="M17" s="6"/>
      <c r="N17" s="6"/>
      <c r="O17" s="8">
        <f>SUM(O5:O16)</f>
        <v>55000000</v>
      </c>
      <c r="P17" s="9">
        <f>SUM(P5:P16)</f>
        <v>157125000</v>
      </c>
    </row>
  </sheetData>
  <mergeCells count="113">
    <mergeCell ref="N13:N14"/>
    <mergeCell ref="O13:O14"/>
    <mergeCell ref="P13:P14"/>
    <mergeCell ref="A13:A14"/>
    <mergeCell ref="G13:G14"/>
    <mergeCell ref="H13:H14"/>
    <mergeCell ref="I13:I14"/>
    <mergeCell ref="J13:J14"/>
    <mergeCell ref="K13:K14"/>
    <mergeCell ref="L13:L14"/>
    <mergeCell ref="B17:D17"/>
    <mergeCell ref="B13:B14"/>
    <mergeCell ref="C13:C14"/>
    <mergeCell ref="D13:D14"/>
    <mergeCell ref="E13:E14"/>
    <mergeCell ref="F13:F14"/>
    <mergeCell ref="G15:G16"/>
    <mergeCell ref="H15:H16"/>
    <mergeCell ref="I15:I16"/>
    <mergeCell ref="M11:M12"/>
    <mergeCell ref="N11:N12"/>
    <mergeCell ref="O11:O12"/>
    <mergeCell ref="P11:P12"/>
    <mergeCell ref="A15:A16"/>
    <mergeCell ref="B15:B16"/>
    <mergeCell ref="C15:C16"/>
    <mergeCell ref="D15:D16"/>
    <mergeCell ref="E15:E16"/>
    <mergeCell ref="F15:F16"/>
    <mergeCell ref="G11:G12"/>
    <mergeCell ref="H11:H12"/>
    <mergeCell ref="I11:I12"/>
    <mergeCell ref="J11:J12"/>
    <mergeCell ref="K11:K12"/>
    <mergeCell ref="L11:L12"/>
    <mergeCell ref="M15:M16"/>
    <mergeCell ref="N15:N16"/>
    <mergeCell ref="O15:O16"/>
    <mergeCell ref="P15:P16"/>
    <mergeCell ref="J15:J16"/>
    <mergeCell ref="K15:K16"/>
    <mergeCell ref="L15:L16"/>
    <mergeCell ref="M13:M14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honeticPr fontId="14" type="noConversion"/>
  <printOptions horizontalCentered="1" verticalCentered="1"/>
  <pageMargins left="0" right="0" top="0" bottom="0" header="0" footer="0"/>
  <pageSetup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DFC1-F351-44A8-BE78-F2B5CEB2E3C4}">
  <sheetPr>
    <pageSetUpPr fitToPage="1"/>
  </sheetPr>
  <dimension ref="A1:P17"/>
  <sheetViews>
    <sheetView rightToLeft="1" view="pageLayout" topLeftCell="A9" zoomScaleNormal="100" workbookViewId="0">
      <selection activeCell="B17" sqref="B17:D17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11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6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136</v>
      </c>
      <c r="C5" s="42" t="s">
        <v>137</v>
      </c>
      <c r="D5" s="40" t="s">
        <v>22</v>
      </c>
      <c r="E5" s="40"/>
      <c r="F5" s="40"/>
      <c r="G5" s="40"/>
      <c r="H5" s="51" t="s">
        <v>138</v>
      </c>
      <c r="I5" s="40" t="s">
        <v>138</v>
      </c>
      <c r="J5" s="40" t="s">
        <v>22</v>
      </c>
      <c r="K5" s="40"/>
      <c r="L5" s="53">
        <f>SUMIFS([2]خرداد!$AF$141:$AF$261,[2]خرداد!$C$141:$C$261,"قالب تعمیری",[2]خرداد!$B$141:$B$261,B5)</f>
        <v>1</v>
      </c>
      <c r="M5" s="63">
        <v>1706</v>
      </c>
      <c r="N5" s="42" t="s">
        <v>24</v>
      </c>
      <c r="O5" s="47"/>
      <c r="P5" s="48">
        <f>SUMIFS([2]خرداد!$AR$141:$AR$261,[2]خرداد!$C$141:$C$261,"قالب تعمیری",[2]خرداد!$B$141:$B$261,B5)</f>
        <v>750000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121</v>
      </c>
      <c r="C7" s="42" t="s">
        <v>19</v>
      </c>
      <c r="D7" s="40"/>
      <c r="E7" s="40"/>
      <c r="F7" s="40">
        <v>1</v>
      </c>
      <c r="G7" s="40"/>
      <c r="H7" s="51" t="s">
        <v>138</v>
      </c>
      <c r="I7" s="40" t="s">
        <v>139</v>
      </c>
      <c r="J7" s="40" t="s">
        <v>30</v>
      </c>
      <c r="K7" s="40"/>
      <c r="L7" s="53">
        <f>SUMIFS([2]خرداد!$AF$141:$AF$261,[2]خرداد!$C$141:$C$261,"قالب تعمیری",[2]خرداد!$B$141:$B$261,B7)</f>
        <v>7</v>
      </c>
      <c r="M7" s="40" t="s">
        <v>140</v>
      </c>
      <c r="N7" s="42" t="s">
        <v>141</v>
      </c>
      <c r="O7" s="47"/>
      <c r="P7" s="48">
        <f>SUMIFS([2]خرداد!$AR$141:$AR$261,[2]خرداد!$C$141:$C$261,"قالب تعمیری",[2]خرداد!$B$141:$B$261,B7)</f>
        <v>5250000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142</v>
      </c>
      <c r="C9" s="42" t="s">
        <v>137</v>
      </c>
      <c r="D9" s="40" t="s">
        <v>22</v>
      </c>
      <c r="E9" s="40"/>
      <c r="F9" s="40"/>
      <c r="G9" s="40"/>
      <c r="H9" s="51" t="s">
        <v>143</v>
      </c>
      <c r="I9" s="40" t="s">
        <v>143</v>
      </c>
      <c r="J9" s="40" t="s">
        <v>22</v>
      </c>
      <c r="K9" s="40"/>
      <c r="L9" s="53">
        <f>SUMIFS([2]خرداد!$AF$141:$AF$261,[2]خرداد!$C$141:$C$261,"قالب تعمیری",[2]خرداد!$B$141:$B$261,B9)</f>
        <v>8</v>
      </c>
      <c r="M9" s="40">
        <v>896</v>
      </c>
      <c r="N9" s="42"/>
      <c r="O9" s="47"/>
      <c r="P9" s="48">
        <f>SUMIFS([2]خرداد!$AR$141:$AR$261,[2]خرداد!$C$141:$C$261,"قالب تعمیری",[2]خرداد!$B$141:$B$261,B9)</f>
        <v>6000000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 t="s">
        <v>144</v>
      </c>
      <c r="C11" s="42" t="s">
        <v>137</v>
      </c>
      <c r="D11" s="40" t="s">
        <v>22</v>
      </c>
      <c r="E11" s="40"/>
      <c r="F11" s="40"/>
      <c r="G11" s="40"/>
      <c r="H11" s="51" t="s">
        <v>145</v>
      </c>
      <c r="I11" s="51" t="s">
        <v>145</v>
      </c>
      <c r="J11" s="40" t="s">
        <v>22</v>
      </c>
      <c r="K11" s="40"/>
      <c r="L11" s="53">
        <f>SUMIFS([2]خرداد!$AF$141:$AF$261,[2]خرداد!$C$141:$C$261,"قالب تعمیری",[2]خرداد!$B$141:$B$261,B11)</f>
        <v>3.5</v>
      </c>
      <c r="M11" s="55">
        <v>1707</v>
      </c>
      <c r="N11" s="42"/>
      <c r="O11" s="47"/>
      <c r="P11" s="48">
        <f>SUMIFS([2]خرداد!$AR$141:$AR$261,[2]خرداد!$C$141:$C$261,"قالب تعمیری",[2]خرداد!$B$141:$B$261,B11)</f>
        <v>2625000</v>
      </c>
    </row>
    <row r="12" spans="1:16" ht="43.5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1"/>
      <c r="N12" s="43"/>
      <c r="O12" s="47"/>
      <c r="P12" s="48"/>
    </row>
    <row r="13" spans="1:16" ht="43.5" customHeight="1" x14ac:dyDescent="0.25">
      <c r="A13" s="49">
        <v>5</v>
      </c>
      <c r="B13" s="45"/>
      <c r="C13" s="42"/>
      <c r="D13" s="40"/>
      <c r="E13" s="40"/>
      <c r="F13" s="40"/>
      <c r="G13" s="40"/>
      <c r="H13" s="51"/>
      <c r="I13" s="51"/>
      <c r="J13" s="40"/>
      <c r="K13" s="40"/>
      <c r="L13" s="53">
        <f>SUMIFS([2]خرداد!$AF$141:$AF$261,[2]خرداد!$C$141:$C$261,"قالب تعمیری",[2]خرداد!$B$141:$B$261,B13)</f>
        <v>0</v>
      </c>
      <c r="M13" s="55"/>
      <c r="N13" s="42"/>
      <c r="O13" s="47">
        <f>SUMIFS([2]خرداد!$AR$141:$AR$261,[2]خرداد!$C$141:$C$261,"قالب تعمیری",[2]خرداد!$B$141:$B$261,B13)</f>
        <v>0</v>
      </c>
      <c r="P13" s="48">
        <f>SUMIFS([2]خرداد!$AR$141:$AR$261,[2]خرداد!$C$141:$C$261,"قالب تعمیری",[2]خرداد!$B$141:$B$261,B13)</f>
        <v>0</v>
      </c>
    </row>
    <row r="14" spans="1:16" ht="43.5" customHeight="1" x14ac:dyDescent="0.25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33" customHeight="1" x14ac:dyDescent="0.25">
      <c r="A15" s="49">
        <v>6</v>
      </c>
      <c r="B15" s="45"/>
      <c r="C15" s="42"/>
      <c r="D15" s="40"/>
      <c r="E15" s="40"/>
      <c r="F15" s="40"/>
      <c r="G15" s="40"/>
      <c r="H15" s="51"/>
      <c r="I15" s="51"/>
      <c r="J15" s="40"/>
      <c r="K15" s="40"/>
      <c r="L15" s="53">
        <f>SUMIFS([2]خرداد!$AF$141:$AF$261,[2]خرداد!$C$141:$C$261,"قالب تعمیری",[2]خرداد!$B$141:$B$261,B15)</f>
        <v>0</v>
      </c>
      <c r="M15" s="55"/>
      <c r="N15" s="42"/>
      <c r="O15" s="47">
        <f>SUMIFS([2]خرداد!$AR$141:$AR$261,[2]خرداد!$C$141:$C$261,"قالب تعمیری",[2]خرداد!$B$141:$B$261,B15)</f>
        <v>0</v>
      </c>
      <c r="P15" s="48">
        <f>SUMIFS([2]خرداد!$AR$141:$AR$261,[2]خرداد!$C$141:$C$261,"قالب تعمیری",[2]خرداد!$B$141:$B$261,B15)</f>
        <v>0</v>
      </c>
    </row>
    <row r="16" spans="1:16" ht="33" customHeight="1" thickBot="1" x14ac:dyDescent="0.3">
      <c r="A16" s="50"/>
      <c r="B16" s="46"/>
      <c r="C16" s="43"/>
      <c r="D16" s="41"/>
      <c r="E16" s="41"/>
      <c r="F16" s="41"/>
      <c r="G16" s="41"/>
      <c r="H16" s="52"/>
      <c r="I16" s="52"/>
      <c r="J16" s="41"/>
      <c r="K16" s="41"/>
      <c r="L16" s="54"/>
      <c r="M16" s="41"/>
      <c r="N16" s="43"/>
      <c r="O16" s="47"/>
      <c r="P16" s="48"/>
    </row>
    <row r="17" spans="1:16" ht="30" customHeight="1" thickBot="1" x14ac:dyDescent="0.3">
      <c r="A17" s="5"/>
      <c r="B17" s="56" t="s">
        <v>17</v>
      </c>
      <c r="C17" s="56"/>
      <c r="D17" s="56"/>
      <c r="E17" s="6"/>
      <c r="F17" s="6"/>
      <c r="G17" s="6"/>
      <c r="H17" s="6"/>
      <c r="I17" s="6"/>
      <c r="J17" s="6"/>
      <c r="K17" s="6"/>
      <c r="L17" s="7">
        <f>SUM(L5:L16)</f>
        <v>19.5</v>
      </c>
      <c r="M17" s="6"/>
      <c r="N17" s="6"/>
      <c r="O17" s="8">
        <f>SUM(O5:O16)</f>
        <v>0</v>
      </c>
      <c r="P17" s="9">
        <f>SUM(P5:P16)</f>
        <v>14625000</v>
      </c>
    </row>
  </sheetData>
  <mergeCells count="113">
    <mergeCell ref="M15:M16"/>
    <mergeCell ref="N15:N16"/>
    <mergeCell ref="O15:O16"/>
    <mergeCell ref="P15:P16"/>
    <mergeCell ref="B17:D17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G13:G14"/>
    <mergeCell ref="H13:H14"/>
    <mergeCell ref="I13:I14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13:O14"/>
    <mergeCell ref="P13:P14"/>
    <mergeCell ref="J13:J14"/>
    <mergeCell ref="K13:K14"/>
    <mergeCell ref="L13:L14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O7:O8"/>
    <mergeCell ref="M11:M12"/>
    <mergeCell ref="N11:N12"/>
    <mergeCell ref="O11:O12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A093-82E6-43B8-8906-68A6CB167C3B}">
  <sheetPr>
    <pageSetUpPr fitToPage="1"/>
  </sheetPr>
  <dimension ref="A1:P17"/>
  <sheetViews>
    <sheetView rightToLeft="1" showWhiteSpace="0" view="pageLayout" topLeftCell="A10" zoomScaleNormal="100" workbookViewId="0">
      <selection activeCell="F15" sqref="F15:F16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12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6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45" t="s">
        <v>147</v>
      </c>
      <c r="C5" s="42" t="s">
        <v>19</v>
      </c>
      <c r="D5" s="40"/>
      <c r="E5" s="40"/>
      <c r="F5" s="40" t="s">
        <v>150</v>
      </c>
      <c r="G5" s="40"/>
      <c r="H5" s="51" t="s">
        <v>148</v>
      </c>
      <c r="I5" s="40" t="s">
        <v>146</v>
      </c>
      <c r="J5" s="40" t="s">
        <v>30</v>
      </c>
      <c r="K5" s="40" t="s">
        <v>96</v>
      </c>
      <c r="L5" s="53">
        <f>SUMIFS([2]خرداد!$AF$141:$AF$385,[2]خرداد!$C$141:$C$385,"قالب تعمیری",[2]خرداد!$B$141:$B$385,B5)</f>
        <v>6</v>
      </c>
      <c r="M5" s="63" t="s">
        <v>149</v>
      </c>
      <c r="N5" s="42" t="s">
        <v>141</v>
      </c>
      <c r="O5" s="47"/>
      <c r="P5" s="48">
        <f>SUMIFS([2]خرداد!$AR$141:$AR$385,[2]خرداد!$C$141:$C$385,"قالب تعمیری",[2]خرداد!$B$141:$B$385,B5)</f>
        <v>4500000</v>
      </c>
    </row>
    <row r="6" spans="1:16" ht="46.5" customHeight="1" x14ac:dyDescent="0.25">
      <c r="A6" s="44"/>
      <c r="B6" s="4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151</v>
      </c>
      <c r="C7" s="42" t="s">
        <v>19</v>
      </c>
      <c r="D7" s="40"/>
      <c r="E7" s="40"/>
      <c r="F7" s="40" t="s">
        <v>152</v>
      </c>
      <c r="G7" s="40"/>
      <c r="H7" s="51" t="s">
        <v>148</v>
      </c>
      <c r="I7" s="40" t="s">
        <v>146</v>
      </c>
      <c r="J7" s="40" t="s">
        <v>30</v>
      </c>
      <c r="K7" s="40" t="s">
        <v>96</v>
      </c>
      <c r="L7" s="53">
        <f>SUMIFS([2]خرداد!$AF$141:$AF$385,[2]خرداد!$C$141:$C$385,"قالب تعمیری",[2]خرداد!$B$141:$B$385,B7)</f>
        <v>5</v>
      </c>
      <c r="M7" s="40" t="s">
        <v>153</v>
      </c>
      <c r="N7" s="42" t="s">
        <v>141</v>
      </c>
      <c r="O7" s="47"/>
      <c r="P7" s="48">
        <f>SUMIFS([2]خرداد!$AR$141:$AR$385,[2]خرداد!$C$141:$C$385,"قالب تعمیری",[2]خرداد!$B$141:$B$385,B7)</f>
        <v>3750000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154</v>
      </c>
      <c r="C9" s="42" t="s">
        <v>19</v>
      </c>
      <c r="D9" s="40"/>
      <c r="E9" s="40"/>
      <c r="F9" s="40" t="s">
        <v>155</v>
      </c>
      <c r="G9" s="40"/>
      <c r="H9" s="51" t="s">
        <v>148</v>
      </c>
      <c r="I9" s="40" t="s">
        <v>146</v>
      </c>
      <c r="J9" s="40" t="s">
        <v>30</v>
      </c>
      <c r="K9" s="40" t="s">
        <v>96</v>
      </c>
      <c r="L9" s="53">
        <f>SUMIFS([2]خرداد!$AF$141:$AF$385,[2]خرداد!$C$141:$C$385,"قالب تعمیری",[2]خرداد!$B$141:$B$385,B9)</f>
        <v>4</v>
      </c>
      <c r="M9" s="40" t="s">
        <v>156</v>
      </c>
      <c r="N9" s="42" t="s">
        <v>141</v>
      </c>
      <c r="O9" s="47"/>
      <c r="P9" s="48">
        <f>SUMIFS([2]خرداد!$AR$141:$AR$385,[2]خرداد!$C$141:$C$385,"قالب تعمیری",[2]خرداد!$B$141:$B$385,B9)</f>
        <v>3000000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 t="s">
        <v>157</v>
      </c>
      <c r="C11" s="42" t="s">
        <v>19</v>
      </c>
      <c r="D11" s="40"/>
      <c r="E11" s="40"/>
      <c r="F11" s="40" t="s">
        <v>158</v>
      </c>
      <c r="G11" s="40" t="s">
        <v>159</v>
      </c>
      <c r="H11" s="51" t="s">
        <v>148</v>
      </c>
      <c r="I11" s="40" t="s">
        <v>146</v>
      </c>
      <c r="J11" s="40" t="s">
        <v>30</v>
      </c>
      <c r="K11" s="40" t="s">
        <v>96</v>
      </c>
      <c r="L11" s="53">
        <f>SUMIFS([2]خرداد!$AF$141:$AF$385,[2]خرداد!$C$141:$C$385,"قالب تعمیری",[2]خرداد!$B$141:$B$385,B11)</f>
        <v>3</v>
      </c>
      <c r="M11" s="55" t="s">
        <v>160</v>
      </c>
      <c r="N11" s="42"/>
      <c r="O11" s="57"/>
      <c r="P11" s="48">
        <f>SUMIFS([2]خرداد!$AR$141:$AR$385,[2]خرداد!$C$141:$C$385,"قالب تعمیری",[2]خرداد!$B$141:$B$385,B11)</f>
        <v>2250000</v>
      </c>
    </row>
    <row r="12" spans="1:16" ht="43.5" customHeight="1" x14ac:dyDescent="0.25">
      <c r="A12" s="50"/>
      <c r="B12" s="46"/>
      <c r="C12" s="43"/>
      <c r="D12" s="41"/>
      <c r="E12" s="41"/>
      <c r="F12" s="41"/>
      <c r="G12" s="41"/>
      <c r="H12" s="52"/>
      <c r="I12" s="41"/>
      <c r="J12" s="41"/>
      <c r="K12" s="41"/>
      <c r="L12" s="54"/>
      <c r="M12" s="41"/>
      <c r="N12" s="43"/>
      <c r="O12" s="47"/>
      <c r="P12" s="48"/>
    </row>
    <row r="13" spans="1:16" ht="26.25" customHeight="1" x14ac:dyDescent="0.25">
      <c r="A13" s="49">
        <v>5</v>
      </c>
      <c r="B13" s="45" t="s">
        <v>161</v>
      </c>
      <c r="C13" s="42" t="s">
        <v>19</v>
      </c>
      <c r="D13" s="40"/>
      <c r="E13" s="40"/>
      <c r="F13" s="40" t="s">
        <v>162</v>
      </c>
      <c r="G13" s="40"/>
      <c r="H13" s="51" t="s">
        <v>164</v>
      </c>
      <c r="I13" s="51" t="s">
        <v>165</v>
      </c>
      <c r="J13" s="40" t="s">
        <v>30</v>
      </c>
      <c r="K13" s="40" t="s">
        <v>96</v>
      </c>
      <c r="L13" s="53">
        <f>SUMIFS([2]خرداد!$AF$141:$AF$385,[2]خرداد!$C$141:$C$385,"قالب تعمیری",[2]خرداد!$B$141:$B$385,B13)</f>
        <v>5</v>
      </c>
      <c r="M13" s="55" t="s">
        <v>163</v>
      </c>
      <c r="N13" s="42"/>
      <c r="O13" s="57"/>
      <c r="P13" s="48">
        <f>SUMIFS([2]خرداد!$AR$141:$AR$385,[2]خرداد!$C$141:$C$385,"قالب تعمیری",[2]خرداد!$B$141:$B$385,B13)</f>
        <v>3750000</v>
      </c>
    </row>
    <row r="14" spans="1:16" ht="26.25" customHeight="1" x14ac:dyDescent="0.25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50.25" customHeight="1" x14ac:dyDescent="0.25">
      <c r="A15" s="49">
        <v>6</v>
      </c>
      <c r="B15" s="45" t="s">
        <v>167</v>
      </c>
      <c r="C15" s="42" t="s">
        <v>19</v>
      </c>
      <c r="D15" s="40"/>
      <c r="E15" s="40"/>
      <c r="F15" s="40" t="s">
        <v>166</v>
      </c>
      <c r="G15" s="40"/>
      <c r="H15" s="51" t="s">
        <v>171</v>
      </c>
      <c r="I15" s="51" t="s">
        <v>170</v>
      </c>
      <c r="J15" s="40" t="s">
        <v>30</v>
      </c>
      <c r="K15" s="40" t="s">
        <v>168</v>
      </c>
      <c r="L15" s="53">
        <f>SUMIFS([2]خرداد!$AF$141:$AF$385,[2]خرداد!$C$141:$C$385,"قالب تعمیری",[2]خرداد!$B$141:$B$385,B15)+220</f>
        <v>313.75</v>
      </c>
      <c r="M15" s="55">
        <v>746</v>
      </c>
      <c r="N15" s="42" t="s">
        <v>169</v>
      </c>
      <c r="O15" s="57">
        <v>17050000</v>
      </c>
      <c r="P15" s="48">
        <f>SUMIFS([2]خرداد!$AR$141:$AR$385,[2]خرداد!$C$141:$C$385,"قالب تعمیری",[2]خرداد!$B$141:$B$385,B15)</f>
        <v>99750000</v>
      </c>
    </row>
    <row r="16" spans="1:16" ht="50.25" customHeight="1" thickBot="1" x14ac:dyDescent="0.3">
      <c r="A16" s="50"/>
      <c r="B16" s="46"/>
      <c r="C16" s="43"/>
      <c r="D16" s="41"/>
      <c r="E16" s="41"/>
      <c r="F16" s="41"/>
      <c r="G16" s="41"/>
      <c r="H16" s="52"/>
      <c r="I16" s="52"/>
      <c r="J16" s="41"/>
      <c r="K16" s="64"/>
      <c r="L16" s="54"/>
      <c r="M16" s="41"/>
      <c r="N16" s="43"/>
      <c r="O16" s="47"/>
      <c r="P16" s="48"/>
    </row>
    <row r="17" spans="1:16" ht="30" customHeight="1" thickBot="1" x14ac:dyDescent="0.3">
      <c r="A17" s="5"/>
      <c r="B17" s="56" t="s">
        <v>17</v>
      </c>
      <c r="C17" s="56"/>
      <c r="D17" s="56"/>
      <c r="E17" s="6"/>
      <c r="F17" s="6"/>
      <c r="G17" s="6"/>
      <c r="H17" s="6"/>
      <c r="I17" s="6"/>
      <c r="J17" s="6"/>
      <c r="K17" s="6"/>
      <c r="L17" s="7">
        <f>SUM(L5:L16)</f>
        <v>336.75</v>
      </c>
      <c r="M17" s="6"/>
      <c r="N17" s="6"/>
      <c r="O17" s="8">
        <f>SUM(O5:O16)</f>
        <v>17050000</v>
      </c>
      <c r="P17" s="9">
        <f>SUM(P5:P16)</f>
        <v>117000000</v>
      </c>
    </row>
  </sheetData>
  <mergeCells count="113">
    <mergeCell ref="M15:M16"/>
    <mergeCell ref="N15:N16"/>
    <mergeCell ref="O15:O16"/>
    <mergeCell ref="P15:P16"/>
    <mergeCell ref="B17:D17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G13:G14"/>
    <mergeCell ref="H13:H14"/>
    <mergeCell ref="I13:I14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13:O14"/>
    <mergeCell ref="P13:P14"/>
    <mergeCell ref="J13:J14"/>
    <mergeCell ref="K13:K14"/>
    <mergeCell ref="L13:L14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O7:O8"/>
    <mergeCell ref="M11:M12"/>
    <mergeCell ref="N11:N12"/>
    <mergeCell ref="O11:O12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280B-375E-4E5B-BFBF-89D1CCBADCCE}">
  <sheetPr>
    <pageSetUpPr fitToPage="1"/>
  </sheetPr>
  <dimension ref="A1:P21"/>
  <sheetViews>
    <sheetView rightToLeft="1" showWhiteSpace="0" view="pageLayout" topLeftCell="A16" zoomScaleNormal="100" workbookViewId="0">
      <selection activeCell="I5" sqref="I5:I6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13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7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21.75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65" t="s">
        <v>175</v>
      </c>
      <c r="C5" s="42" t="s">
        <v>19</v>
      </c>
      <c r="D5" s="40"/>
      <c r="E5" s="40"/>
      <c r="F5" s="40" t="s">
        <v>172</v>
      </c>
      <c r="G5" s="40"/>
      <c r="H5" s="51" t="s">
        <v>173</v>
      </c>
      <c r="I5" s="40" t="s">
        <v>176</v>
      </c>
      <c r="J5" s="40" t="s">
        <v>30</v>
      </c>
      <c r="K5" s="40" t="s">
        <v>174</v>
      </c>
      <c r="L5" s="53">
        <f>SUMIFS([2]خرداد!$AF$4:$AF$650,[2]خرداد!$C$4:$C$650,"قالب تعمیری",[2]خرداد!$B$4:$B$650,B5,[2]خرداد!$H$4:$H$650,F5)+120</f>
        <v>299.5</v>
      </c>
      <c r="M5" s="63">
        <v>737</v>
      </c>
      <c r="N5" s="42" t="s">
        <v>177</v>
      </c>
      <c r="O5" s="47">
        <v>17050000</v>
      </c>
      <c r="P5" s="48">
        <f>SUMIFS([2]خرداد!$AR$4:$AR$650,[2]خرداد!$C$4:$C$650,"قالب تعمیری",[2]خرداد!$B$4:$B$650,B5)</f>
        <v>436500000</v>
      </c>
    </row>
    <row r="6" spans="1:16" ht="46.5" customHeight="1" x14ac:dyDescent="0.25">
      <c r="A6" s="44"/>
      <c r="B6" s="6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178</v>
      </c>
      <c r="C7" s="42" t="s">
        <v>18</v>
      </c>
      <c r="D7" s="40" t="s">
        <v>22</v>
      </c>
      <c r="E7" s="40"/>
      <c r="F7" s="40">
        <v>1</v>
      </c>
      <c r="G7" s="40"/>
      <c r="H7" s="51" t="s">
        <v>180</v>
      </c>
      <c r="I7" s="40" t="s">
        <v>181</v>
      </c>
      <c r="J7" s="40" t="s">
        <v>23</v>
      </c>
      <c r="K7" s="40"/>
      <c r="L7" s="53">
        <f>SUMIFS([2]خرداد!$AF$4:$AF$650,[2]خرداد!$C$4:$C$650,"قالب تعمیری",[2]خرداد!$B$4:$B$650,B7)</f>
        <v>2</v>
      </c>
      <c r="M7" s="40">
        <v>1713</v>
      </c>
      <c r="N7" s="42" t="s">
        <v>179</v>
      </c>
      <c r="O7" s="47"/>
      <c r="P7" s="48">
        <f>SUMIFS([2]خرداد!$AR$4:$AR$650,[2]خرداد!$C$4:$C$650,"قالب تعمیری",[2]خرداد!$B$4:$B$650,B7)</f>
        <v>1500000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182</v>
      </c>
      <c r="C9" s="42" t="s">
        <v>19</v>
      </c>
      <c r="D9" s="40"/>
      <c r="E9" s="40"/>
      <c r="F9" s="40" t="s">
        <v>183</v>
      </c>
      <c r="G9" s="40"/>
      <c r="H9" s="51" t="s">
        <v>184</v>
      </c>
      <c r="I9" s="40" t="s">
        <v>185</v>
      </c>
      <c r="J9" s="40" t="s">
        <v>30</v>
      </c>
      <c r="K9" s="40" t="s">
        <v>186</v>
      </c>
      <c r="L9" s="53">
        <f>SUMIFS([2]خرداد!$AF$4:$AF$650,[2]خرداد!$C$4:$C$650,"قالب تعمیری",[2]خرداد!$B$4:$B$650,B9,[2]خرداد!$H$4:$H$650,F9)+7</f>
        <v>8</v>
      </c>
      <c r="M9" s="40" t="s">
        <v>187</v>
      </c>
      <c r="N9" s="42" t="s">
        <v>25</v>
      </c>
      <c r="O9" s="47"/>
      <c r="P9" s="48">
        <f>SUMIFS([2]خرداد!$AR$4:$AR$650,[2]خرداد!$C$4:$C$650,"قالب تعمیری",[2]خرداد!$B$4:$B$650,B9)</f>
        <v>5625000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 t="s">
        <v>188</v>
      </c>
      <c r="C11" s="42" t="s">
        <v>19</v>
      </c>
      <c r="D11" s="40"/>
      <c r="E11" s="40"/>
      <c r="F11" s="40" t="s">
        <v>189</v>
      </c>
      <c r="G11" s="40"/>
      <c r="H11" s="51" t="s">
        <v>184</v>
      </c>
      <c r="I11" s="40" t="s">
        <v>185</v>
      </c>
      <c r="J11" s="40" t="s">
        <v>30</v>
      </c>
      <c r="K11" s="40" t="s">
        <v>186</v>
      </c>
      <c r="L11" s="53">
        <f>SUMIFS([2]خرداد!$AF$4:$AF$650,[2]خرداد!$C$4:$C$650,"قالب تعمیری",[2]خرداد!$B$4:$B$650,B11,[2]خرداد!$H$4:$H$650,F11)</f>
        <v>7.5</v>
      </c>
      <c r="M11" s="40" t="s">
        <v>187</v>
      </c>
      <c r="N11" s="42" t="s">
        <v>25</v>
      </c>
      <c r="O11" s="57"/>
      <c r="P11" s="48">
        <f>SUMIFS([2]خرداد!$AR$4:$AR$650,[2]خرداد!$C$4:$C$650,"قالب تعمیری",[2]خرداد!$B$4:$B$650,B11)</f>
        <v>5625000</v>
      </c>
    </row>
    <row r="12" spans="1:16" ht="43.5" customHeight="1" x14ac:dyDescent="0.25">
      <c r="A12" s="50"/>
      <c r="B12" s="46"/>
      <c r="C12" s="43"/>
      <c r="D12" s="41"/>
      <c r="E12" s="41"/>
      <c r="F12" s="41"/>
      <c r="G12" s="41"/>
      <c r="H12" s="52"/>
      <c r="I12" s="41"/>
      <c r="J12" s="41"/>
      <c r="K12" s="41"/>
      <c r="L12" s="54"/>
      <c r="M12" s="41"/>
      <c r="N12" s="43"/>
      <c r="O12" s="47"/>
      <c r="P12" s="48"/>
    </row>
    <row r="13" spans="1:16" ht="36" customHeight="1" x14ac:dyDescent="0.25">
      <c r="A13" s="49">
        <v>5</v>
      </c>
      <c r="B13" s="45" t="s">
        <v>35</v>
      </c>
      <c r="C13" s="42" t="s">
        <v>18</v>
      </c>
      <c r="D13" s="40" t="s">
        <v>22</v>
      </c>
      <c r="E13" s="40"/>
      <c r="F13" s="40"/>
      <c r="G13" s="40"/>
      <c r="H13" s="51" t="s">
        <v>190</v>
      </c>
      <c r="I13" s="51" t="s">
        <v>190</v>
      </c>
      <c r="J13" s="40" t="s">
        <v>23</v>
      </c>
      <c r="K13" s="40"/>
      <c r="L13" s="53">
        <f>SUMIFS([2]خرداد!$AF$4:$AF$650,[2]خرداد!$C$4:$C$650,"قالب تعمیری",[2]خرداد!$B$4:$B$650,B13,[2]خرداد!$H$4:$H$650,F13)+1</f>
        <v>1</v>
      </c>
      <c r="M13" s="55"/>
      <c r="N13" s="42" t="s">
        <v>24</v>
      </c>
      <c r="O13" s="57"/>
      <c r="P13" s="48">
        <f>SUMIFS([2]خرداد!$AR$4:$AR$650,[2]خرداد!$C$4:$C$650,"قالب تعمیری",[2]خرداد!$B$4:$B$650,B13)</f>
        <v>750000</v>
      </c>
    </row>
    <row r="14" spans="1:16" ht="36" customHeight="1" x14ac:dyDescent="0.25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45" customHeight="1" x14ac:dyDescent="0.25">
      <c r="A15" s="49">
        <v>6</v>
      </c>
      <c r="B15" s="45" t="s">
        <v>64</v>
      </c>
      <c r="C15" s="42" t="s">
        <v>18</v>
      </c>
      <c r="D15" s="40" t="s">
        <v>22</v>
      </c>
      <c r="E15" s="40"/>
      <c r="F15" s="40"/>
      <c r="G15" s="40"/>
      <c r="H15" s="51" t="s">
        <v>190</v>
      </c>
      <c r="I15" s="51" t="s">
        <v>190</v>
      </c>
      <c r="J15" s="40" t="s">
        <v>23</v>
      </c>
      <c r="K15" s="40"/>
      <c r="L15" s="53">
        <f>SUMIFS([2]خرداد!$AF$4:$AF$650,[2]خرداد!$C$4:$C$650,"قالب تعمیری",[2]خرداد!$B$4:$B$650,B15,[2]خرداد!$H$4:$H$650,F15)+2</f>
        <v>2</v>
      </c>
      <c r="M15" s="55"/>
      <c r="N15" s="42" t="s">
        <v>24</v>
      </c>
      <c r="O15" s="57"/>
      <c r="P15" s="48">
        <f>SUMIFS([2]خرداد!$AR$4:$AR$650,[2]خرداد!$C$4:$C$650,"قالب تعمیری",[2]خرداد!$B$4:$B$650,B15)</f>
        <v>1500000</v>
      </c>
    </row>
    <row r="16" spans="1:16" ht="45" customHeight="1" x14ac:dyDescent="0.25">
      <c r="A16" s="50"/>
      <c r="B16" s="46"/>
      <c r="C16" s="43"/>
      <c r="D16" s="41"/>
      <c r="E16" s="41"/>
      <c r="F16" s="41"/>
      <c r="G16" s="41"/>
      <c r="H16" s="52"/>
      <c r="I16" s="52"/>
      <c r="J16" s="41"/>
      <c r="K16" s="41"/>
      <c r="L16" s="54"/>
      <c r="M16" s="41"/>
      <c r="N16" s="43"/>
      <c r="O16" s="47"/>
      <c r="P16" s="48"/>
    </row>
    <row r="17" spans="1:16" ht="36" customHeight="1" x14ac:dyDescent="0.25">
      <c r="A17" s="49">
        <v>7</v>
      </c>
      <c r="B17" s="45" t="s">
        <v>191</v>
      </c>
      <c r="C17" s="42" t="s">
        <v>18</v>
      </c>
      <c r="D17" s="40" t="s">
        <v>22</v>
      </c>
      <c r="E17" s="40"/>
      <c r="F17" s="40"/>
      <c r="G17" s="40"/>
      <c r="H17" s="51" t="s">
        <v>190</v>
      </c>
      <c r="I17" s="51" t="s">
        <v>190</v>
      </c>
      <c r="J17" s="40" t="s">
        <v>23</v>
      </c>
      <c r="K17" s="40"/>
      <c r="L17" s="53">
        <f>SUMIFS([2]خرداد!$AF$4:$AF$650,[2]خرداد!$C$4:$C$650,"قالب تعمیری",[2]خرداد!$B$4:$B$650,B17,[2]خرداد!$H$4:$H$650,F17)+5</f>
        <v>5</v>
      </c>
      <c r="M17" s="55"/>
      <c r="N17" s="42" t="s">
        <v>179</v>
      </c>
      <c r="O17" s="57"/>
      <c r="P17" s="48">
        <f>SUMIFS([2]خرداد!$AR$4:$AR$650,[2]خرداد!$C$4:$C$650,"قالب تعمیری",[2]خرداد!$B$4:$B$650,B17)</f>
        <v>3750000</v>
      </c>
    </row>
    <row r="18" spans="1:16" ht="36" customHeight="1" thickBot="1" x14ac:dyDescent="0.3">
      <c r="A18" s="50"/>
      <c r="B18" s="46"/>
      <c r="C18" s="43"/>
      <c r="D18" s="41"/>
      <c r="E18" s="41"/>
      <c r="F18" s="41"/>
      <c r="G18" s="41"/>
      <c r="H18" s="52"/>
      <c r="I18" s="52"/>
      <c r="J18" s="41"/>
      <c r="K18" s="41"/>
      <c r="L18" s="54"/>
      <c r="M18" s="41"/>
      <c r="N18" s="43"/>
      <c r="O18" s="47"/>
      <c r="P18" s="48"/>
    </row>
    <row r="19" spans="1:16" ht="50.25" customHeight="1" x14ac:dyDescent="0.25">
      <c r="A19" s="49">
        <v>8</v>
      </c>
      <c r="B19" s="45" t="s">
        <v>192</v>
      </c>
      <c r="C19" s="42" t="s">
        <v>19</v>
      </c>
      <c r="D19" s="40"/>
      <c r="E19" s="40"/>
      <c r="F19" s="40" t="s">
        <v>193</v>
      </c>
      <c r="G19" s="40"/>
      <c r="H19" s="51" t="s">
        <v>173</v>
      </c>
      <c r="I19" s="40" t="s">
        <v>176</v>
      </c>
      <c r="J19" s="40" t="s">
        <v>30</v>
      </c>
      <c r="K19" s="40" t="s">
        <v>174</v>
      </c>
      <c r="L19" s="53">
        <f>SUMIFS([2]خرداد!$AF$4:$AF$650,[2]خرداد!$C$4:$C$650,"قالب تعمیری",[2]خرداد!$B$4:$B$650,B19,[2]خرداد!$H$4:$H$650,F19)+120</f>
        <v>218.5</v>
      </c>
      <c r="M19" s="63">
        <v>668</v>
      </c>
      <c r="N19" s="42" t="s">
        <v>177</v>
      </c>
      <c r="O19" s="57">
        <v>17050000</v>
      </c>
      <c r="P19" s="48">
        <f>SUMIFS([2]خرداد!$AR$4:$AR$650,[2]خرداد!$C$4:$C$650,"قالب تعمیری",[2]خرداد!$B$4:$B$650,B19)</f>
        <v>220875000</v>
      </c>
    </row>
    <row r="20" spans="1:16" ht="50.25" customHeight="1" thickBot="1" x14ac:dyDescent="0.3">
      <c r="A20" s="50"/>
      <c r="B20" s="46"/>
      <c r="C20" s="43"/>
      <c r="D20" s="41"/>
      <c r="E20" s="41"/>
      <c r="F20" s="41"/>
      <c r="G20" s="41"/>
      <c r="H20" s="52"/>
      <c r="I20" s="41"/>
      <c r="J20" s="41"/>
      <c r="K20" s="41"/>
      <c r="L20" s="54"/>
      <c r="M20" s="41"/>
      <c r="N20" s="43"/>
      <c r="O20" s="47"/>
      <c r="P20" s="48"/>
    </row>
    <row r="21" spans="1:16" ht="30" customHeight="1" thickBot="1" x14ac:dyDescent="0.3">
      <c r="A21" s="5"/>
      <c r="B21" s="56" t="s">
        <v>17</v>
      </c>
      <c r="C21" s="56"/>
      <c r="D21" s="56"/>
      <c r="E21" s="6"/>
      <c r="F21" s="6"/>
      <c r="G21" s="6"/>
      <c r="H21" s="6"/>
      <c r="I21" s="6"/>
      <c r="J21" s="6"/>
      <c r="K21" s="6"/>
      <c r="L21" s="7">
        <f>SUM(L5:L20)</f>
        <v>543.5</v>
      </c>
      <c r="M21" s="6"/>
      <c r="N21" s="6"/>
      <c r="O21" s="8">
        <f>SUM(O5:O20)</f>
        <v>34100000</v>
      </c>
      <c r="P21" s="9">
        <f>SUM(P5:P20)</f>
        <v>676125000</v>
      </c>
    </row>
  </sheetData>
  <mergeCells count="145"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E11:E12"/>
    <mergeCell ref="F11:F12"/>
    <mergeCell ref="G9:G10"/>
    <mergeCell ref="H9:H10"/>
    <mergeCell ref="I9:I10"/>
    <mergeCell ref="O7:O8"/>
    <mergeCell ref="M11:M12"/>
    <mergeCell ref="N11:N12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13:O14"/>
    <mergeCell ref="P13:P14"/>
    <mergeCell ref="J13:J14"/>
    <mergeCell ref="K13:K14"/>
    <mergeCell ref="L13:L14"/>
    <mergeCell ref="A11:A12"/>
    <mergeCell ref="B11:B12"/>
    <mergeCell ref="C11:C12"/>
    <mergeCell ref="D11:D12"/>
    <mergeCell ref="A19:A20"/>
    <mergeCell ref="B19:B20"/>
    <mergeCell ref="C19:C20"/>
    <mergeCell ref="D19:D20"/>
    <mergeCell ref="E19:E20"/>
    <mergeCell ref="F19:F20"/>
    <mergeCell ref="G13:G14"/>
    <mergeCell ref="H13:H14"/>
    <mergeCell ref="I13:I14"/>
    <mergeCell ref="D17:D18"/>
    <mergeCell ref="E17:E18"/>
    <mergeCell ref="F15:F16"/>
    <mergeCell ref="G15:G16"/>
    <mergeCell ref="H15:H16"/>
    <mergeCell ref="I15:I16"/>
    <mergeCell ref="M19:M20"/>
    <mergeCell ref="N19:N20"/>
    <mergeCell ref="O19:O20"/>
    <mergeCell ref="P19:P20"/>
    <mergeCell ref="B21:D21"/>
    <mergeCell ref="A15:A16"/>
    <mergeCell ref="B15:B16"/>
    <mergeCell ref="C15:C16"/>
    <mergeCell ref="D15:D16"/>
    <mergeCell ref="E15:E16"/>
    <mergeCell ref="G19:G20"/>
    <mergeCell ref="H19:H20"/>
    <mergeCell ref="I19:I20"/>
    <mergeCell ref="J19:J20"/>
    <mergeCell ref="K19:K20"/>
    <mergeCell ref="L19:L20"/>
    <mergeCell ref="L15:L16"/>
    <mergeCell ref="M15:M16"/>
    <mergeCell ref="N15:N16"/>
    <mergeCell ref="O15:O16"/>
    <mergeCell ref="P15:P16"/>
    <mergeCell ref="A17:A18"/>
    <mergeCell ref="B17:B18"/>
    <mergeCell ref="C17:C18"/>
    <mergeCell ref="J15:J16"/>
    <mergeCell ref="K15:K16"/>
    <mergeCell ref="L17:L18"/>
    <mergeCell ref="M17:M18"/>
    <mergeCell ref="N17:N18"/>
    <mergeCell ref="O17:O18"/>
    <mergeCell ref="P17:P18"/>
    <mergeCell ref="F17:F18"/>
    <mergeCell ref="G17:G18"/>
    <mergeCell ref="H17:H18"/>
    <mergeCell ref="I17:I18"/>
    <mergeCell ref="J17:J18"/>
    <mergeCell ref="K17:K18"/>
  </mergeCells>
  <phoneticPr fontId="14" type="noConversion"/>
  <printOptions horizontalCentered="1" verticalCentered="1"/>
  <pageMargins left="0" right="0" top="0" bottom="0" header="0" footer="0"/>
  <pageSetup scale="89" fitToHeight="0" orientation="landscape" r:id="rId1"/>
  <ignoredErrors>
    <ignoredError sqref="L13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069B-EEE1-4DE5-B2BD-DFC21AEAB7B4}">
  <sheetPr>
    <pageSetUpPr fitToPage="1"/>
  </sheetPr>
  <dimension ref="A1:P13"/>
  <sheetViews>
    <sheetView rightToLeft="1" showWhiteSpace="0" view="pageLayout" zoomScale="85" zoomScaleNormal="100" zoomScalePageLayoutView="85" workbookViewId="0">
      <selection activeCell="B9" sqref="B9:B10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14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8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65" t="s">
        <v>194</v>
      </c>
      <c r="C5" s="42" t="s">
        <v>196</v>
      </c>
      <c r="D5" s="40"/>
      <c r="E5" s="40"/>
      <c r="F5" s="40" t="s">
        <v>195</v>
      </c>
      <c r="G5" s="40"/>
      <c r="H5" s="51" t="s">
        <v>197</v>
      </c>
      <c r="I5" s="40" t="s">
        <v>176</v>
      </c>
      <c r="J5" s="40" t="s">
        <v>30</v>
      </c>
      <c r="K5" s="40" t="s">
        <v>96</v>
      </c>
      <c r="L5" s="53">
        <f>SUMIFS([2]خرداد!$AF$4:$AF$690,[2]خرداد!$C$4:$C$690,"قالب تعمیری",[2]خرداد!$B$4:$B$690,B5,[2]خرداد!$H$4:$H$690,F5)+2</f>
        <v>10</v>
      </c>
      <c r="M5" s="63"/>
      <c r="N5" s="42" t="s">
        <v>25</v>
      </c>
      <c r="O5" s="47"/>
      <c r="P5" s="48">
        <f>SUMIFS([2]خرداد!$AR$4:$AR$650,[2]خرداد!$C$4:$C$650,"قالب تعمیری",[2]خرداد!$B$4:$B$650,B5)</f>
        <v>3750000</v>
      </c>
    </row>
    <row r="6" spans="1:16" ht="46.5" customHeight="1" x14ac:dyDescent="0.25">
      <c r="A6" s="44"/>
      <c r="B6" s="66"/>
      <c r="C6" s="43"/>
      <c r="D6" s="41"/>
      <c r="E6" s="41"/>
      <c r="F6" s="41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198</v>
      </c>
      <c r="C7" s="42" t="s">
        <v>18</v>
      </c>
      <c r="D7" s="40" t="s">
        <v>22</v>
      </c>
      <c r="E7" s="40"/>
      <c r="F7" s="40" t="s">
        <v>122</v>
      </c>
      <c r="G7" s="40"/>
      <c r="H7" s="51" t="s">
        <v>184</v>
      </c>
      <c r="I7" s="40" t="s">
        <v>199</v>
      </c>
      <c r="J7" s="40" t="s">
        <v>23</v>
      </c>
      <c r="K7" s="40"/>
      <c r="L7" s="53">
        <f>SUMIFS([2]خرداد!$AF$4:$AF$650,[2]خرداد!$C$4:$C$650,"قالب تعمیری",[2]خرداد!$B$4:$B$650,B7)</f>
        <v>35</v>
      </c>
      <c r="M7" s="40"/>
      <c r="N7" s="42" t="s">
        <v>200</v>
      </c>
      <c r="O7" s="47"/>
      <c r="P7" s="48">
        <f>SUMIFS([2]خرداد!$AR$4:$AR$650,[2]خرداد!$C$4:$C$650,"قالب تعمیری",[2]خرداد!$B$4:$B$650,B7)</f>
        <v>26250000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52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175</v>
      </c>
      <c r="C9" s="42" t="s">
        <v>196</v>
      </c>
      <c r="D9" s="40"/>
      <c r="E9" s="40"/>
      <c r="F9" s="40" t="s">
        <v>201</v>
      </c>
      <c r="G9" s="40"/>
      <c r="H9" s="51"/>
      <c r="I9" s="40"/>
      <c r="J9" s="40"/>
      <c r="K9" s="40" t="s">
        <v>203</v>
      </c>
      <c r="L9" s="53">
        <f>SUMIFS([2]خرداد!$AF$4:$AF$650,[2]خرداد!$C$4:$C$650,"قالب تعمیری",[2]خرداد!$B$4:$B$650,B9,[2]خرداد!$H$4:$H$650,F9)+150</f>
        <v>346.5</v>
      </c>
      <c r="M9" s="40" t="s">
        <v>202</v>
      </c>
      <c r="N9" s="42" t="s">
        <v>177</v>
      </c>
      <c r="O9" s="47">
        <v>17050000</v>
      </c>
      <c r="P9" s="48">
        <f>SUMIFS([2]خرداد!$AR$4:$AR$650,[2]خرداد!$C$4:$C$650,"قالب تعمیری",[2]خرداد!$B$4:$B$650,B9)</f>
        <v>436500000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52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/>
      <c r="C11" s="42"/>
      <c r="D11" s="40"/>
      <c r="E11" s="40"/>
      <c r="F11" s="40"/>
      <c r="G11" s="40"/>
      <c r="H11" s="51"/>
      <c r="I11" s="40"/>
      <c r="J11" s="40"/>
      <c r="K11" s="40"/>
      <c r="L11" s="53">
        <f>SUMIFS([2]خرداد!$AF$4:$AF$650,[2]خرداد!$C$4:$C$650,"قالب تعمیری",[2]خرداد!$B$4:$B$650,B11,[2]خرداد!$H$4:$H$650,F11)</f>
        <v>0</v>
      </c>
      <c r="M11" s="40"/>
      <c r="N11" s="42"/>
      <c r="O11" s="57"/>
      <c r="P11" s="48">
        <f>SUMIFS([2]خرداد!$AR$4:$AR$650,[2]خرداد!$C$4:$C$650,"قالب تعمیری",[2]خرداد!$B$4:$B$650,B11)</f>
        <v>0</v>
      </c>
    </row>
    <row r="12" spans="1:16" ht="43.5" customHeight="1" thickBot="1" x14ac:dyDescent="0.3">
      <c r="A12" s="50"/>
      <c r="B12" s="46"/>
      <c r="C12" s="43"/>
      <c r="D12" s="41"/>
      <c r="E12" s="41"/>
      <c r="F12" s="41"/>
      <c r="G12" s="41"/>
      <c r="H12" s="52"/>
      <c r="I12" s="41"/>
      <c r="J12" s="41"/>
      <c r="K12" s="41"/>
      <c r="L12" s="54"/>
      <c r="M12" s="41"/>
      <c r="N12" s="43"/>
      <c r="O12" s="47"/>
      <c r="P12" s="48"/>
    </row>
    <row r="13" spans="1:16" ht="53.25" customHeight="1" thickBot="1" x14ac:dyDescent="0.3">
      <c r="A13" s="5"/>
      <c r="B13" s="56" t="s">
        <v>17</v>
      </c>
      <c r="C13" s="56"/>
      <c r="D13" s="56"/>
      <c r="E13" s="6"/>
      <c r="F13" s="6"/>
      <c r="G13" s="6"/>
      <c r="H13" s="6"/>
      <c r="I13" s="6"/>
      <c r="J13" s="6"/>
      <c r="K13" s="6"/>
      <c r="L13" s="7">
        <f>SUM(L5:L12)</f>
        <v>391.5</v>
      </c>
      <c r="M13" s="6"/>
      <c r="N13" s="6"/>
      <c r="O13" s="8">
        <f>SUM(O5:O12)</f>
        <v>17050000</v>
      </c>
      <c r="P13" s="9">
        <f>SUM(P5:P12)</f>
        <v>466500000</v>
      </c>
    </row>
  </sheetData>
  <mergeCells count="81">
    <mergeCell ref="B13:D13"/>
    <mergeCell ref="M11:M12"/>
    <mergeCell ref="N11:N12"/>
    <mergeCell ref="O11:O12"/>
    <mergeCell ref="P11:P12"/>
    <mergeCell ref="G11:G12"/>
    <mergeCell ref="H11:H12"/>
    <mergeCell ref="I11:I12"/>
    <mergeCell ref="J11:J12"/>
    <mergeCell ref="K11:K12"/>
    <mergeCell ref="L11:L12"/>
    <mergeCell ref="O9:O10"/>
    <mergeCell ref="P9:P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072C-3532-4584-8ED7-5A342FE259BB}">
  <sheetPr>
    <pageSetUpPr fitToPage="1"/>
  </sheetPr>
  <dimension ref="A1:P21"/>
  <sheetViews>
    <sheetView rightToLeft="1" view="pageLayout" topLeftCell="A17" zoomScale="85" zoomScaleNormal="100" zoomScalePageLayoutView="85" workbookViewId="0">
      <selection activeCell="N17" sqref="N17:N18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15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19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6.5" customHeight="1" x14ac:dyDescent="0.25">
      <c r="A5" s="44">
        <v>1</v>
      </c>
      <c r="B5" s="65" t="s">
        <v>147</v>
      </c>
      <c r="C5" s="42" t="s">
        <v>19</v>
      </c>
      <c r="D5" s="40"/>
      <c r="E5" s="40"/>
      <c r="F5" s="67" t="s">
        <v>204</v>
      </c>
      <c r="G5" s="40"/>
      <c r="H5" s="51" t="s">
        <v>206</v>
      </c>
      <c r="I5" s="40" t="s">
        <v>207</v>
      </c>
      <c r="J5" s="40" t="s">
        <v>30</v>
      </c>
      <c r="K5" s="40" t="s">
        <v>96</v>
      </c>
      <c r="L5" s="53">
        <f>SUMIFS([2]تیر!$AF$4:$AF$690,[2]تیر!$C$4:$C$690,"قالب تعمیری",[2]تیر!$B$4:$B$690,B5,[2]تیر!$H$4:$H$690,F5)</f>
        <v>21.5</v>
      </c>
      <c r="M5" s="63" t="s">
        <v>205</v>
      </c>
      <c r="N5" s="42" t="s">
        <v>25</v>
      </c>
      <c r="O5" s="47"/>
      <c r="P5" s="48">
        <f>SUMIFS([2]تیر!$AR$4:$AR$650,[2]تیر!$C$4:$C$650,"قالب تعمیری",[2]تیر!$B$4:$B$650,B5)</f>
        <v>16125000</v>
      </c>
    </row>
    <row r="6" spans="1:16" ht="46.5" customHeight="1" x14ac:dyDescent="0.25">
      <c r="A6" s="44"/>
      <c r="B6" s="66"/>
      <c r="C6" s="43"/>
      <c r="D6" s="41"/>
      <c r="E6" s="41"/>
      <c r="F6" s="68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3.5" customHeight="1" x14ac:dyDescent="0.25">
      <c r="A7" s="49">
        <v>2</v>
      </c>
      <c r="B7" s="45" t="s">
        <v>29</v>
      </c>
      <c r="C7" s="42" t="s">
        <v>19</v>
      </c>
      <c r="D7" s="40"/>
      <c r="E7" s="40"/>
      <c r="F7" s="40" t="s">
        <v>32</v>
      </c>
      <c r="G7" s="40"/>
      <c r="H7" s="40" t="s">
        <v>208</v>
      </c>
      <c r="I7" s="40" t="s">
        <v>209</v>
      </c>
      <c r="J7" s="40" t="s">
        <v>30</v>
      </c>
      <c r="K7" s="40" t="s">
        <v>210</v>
      </c>
      <c r="L7" s="53">
        <f>SUMIFS([2]تیر!$AF$4:$AF$690,[2]تیر!$C$4:$C$690,"قالب تعمیری",[2]تیر!$B$4:$B$690,B7,[2]تیر!$H$4:$H$690,F7)</f>
        <v>19.5</v>
      </c>
      <c r="M7" s="40"/>
      <c r="N7" s="42" t="s">
        <v>25</v>
      </c>
      <c r="O7" s="47"/>
      <c r="P7" s="48">
        <f>SUMIFS([2]تیر!$AR$4:$AR$650,[2]تیر!$C$4:$C$650,"قالب تعمیری",[2]تیر!$B$4:$B$650,B7)</f>
        <v>14625000</v>
      </c>
    </row>
    <row r="8" spans="1:16" ht="43.5" customHeight="1" x14ac:dyDescent="0.25">
      <c r="A8" s="50"/>
      <c r="B8" s="46"/>
      <c r="C8" s="43"/>
      <c r="D8" s="41"/>
      <c r="E8" s="41"/>
      <c r="F8" s="41"/>
      <c r="G8" s="41"/>
      <c r="H8" s="41"/>
      <c r="I8" s="41"/>
      <c r="J8" s="41"/>
      <c r="K8" s="41"/>
      <c r="L8" s="54"/>
      <c r="M8" s="41"/>
      <c r="N8" s="43"/>
      <c r="O8" s="47"/>
      <c r="P8" s="48"/>
    </row>
    <row r="9" spans="1:16" ht="43.5" customHeight="1" x14ac:dyDescent="0.25">
      <c r="A9" s="49">
        <v>3</v>
      </c>
      <c r="B9" s="45" t="s">
        <v>211</v>
      </c>
      <c r="C9" s="42" t="s">
        <v>19</v>
      </c>
      <c r="D9" s="40"/>
      <c r="E9" s="40"/>
      <c r="F9" s="40" t="s">
        <v>213</v>
      </c>
      <c r="G9" s="40"/>
      <c r="H9" s="40" t="s">
        <v>207</v>
      </c>
      <c r="I9" s="40" t="s">
        <v>209</v>
      </c>
      <c r="J9" s="40" t="s">
        <v>30</v>
      </c>
      <c r="K9" s="40" t="s">
        <v>215</v>
      </c>
      <c r="L9" s="53">
        <f>SUMIFS([2]تیر!$AF$4:$AF$690,[2]تیر!$C$4:$C$690,"قالب تعمیری",[2]تیر!$B$4:$B$690,B9,[2]تیر!$H$4:$H$690,F9)</f>
        <v>28.166666666666668</v>
      </c>
      <c r="M9" s="40" t="s">
        <v>212</v>
      </c>
      <c r="N9" s="42" t="s">
        <v>214</v>
      </c>
      <c r="O9" s="47"/>
      <c r="P9" s="48">
        <f>SUMIFS([2]تیر!$AR$4:$AR$650,[2]تیر!$C$4:$C$650,"قالب تعمیری",[2]تیر!$B$4:$B$650,B9)</f>
        <v>24875000</v>
      </c>
    </row>
    <row r="10" spans="1:16" ht="43.5" customHeight="1" x14ac:dyDescent="0.25">
      <c r="A10" s="50"/>
      <c r="B10" s="46"/>
      <c r="C10" s="43"/>
      <c r="D10" s="41"/>
      <c r="E10" s="41"/>
      <c r="F10" s="41"/>
      <c r="G10" s="41"/>
      <c r="H10" s="41"/>
      <c r="I10" s="41"/>
      <c r="J10" s="41"/>
      <c r="K10" s="41"/>
      <c r="L10" s="54"/>
      <c r="M10" s="41"/>
      <c r="N10" s="43"/>
      <c r="O10" s="47"/>
      <c r="P10" s="48"/>
    </row>
    <row r="11" spans="1:16" ht="43.5" customHeight="1" x14ac:dyDescent="0.25">
      <c r="A11" s="49">
        <v>4</v>
      </c>
      <c r="B11" s="45" t="s">
        <v>216</v>
      </c>
      <c r="C11" s="42" t="s">
        <v>18</v>
      </c>
      <c r="D11" s="40"/>
      <c r="E11" s="40"/>
      <c r="F11" s="40">
        <v>1</v>
      </c>
      <c r="G11" s="40"/>
      <c r="H11" s="51" t="s">
        <v>206</v>
      </c>
      <c r="I11" s="40" t="s">
        <v>209</v>
      </c>
      <c r="J11" s="40" t="s">
        <v>30</v>
      </c>
      <c r="K11" s="40" t="s">
        <v>218</v>
      </c>
      <c r="L11" s="53">
        <f>SUMIFS([2]تیر!$AF$4:$AF$690,[2]تیر!$C$4:$C$690,"قالب تعمیری",[2]تیر!$B$4:$B$690,B11,[2]تیر!$H$4:$H$690,F11)</f>
        <v>18.5</v>
      </c>
      <c r="M11" s="40"/>
      <c r="N11" s="42" t="s">
        <v>217</v>
      </c>
      <c r="O11" s="47"/>
      <c r="P11" s="48">
        <f>SUMIFS([2]تیر!$AR$4:$AR$650,[2]تیر!$C$4:$C$650,"قالب تعمیری",[2]تیر!$B$4:$B$650,B11)</f>
        <v>13875000</v>
      </c>
    </row>
    <row r="12" spans="1:16" ht="43.5" customHeight="1" x14ac:dyDescent="0.25">
      <c r="A12" s="50"/>
      <c r="B12" s="46"/>
      <c r="C12" s="43"/>
      <c r="D12" s="41"/>
      <c r="E12" s="41"/>
      <c r="F12" s="41"/>
      <c r="G12" s="41"/>
      <c r="H12" s="52"/>
      <c r="I12" s="41"/>
      <c r="J12" s="41"/>
      <c r="K12" s="41"/>
      <c r="L12" s="54"/>
      <c r="M12" s="41"/>
      <c r="N12" s="43"/>
      <c r="O12" s="47"/>
      <c r="P12" s="48"/>
    </row>
    <row r="13" spans="1:16" ht="43.5" customHeight="1" x14ac:dyDescent="0.25">
      <c r="A13" s="49">
        <v>5</v>
      </c>
      <c r="B13" s="45" t="s">
        <v>219</v>
      </c>
      <c r="C13" s="42" t="s">
        <v>23</v>
      </c>
      <c r="D13" s="40"/>
      <c r="E13" s="40"/>
      <c r="F13" s="40">
        <v>1</v>
      </c>
      <c r="G13" s="40"/>
      <c r="H13" s="51" t="s">
        <v>220</v>
      </c>
      <c r="I13" s="51" t="s">
        <v>220</v>
      </c>
      <c r="J13" s="40" t="s">
        <v>23</v>
      </c>
      <c r="K13" s="40" t="s">
        <v>221</v>
      </c>
      <c r="L13" s="53">
        <f>SUMIFS([2]تیر!$AF$4:$AF$690,[2]تیر!$C$4:$C$690,"قالب تعمیری",[2]تیر!$B$4:$B$690,B13,[2]تیر!$H$4:$H$690,F13)</f>
        <v>5.5</v>
      </c>
      <c r="M13" s="40">
        <v>1714</v>
      </c>
      <c r="N13" s="42" t="s">
        <v>222</v>
      </c>
      <c r="O13" s="47"/>
      <c r="P13" s="48">
        <f>SUMIFS([2]تیر!$AR$4:$AR$650,[2]تیر!$C$4:$C$650,"قالب تعمیری",[2]تیر!$B$4:$B$650,B13)</f>
        <v>4125000</v>
      </c>
    </row>
    <row r="14" spans="1:16" ht="43.5" customHeight="1" x14ac:dyDescent="0.25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43.5" customHeight="1" x14ac:dyDescent="0.25">
      <c r="A15" s="49">
        <v>6</v>
      </c>
      <c r="B15" s="45" t="s">
        <v>223</v>
      </c>
      <c r="C15" s="42" t="s">
        <v>19</v>
      </c>
      <c r="D15" s="40"/>
      <c r="E15" s="40"/>
      <c r="F15" s="40">
        <v>1</v>
      </c>
      <c r="G15" s="40"/>
      <c r="H15" s="51" t="s">
        <v>206</v>
      </c>
      <c r="I15" s="40" t="s">
        <v>207</v>
      </c>
      <c r="J15" s="40" t="s">
        <v>30</v>
      </c>
      <c r="K15" s="40" t="s">
        <v>96</v>
      </c>
      <c r="L15" s="53">
        <f>SUMIFS([2]تیر!$AF$4:$AF$690,[2]تیر!$C$4:$C$690,"قالب تعمیری",[2]تیر!$B$4:$B$690,B15,[2]تیر!$H$4:$H$690,F15)</f>
        <v>8</v>
      </c>
      <c r="M15" s="40"/>
      <c r="N15" s="42" t="s">
        <v>141</v>
      </c>
      <c r="O15" s="47"/>
      <c r="P15" s="48">
        <f>SUMIFS([2]تیر!$AR$4:$AR$650,[2]تیر!$C$4:$C$650,"قالب تعمیری",[2]تیر!$B$4:$B$650,B15)</f>
        <v>6000000</v>
      </c>
    </row>
    <row r="16" spans="1:16" ht="43.5" customHeight="1" x14ac:dyDescent="0.25">
      <c r="A16" s="50"/>
      <c r="B16" s="46"/>
      <c r="C16" s="43"/>
      <c r="D16" s="41"/>
      <c r="E16" s="41"/>
      <c r="F16" s="41"/>
      <c r="G16" s="41"/>
      <c r="H16" s="52"/>
      <c r="I16" s="41"/>
      <c r="J16" s="41"/>
      <c r="K16" s="41"/>
      <c r="L16" s="54"/>
      <c r="M16" s="41"/>
      <c r="N16" s="43"/>
      <c r="O16" s="47"/>
      <c r="P16" s="48"/>
    </row>
    <row r="17" spans="1:16" ht="43.5" customHeight="1" x14ac:dyDescent="0.25">
      <c r="A17" s="49">
        <v>7</v>
      </c>
      <c r="B17" s="45" t="s">
        <v>28</v>
      </c>
      <c r="C17" s="42" t="s">
        <v>19</v>
      </c>
      <c r="D17" s="40"/>
      <c r="E17" s="40"/>
      <c r="F17" s="40" t="s">
        <v>224</v>
      </c>
      <c r="G17" s="40"/>
      <c r="H17" s="51" t="s">
        <v>173</v>
      </c>
      <c r="I17" s="51" t="s">
        <v>225</v>
      </c>
      <c r="J17" s="40" t="s">
        <v>30</v>
      </c>
      <c r="K17" s="40" t="s">
        <v>203</v>
      </c>
      <c r="L17" s="53">
        <f>SUMIFS([2]تیر!$AF$4:$AF$690,[2]تیر!$C$4:$C$690,"قالب تعمیری",[2]تیر!$B$4:$B$690,B17,[2]تیر!$H$4:$H$690,F17)+340</f>
        <v>340</v>
      </c>
      <c r="M17" s="40">
        <v>692</v>
      </c>
      <c r="N17" s="42" t="s">
        <v>177</v>
      </c>
      <c r="O17" s="47">
        <v>17050000</v>
      </c>
      <c r="P17" s="48">
        <f>SUMIFS([2]تیر!$AR$4:$AR$650,[2]تیر!$C$4:$C$650,"قالب تعمیری",[2]تیر!$B$4:$B$650,B17)+383250000</f>
        <v>383250000</v>
      </c>
    </row>
    <row r="18" spans="1:16" ht="43.5" customHeight="1" x14ac:dyDescent="0.25">
      <c r="A18" s="50"/>
      <c r="B18" s="46"/>
      <c r="C18" s="43"/>
      <c r="D18" s="41"/>
      <c r="E18" s="41"/>
      <c r="F18" s="41"/>
      <c r="G18" s="41"/>
      <c r="H18" s="52"/>
      <c r="I18" s="52"/>
      <c r="J18" s="41"/>
      <c r="K18" s="41"/>
      <c r="L18" s="54"/>
      <c r="M18" s="41"/>
      <c r="N18" s="43"/>
      <c r="O18" s="47"/>
      <c r="P18" s="48"/>
    </row>
    <row r="19" spans="1:16" ht="43.5" customHeight="1" x14ac:dyDescent="0.25">
      <c r="A19" s="49">
        <v>8</v>
      </c>
      <c r="B19" s="45" t="s">
        <v>192</v>
      </c>
      <c r="C19" s="42" t="s">
        <v>19</v>
      </c>
      <c r="D19" s="40"/>
      <c r="E19" s="40"/>
      <c r="F19" s="40"/>
      <c r="G19" s="40"/>
      <c r="H19" s="51" t="s">
        <v>173</v>
      </c>
      <c r="I19" s="51" t="s">
        <v>209</v>
      </c>
      <c r="J19" s="40" t="s">
        <v>30</v>
      </c>
      <c r="K19" s="40" t="s">
        <v>203</v>
      </c>
      <c r="L19" s="53">
        <f>SUMIFS([2]تیر!$AF$4:$AF$690,[2]تیر!$C$4:$C$690,"قالب تعمیری",[2]تیر!$B$4:$B$690,B19,[2]تیر!$H$4:$H$690,F19)+310</f>
        <v>310</v>
      </c>
      <c r="M19" s="40"/>
      <c r="N19" s="42" t="s">
        <v>177</v>
      </c>
      <c r="O19" s="47">
        <v>17050000</v>
      </c>
      <c r="P19" s="48">
        <f>SUMIFS([2]تیر!$AR$4:$AR$650,[2]تیر!$C$4:$C$650,"قالب تعمیری",[2]تیر!$B$4:$B$650,B19)+175000170</f>
        <v>461375170</v>
      </c>
    </row>
    <row r="20" spans="1:16" ht="43.5" customHeight="1" thickBot="1" x14ac:dyDescent="0.3">
      <c r="A20" s="50"/>
      <c r="B20" s="46"/>
      <c r="C20" s="43"/>
      <c r="D20" s="41"/>
      <c r="E20" s="41"/>
      <c r="F20" s="41"/>
      <c r="G20" s="41"/>
      <c r="H20" s="52"/>
      <c r="I20" s="52"/>
      <c r="J20" s="41"/>
      <c r="K20" s="41"/>
      <c r="L20" s="54"/>
      <c r="M20" s="41"/>
      <c r="N20" s="43"/>
      <c r="O20" s="47"/>
      <c r="P20" s="48"/>
    </row>
    <row r="21" spans="1:16" ht="53.25" customHeight="1" thickBot="1" x14ac:dyDescent="0.3">
      <c r="A21" s="5"/>
      <c r="B21" s="56" t="s">
        <v>17</v>
      </c>
      <c r="C21" s="56"/>
      <c r="D21" s="56"/>
      <c r="E21" s="6"/>
      <c r="F21" s="6"/>
      <c r="G21" s="6"/>
      <c r="H21" s="6"/>
      <c r="I21" s="6"/>
      <c r="J21" s="6"/>
      <c r="K21" s="6"/>
      <c r="L21" s="7">
        <f>SUM(L5:L20)</f>
        <v>751.16666666666674</v>
      </c>
      <c r="M21" s="6"/>
      <c r="N21" s="6"/>
      <c r="O21" s="8">
        <f>SUM(O5:O20)</f>
        <v>34100000</v>
      </c>
      <c r="P21" s="9">
        <f>SUM(P5:P20)</f>
        <v>924250170</v>
      </c>
    </row>
  </sheetData>
  <mergeCells count="145"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A19:A20"/>
    <mergeCell ref="B19:B20"/>
    <mergeCell ref="C19:C20"/>
    <mergeCell ref="D19:D20"/>
    <mergeCell ref="E19:E20"/>
    <mergeCell ref="F19:F20"/>
    <mergeCell ref="G9:G10"/>
    <mergeCell ref="H9:H10"/>
    <mergeCell ref="I9:I10"/>
    <mergeCell ref="D13:D14"/>
    <mergeCell ref="E13:E14"/>
    <mergeCell ref="F11:F12"/>
    <mergeCell ref="G11:G12"/>
    <mergeCell ref="H11:H12"/>
    <mergeCell ref="I11:I12"/>
    <mergeCell ref="A17:A18"/>
    <mergeCell ref="B17:B18"/>
    <mergeCell ref="C17:C18"/>
    <mergeCell ref="D17:D18"/>
    <mergeCell ref="E17:E18"/>
    <mergeCell ref="G15:G16"/>
    <mergeCell ref="H15:H16"/>
    <mergeCell ref="I15:I16"/>
    <mergeCell ref="M19:M20"/>
    <mergeCell ref="N19:N20"/>
    <mergeCell ref="O19:O20"/>
    <mergeCell ref="P19:P20"/>
    <mergeCell ref="B21:D21"/>
    <mergeCell ref="A11:A12"/>
    <mergeCell ref="B11:B12"/>
    <mergeCell ref="C11:C12"/>
    <mergeCell ref="D11:D12"/>
    <mergeCell ref="E11:E12"/>
    <mergeCell ref="G19:G20"/>
    <mergeCell ref="H19:H20"/>
    <mergeCell ref="I19:I20"/>
    <mergeCell ref="J19:J20"/>
    <mergeCell ref="K19:K20"/>
    <mergeCell ref="L19:L20"/>
    <mergeCell ref="L11:L12"/>
    <mergeCell ref="M11:M12"/>
    <mergeCell ref="N11:N12"/>
    <mergeCell ref="O11:O12"/>
    <mergeCell ref="P11:P12"/>
    <mergeCell ref="A13:A14"/>
    <mergeCell ref="B13:B14"/>
    <mergeCell ref="C13:C14"/>
    <mergeCell ref="J11:J12"/>
    <mergeCell ref="K11:K12"/>
    <mergeCell ref="L13:L14"/>
    <mergeCell ref="M13:M14"/>
    <mergeCell ref="N13:N14"/>
    <mergeCell ref="O13:O14"/>
    <mergeCell ref="P13:P14"/>
    <mergeCell ref="A15:A16"/>
    <mergeCell ref="B15:B16"/>
    <mergeCell ref="C15:C16"/>
    <mergeCell ref="D15:D16"/>
    <mergeCell ref="E15:E16"/>
    <mergeCell ref="F13:F14"/>
    <mergeCell ref="G13:G14"/>
    <mergeCell ref="H13:H14"/>
    <mergeCell ref="I13:I14"/>
    <mergeCell ref="J13:J14"/>
    <mergeCell ref="K13:K14"/>
    <mergeCell ref="L15:L16"/>
    <mergeCell ref="M15:M16"/>
    <mergeCell ref="N15:N16"/>
    <mergeCell ref="O15:O16"/>
    <mergeCell ref="P15:P16"/>
    <mergeCell ref="F15:F16"/>
    <mergeCell ref="J15:J16"/>
    <mergeCell ref="K15:K16"/>
    <mergeCell ref="L17:L18"/>
    <mergeCell ref="M17:M18"/>
    <mergeCell ref="N17:N18"/>
    <mergeCell ref="O17:O18"/>
    <mergeCell ref="P17:P18"/>
    <mergeCell ref="F17:F18"/>
    <mergeCell ref="G17:G18"/>
    <mergeCell ref="H17:H18"/>
    <mergeCell ref="I17:I18"/>
    <mergeCell ref="J17:J18"/>
    <mergeCell ref="K17:K18"/>
  </mergeCells>
  <phoneticPr fontId="14" type="noConversion"/>
  <printOptions horizontalCentered="1" verticalCentered="1"/>
  <pageMargins left="0" right="0" top="0" bottom="0" header="0" footer="0"/>
  <pageSetup scale="87" fitToHeight="0" orientation="landscape" r:id="rId1"/>
  <ignoredErrors>
    <ignoredError sqref="L1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C3C6-FAF6-4C3E-993F-D8FE50E7A6C2}">
  <sheetPr>
    <pageSetUpPr fitToPage="1"/>
  </sheetPr>
  <dimension ref="A1:P17"/>
  <sheetViews>
    <sheetView rightToLeft="1" view="pageLayout" topLeftCell="A13" zoomScale="85" zoomScaleNormal="100" zoomScalePageLayoutView="85" workbookViewId="0">
      <selection activeCell="B7" sqref="B7:B8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16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0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0.5" customHeight="1" x14ac:dyDescent="0.25">
      <c r="A5" s="44">
        <v>1</v>
      </c>
      <c r="B5" s="65" t="s">
        <v>226</v>
      </c>
      <c r="C5" s="42" t="s">
        <v>18</v>
      </c>
      <c r="D5" s="40"/>
      <c r="E5" s="40"/>
      <c r="F5" s="67"/>
      <c r="G5" s="40"/>
      <c r="H5" s="51" t="s">
        <v>230</v>
      </c>
      <c r="I5" s="40" t="s">
        <v>231</v>
      </c>
      <c r="J5" s="40" t="s">
        <v>30</v>
      </c>
      <c r="K5" s="40" t="s">
        <v>232</v>
      </c>
      <c r="L5" s="53">
        <f>SUMIFS([2]تیر!$AF$4:$AF$690,[2]تیر!$C$4:$C$690,"قالب تعمیری",[2]تیر!$B$4:$B$690,B5,[2]تیر!$H$4:$H$690,F5)+486</f>
        <v>486</v>
      </c>
      <c r="M5" s="63">
        <v>771</v>
      </c>
      <c r="N5" s="42" t="s">
        <v>229</v>
      </c>
      <c r="O5" s="47">
        <f>5200000+5200000+6500000</f>
        <v>16900000</v>
      </c>
      <c r="P5" s="48">
        <f>SUMIFS([2]تیر!$AR$4:$AR$650,[2]تیر!$C$4:$C$650,"قالب تعمیری",[2]تیر!$B$4:$B$650,B5)+49520000</f>
        <v>119770000</v>
      </c>
    </row>
    <row r="6" spans="1:16" ht="40.5" customHeight="1" x14ac:dyDescent="0.25">
      <c r="A6" s="44"/>
      <c r="B6" s="66"/>
      <c r="C6" s="43"/>
      <c r="D6" s="41"/>
      <c r="E6" s="41"/>
      <c r="F6" s="68"/>
      <c r="G6" s="41"/>
      <c r="H6" s="52"/>
      <c r="I6" s="41"/>
      <c r="J6" s="41"/>
      <c r="K6" s="41"/>
      <c r="L6" s="54"/>
      <c r="M6" s="41"/>
      <c r="N6" s="43"/>
      <c r="O6" s="47"/>
      <c r="P6" s="48"/>
    </row>
    <row r="7" spans="1:16" ht="40.5" customHeight="1" x14ac:dyDescent="0.25">
      <c r="A7" s="49">
        <v>2</v>
      </c>
      <c r="B7" s="45" t="s">
        <v>192</v>
      </c>
      <c r="C7" s="42" t="s">
        <v>19</v>
      </c>
      <c r="D7" s="40"/>
      <c r="E7" s="40"/>
      <c r="F7" s="67" t="s">
        <v>228</v>
      </c>
      <c r="G7" s="40"/>
      <c r="H7" s="51" t="s">
        <v>173</v>
      </c>
      <c r="I7" s="51" t="s">
        <v>235</v>
      </c>
      <c r="J7" s="40" t="s">
        <v>30</v>
      </c>
      <c r="K7" s="40" t="s">
        <v>203</v>
      </c>
      <c r="L7" s="53">
        <f>SUMIFS([2]تیر!$AF$4:$AF$690,[2]تیر!$C$4:$C$690,"قالب تعمیری",[2]تیر!$B$4:$B$690,B7,[2]تیر!$H$4:$H$690,"*")+180</f>
        <v>350.83333333333337</v>
      </c>
      <c r="M7" s="40">
        <v>734</v>
      </c>
      <c r="N7" s="42"/>
      <c r="O7" s="47">
        <v>17050000</v>
      </c>
      <c r="P7" s="48">
        <f>SUMIFS([2]تیر!$AR$4:$AR$650,[2]تیر!$C$4:$C$650,"قالب تعمیری",[2]تیر!$B$4:$B$650,B7)</f>
        <v>286375000</v>
      </c>
    </row>
    <row r="8" spans="1:16" ht="40.5" customHeight="1" x14ac:dyDescent="0.25">
      <c r="A8" s="50"/>
      <c r="B8" s="46"/>
      <c r="C8" s="43"/>
      <c r="D8" s="41"/>
      <c r="E8" s="41"/>
      <c r="F8" s="68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40.5" customHeight="1" x14ac:dyDescent="0.25">
      <c r="A9" s="49">
        <v>3</v>
      </c>
      <c r="B9" s="45" t="s">
        <v>227</v>
      </c>
      <c r="C9" s="42" t="s">
        <v>19</v>
      </c>
      <c r="D9" s="40"/>
      <c r="E9" s="40"/>
      <c r="F9" s="40" t="s">
        <v>234</v>
      </c>
      <c r="G9" s="40"/>
      <c r="H9" s="51" t="s">
        <v>173</v>
      </c>
      <c r="I9" s="51" t="s">
        <v>231</v>
      </c>
      <c r="J9" s="40" t="s">
        <v>30</v>
      </c>
      <c r="K9" s="40" t="s">
        <v>203</v>
      </c>
      <c r="L9" s="53">
        <f>SUMIFS([2]تیر!$AF$4:$AF$690,[2]تیر!$C$4:$C$690,"قالب تعمیری",[2]تیر!$B$4:$B$690,B9,[2]تیر!$H$4:$H$690,F9)+340</f>
        <v>340</v>
      </c>
      <c r="M9" s="40"/>
      <c r="N9" s="42"/>
      <c r="O9" s="47">
        <v>17050000</v>
      </c>
      <c r="P9" s="48">
        <f>SUMIFS([2]تیر!$AR$4:$AR$650,[2]تیر!$C$4:$C$650,"قالب تعمیری",[2]تیر!$B$4:$B$650,B9)+383000000</f>
        <v>383000000</v>
      </c>
    </row>
    <row r="10" spans="1:16" ht="40.5" customHeight="1" x14ac:dyDescent="0.25">
      <c r="A10" s="50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40.5" customHeight="1" x14ac:dyDescent="0.25">
      <c r="A11" s="49">
        <v>4</v>
      </c>
      <c r="B11" s="45" t="s">
        <v>236</v>
      </c>
      <c r="C11" s="42" t="s">
        <v>19</v>
      </c>
      <c r="D11" s="40"/>
      <c r="E11" s="40"/>
      <c r="F11" s="40"/>
      <c r="G11" s="40"/>
      <c r="H11" s="51" t="s">
        <v>237</v>
      </c>
      <c r="I11" s="51" t="s">
        <v>233</v>
      </c>
      <c r="J11" s="40" t="s">
        <v>30</v>
      </c>
      <c r="K11" s="40" t="s">
        <v>96</v>
      </c>
      <c r="L11" s="53">
        <f>SUMIFS([2]تیر!$AF$4:$AF$690,[2]تیر!$C$4:$C$690,"قالب تعمیری",[2]تیر!$B$4:$B$690,B11,[2]تیر!$H$4:$H$690,F11)+20</f>
        <v>20</v>
      </c>
      <c r="M11" s="40">
        <v>412</v>
      </c>
      <c r="N11" s="42" t="s">
        <v>25</v>
      </c>
      <c r="O11" s="47"/>
      <c r="P11" s="48">
        <f>SUMIFS([2]تیر!$AR$4:$AR$650,[2]تیر!$C$4:$C$650,"قالب تعمیری",[2]تیر!$B$4:$B$650,B11)</f>
        <v>18750000</v>
      </c>
    </row>
    <row r="12" spans="1:16" ht="40.5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1"/>
      <c r="N12" s="43"/>
      <c r="O12" s="47"/>
      <c r="P12" s="48"/>
    </row>
    <row r="13" spans="1:16" ht="40.5" customHeight="1" x14ac:dyDescent="0.25">
      <c r="A13" s="49">
        <v>5</v>
      </c>
      <c r="B13" s="45" t="s">
        <v>238</v>
      </c>
      <c r="C13" s="42" t="s">
        <v>23</v>
      </c>
      <c r="D13" s="40" t="s">
        <v>22</v>
      </c>
      <c r="E13" s="40"/>
      <c r="F13" s="40">
        <v>1</v>
      </c>
      <c r="G13" s="40"/>
      <c r="H13" s="51" t="s">
        <v>208</v>
      </c>
      <c r="I13" s="51" t="s">
        <v>235</v>
      </c>
      <c r="J13" s="40" t="s">
        <v>23</v>
      </c>
      <c r="K13" s="40"/>
      <c r="L13" s="53">
        <v>5</v>
      </c>
      <c r="M13" s="40">
        <v>1715</v>
      </c>
      <c r="N13" s="42" t="s">
        <v>24</v>
      </c>
      <c r="O13" s="47"/>
      <c r="P13" s="48">
        <f>SUMIFS([2]تیر!$AR$4:$AR$650,[2]تیر!$C$4:$C$650,"قالب تعمیری",[2]تیر!$B$4:$B$650,B13)+(5*750000)</f>
        <v>3750000</v>
      </c>
    </row>
    <row r="14" spans="1:16" ht="40.5" customHeight="1" x14ac:dyDescent="0.25">
      <c r="A14" s="50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40.5" customHeight="1" x14ac:dyDescent="0.25">
      <c r="A15" s="49">
        <v>6</v>
      </c>
      <c r="B15" s="45" t="s">
        <v>239</v>
      </c>
      <c r="C15" s="42" t="s">
        <v>23</v>
      </c>
      <c r="D15" s="40" t="s">
        <v>22</v>
      </c>
      <c r="E15" s="40"/>
      <c r="F15" s="40">
        <v>1</v>
      </c>
      <c r="G15" s="40"/>
      <c r="H15" s="51" t="s">
        <v>240</v>
      </c>
      <c r="I15" s="40" t="s">
        <v>241</v>
      </c>
      <c r="J15" s="40" t="s">
        <v>23</v>
      </c>
      <c r="K15" s="40"/>
      <c r="L15" s="53">
        <f>SUMIFS([2]تیر!$AF$4:$AF$690,[2]تیر!$C$4:$C$690,"قالب تعمیری",[2]تیر!$B$4:$B$690,B15,[2]تیر!$H$4:$H$690,F15)+5</f>
        <v>5</v>
      </c>
      <c r="M15" s="40">
        <v>1417</v>
      </c>
      <c r="N15" s="42" t="s">
        <v>24</v>
      </c>
      <c r="O15" s="47"/>
      <c r="P15" s="48">
        <f>SUMIFS([2]تیر!$AR$4:$AR$650,[2]تیر!$C$4:$C$650,"قالب تعمیری",[2]تیر!$B$4:$B$650,B15)+(5*750000)</f>
        <v>3750000</v>
      </c>
    </row>
    <row r="16" spans="1:16" ht="40.5" customHeight="1" thickBot="1" x14ac:dyDescent="0.3">
      <c r="A16" s="50"/>
      <c r="B16" s="46"/>
      <c r="C16" s="43"/>
      <c r="D16" s="41"/>
      <c r="E16" s="41"/>
      <c r="F16" s="41"/>
      <c r="G16" s="41"/>
      <c r="H16" s="52"/>
      <c r="I16" s="41"/>
      <c r="J16" s="41"/>
      <c r="K16" s="41"/>
      <c r="L16" s="54"/>
      <c r="M16" s="41"/>
      <c r="N16" s="43"/>
      <c r="O16" s="47"/>
      <c r="P16" s="48"/>
    </row>
    <row r="17" spans="1:16" ht="53.25" customHeight="1" thickBot="1" x14ac:dyDescent="0.3">
      <c r="A17" s="5"/>
      <c r="B17" s="56" t="s">
        <v>17</v>
      </c>
      <c r="C17" s="56"/>
      <c r="D17" s="56"/>
      <c r="E17" s="6"/>
      <c r="F17" s="6"/>
      <c r="G17" s="6"/>
      <c r="H17" s="6"/>
      <c r="I17" s="6"/>
      <c r="J17" s="6"/>
      <c r="K17" s="6"/>
      <c r="L17" s="7">
        <f>SUM(L5:L16)</f>
        <v>1206.8333333333335</v>
      </c>
      <c r="M17" s="6"/>
      <c r="N17" s="6"/>
      <c r="O17" s="8">
        <f>SUM(O5:O16)</f>
        <v>51000000</v>
      </c>
      <c r="P17" s="9">
        <f>SUM(P5:P16)</f>
        <v>815395000</v>
      </c>
    </row>
  </sheetData>
  <mergeCells count="113">
    <mergeCell ref="B17:D17"/>
    <mergeCell ref="M15:M16"/>
    <mergeCell ref="N15:N16"/>
    <mergeCell ref="O15:O16"/>
    <mergeCell ref="P15:P16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G13:G14"/>
    <mergeCell ref="H13:H14"/>
    <mergeCell ref="I13:I14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M13:M14"/>
    <mergeCell ref="N13:N14"/>
    <mergeCell ref="O13:O14"/>
    <mergeCell ref="P13:P14"/>
    <mergeCell ref="J13:J14"/>
    <mergeCell ref="K13:K14"/>
    <mergeCell ref="L13:L14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O7:O8"/>
    <mergeCell ref="M11:M12"/>
    <mergeCell ref="N11:N12"/>
    <mergeCell ref="O11:O12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7" fitToHeight="0" orientation="landscape" r:id="rId1"/>
  <ignoredErrors>
    <ignoredError sqref="P9 P13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68C1-9001-48EE-A9CD-BDC2505A24E9}">
  <sheetPr>
    <pageSetUpPr fitToPage="1"/>
  </sheetPr>
  <dimension ref="A1:P19"/>
  <sheetViews>
    <sheetView rightToLeft="1" view="pageLayout" topLeftCell="A15" zoomScale="85" zoomScaleNormal="100" zoomScalePageLayoutView="85" workbookViewId="0">
      <selection activeCell="B20" sqref="B20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17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1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40.5" customHeight="1" x14ac:dyDescent="0.25">
      <c r="A5" s="44">
        <v>1</v>
      </c>
      <c r="B5" s="45" t="s">
        <v>175</v>
      </c>
      <c r="C5" s="42" t="s">
        <v>19</v>
      </c>
      <c r="D5" s="40"/>
      <c r="E5" s="40"/>
      <c r="F5" s="40" t="s">
        <v>242</v>
      </c>
      <c r="G5" s="40"/>
      <c r="H5" s="51" t="s">
        <v>173</v>
      </c>
      <c r="I5" s="51" t="s">
        <v>243</v>
      </c>
      <c r="J5" s="40" t="s">
        <v>30</v>
      </c>
      <c r="K5" s="40" t="s">
        <v>203</v>
      </c>
      <c r="L5" s="53">
        <f>SUMIFS([2]تیر!$AF$4:$AF$690,[2]تیر!$C$4:$C$690,"قالب تعمیری",[2]تیر!$B$4:$B$690,B5,[2]تیر!$H$4:$H$690,"*")+104</f>
        <v>221</v>
      </c>
      <c r="M5" s="63"/>
      <c r="N5" s="42" t="s">
        <v>177</v>
      </c>
      <c r="O5" s="47">
        <v>17050000</v>
      </c>
      <c r="P5" s="48">
        <f>SUMIFS([2]تیر!$AR$4:$AR$650,[2]تیر!$C$4:$C$650,"قالب تعمیری",[2]تیر!$B$4:$B$650,B5)</f>
        <v>390250000</v>
      </c>
    </row>
    <row r="6" spans="1:16" ht="40.5" customHeight="1" x14ac:dyDescent="0.25">
      <c r="A6" s="44"/>
      <c r="B6" s="46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40.5" customHeight="1" x14ac:dyDescent="0.25">
      <c r="A7" s="49">
        <v>2</v>
      </c>
      <c r="B7" s="45" t="s">
        <v>192</v>
      </c>
      <c r="C7" s="42" t="s">
        <v>19</v>
      </c>
      <c r="D7" s="40"/>
      <c r="E7" s="40"/>
      <c r="F7" s="67" t="s">
        <v>244</v>
      </c>
      <c r="G7" s="40"/>
      <c r="H7" s="51" t="s">
        <v>173</v>
      </c>
      <c r="I7" s="51" t="s">
        <v>245</v>
      </c>
      <c r="J7" s="40" t="s">
        <v>30</v>
      </c>
      <c r="K7" s="40" t="s">
        <v>203</v>
      </c>
      <c r="L7" s="53">
        <f>SUMIFS([2]تیر!$AF$4:$AF$690,[2]تیر!$C$4:$C$690,"قالب تعمیری",[2]تیر!$B$4:$B$690,B7,[2]تیر!$H$4:$H$690,"*")+79</f>
        <v>249.83333333333337</v>
      </c>
      <c r="M7" s="40">
        <v>679</v>
      </c>
      <c r="N7" s="42" t="s">
        <v>177</v>
      </c>
      <c r="O7" s="47">
        <v>17050000</v>
      </c>
      <c r="P7" s="48">
        <f>SUMIFS([2]تیر!$AR$4:$AR$650,[2]تیر!$C$4:$C$650,"قالب تعمیری",[2]تیر!$B$4:$B$650,B7)</f>
        <v>286375000</v>
      </c>
    </row>
    <row r="8" spans="1:16" ht="40.5" customHeight="1" x14ac:dyDescent="0.25">
      <c r="A8" s="50"/>
      <c r="B8" s="46"/>
      <c r="C8" s="43"/>
      <c r="D8" s="41"/>
      <c r="E8" s="41"/>
      <c r="F8" s="68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40.5" customHeight="1" x14ac:dyDescent="0.25">
      <c r="A9" s="44">
        <v>3</v>
      </c>
      <c r="B9" s="45" t="s">
        <v>194</v>
      </c>
      <c r="C9" s="42" t="s">
        <v>19</v>
      </c>
      <c r="D9" s="40"/>
      <c r="E9" s="40"/>
      <c r="F9" s="40" t="s">
        <v>195</v>
      </c>
      <c r="G9" s="40"/>
      <c r="H9" s="51" t="s">
        <v>245</v>
      </c>
      <c r="I9" s="51" t="s">
        <v>248</v>
      </c>
      <c r="J9" s="40" t="s">
        <v>30</v>
      </c>
      <c r="K9" s="40" t="s">
        <v>246</v>
      </c>
      <c r="L9" s="53">
        <f>SUMIFS([2]تیر!$AF$4:$AF$690,[2]تیر!$C$4:$C$690,"قالب تعمیری",[2]تیر!$B$4:$B$690,B9,[2]تیر!$H$4:$H$690,"*")</f>
        <v>16</v>
      </c>
      <c r="M9" s="40" t="s">
        <v>247</v>
      </c>
      <c r="N9" s="42" t="s">
        <v>255</v>
      </c>
      <c r="O9" s="47"/>
      <c r="P9" s="48">
        <f>SUMIFS([2]تیر!$AR$4:$AR$650,[2]تیر!$C$4:$C$650,"قالب تعمیری",[2]تیر!$B$4:$B$650,B9)</f>
        <v>9750000</v>
      </c>
    </row>
    <row r="10" spans="1:16" ht="40.5" customHeight="1" x14ac:dyDescent="0.25">
      <c r="A10" s="44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40.5" customHeight="1" x14ac:dyDescent="0.25">
      <c r="A11" s="49">
        <v>4</v>
      </c>
      <c r="B11" s="45" t="s">
        <v>147</v>
      </c>
      <c r="C11" s="42" t="s">
        <v>19</v>
      </c>
      <c r="D11" s="40"/>
      <c r="E11" s="40"/>
      <c r="F11" s="40" t="s">
        <v>204</v>
      </c>
      <c r="G11" s="40"/>
      <c r="H11" s="51" t="s">
        <v>245</v>
      </c>
      <c r="I11" s="51" t="s">
        <v>248</v>
      </c>
      <c r="J11" s="40" t="s">
        <v>30</v>
      </c>
      <c r="K11" s="40" t="s">
        <v>249</v>
      </c>
      <c r="L11" s="53">
        <f>SUMIFS([2]تیر!$AF$4:$AF$690,[2]تیر!$C$4:$C$690,"قالب تعمیری",[2]تیر!$B$4:$B$690,B11,[2]تیر!$H$4:$H$690,"*")</f>
        <v>21.5</v>
      </c>
      <c r="M11" s="42">
        <v>14811</v>
      </c>
      <c r="N11" s="42" t="s">
        <v>255</v>
      </c>
      <c r="O11" s="47"/>
      <c r="P11" s="48">
        <f>SUMIFS([2]تیر!$AR$4:$AR$650,[2]تیر!$C$4:$C$650,"قالب تعمیری",[2]تیر!$B$4:$B$650,B11)</f>
        <v>16125000</v>
      </c>
    </row>
    <row r="12" spans="1:16" ht="40.5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3"/>
      <c r="N12" s="43"/>
      <c r="O12" s="47"/>
      <c r="P12" s="48"/>
    </row>
    <row r="13" spans="1:16" ht="48.75" customHeight="1" x14ac:dyDescent="0.25">
      <c r="A13" s="44">
        <v>5</v>
      </c>
      <c r="B13" s="45" t="s">
        <v>211</v>
      </c>
      <c r="C13" s="42" t="s">
        <v>19</v>
      </c>
      <c r="D13" s="40"/>
      <c r="E13" s="40"/>
      <c r="F13" s="40" t="s">
        <v>213</v>
      </c>
      <c r="G13" s="40"/>
      <c r="H13" s="51" t="s">
        <v>248</v>
      </c>
      <c r="I13" s="51" t="s">
        <v>250</v>
      </c>
      <c r="J13" s="40" t="s">
        <v>30</v>
      </c>
      <c r="K13" s="40" t="s">
        <v>249</v>
      </c>
      <c r="L13" s="53">
        <f>SUMIFS([2]تیر!$AF$4:$AF$690,[2]تیر!$C$4:$C$690,"قالب تعمیری",[2]تیر!$B$4:$B$690,B13,[2]تیر!$H$4:$H$690,"*")</f>
        <v>28.166666666666668</v>
      </c>
      <c r="M13" s="40" t="s">
        <v>247</v>
      </c>
      <c r="N13" s="42" t="s">
        <v>255</v>
      </c>
      <c r="O13" s="47"/>
      <c r="P13" s="48">
        <f>SUMIFS([2]تیر!$AR$4:$AR$650,[2]تیر!$C$4:$C$650,"قالب تعمیری",[2]تیر!$B$4:$B$650,B13)</f>
        <v>24875000</v>
      </c>
    </row>
    <row r="14" spans="1:16" ht="48.75" customHeight="1" x14ac:dyDescent="0.25">
      <c r="A14" s="44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55"/>
      <c r="N14" s="43"/>
      <c r="O14" s="47"/>
      <c r="P14" s="48"/>
    </row>
    <row r="15" spans="1:16" ht="50.25" customHeight="1" x14ac:dyDescent="0.25">
      <c r="A15" s="49">
        <v>6</v>
      </c>
      <c r="B15" s="45" t="s">
        <v>251</v>
      </c>
      <c r="C15" s="42" t="s">
        <v>18</v>
      </c>
      <c r="D15" s="40"/>
      <c r="E15" s="40"/>
      <c r="F15" s="40" t="s">
        <v>252</v>
      </c>
      <c r="G15" s="40"/>
      <c r="H15" s="51" t="s">
        <v>245</v>
      </c>
      <c r="I15" s="51" t="s">
        <v>243</v>
      </c>
      <c r="J15" s="40" t="s">
        <v>30</v>
      </c>
      <c r="K15" s="40" t="s">
        <v>253</v>
      </c>
      <c r="L15" s="53">
        <f>SUMIFS([2]تیر!$AF$4:$AF$690,[2]تیر!$C$4:$C$690,"قالب تعمیری",[2]تیر!$B$4:$B$690,B15,[2]تیر!$H$4:$H$690,"*")</f>
        <v>33.5</v>
      </c>
      <c r="M15" s="40" t="s">
        <v>247</v>
      </c>
      <c r="N15" s="42" t="s">
        <v>254</v>
      </c>
      <c r="O15" s="47"/>
      <c r="P15" s="48">
        <f>SUMIFS([2]تیر!$AR$4:$AR$650,[2]تیر!$C$4:$C$650,"قالب تعمیری",[2]تیر!$B$4:$B$650,B15)</f>
        <v>25125000</v>
      </c>
    </row>
    <row r="16" spans="1:16" ht="50.25" customHeight="1" x14ac:dyDescent="0.25">
      <c r="A16" s="50"/>
      <c r="B16" s="46"/>
      <c r="C16" s="43"/>
      <c r="D16" s="41"/>
      <c r="E16" s="41"/>
      <c r="F16" s="41"/>
      <c r="G16" s="41"/>
      <c r="H16" s="52"/>
      <c r="I16" s="52"/>
      <c r="J16" s="41"/>
      <c r="K16" s="41"/>
      <c r="L16" s="54"/>
      <c r="M16" s="41"/>
      <c r="N16" s="43"/>
      <c r="O16" s="47"/>
      <c r="P16" s="48"/>
    </row>
    <row r="17" spans="1:16" ht="40.5" customHeight="1" x14ac:dyDescent="0.25">
      <c r="A17" s="44">
        <v>7</v>
      </c>
      <c r="B17" s="45" t="s">
        <v>256</v>
      </c>
      <c r="C17" s="42" t="s">
        <v>18</v>
      </c>
      <c r="D17" s="40" t="s">
        <v>22</v>
      </c>
      <c r="E17" s="40"/>
      <c r="F17" s="69"/>
      <c r="G17" s="40">
        <v>6003</v>
      </c>
      <c r="H17" s="51" t="s">
        <v>250</v>
      </c>
      <c r="I17" s="51" t="s">
        <v>250</v>
      </c>
      <c r="J17" s="40" t="s">
        <v>23</v>
      </c>
      <c r="K17" s="40"/>
      <c r="L17" s="53">
        <v>2</v>
      </c>
      <c r="M17" s="40">
        <v>1718</v>
      </c>
      <c r="N17" s="42" t="s">
        <v>24</v>
      </c>
      <c r="O17" s="47"/>
      <c r="P17" s="48">
        <f>SUMIFS([2]تیر!$AR$4:$AR$650,[2]تیر!$C$4:$C$650,"قالب تعمیری",[2]تیر!$B$4:$B$650,B17)</f>
        <v>1500000</v>
      </c>
    </row>
    <row r="18" spans="1:16" ht="40.5" customHeight="1" thickBot="1" x14ac:dyDescent="0.3">
      <c r="A18" s="44"/>
      <c r="B18" s="46"/>
      <c r="C18" s="43"/>
      <c r="D18" s="41"/>
      <c r="E18" s="41"/>
      <c r="F18" s="70"/>
      <c r="G18" s="41"/>
      <c r="H18" s="52"/>
      <c r="I18" s="52"/>
      <c r="J18" s="41"/>
      <c r="K18" s="41"/>
      <c r="L18" s="54"/>
      <c r="M18" s="41"/>
      <c r="N18" s="43"/>
      <c r="O18" s="47"/>
      <c r="P18" s="48"/>
    </row>
    <row r="19" spans="1:16" ht="53.25" customHeight="1" thickBot="1" x14ac:dyDescent="0.3">
      <c r="A19" s="5"/>
      <c r="B19" s="56" t="s">
        <v>17</v>
      </c>
      <c r="C19" s="56"/>
      <c r="D19" s="56"/>
      <c r="E19" s="6"/>
      <c r="F19" s="6"/>
      <c r="G19" s="6"/>
      <c r="H19" s="6"/>
      <c r="I19" s="6"/>
      <c r="J19" s="6"/>
      <c r="K19" s="6"/>
      <c r="L19" s="7">
        <f>SUM(L5:L18)</f>
        <v>572</v>
      </c>
      <c r="M19" s="6"/>
      <c r="N19" s="6"/>
      <c r="O19" s="8">
        <f>SUM(O5:O18)</f>
        <v>34100000</v>
      </c>
      <c r="P19" s="9">
        <f>SUM(P5:P18)</f>
        <v>754000000</v>
      </c>
    </row>
  </sheetData>
  <mergeCells count="129"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P13:P14"/>
    <mergeCell ref="G13:G14"/>
    <mergeCell ref="H13:H14"/>
    <mergeCell ref="I13:I14"/>
    <mergeCell ref="J13:J14"/>
    <mergeCell ref="K13:K14"/>
    <mergeCell ref="L13:L14"/>
    <mergeCell ref="M11:M12"/>
    <mergeCell ref="N11:N12"/>
    <mergeCell ref="O11:O12"/>
    <mergeCell ref="P11:P12"/>
    <mergeCell ref="G11:G12"/>
    <mergeCell ref="H11:H12"/>
    <mergeCell ref="I11:I12"/>
    <mergeCell ref="J11:J12"/>
    <mergeCell ref="K11:K12"/>
    <mergeCell ref="L11:L12"/>
    <mergeCell ref="B19:D19"/>
    <mergeCell ref="A15:A16"/>
    <mergeCell ref="B15:B16"/>
    <mergeCell ref="C15:C16"/>
    <mergeCell ref="D15:D16"/>
    <mergeCell ref="E15:E16"/>
    <mergeCell ref="M13:M14"/>
    <mergeCell ref="N13:N14"/>
    <mergeCell ref="O13:O14"/>
    <mergeCell ref="A13:A14"/>
    <mergeCell ref="B13:B14"/>
    <mergeCell ref="C13:C14"/>
    <mergeCell ref="D13:D14"/>
    <mergeCell ref="E13:E14"/>
    <mergeCell ref="F13:F14"/>
    <mergeCell ref="L15:L16"/>
    <mergeCell ref="M15:M16"/>
    <mergeCell ref="N15:N16"/>
    <mergeCell ref="O15:O16"/>
    <mergeCell ref="P15:P16"/>
    <mergeCell ref="A17:A18"/>
    <mergeCell ref="B17:B18"/>
    <mergeCell ref="C17:C18"/>
    <mergeCell ref="D17:D18"/>
    <mergeCell ref="E17:E18"/>
    <mergeCell ref="F15:F16"/>
    <mergeCell ref="G15:G16"/>
    <mergeCell ref="H15:H16"/>
    <mergeCell ref="I15:I16"/>
    <mergeCell ref="J15:J16"/>
    <mergeCell ref="K15:K16"/>
    <mergeCell ref="L17:L18"/>
    <mergeCell ref="M17:M18"/>
    <mergeCell ref="N17:N18"/>
    <mergeCell ref="O17:O18"/>
    <mergeCell ref="P17:P18"/>
    <mergeCell ref="F17:F18"/>
    <mergeCell ref="G17:G18"/>
    <mergeCell ref="H17:H18"/>
    <mergeCell ref="I17:I18"/>
    <mergeCell ref="J17:J18"/>
    <mergeCell ref="K17:K18"/>
  </mergeCells>
  <printOptions horizontalCentered="1" verticalCentered="1"/>
  <pageMargins left="0" right="0" top="0" bottom="0" header="0" footer="0"/>
  <pageSetup scale="86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EB30-5F65-4D11-8D92-8ACD0C5AB9AA}">
  <sheetPr>
    <pageSetUpPr fitToPage="1"/>
  </sheetPr>
  <dimension ref="A1:P17"/>
  <sheetViews>
    <sheetView rightToLeft="1" showWhiteSpace="0" view="pageLayout" topLeftCell="A9" zoomScale="85" zoomScaleNormal="100" zoomScalePageLayoutView="85" workbookViewId="0">
      <selection activeCell="B21" sqref="B21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18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2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45" t="s">
        <v>261</v>
      </c>
      <c r="C5" s="42" t="s">
        <v>18</v>
      </c>
      <c r="D5" s="40" t="s">
        <v>22</v>
      </c>
      <c r="E5" s="40"/>
      <c r="F5" s="40"/>
      <c r="G5" s="40">
        <v>3006</v>
      </c>
      <c r="H5" s="51" t="s">
        <v>259</v>
      </c>
      <c r="I5" s="51" t="s">
        <v>260</v>
      </c>
      <c r="J5" s="40" t="s">
        <v>23</v>
      </c>
      <c r="K5" s="40"/>
      <c r="L5" s="53">
        <f>SUMIFS([2]تیر!$AF$4:$AF$800,[2]تیر!$C$4:$C$800,"قالب تعمیری",[2]تیر!$B$4:$B$800,B5,[2]تیر!$H$4:$H$800,"*")+6</f>
        <v>6</v>
      </c>
      <c r="M5" s="63">
        <v>1721</v>
      </c>
      <c r="N5" s="42" t="s">
        <v>267</v>
      </c>
      <c r="O5" s="47"/>
      <c r="P5" s="48">
        <f>SUMIFS([2]تیر!$AR$4:$AR$800,[2]تیر!$C$4:$C$800,"قالب تعمیری",[2]تیر!$B$4:$B$800,B5)</f>
        <v>4500000</v>
      </c>
    </row>
    <row r="6" spans="1:16" ht="39" customHeight="1" x14ac:dyDescent="0.25">
      <c r="A6" s="44"/>
      <c r="B6" s="46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39" customHeight="1" x14ac:dyDescent="0.25">
      <c r="A7" s="49">
        <v>2</v>
      </c>
      <c r="B7" s="45" t="s">
        <v>262</v>
      </c>
      <c r="C7" s="42" t="s">
        <v>263</v>
      </c>
      <c r="D7" s="40"/>
      <c r="E7" s="40"/>
      <c r="F7" s="40" t="s">
        <v>122</v>
      </c>
      <c r="G7" s="40"/>
      <c r="H7" s="51" t="s">
        <v>264</v>
      </c>
      <c r="I7" s="51" t="s">
        <v>260</v>
      </c>
      <c r="J7" s="40" t="s">
        <v>265</v>
      </c>
      <c r="K7" s="40" t="s">
        <v>186</v>
      </c>
      <c r="L7" s="53">
        <f>SUMIFS([2]تیر!$AF$4:$AF$690,[2]تیر!$C$4:$C$690,"قالب تعمیری",[2]تیر!$B$4:$B$690,B7,[2]تیر!$H$4:$H$690,"*")+8</f>
        <v>8</v>
      </c>
      <c r="M7" s="40"/>
      <c r="N7" s="42" t="s">
        <v>268</v>
      </c>
      <c r="O7" s="47"/>
      <c r="P7" s="48">
        <f>SUMIFS([2]تیر!$AR$4:$AR$800,[2]تیر!$C$4:$C$800,"قالب تعمیری",[2]تیر!$B$4:$B$800,B7)</f>
        <v>6000000</v>
      </c>
    </row>
    <row r="8" spans="1:16" ht="39" customHeight="1" x14ac:dyDescent="0.25">
      <c r="A8" s="50"/>
      <c r="B8" s="46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39" customHeight="1" x14ac:dyDescent="0.25">
      <c r="A9" s="44">
        <v>3</v>
      </c>
      <c r="B9" s="45" t="s">
        <v>194</v>
      </c>
      <c r="C9" s="42" t="s">
        <v>263</v>
      </c>
      <c r="D9" s="40"/>
      <c r="E9" s="40"/>
      <c r="F9" s="40"/>
      <c r="G9" s="40"/>
      <c r="H9" s="51" t="s">
        <v>266</v>
      </c>
      <c r="I9" s="51" t="s">
        <v>259</v>
      </c>
      <c r="J9" s="40" t="s">
        <v>265</v>
      </c>
      <c r="K9" s="40" t="s">
        <v>186</v>
      </c>
      <c r="L9" s="53">
        <f>SUMIFS([2]تیر!$AF$4:$AF$690,[2]تیر!$C$4:$C$690,"قالب تعمیری",[2]تیر!$B$4:$B$690,B9,[2]تیر!$H$4:$H$690,"*")</f>
        <v>16</v>
      </c>
      <c r="M9" s="40"/>
      <c r="N9" s="42" t="s">
        <v>268</v>
      </c>
      <c r="O9" s="47"/>
      <c r="P9" s="48">
        <f>SUMIFS([2]تیر!$AR$4:$AR$800,[2]تیر!$C$4:$C$800,"قالب تعمیری",[2]تیر!$B$4:$B$800,B9)</f>
        <v>15000000</v>
      </c>
    </row>
    <row r="10" spans="1:16" ht="39" customHeight="1" x14ac:dyDescent="0.25">
      <c r="A10" s="44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39" customHeight="1" x14ac:dyDescent="0.25">
      <c r="A11" s="49">
        <v>4</v>
      </c>
      <c r="B11" s="45" t="s">
        <v>257</v>
      </c>
      <c r="C11" s="42" t="s">
        <v>18</v>
      </c>
      <c r="D11" s="40"/>
      <c r="E11" s="40"/>
      <c r="F11" s="40"/>
      <c r="G11" s="40"/>
      <c r="H11" s="51" t="s">
        <v>266</v>
      </c>
      <c r="I11" s="51" t="s">
        <v>269</v>
      </c>
      <c r="J11" s="40" t="s">
        <v>265</v>
      </c>
      <c r="K11" s="40" t="s">
        <v>232</v>
      </c>
      <c r="L11" s="53">
        <f>SUMIFS([2]تیر!$AF$4:$AF$800,[2]تیر!$C$4:$C$800,"قالب تعمیری",[2]تیر!$B$4:$B$800,B5,[2]تیر!$H$4:$H$800,"*")+25</f>
        <v>25</v>
      </c>
      <c r="M11" s="42"/>
      <c r="N11" s="42" t="s">
        <v>270</v>
      </c>
      <c r="O11" s="47"/>
      <c r="P11" s="48">
        <f>SUMIFS([2]تیر!$AR$4:$AR$800,[2]تیر!$C$4:$C$800,"قالب تعمیری",[2]تیر!$B$4:$B$800,B11)+4875000</f>
        <v>18375000</v>
      </c>
    </row>
    <row r="12" spans="1:16" ht="39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3"/>
      <c r="N12" s="43"/>
      <c r="O12" s="47"/>
      <c r="P12" s="48"/>
    </row>
    <row r="13" spans="1:16" ht="39" customHeight="1" x14ac:dyDescent="0.25">
      <c r="A13" s="44">
        <v>5</v>
      </c>
      <c r="B13" s="45" t="s">
        <v>258</v>
      </c>
      <c r="C13" s="42" t="s">
        <v>18</v>
      </c>
      <c r="D13" s="40" t="s">
        <v>22</v>
      </c>
      <c r="E13" s="40"/>
      <c r="F13" s="40"/>
      <c r="G13" s="40">
        <v>3006</v>
      </c>
      <c r="H13" s="51" t="s">
        <v>259</v>
      </c>
      <c r="I13" s="51" t="s">
        <v>260</v>
      </c>
      <c r="J13" s="40" t="s">
        <v>23</v>
      </c>
      <c r="K13" s="40"/>
      <c r="L13" s="53">
        <f>SUMIFS([2]تیر!$AF$4:$AF$690,[2]تیر!$C$4:$C$690,"قالب تعمیری",[2]تیر!$B$4:$B$690,B13,[2]تیر!$H$4:$H$690,"*")+6</f>
        <v>6</v>
      </c>
      <c r="M13" s="55">
        <v>1719</v>
      </c>
      <c r="N13" s="42" t="s">
        <v>267</v>
      </c>
      <c r="O13" s="47"/>
      <c r="P13" s="48">
        <f>SUMIFS([2]تیر!$AR$4:$AR$800,[2]تیر!$C$4:$C$800,"قالب تعمیری",[2]تیر!$B$4:$B$800,B13)+4500000</f>
        <v>4500000</v>
      </c>
    </row>
    <row r="14" spans="1:16" ht="39" customHeight="1" x14ac:dyDescent="0.25">
      <c r="A14" s="44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39" customHeight="1" x14ac:dyDescent="0.25">
      <c r="A15" s="49">
        <v>6</v>
      </c>
      <c r="B15" s="45" t="s">
        <v>175</v>
      </c>
      <c r="C15" s="42" t="s">
        <v>19</v>
      </c>
      <c r="D15" s="40"/>
      <c r="E15" s="40"/>
      <c r="F15" s="40" t="s">
        <v>242</v>
      </c>
      <c r="G15" s="40"/>
      <c r="H15" s="51" t="s">
        <v>173</v>
      </c>
      <c r="I15" s="51" t="s">
        <v>243</v>
      </c>
      <c r="J15" s="40" t="s">
        <v>30</v>
      </c>
      <c r="K15" s="40" t="s">
        <v>203</v>
      </c>
      <c r="L15" s="53">
        <f>SUMIFS([2]تیر!$AF$4:$AF$690,[2]تیر!$C$4:$C$690,"قالب تعمیری",[2]تیر!$B$4:$B$690,B15,[2]تیر!$H$4:$H$690,"*")</f>
        <v>117</v>
      </c>
      <c r="M15" s="40"/>
      <c r="N15" s="42" t="s">
        <v>177</v>
      </c>
      <c r="O15" s="47">
        <v>17050000</v>
      </c>
      <c r="P15" s="71">
        <f>SUMIFS([2]تیر!$AR$4:$AR$800,[2]تیر!$C$4:$C$800,"قالب تعمیری",[2]تیر!$B$4:$B$800,B15)/2</f>
        <v>202250000</v>
      </c>
    </row>
    <row r="16" spans="1:16" ht="39" customHeight="1" thickBot="1" x14ac:dyDescent="0.3">
      <c r="A16" s="60"/>
      <c r="B16" s="46"/>
      <c r="C16" s="43"/>
      <c r="D16" s="41"/>
      <c r="E16" s="41"/>
      <c r="F16" s="41"/>
      <c r="G16" s="41"/>
      <c r="H16" s="52"/>
      <c r="I16" s="52"/>
      <c r="J16" s="41"/>
      <c r="K16" s="41"/>
      <c r="L16" s="73"/>
      <c r="M16" s="64"/>
      <c r="N16" s="43"/>
      <c r="O16" s="47"/>
      <c r="P16" s="72"/>
    </row>
    <row r="17" spans="1:16" ht="53.25" customHeight="1" thickBot="1" x14ac:dyDescent="0.3">
      <c r="A17" s="5"/>
      <c r="B17" s="56" t="s">
        <v>17</v>
      </c>
      <c r="C17" s="56"/>
      <c r="D17" s="56"/>
      <c r="E17" s="6"/>
      <c r="F17" s="6"/>
      <c r="G17" s="6"/>
      <c r="H17" s="6"/>
      <c r="I17" s="6"/>
      <c r="J17" s="6"/>
      <c r="K17" s="6"/>
      <c r="L17" s="7">
        <f>SUM(L5:L16)</f>
        <v>178</v>
      </c>
      <c r="M17" s="6"/>
      <c r="N17" s="6"/>
      <c r="O17" s="8">
        <f>SUM(O5:O16)</f>
        <v>17050000</v>
      </c>
      <c r="P17" s="9">
        <f>SUM(P5:P16)</f>
        <v>250625000</v>
      </c>
    </row>
  </sheetData>
  <mergeCells count="113">
    <mergeCell ref="K3:K4"/>
    <mergeCell ref="L3:L4"/>
    <mergeCell ref="M3:M4"/>
    <mergeCell ref="N3:N4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M5:M6"/>
    <mergeCell ref="N5:N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M7:M8"/>
    <mergeCell ref="N7:N8"/>
    <mergeCell ref="G9:G10"/>
    <mergeCell ref="H9:H10"/>
    <mergeCell ref="I9:I10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9:O10"/>
    <mergeCell ref="P9:P10"/>
    <mergeCell ref="J9:J10"/>
    <mergeCell ref="K9:K10"/>
    <mergeCell ref="L9:L10"/>
    <mergeCell ref="M11:M12"/>
    <mergeCell ref="N11:N12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F11:F12"/>
    <mergeCell ref="O15:O16"/>
    <mergeCell ref="P15:P16"/>
    <mergeCell ref="G15:G16"/>
    <mergeCell ref="H15:H16"/>
    <mergeCell ref="I15:I16"/>
    <mergeCell ref="J15:J16"/>
    <mergeCell ref="K15:K16"/>
    <mergeCell ref="L15:L16"/>
    <mergeCell ref="M13:M14"/>
    <mergeCell ref="N13:N14"/>
    <mergeCell ref="O13:O14"/>
    <mergeCell ref="P13:P14"/>
    <mergeCell ref="G13:G14"/>
    <mergeCell ref="H13:H14"/>
    <mergeCell ref="I13:I14"/>
    <mergeCell ref="J13:J14"/>
    <mergeCell ref="K13:K14"/>
    <mergeCell ref="L13:L14"/>
    <mergeCell ref="A15:A16"/>
    <mergeCell ref="B17:D17"/>
    <mergeCell ref="F15:F16"/>
    <mergeCell ref="E15:E16"/>
    <mergeCell ref="D15:D16"/>
    <mergeCell ref="C15:C16"/>
    <mergeCell ref="B15:B16"/>
    <mergeCell ref="M15:M16"/>
    <mergeCell ref="N15:N16"/>
  </mergeCells>
  <printOptions horizontalCentered="1" verticalCentered="1"/>
  <pageMargins left="0" right="0" top="0" bottom="0" header="0" footer="0"/>
  <pageSetup scale="86" fitToHeight="0" orientation="landscape" r:id="rId1"/>
  <ignoredErrors>
    <ignoredError sqref="L11 P11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A908-4253-42CD-BA4D-0F9F08F08108}">
  <sheetPr>
    <pageSetUpPr fitToPage="1"/>
  </sheetPr>
  <dimension ref="A1:P15"/>
  <sheetViews>
    <sheetView rightToLeft="1" showWhiteSpace="0" view="pageLayout" topLeftCell="A4" zoomScale="85" zoomScaleNormal="100" zoomScalePageLayoutView="85" workbookViewId="0">
      <selection activeCell="B11" sqref="B11:B12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3" max="13" width="8.42578125" customWidth="1"/>
    <col min="14" max="14" width="10.57031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19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3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45" t="s">
        <v>271</v>
      </c>
      <c r="C5" s="42" t="s">
        <v>18</v>
      </c>
      <c r="D5" s="40"/>
      <c r="E5" s="40"/>
      <c r="F5" s="40" t="s">
        <v>272</v>
      </c>
      <c r="G5" s="40"/>
      <c r="H5" s="51" t="s">
        <v>266</v>
      </c>
      <c r="I5" s="51" t="s">
        <v>273</v>
      </c>
      <c r="J5" s="40" t="s">
        <v>30</v>
      </c>
      <c r="K5" s="40" t="s">
        <v>274</v>
      </c>
      <c r="L5" s="53">
        <f>SUMIFS([2]مرداد!$AF$4:$AF$800,[2]مرداد!$C$4:$C$800,"قالب تعمیری",[2]مرداد!$B$4:$B$800,B5,[2]مرداد!$H$4:$H$800,"*")</f>
        <v>19.333333333333336</v>
      </c>
      <c r="M5" s="63"/>
      <c r="N5" s="42" t="s">
        <v>278</v>
      </c>
      <c r="O5" s="47"/>
      <c r="P5" s="48">
        <f>SUMIFS([2]مرداد!$AR$4:$AR$800,[2]مرداد!$C$4:$C$800,"قالب تعمیری",[2]مرداد!$B$4:$B$800,B5)</f>
        <v>14500000</v>
      </c>
    </row>
    <row r="6" spans="1:16" ht="39" customHeight="1" x14ac:dyDescent="0.25">
      <c r="A6" s="44"/>
      <c r="B6" s="46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39" customHeight="1" x14ac:dyDescent="0.25">
      <c r="A7" s="49">
        <v>2</v>
      </c>
      <c r="B7" s="45" t="s">
        <v>211</v>
      </c>
      <c r="C7" s="42" t="s">
        <v>19</v>
      </c>
      <c r="D7" s="40"/>
      <c r="E7" s="40"/>
      <c r="F7" s="40"/>
      <c r="G7" s="40"/>
      <c r="H7" s="51" t="s">
        <v>277</v>
      </c>
      <c r="I7" s="51" t="s">
        <v>277</v>
      </c>
      <c r="J7" s="40" t="s">
        <v>30</v>
      </c>
      <c r="K7" s="40" t="s">
        <v>275</v>
      </c>
      <c r="L7" s="53">
        <f>SUMIFS([2]مرداد!$AF$4:$AF$800,[2]مرداد!$C$4:$C$800,"قالب تعمیری",[2]مرداد!$B$4:$B$800,B7,[2]مرداد!$H$4:$H$800,"*")</f>
        <v>5</v>
      </c>
      <c r="M7" s="40"/>
      <c r="N7" s="42" t="s">
        <v>276</v>
      </c>
      <c r="O7" s="47"/>
      <c r="P7" s="48">
        <f>SUMIFS([2]مرداد!$AR$4:$AR$800,[2]مرداد!$C$4:$C$800,"قالب تعمیری",[2]مرداد!$B$4:$B$800,B7)</f>
        <v>3750000</v>
      </c>
    </row>
    <row r="8" spans="1:16" ht="39" customHeight="1" x14ac:dyDescent="0.25">
      <c r="A8" s="50"/>
      <c r="B8" s="46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39" customHeight="1" x14ac:dyDescent="0.25">
      <c r="A9" s="44">
        <v>3</v>
      </c>
      <c r="B9" s="45" t="s">
        <v>192</v>
      </c>
      <c r="C9" s="42" t="s">
        <v>19</v>
      </c>
      <c r="D9" s="40"/>
      <c r="E9" s="40"/>
      <c r="F9" s="40"/>
      <c r="G9" s="40"/>
      <c r="H9" s="51" t="s">
        <v>280</v>
      </c>
      <c r="I9" s="51" t="s">
        <v>279</v>
      </c>
      <c r="J9" s="40" t="s">
        <v>30</v>
      </c>
      <c r="K9" s="40" t="s">
        <v>203</v>
      </c>
      <c r="L9" s="53">
        <f>SUMIFS([2]مرداد!$AF$4:$AF$800,[2]مرداد!$C$4:$C$800,"قالب تعمیری",[2]مرداد!$B$4:$B$800,B9,[2]مرداد!$H$4:$H$800,"*")+110</f>
        <v>110</v>
      </c>
      <c r="M9" s="40">
        <v>745</v>
      </c>
      <c r="N9" s="42" t="s">
        <v>177</v>
      </c>
      <c r="O9" s="47">
        <v>17050000</v>
      </c>
      <c r="P9" s="48">
        <f>SUMIFS([2]مرداد!$AR$4:$AR$800,[2]مرداد!$C$4:$C$800,"قالب تعمیری",[2]مرداد!$B$4:$B$800,B9)*10</f>
        <v>420000000</v>
      </c>
    </row>
    <row r="10" spans="1:16" ht="39" customHeight="1" x14ac:dyDescent="0.25">
      <c r="A10" s="44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62.25" customHeight="1" x14ac:dyDescent="0.25">
      <c r="A11" s="49">
        <v>4</v>
      </c>
      <c r="B11" s="45" t="s">
        <v>281</v>
      </c>
      <c r="C11" s="42" t="s">
        <v>18</v>
      </c>
      <c r="D11" s="40"/>
      <c r="E11" s="40"/>
      <c r="F11" s="40" t="s">
        <v>62</v>
      </c>
      <c r="G11" s="40"/>
      <c r="H11" s="51" t="s">
        <v>37</v>
      </c>
      <c r="I11" s="51" t="s">
        <v>282</v>
      </c>
      <c r="J11" s="40" t="s">
        <v>30</v>
      </c>
      <c r="K11" s="40" t="s">
        <v>286</v>
      </c>
      <c r="L11" s="53">
        <f>SUMIFS([2]مرداد!$AF$4:$AF$800,[2]مرداد!$C$4:$C$800,"قالب تعمیری",[2]مرداد!$B$4:$B$800,B11,[2]مرداد!$H$4:$H$800,"*")+86+56</f>
        <v>204.5</v>
      </c>
      <c r="M11" s="42">
        <v>747</v>
      </c>
      <c r="N11" s="42" t="s">
        <v>287</v>
      </c>
      <c r="O11" s="47">
        <v>24900000</v>
      </c>
      <c r="P11" s="48">
        <f>SUMIFS([2]مرداد!$AR$4:$AR$800,[2]مرداد!$C$4:$C$800,"قالب تعمیری",[2]مرداد!$B$4:$B$800,B11)+64750000+42000000</f>
        <v>153625000</v>
      </c>
    </row>
    <row r="12" spans="1:16" ht="62.25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3"/>
      <c r="N12" s="43"/>
      <c r="O12" s="47"/>
      <c r="P12" s="48"/>
    </row>
    <row r="13" spans="1:16" ht="39" customHeight="1" x14ac:dyDescent="0.25">
      <c r="A13" s="44">
        <v>5</v>
      </c>
      <c r="B13" s="45" t="s">
        <v>256</v>
      </c>
      <c r="C13" s="42" t="s">
        <v>283</v>
      </c>
      <c r="D13" s="40" t="s">
        <v>22</v>
      </c>
      <c r="E13" s="40"/>
      <c r="F13" s="40" t="s">
        <v>285</v>
      </c>
      <c r="G13" s="40">
        <v>6003</v>
      </c>
      <c r="H13" s="51" t="s">
        <v>273</v>
      </c>
      <c r="I13" s="51" t="s">
        <v>277</v>
      </c>
      <c r="J13" s="40" t="s">
        <v>23</v>
      </c>
      <c r="K13" s="40"/>
      <c r="L13" s="53">
        <f>SUMIFS([2]مرداد!$AF$4:$AF$800,[2]مرداد!$C$4:$C$800,"قالب تعمیری",[2]مرداد!$B$4:$B$800,B13,[2]مرداد!$H$4:$H$800,"*")+3</f>
        <v>3</v>
      </c>
      <c r="M13" s="55">
        <v>1718</v>
      </c>
      <c r="N13" s="42" t="s">
        <v>284</v>
      </c>
      <c r="O13" s="47"/>
      <c r="P13" s="48">
        <f>SUMIFS([2]مرداد!$AR$4:$AR$800,[2]مرداد!$C$4:$C$800,"قالب تعمیری",[2]مرداد!$B$4:$B$800,B13)</f>
        <v>2250000</v>
      </c>
    </row>
    <row r="14" spans="1:16" ht="39" customHeight="1" thickBot="1" x14ac:dyDescent="0.3">
      <c r="A14" s="44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53.25" customHeight="1" thickBot="1" x14ac:dyDescent="0.3">
      <c r="A15" s="5"/>
      <c r="B15" s="56" t="s">
        <v>17</v>
      </c>
      <c r="C15" s="56"/>
      <c r="D15" s="56"/>
      <c r="E15" s="6"/>
      <c r="F15" s="6"/>
      <c r="G15" s="6"/>
      <c r="H15" s="6"/>
      <c r="I15" s="6"/>
      <c r="J15" s="6"/>
      <c r="K15" s="6"/>
      <c r="L15" s="7">
        <f>SUM(L5:L14)</f>
        <v>341.83333333333337</v>
      </c>
      <c r="M15" s="6"/>
      <c r="N15" s="6"/>
      <c r="O15" s="8">
        <f>SUM(O5:O14)</f>
        <v>41950000</v>
      </c>
      <c r="P15" s="9">
        <f>SUM(P5:P14)</f>
        <v>594125000</v>
      </c>
    </row>
  </sheetData>
  <mergeCells count="97">
    <mergeCell ref="O3:O4"/>
    <mergeCell ref="K5:K6"/>
    <mergeCell ref="L5:L6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M7:M8"/>
    <mergeCell ref="N7:N8"/>
    <mergeCell ref="F7:F8"/>
    <mergeCell ref="O7:O8"/>
    <mergeCell ref="P7:P8"/>
    <mergeCell ref="K7:K8"/>
    <mergeCell ref="L7:L8"/>
    <mergeCell ref="M5:M6"/>
    <mergeCell ref="N5:N6"/>
    <mergeCell ref="O5:O6"/>
    <mergeCell ref="P5:P6"/>
    <mergeCell ref="G5:G6"/>
    <mergeCell ref="H5:H6"/>
    <mergeCell ref="I5:I6"/>
    <mergeCell ref="J5:J6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M9:M10"/>
    <mergeCell ref="N9:N10"/>
    <mergeCell ref="O9:O10"/>
    <mergeCell ref="P9:P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M11:M12"/>
    <mergeCell ref="N11:N12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B15:D15"/>
    <mergeCell ref="M13:M14"/>
    <mergeCell ref="N13:N14"/>
    <mergeCell ref="O13:O14"/>
    <mergeCell ref="P13:P14"/>
    <mergeCell ref="G13:G14"/>
    <mergeCell ref="H13:H14"/>
    <mergeCell ref="I13:I14"/>
    <mergeCell ref="J13:J14"/>
    <mergeCell ref="K13:K14"/>
    <mergeCell ref="L13:L14"/>
  </mergeCells>
  <printOptions horizontalCentered="1" verticalCentered="1"/>
  <pageMargins left="0" right="0" top="0" bottom="0" header="0" footer="0"/>
  <pageSetup scale="86" fitToHeight="0" orientation="landscape" r:id="rId1"/>
  <ignoredErrors>
    <ignoredError sqref="L9 P9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0E84-1E49-4BCC-B13E-3256F1F4B247}">
  <sheetPr>
    <pageSetUpPr fitToPage="1"/>
  </sheetPr>
  <dimension ref="A1:P15"/>
  <sheetViews>
    <sheetView rightToLeft="1" showWhiteSpace="0" view="pageLayout" zoomScale="85" zoomScaleNormal="100" zoomScalePageLayoutView="85" workbookViewId="0">
      <selection activeCell="B7" sqref="B7:B8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20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4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45" t="s">
        <v>175</v>
      </c>
      <c r="C5" s="42" t="s">
        <v>19</v>
      </c>
      <c r="D5" s="40"/>
      <c r="E5" s="40"/>
      <c r="F5" s="40" t="s">
        <v>290</v>
      </c>
      <c r="G5" s="40"/>
      <c r="H5" s="51" t="s">
        <v>279</v>
      </c>
      <c r="I5" s="51" t="s">
        <v>288</v>
      </c>
      <c r="J5" s="40" t="s">
        <v>30</v>
      </c>
      <c r="K5" s="40" t="s">
        <v>96</v>
      </c>
      <c r="L5" s="53">
        <f>SUMIFS([2]مرداد!$AF$4:$AF$800,[2]مرداد!$C$4:$C$800,"قالب تعمیری",[2]مرداد!$B$4:$B$800,B5,[2]مرداد!$H$4:$H$800,"*")+24</f>
        <v>24</v>
      </c>
      <c r="M5" s="63"/>
      <c r="N5" s="42" t="s">
        <v>289</v>
      </c>
      <c r="O5" s="47"/>
      <c r="P5" s="48">
        <f>SUMIFS([2]مرداد!$AR$4:$AR$800,[2]مرداد!$C$4:$C$800,"قالب تعمیری",[2]مرداد!$B$4:$B$800,B5)-78000000</f>
        <v>12875000</v>
      </c>
    </row>
    <row r="6" spans="1:16" ht="39" customHeight="1" x14ac:dyDescent="0.25">
      <c r="A6" s="44"/>
      <c r="B6" s="46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39" customHeight="1" x14ac:dyDescent="0.25">
      <c r="A7" s="49">
        <v>2</v>
      </c>
      <c r="B7" s="45" t="s">
        <v>194</v>
      </c>
      <c r="C7" s="42" t="s">
        <v>19</v>
      </c>
      <c r="D7" s="40"/>
      <c r="E7" s="40"/>
      <c r="F7" s="40" t="s">
        <v>291</v>
      </c>
      <c r="G7" s="40"/>
      <c r="H7" s="51" t="s">
        <v>292</v>
      </c>
      <c r="I7" s="51" t="s">
        <v>293</v>
      </c>
      <c r="J7" s="40" t="s">
        <v>30</v>
      </c>
      <c r="K7" s="40" t="s">
        <v>96</v>
      </c>
      <c r="L7" s="53">
        <f>SUMIFS([2]مرداد!$AF$4:$AF$800,[2]مرداد!$C$4:$C$800,"قالب تعمیری",[2]مرداد!$B$4:$B$800,B7,[2]مرداد!$H$4:$H$800,"*")</f>
        <v>12</v>
      </c>
      <c r="M7" s="40"/>
      <c r="N7" s="42" t="s">
        <v>25</v>
      </c>
      <c r="O7" s="47"/>
      <c r="P7" s="48">
        <f>SUMIFS([2]مرداد!$AR$4:$AR$800,[2]مرداد!$C$4:$C$800,"قالب تعمیری",[2]مرداد!$B$4:$B$800,B7)</f>
        <v>9000000</v>
      </c>
    </row>
    <row r="8" spans="1:16" ht="39" customHeight="1" thickBot="1" x14ac:dyDescent="0.3">
      <c r="A8" s="50"/>
      <c r="B8" s="46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39" hidden="1" customHeight="1" x14ac:dyDescent="0.25">
      <c r="A9" s="44">
        <v>3</v>
      </c>
      <c r="B9" s="45"/>
      <c r="C9" s="42"/>
      <c r="D9" s="40"/>
      <c r="E9" s="40"/>
      <c r="F9" s="40"/>
      <c r="G9" s="40"/>
      <c r="H9" s="51"/>
      <c r="I9" s="51"/>
      <c r="J9" s="40"/>
      <c r="K9" s="40"/>
      <c r="L9" s="53">
        <f>SUMIFS([2]مرداد!$AF$4:$AF$800,[2]مرداد!$C$4:$C$800,"قالب تعمیری",[2]مرداد!$B$4:$B$800,B9,[2]مرداد!$H$4:$H$800,"*")</f>
        <v>0</v>
      </c>
      <c r="M9" s="40"/>
      <c r="N9" s="42"/>
      <c r="O9" s="47"/>
      <c r="P9" s="48">
        <f>SUMIFS([2]مرداد!$AR$4:$AR$800,[2]مرداد!$C$4:$C$800,"قالب تعمیری",[2]مرداد!$B$4:$B$800,B9)*10</f>
        <v>0</v>
      </c>
    </row>
    <row r="10" spans="1:16" ht="39" hidden="1" customHeight="1" x14ac:dyDescent="0.25">
      <c r="A10" s="44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53.25" hidden="1" customHeight="1" x14ac:dyDescent="0.25">
      <c r="A11" s="49">
        <v>4</v>
      </c>
      <c r="B11" s="45"/>
      <c r="C11" s="42"/>
      <c r="D11" s="40"/>
      <c r="E11" s="40"/>
      <c r="F11" s="40"/>
      <c r="G11" s="40"/>
      <c r="H11" s="51"/>
      <c r="I11" s="51"/>
      <c r="J11" s="40"/>
      <c r="K11" s="40"/>
      <c r="L11" s="53">
        <f>SUMIFS([2]مرداد!$AF$4:$AF$800,[2]مرداد!$C$4:$C$800,"قالب تعمیری",[2]مرداد!$B$4:$B$800,B11,[2]مرداد!$H$4:$H$800,"*")</f>
        <v>0</v>
      </c>
      <c r="M11" s="42"/>
      <c r="N11" s="42"/>
      <c r="O11" s="47"/>
      <c r="P11" s="48">
        <f>SUMIFS([2]مرداد!$AR$4:$AR$800,[2]مرداد!$C$4:$C$800,"قالب تعمیری",[2]مرداد!$B$4:$B$800,B11)</f>
        <v>0</v>
      </c>
    </row>
    <row r="12" spans="1:16" ht="53.25" hidden="1" customHeight="1" x14ac:dyDescent="0.25">
      <c r="A12" s="50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3"/>
      <c r="N12" s="43"/>
      <c r="O12" s="47"/>
      <c r="P12" s="48"/>
    </row>
    <row r="13" spans="1:16" ht="39" hidden="1" customHeight="1" x14ac:dyDescent="0.25">
      <c r="A13" s="44">
        <v>5</v>
      </c>
      <c r="B13" s="45"/>
      <c r="C13" s="42"/>
      <c r="D13" s="40"/>
      <c r="E13" s="40"/>
      <c r="F13" s="40"/>
      <c r="G13" s="40"/>
      <c r="H13" s="51"/>
      <c r="I13" s="51"/>
      <c r="J13" s="40"/>
      <c r="K13" s="40"/>
      <c r="L13" s="53">
        <f>SUMIFS([2]مرداد!$AF$4:$AF$800,[2]مرداد!$C$4:$C$800,"قالب تعمیری",[2]مرداد!$B$4:$B$800,B13,[2]مرداد!$H$4:$H$800,"*")</f>
        <v>0</v>
      </c>
      <c r="M13" s="55"/>
      <c r="N13" s="42"/>
      <c r="O13" s="47"/>
      <c r="P13" s="48">
        <f>SUMIFS([2]مرداد!$AR$4:$AR$800,[2]مرداد!$C$4:$C$800,"قالب تعمیری",[2]مرداد!$B$4:$B$800,B13)</f>
        <v>0</v>
      </c>
    </row>
    <row r="14" spans="1:16" ht="39" hidden="1" customHeight="1" thickBot="1" x14ac:dyDescent="0.3">
      <c r="A14" s="44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53.25" customHeight="1" thickBot="1" x14ac:dyDescent="0.3">
      <c r="A15" s="5"/>
      <c r="B15" s="56" t="s">
        <v>17</v>
      </c>
      <c r="C15" s="56"/>
      <c r="D15" s="56"/>
      <c r="E15" s="6"/>
      <c r="F15" s="6"/>
      <c r="G15" s="6"/>
      <c r="H15" s="6"/>
      <c r="I15" s="6"/>
      <c r="J15" s="6"/>
      <c r="K15" s="6"/>
      <c r="L15" s="7">
        <f>SUM(L5:L14)</f>
        <v>36</v>
      </c>
      <c r="M15" s="6"/>
      <c r="N15" s="6"/>
      <c r="O15" s="8">
        <f>SUM(O5:O14)</f>
        <v>0</v>
      </c>
      <c r="P15" s="9">
        <f>SUM(P5:P14)</f>
        <v>21875000</v>
      </c>
    </row>
  </sheetData>
  <mergeCells count="97">
    <mergeCell ref="B15:D15"/>
    <mergeCell ref="M13:M14"/>
    <mergeCell ref="N13:N14"/>
    <mergeCell ref="O13:O14"/>
    <mergeCell ref="P13:P14"/>
    <mergeCell ref="G13:G14"/>
    <mergeCell ref="H13:H14"/>
    <mergeCell ref="I13:I14"/>
    <mergeCell ref="J13:J14"/>
    <mergeCell ref="K13:K14"/>
    <mergeCell ref="L13:L14"/>
    <mergeCell ref="O11:O12"/>
    <mergeCell ref="P11:P12"/>
    <mergeCell ref="A13:A14"/>
    <mergeCell ref="B13:B14"/>
    <mergeCell ref="C13:C14"/>
    <mergeCell ref="D13:D14"/>
    <mergeCell ref="E13:E14"/>
    <mergeCell ref="F13:F14"/>
    <mergeCell ref="G11:G12"/>
    <mergeCell ref="H11:H12"/>
    <mergeCell ref="I11:I12"/>
    <mergeCell ref="J11:J12"/>
    <mergeCell ref="K11:K12"/>
    <mergeCell ref="L11:L12"/>
    <mergeCell ref="O9:O10"/>
    <mergeCell ref="P9:P10"/>
    <mergeCell ref="A11:A12"/>
    <mergeCell ref="B11:B12"/>
    <mergeCell ref="C11:C12"/>
    <mergeCell ref="D11:D12"/>
    <mergeCell ref="E11:E12"/>
    <mergeCell ref="F11:F12"/>
    <mergeCell ref="G9:G10"/>
    <mergeCell ref="H9:H10"/>
    <mergeCell ref="I9:I10"/>
    <mergeCell ref="J9:J10"/>
    <mergeCell ref="K9:K10"/>
    <mergeCell ref="L9:L10"/>
    <mergeCell ref="M11:M12"/>
    <mergeCell ref="N11:N12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6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C233-9DCA-4CA7-8790-9DA7C9156751}">
  <sheetPr>
    <pageSetUpPr fitToPage="1"/>
  </sheetPr>
  <dimension ref="A1:P7"/>
  <sheetViews>
    <sheetView rightToLeft="1" showWhiteSpace="0" view="pageLayout" zoomScale="85" zoomScaleNormal="100" zoomScalePageLayoutView="85" workbookViewId="0">
      <selection activeCell="L5" sqref="L5:L6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21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5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45" t="s">
        <v>147</v>
      </c>
      <c r="C5" s="42" t="s">
        <v>19</v>
      </c>
      <c r="D5" s="40"/>
      <c r="E5" s="40"/>
      <c r="F5" s="40" t="s">
        <v>204</v>
      </c>
      <c r="G5" s="40"/>
      <c r="H5" s="51" t="s">
        <v>300</v>
      </c>
      <c r="I5" s="51" t="s">
        <v>301</v>
      </c>
      <c r="J5" s="40" t="s">
        <v>30</v>
      </c>
      <c r="K5" s="40" t="s">
        <v>96</v>
      </c>
      <c r="L5" s="53">
        <f>SUMIFS([2]مرداد!$AF$4:$AF$800,[2]مرداد!$C$4:$C$800,"قالب تعمیری",[2]مرداد!$B$4:$B$800,B5,[2]مرداد!$H$4:$H$800,"*")</f>
        <v>15</v>
      </c>
      <c r="M5" s="63"/>
      <c r="N5" s="42" t="s">
        <v>25</v>
      </c>
      <c r="O5" s="47"/>
      <c r="P5" s="48">
        <f>SUMIFS([2]مرداد!$AR$4:$AR$800,[2]مرداد!$C$4:$C$800,"قالب تعمیری",[2]مرداد!$B$4:$B$800,B5)</f>
        <v>11250000</v>
      </c>
    </row>
    <row r="6" spans="1:16" ht="39" customHeight="1" thickBot="1" x14ac:dyDescent="0.3">
      <c r="A6" s="44"/>
      <c r="B6" s="46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53.25" customHeight="1" thickBot="1" x14ac:dyDescent="0.3">
      <c r="A7" s="5"/>
      <c r="B7" s="56" t="s">
        <v>17</v>
      </c>
      <c r="C7" s="56"/>
      <c r="D7" s="56"/>
      <c r="E7" s="6"/>
      <c r="F7" s="6"/>
      <c r="G7" s="6"/>
      <c r="H7" s="6"/>
      <c r="I7" s="6"/>
      <c r="J7" s="6"/>
      <c r="K7" s="6"/>
      <c r="L7" s="7">
        <f>SUM(L5:L6)</f>
        <v>15</v>
      </c>
      <c r="M7" s="6"/>
      <c r="N7" s="6"/>
      <c r="O7" s="8">
        <f>SUM(O5:O6)</f>
        <v>0</v>
      </c>
      <c r="P7" s="9">
        <f>SUM(P5:P6)</f>
        <v>11250000</v>
      </c>
    </row>
  </sheetData>
  <mergeCells count="33"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5:A6"/>
    <mergeCell ref="B5:B6"/>
    <mergeCell ref="C5:C6"/>
    <mergeCell ref="D5:D6"/>
    <mergeCell ref="E5:E6"/>
    <mergeCell ref="B7:D7"/>
    <mergeCell ref="O5:O6"/>
    <mergeCell ref="P5:P6"/>
    <mergeCell ref="G5:G6"/>
    <mergeCell ref="H5:H6"/>
    <mergeCell ref="I5:I6"/>
    <mergeCell ref="J5:J6"/>
    <mergeCell ref="K5:K6"/>
    <mergeCell ref="L5:L6"/>
    <mergeCell ref="F5:F6"/>
    <mergeCell ref="M5:M6"/>
    <mergeCell ref="N5:N6"/>
  </mergeCells>
  <printOptions horizontalCentered="1" verticalCentered="1"/>
  <pageMargins left="0" right="0" top="0" bottom="0" header="0" footer="0"/>
  <pageSetup scale="86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1B0D-3710-496D-B0BD-EA967A9981D0}">
  <sheetPr>
    <pageSetUpPr fitToPage="1"/>
  </sheetPr>
  <dimension ref="A1:P11"/>
  <sheetViews>
    <sheetView rightToLeft="1" view="pageLayout" topLeftCell="A2" zoomScale="85" zoomScaleNormal="100" zoomScalePageLayoutView="85" workbookViewId="0">
      <selection activeCell="L5" sqref="L5:L6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22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5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45" t="s">
        <v>297</v>
      </c>
      <c r="C5" s="42" t="s">
        <v>302</v>
      </c>
      <c r="D5" s="40" t="s">
        <v>22</v>
      </c>
      <c r="E5" s="40"/>
      <c r="F5" s="40">
        <v>1</v>
      </c>
      <c r="G5" s="40"/>
      <c r="H5" s="51" t="s">
        <v>303</v>
      </c>
      <c r="I5" s="51" t="s">
        <v>296</v>
      </c>
      <c r="J5" s="40" t="s">
        <v>22</v>
      </c>
      <c r="K5" s="40"/>
      <c r="L5" s="53">
        <f>SUMIFS([2]مرداد!$AF$4:$AF$800,[2]مرداد!$C$4:$C$800,"قالب تعمیری",[2]مرداد!$B$4:$B$800,B5,[2]مرداد!$H$4:$H$800,"*")+11</f>
        <v>11</v>
      </c>
      <c r="M5" s="63">
        <v>1721</v>
      </c>
      <c r="N5" s="42" t="s">
        <v>24</v>
      </c>
      <c r="O5" s="47"/>
      <c r="P5" s="48">
        <f>SUMIFS([2]مرداد!$AR$4:$AR$800,[2]مرداد!$C$4:$C$800,"قالب تعمیری",[2]مرداد!$B$4:$B$800,B5)</f>
        <v>8250000</v>
      </c>
    </row>
    <row r="6" spans="1:16" ht="39" customHeight="1" x14ac:dyDescent="0.25">
      <c r="A6" s="44"/>
      <c r="B6" s="46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39" customHeight="1" x14ac:dyDescent="0.25">
      <c r="A7" s="49">
        <v>2</v>
      </c>
      <c r="B7" s="45" t="s">
        <v>299</v>
      </c>
      <c r="C7" s="42" t="s">
        <v>302</v>
      </c>
      <c r="D7" s="40" t="s">
        <v>22</v>
      </c>
      <c r="E7" s="40"/>
      <c r="F7" s="40">
        <v>1</v>
      </c>
      <c r="G7" s="40"/>
      <c r="H7" s="51" t="s">
        <v>298</v>
      </c>
      <c r="I7" s="51" t="s">
        <v>298</v>
      </c>
      <c r="J7" s="40" t="s">
        <v>22</v>
      </c>
      <c r="K7" s="40"/>
      <c r="L7" s="53">
        <f>SUMIFS([2]مرداد!$AF$4:$AF$800,[2]مرداد!$C$4:$C$800,"قالب تعمیری",[2]مرداد!$B$4:$B$800,B7,[2]مرداد!$H$4:$H$800,"*")+1</f>
        <v>1</v>
      </c>
      <c r="M7" s="40">
        <v>1723</v>
      </c>
      <c r="N7" s="42" t="s">
        <v>24</v>
      </c>
      <c r="O7" s="47"/>
      <c r="P7" s="48">
        <f>SUMIFS([2]مرداد!$AR$4:$AR$800,[2]مرداد!$C$4:$C$800,"قالب تعمیری",[2]مرداد!$B$4:$B$800,B7)</f>
        <v>750000</v>
      </c>
    </row>
    <row r="8" spans="1:16" ht="39" customHeight="1" x14ac:dyDescent="0.25">
      <c r="A8" s="50"/>
      <c r="B8" s="46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39" customHeight="1" x14ac:dyDescent="0.25">
      <c r="A9" s="44">
        <v>3</v>
      </c>
      <c r="B9" s="45" t="s">
        <v>294</v>
      </c>
      <c r="C9" s="42" t="s">
        <v>19</v>
      </c>
      <c r="D9" s="40"/>
      <c r="E9" s="40"/>
      <c r="F9" s="40" t="s">
        <v>44</v>
      </c>
      <c r="G9" s="40"/>
      <c r="H9" s="51" t="s">
        <v>295</v>
      </c>
      <c r="I9" s="51" t="s">
        <v>295</v>
      </c>
      <c r="J9" s="40" t="s">
        <v>30</v>
      </c>
      <c r="K9" s="40" t="s">
        <v>304</v>
      </c>
      <c r="L9" s="53">
        <v>18.5</v>
      </c>
      <c r="M9" s="40"/>
      <c r="N9" s="42" t="s">
        <v>305</v>
      </c>
      <c r="O9" s="47"/>
      <c r="P9" s="48">
        <f>SUMIFS([2]مرداد!$AR$4:$AR$800,[2]مرداد!$C$4:$C$800,"قالب تعمیری",[2]مرداد!$B$4:$B$800,B9)</f>
        <v>13875000</v>
      </c>
    </row>
    <row r="10" spans="1:16" ht="39" customHeight="1" thickBot="1" x14ac:dyDescent="0.3">
      <c r="A10" s="44"/>
      <c r="B10" s="46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53.25" customHeight="1" thickBot="1" x14ac:dyDescent="0.3">
      <c r="A11" s="5"/>
      <c r="B11" s="56" t="s">
        <v>17</v>
      </c>
      <c r="C11" s="56"/>
      <c r="D11" s="56"/>
      <c r="E11" s="6"/>
      <c r="F11" s="6"/>
      <c r="G11" s="6"/>
      <c r="H11" s="6"/>
      <c r="I11" s="6"/>
      <c r="J11" s="6"/>
      <c r="K11" s="6"/>
      <c r="L11" s="7">
        <f>SUM(L5:L10)</f>
        <v>30.5</v>
      </c>
      <c r="M11" s="6"/>
      <c r="N11" s="6"/>
      <c r="O11" s="8">
        <f>SUM(O5:O10)</f>
        <v>0</v>
      </c>
      <c r="P11" s="9">
        <f>SUM(P5:P10)</f>
        <v>22875000</v>
      </c>
    </row>
  </sheetData>
  <mergeCells count="65"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F5:F6"/>
    <mergeCell ref="K3:K4"/>
    <mergeCell ref="L3:L4"/>
    <mergeCell ref="M3:M4"/>
    <mergeCell ref="N3:N4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O7:O8"/>
    <mergeCell ref="P7:P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K7:K8"/>
    <mergeCell ref="L7:L8"/>
    <mergeCell ref="M9:M10"/>
    <mergeCell ref="N9:N10"/>
    <mergeCell ref="B11:D11"/>
    <mergeCell ref="O9:O10"/>
    <mergeCell ref="P9:P10"/>
    <mergeCell ref="G9:G10"/>
    <mergeCell ref="H9:H10"/>
    <mergeCell ref="I9:I10"/>
    <mergeCell ref="J9:J10"/>
    <mergeCell ref="K9:K10"/>
    <mergeCell ref="L9:L10"/>
  </mergeCells>
  <printOptions horizontalCentered="1" verticalCentered="1"/>
  <pageMargins left="0" right="0" top="0" bottom="0" header="0" footer="0"/>
  <pageSetup scale="86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E8F5-8BE3-42B1-A2C2-73A30C0350EA}">
  <sheetPr>
    <pageSetUpPr fitToPage="1"/>
  </sheetPr>
  <dimension ref="A1:P9"/>
  <sheetViews>
    <sheetView rightToLeft="1" showWhiteSpace="0" view="pageLayout" zoomScale="85" zoomScaleNormal="100" zoomScalePageLayoutView="85" workbookViewId="0">
      <selection activeCell="P3" sqref="P3:P4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23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6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74" t="s">
        <v>306</v>
      </c>
      <c r="C5" s="42" t="s">
        <v>307</v>
      </c>
      <c r="D5" s="40" t="s">
        <v>22</v>
      </c>
      <c r="E5" s="40"/>
      <c r="F5" s="40"/>
      <c r="G5" s="40"/>
      <c r="H5" s="51" t="s">
        <v>309</v>
      </c>
      <c r="I5" s="51" t="s">
        <v>309</v>
      </c>
      <c r="J5" s="40" t="s">
        <v>22</v>
      </c>
      <c r="K5" s="40"/>
      <c r="L5" s="53">
        <f>SUMIFS([2]مرداد!$AF$4:$AF$800,[2]مرداد!$C$4:$C$800,"قالب تعمیری",[2]مرداد!$B$4:$B$800,B5,[2]مرداد!$H$4:$H$800,"*")+2</f>
        <v>2</v>
      </c>
      <c r="M5" s="63">
        <v>1724</v>
      </c>
      <c r="N5" s="42" t="s">
        <v>24</v>
      </c>
      <c r="O5" s="47"/>
      <c r="P5" s="48">
        <f>SUMIFS([2]مرداد!$AR$4:$AR$800,[2]مرداد!$C$4:$C$800,"قالب تعمیری",[2]مرداد!$B$4:$B$800,B5)</f>
        <v>1500000</v>
      </c>
    </row>
    <row r="6" spans="1:16" ht="39" customHeight="1" x14ac:dyDescent="0.25">
      <c r="A6" s="44"/>
      <c r="B6" s="75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39" customHeight="1" x14ac:dyDescent="0.25">
      <c r="A7" s="49">
        <v>2</v>
      </c>
      <c r="B7" s="45" t="s">
        <v>175</v>
      </c>
      <c r="C7" s="42" t="s">
        <v>19</v>
      </c>
      <c r="D7" s="40"/>
      <c r="E7" s="40"/>
      <c r="F7" s="40">
        <v>2</v>
      </c>
      <c r="G7" s="40"/>
      <c r="H7" s="51" t="s">
        <v>308</v>
      </c>
      <c r="I7" s="51" t="s">
        <v>308</v>
      </c>
      <c r="J7" s="40" t="s">
        <v>30</v>
      </c>
      <c r="K7" s="40" t="s">
        <v>55</v>
      </c>
      <c r="L7" s="53">
        <v>0.5</v>
      </c>
      <c r="M7" s="40"/>
      <c r="N7" s="42" t="s">
        <v>310</v>
      </c>
      <c r="O7" s="47"/>
      <c r="P7" s="48">
        <f>SUMIFS([2]شهریور!$AR$4:$AR$800,[2]شهریور!$C$4:$C$800,"قالب تعمیری",[2]شهریور!$B$4:$B$800,B7)</f>
        <v>29625000</v>
      </c>
    </row>
    <row r="8" spans="1:16" ht="39" customHeight="1" thickBot="1" x14ac:dyDescent="0.3">
      <c r="A8" s="50"/>
      <c r="B8" s="46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53.25" customHeight="1" thickBot="1" x14ac:dyDescent="0.3">
      <c r="A9" s="5"/>
      <c r="B9" s="56" t="s">
        <v>17</v>
      </c>
      <c r="C9" s="56"/>
      <c r="D9" s="56"/>
      <c r="E9" s="6"/>
      <c r="F9" s="6"/>
      <c r="G9" s="6"/>
      <c r="H9" s="6"/>
      <c r="I9" s="6"/>
      <c r="J9" s="6"/>
      <c r="K9" s="6"/>
      <c r="L9" s="7">
        <f>SUM(L5:L8)</f>
        <v>2.5</v>
      </c>
      <c r="M9" s="6"/>
      <c r="N9" s="6"/>
      <c r="O9" s="8">
        <f>SUM(O5:O8)</f>
        <v>0</v>
      </c>
      <c r="P9" s="9">
        <f>SUM(P5:P8)</f>
        <v>31125000</v>
      </c>
    </row>
  </sheetData>
  <mergeCells count="49">
    <mergeCell ref="B9:D9"/>
    <mergeCell ref="M7:M8"/>
    <mergeCell ref="N7:N8"/>
    <mergeCell ref="O7:O8"/>
    <mergeCell ref="P7:P8"/>
    <mergeCell ref="G7:G8"/>
    <mergeCell ref="H7:H8"/>
    <mergeCell ref="I7:I8"/>
    <mergeCell ref="J7:J8"/>
    <mergeCell ref="K7:K8"/>
    <mergeCell ref="L7:L8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6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A66F-2178-4F36-AD46-66DC985C487B}">
  <sheetPr>
    <pageSetUpPr fitToPage="1"/>
  </sheetPr>
  <dimension ref="A1:P9"/>
  <sheetViews>
    <sheetView rightToLeft="1" showWhiteSpace="0" view="pageLayout" zoomScale="85" zoomScaleNormal="100" zoomScalePageLayoutView="85" workbookViewId="0">
      <selection activeCell="L7" sqref="L7:L8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24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6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74" t="s">
        <v>175</v>
      </c>
      <c r="C5" s="42" t="s">
        <v>19</v>
      </c>
      <c r="D5" s="40"/>
      <c r="E5" s="40"/>
      <c r="F5" s="40"/>
      <c r="G5" s="40"/>
      <c r="H5" s="51" t="s">
        <v>311</v>
      </c>
      <c r="I5" s="51" t="s">
        <v>312</v>
      </c>
      <c r="J5" s="40" t="s">
        <v>30</v>
      </c>
      <c r="K5" s="40" t="s">
        <v>313</v>
      </c>
      <c r="L5" s="53">
        <f>SUMIFS([2]مرداد!$AF$4:$AF$800,[2]مرداد!$C$4:$C$800,"قالب تعمیری",[2]مرداد!$B$4:$B$800,B5,[2]مرداد!$H$4:$H$800,"*")+19.5</f>
        <v>19.5</v>
      </c>
      <c r="M5" s="63"/>
      <c r="N5" s="53">
        <f>P5-O5</f>
        <v>29250000</v>
      </c>
      <c r="O5" s="47"/>
      <c r="P5" s="48">
        <f>SUMIFS([2]مرداد!$AR$4:$AR$800,[2]مرداد!$C$4:$C$800,"قالب تعمیری",[2]مرداد!$B$4:$B$800,B5)-61625000</f>
        <v>29250000</v>
      </c>
    </row>
    <row r="6" spans="1:16" ht="39" customHeight="1" x14ac:dyDescent="0.25">
      <c r="A6" s="44"/>
      <c r="B6" s="75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39" customHeight="1" x14ac:dyDescent="0.25">
      <c r="A7" s="49">
        <v>2</v>
      </c>
      <c r="B7" s="45" t="s">
        <v>192</v>
      </c>
      <c r="C7" s="42" t="s">
        <v>19</v>
      </c>
      <c r="D7" s="40"/>
      <c r="E7" s="40"/>
      <c r="F7" s="40" t="s">
        <v>314</v>
      </c>
      <c r="G7" s="40"/>
      <c r="H7" s="51" t="s">
        <v>315</v>
      </c>
      <c r="I7" s="51" t="s">
        <v>315</v>
      </c>
      <c r="J7" s="40" t="s">
        <v>30</v>
      </c>
      <c r="K7" s="40" t="s">
        <v>186</v>
      </c>
      <c r="L7" s="53">
        <v>0.5</v>
      </c>
      <c r="M7" s="40"/>
      <c r="N7" s="42"/>
      <c r="O7" s="47"/>
      <c r="P7" s="48">
        <f>SUMIFS([2]شهریور!$AR$4:$AR$800,[2]شهریور!$C$4:$C$800,"قالب تعمیری",[2]شهریور!$B$4:$B$800,B7)</f>
        <v>2250000</v>
      </c>
    </row>
    <row r="8" spans="1:16" ht="39" customHeight="1" thickBot="1" x14ac:dyDescent="0.3">
      <c r="A8" s="50"/>
      <c r="B8" s="46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53.25" customHeight="1" thickBot="1" x14ac:dyDescent="0.3">
      <c r="A9" s="5"/>
      <c r="B9" s="56" t="s">
        <v>17</v>
      </c>
      <c r="C9" s="56"/>
      <c r="D9" s="56"/>
      <c r="E9" s="6"/>
      <c r="F9" s="6"/>
      <c r="G9" s="6"/>
      <c r="H9" s="6"/>
      <c r="I9" s="6"/>
      <c r="J9" s="6"/>
      <c r="K9" s="6"/>
      <c r="L9" s="7">
        <f>SUM(L5:L8)</f>
        <v>20</v>
      </c>
      <c r="M9" s="6"/>
      <c r="N9" s="6"/>
      <c r="O9" s="8">
        <f>SUM(O5:O8)</f>
        <v>0</v>
      </c>
      <c r="P9" s="9">
        <f>SUM(P5:P8)</f>
        <v>31500000</v>
      </c>
    </row>
  </sheetData>
  <mergeCells count="49">
    <mergeCell ref="O7:O8"/>
    <mergeCell ref="P7:P8"/>
    <mergeCell ref="B9:D9"/>
    <mergeCell ref="G7:G8"/>
    <mergeCell ref="H7:H8"/>
    <mergeCell ref="I7:I8"/>
    <mergeCell ref="J7:J8"/>
    <mergeCell ref="K7:K8"/>
    <mergeCell ref="L7:L8"/>
    <mergeCell ref="O5:O6"/>
    <mergeCell ref="P5:P6"/>
    <mergeCell ref="A7:A8"/>
    <mergeCell ref="B7:B8"/>
    <mergeCell ref="C7:C8"/>
    <mergeCell ref="D7:D8"/>
    <mergeCell ref="E7:E8"/>
    <mergeCell ref="F7:F8"/>
    <mergeCell ref="G5:G6"/>
    <mergeCell ref="H5:H6"/>
    <mergeCell ref="I5:I6"/>
    <mergeCell ref="J5:J6"/>
    <mergeCell ref="K5:K6"/>
    <mergeCell ref="L5:L6"/>
    <mergeCell ref="M7:M8"/>
    <mergeCell ref="N7:N8"/>
    <mergeCell ref="A5:A6"/>
    <mergeCell ref="B5:B6"/>
    <mergeCell ref="C5:C6"/>
    <mergeCell ref="D5:D6"/>
    <mergeCell ref="E5:E6"/>
    <mergeCell ref="F5:F6"/>
    <mergeCell ref="K3:K4"/>
    <mergeCell ref="L3:L4"/>
    <mergeCell ref="M3:M4"/>
    <mergeCell ref="N3:N4"/>
    <mergeCell ref="M5:M6"/>
    <mergeCell ref="N5:N6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</mergeCells>
  <printOptions horizontalCentered="1" verticalCentered="1"/>
  <pageMargins left="0" right="0" top="0" bottom="0" header="0" footer="0"/>
  <pageSetup scale="86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8993-E23C-40C8-BBC6-4826E0091A07}">
  <sheetPr>
    <pageSetUpPr fitToPage="1"/>
  </sheetPr>
  <dimension ref="A1:P17"/>
  <sheetViews>
    <sheetView rightToLeft="1" tabSelected="1" showWhiteSpace="0" view="pageLayout" topLeftCell="A10" zoomScale="85" zoomScaleNormal="100" zoomScalePageLayoutView="85" workbookViewId="0">
      <selection activeCell="L13" sqref="L13:L14"/>
    </sheetView>
  </sheetViews>
  <sheetFormatPr defaultRowHeight="15" x14ac:dyDescent="0.25"/>
  <cols>
    <col min="1" max="1" width="5.28515625" bestFit="1" customWidth="1"/>
    <col min="2" max="2" width="17" customWidth="1"/>
    <col min="3" max="3" width="11.28515625" customWidth="1"/>
    <col min="6" max="6" width="10.28515625" customWidth="1"/>
    <col min="16" max="16" width="11.85546875" bestFit="1" customWidth="1"/>
  </cols>
  <sheetData>
    <row r="1" spans="1:16" ht="36" customHeight="1" x14ac:dyDescent="0.25">
      <c r="A1" s="32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2" t="s">
        <v>21</v>
      </c>
      <c r="P1" s="14">
        <v>1405</v>
      </c>
    </row>
    <row r="2" spans="1:16" ht="3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" t="s">
        <v>20</v>
      </c>
      <c r="P2" s="4">
        <v>25</v>
      </c>
    </row>
    <row r="3" spans="1:16" ht="42" x14ac:dyDescent="0.25">
      <c r="A3" s="36" t="s">
        <v>0</v>
      </c>
      <c r="B3" s="38" t="s">
        <v>1</v>
      </c>
      <c r="C3" s="38" t="s">
        <v>2</v>
      </c>
      <c r="D3" s="38" t="s">
        <v>3</v>
      </c>
      <c r="E3" s="27" t="s">
        <v>4</v>
      </c>
      <c r="F3" s="38" t="s">
        <v>5</v>
      </c>
      <c r="G3" s="38" t="s">
        <v>6</v>
      </c>
      <c r="H3" s="38" t="s">
        <v>7</v>
      </c>
      <c r="I3" s="38" t="s">
        <v>8</v>
      </c>
      <c r="J3" s="38" t="s">
        <v>9</v>
      </c>
      <c r="K3" s="38" t="s">
        <v>10</v>
      </c>
      <c r="L3" s="38" t="s">
        <v>11</v>
      </c>
      <c r="M3" s="38" t="s">
        <v>12</v>
      </c>
      <c r="N3" s="38" t="s">
        <v>13</v>
      </c>
      <c r="O3" s="28" t="s">
        <v>14</v>
      </c>
      <c r="P3" s="58" t="s">
        <v>15</v>
      </c>
    </row>
    <row r="4" spans="1:16" ht="31.5" customHeight="1" thickBot="1" x14ac:dyDescent="0.3">
      <c r="A4" s="37"/>
      <c r="B4" s="39"/>
      <c r="C4" s="39"/>
      <c r="D4" s="39"/>
      <c r="E4" s="1" t="s">
        <v>16</v>
      </c>
      <c r="F4" s="39"/>
      <c r="G4" s="39"/>
      <c r="H4" s="39"/>
      <c r="I4" s="39"/>
      <c r="J4" s="39"/>
      <c r="K4" s="39"/>
      <c r="L4" s="39"/>
      <c r="M4" s="39"/>
      <c r="N4" s="39"/>
      <c r="O4" s="29"/>
      <c r="P4" s="59"/>
    </row>
    <row r="5" spans="1:16" ht="39" customHeight="1" x14ac:dyDescent="0.25">
      <c r="A5" s="44">
        <v>1</v>
      </c>
      <c r="B5" s="74" t="s">
        <v>106</v>
      </c>
      <c r="C5" s="42" t="s">
        <v>23</v>
      </c>
      <c r="D5" s="40" t="s">
        <v>22</v>
      </c>
      <c r="E5" s="40"/>
      <c r="F5" s="40"/>
      <c r="G5" s="40"/>
      <c r="H5" s="51" t="s">
        <v>319</v>
      </c>
      <c r="I5" s="51" t="s">
        <v>319</v>
      </c>
      <c r="J5" s="40" t="s">
        <v>23</v>
      </c>
      <c r="K5" s="40"/>
      <c r="L5" s="53">
        <f>SUMIFS([2]شهریور!$AF$4:$AF$800,[2]شهریور!$C$4:$C$800,"قالب تعمیری",[2]شهریور!$B$4:$B$800,B5,[2]شهریور!$H$4:$H$800,1)</f>
        <v>1</v>
      </c>
      <c r="M5" s="63"/>
      <c r="N5" s="53" t="s">
        <v>24</v>
      </c>
      <c r="O5" s="47"/>
      <c r="P5" s="48">
        <f>SUMIFS([2]شهریور!$AR$4:$AR$800,[2]شهریور!$C$4:$C$800,"قالب تعمیری",[2]شهریور!$B$4:$B$800,B5)</f>
        <v>750000</v>
      </c>
    </row>
    <row r="6" spans="1:16" ht="39" customHeight="1" x14ac:dyDescent="0.25">
      <c r="A6" s="44"/>
      <c r="B6" s="75"/>
      <c r="C6" s="43"/>
      <c r="D6" s="41"/>
      <c r="E6" s="41"/>
      <c r="F6" s="41"/>
      <c r="G6" s="41"/>
      <c r="H6" s="52"/>
      <c r="I6" s="52"/>
      <c r="J6" s="41"/>
      <c r="K6" s="41"/>
      <c r="L6" s="54"/>
      <c r="M6" s="41"/>
      <c r="N6" s="43"/>
      <c r="O6" s="47"/>
      <c r="P6" s="48"/>
    </row>
    <row r="7" spans="1:16" ht="39" customHeight="1" x14ac:dyDescent="0.25">
      <c r="A7" s="44">
        <v>2</v>
      </c>
      <c r="B7" s="74" t="s">
        <v>316</v>
      </c>
      <c r="C7" s="42" t="s">
        <v>18</v>
      </c>
      <c r="D7" s="40"/>
      <c r="E7" s="40"/>
      <c r="F7" s="40">
        <v>1</v>
      </c>
      <c r="G7" s="40"/>
      <c r="H7" s="51" t="s">
        <v>317</v>
      </c>
      <c r="I7" s="51" t="s">
        <v>318</v>
      </c>
      <c r="J7" s="40" t="s">
        <v>30</v>
      </c>
      <c r="K7" s="40"/>
      <c r="L7" s="53">
        <f>SUMIFS([2]شهریور!$AF$4:$AF$800,[2]شهریور!$C$4:$C$800,"قالب تعمیری",[2]شهریور!$B$4:$B$800,B7,[2]شهریور!$H$4:$H$800,1)</f>
        <v>7</v>
      </c>
      <c r="M7" s="55"/>
      <c r="N7" s="53" t="s">
        <v>321</v>
      </c>
      <c r="O7" s="47"/>
      <c r="P7" s="48">
        <f>SUMIFS([2]شهریور!$AR$4:$AR$800,[2]شهریور!$C$4:$C$800,"قالب تعمیری",[2]شهریور!$B$4:$B$800,B7)</f>
        <v>5250000</v>
      </c>
    </row>
    <row r="8" spans="1:16" ht="39" customHeight="1" x14ac:dyDescent="0.25">
      <c r="A8" s="44"/>
      <c r="B8" s="75"/>
      <c r="C8" s="43"/>
      <c r="D8" s="41"/>
      <c r="E8" s="41"/>
      <c r="F8" s="41"/>
      <c r="G8" s="41"/>
      <c r="H8" s="52"/>
      <c r="I8" s="52"/>
      <c r="J8" s="41"/>
      <c r="K8" s="41"/>
      <c r="L8" s="54"/>
      <c r="M8" s="41"/>
      <c r="N8" s="43"/>
      <c r="O8" s="47"/>
      <c r="P8" s="48"/>
    </row>
    <row r="9" spans="1:16" ht="39" customHeight="1" x14ac:dyDescent="0.25">
      <c r="A9" s="44">
        <v>3</v>
      </c>
      <c r="B9" s="74" t="s">
        <v>188</v>
      </c>
      <c r="C9" s="42" t="s">
        <v>19</v>
      </c>
      <c r="D9" s="40"/>
      <c r="E9" s="40"/>
      <c r="F9" s="40" t="s">
        <v>189</v>
      </c>
      <c r="G9" s="40"/>
      <c r="H9" s="51" t="s">
        <v>319</v>
      </c>
      <c r="I9" s="51" t="s">
        <v>319</v>
      </c>
      <c r="J9" s="40" t="s">
        <v>30</v>
      </c>
      <c r="K9" s="40" t="s">
        <v>323</v>
      </c>
      <c r="L9" s="53">
        <f>SUMIFS([2]شهریور!$AF$4:$AF$800,[2]شهریور!$C$4:$C$800,"قالب تعمیری",[2]شهریور!$B$4:$B$800,B9,[2]شهریور!$H$4:$H$800,F9)</f>
        <v>7</v>
      </c>
      <c r="M9" s="55"/>
      <c r="N9" s="53" t="s">
        <v>324</v>
      </c>
      <c r="O9" s="47"/>
      <c r="P9" s="48">
        <f>SUMIFS([2]شهریور!$AR$4:$AR$800,[2]شهریور!$C$4:$C$800,"قالب تعمیری",[2]شهریور!$B$4:$B$800,B9)</f>
        <v>3000000</v>
      </c>
    </row>
    <row r="10" spans="1:16" ht="39" customHeight="1" x14ac:dyDescent="0.25">
      <c r="A10" s="44"/>
      <c r="B10" s="75"/>
      <c r="C10" s="43"/>
      <c r="D10" s="41"/>
      <c r="E10" s="41"/>
      <c r="F10" s="41"/>
      <c r="G10" s="41"/>
      <c r="H10" s="52"/>
      <c r="I10" s="52"/>
      <c r="J10" s="41"/>
      <c r="K10" s="41"/>
      <c r="L10" s="54"/>
      <c r="M10" s="41"/>
      <c r="N10" s="43"/>
      <c r="O10" s="47"/>
      <c r="P10" s="48"/>
    </row>
    <row r="11" spans="1:16" ht="39" customHeight="1" x14ac:dyDescent="0.25">
      <c r="A11" s="44">
        <v>4</v>
      </c>
      <c r="B11" s="45" t="s">
        <v>320</v>
      </c>
      <c r="C11" s="42" t="s">
        <v>23</v>
      </c>
      <c r="D11" s="40" t="s">
        <v>22</v>
      </c>
      <c r="E11" s="40"/>
      <c r="F11" s="40">
        <v>0</v>
      </c>
      <c r="G11" s="40"/>
      <c r="H11" s="51" t="s">
        <v>318</v>
      </c>
      <c r="I11" s="51" t="s">
        <v>318</v>
      </c>
      <c r="J11" s="40" t="s">
        <v>23</v>
      </c>
      <c r="K11" s="40"/>
      <c r="L11" s="53">
        <f>SUMIFS([2]شهریور!$AF$4:$AF$800,[2]شهریور!$C$4:$C$800,"قالب تعمیری",[2]شهریور!$B$4:$B$800,B11,[2]شهریور!$H$4:$H$800,1)</f>
        <v>5.5</v>
      </c>
      <c r="M11" s="40"/>
      <c r="N11" s="42" t="s">
        <v>322</v>
      </c>
      <c r="O11" s="47"/>
      <c r="P11" s="48">
        <f>SUMIFS([2]شهریور!$AR$4:$AR$800,[2]شهریور!$C$4:$C$800,"قالب تعمیری",[2]شهریور!$B$4:$B$800,B11)</f>
        <v>4125000</v>
      </c>
    </row>
    <row r="12" spans="1:16" ht="39" customHeight="1" x14ac:dyDescent="0.25">
      <c r="A12" s="44"/>
      <c r="B12" s="46"/>
      <c r="C12" s="43"/>
      <c r="D12" s="41"/>
      <c r="E12" s="41"/>
      <c r="F12" s="41"/>
      <c r="G12" s="41"/>
      <c r="H12" s="52"/>
      <c r="I12" s="52"/>
      <c r="J12" s="41"/>
      <c r="K12" s="41"/>
      <c r="L12" s="54"/>
      <c r="M12" s="41"/>
      <c r="N12" s="43"/>
      <c r="O12" s="47"/>
      <c r="P12" s="48"/>
    </row>
    <row r="13" spans="1:16" ht="39" customHeight="1" x14ac:dyDescent="0.25">
      <c r="A13" s="44">
        <v>5</v>
      </c>
      <c r="B13" s="45" t="s">
        <v>329</v>
      </c>
      <c r="C13" s="42" t="s">
        <v>23</v>
      </c>
      <c r="D13" s="40" t="s">
        <v>22</v>
      </c>
      <c r="E13" s="40"/>
      <c r="F13" s="40" t="s">
        <v>330</v>
      </c>
      <c r="G13" s="40"/>
      <c r="H13" s="51" t="s">
        <v>318</v>
      </c>
      <c r="I13" s="51" t="s">
        <v>318</v>
      </c>
      <c r="J13" s="40" t="s">
        <v>23</v>
      </c>
      <c r="K13" s="40"/>
      <c r="L13" s="53">
        <f>SUMIFS([2]شهریور!$AF$4:$AF$800,[2]شهریور!$C$4:$C$800,"قالب تعمیری",[2]شهریور!$B$4:$B$800,B13,[2]شهریور!$H$4:$H$800,F13)</f>
        <v>51</v>
      </c>
      <c r="M13" s="40"/>
      <c r="N13" s="42" t="s">
        <v>322</v>
      </c>
      <c r="O13" s="47"/>
      <c r="P13" s="48">
        <f>SUMIFS([2]شهریور!$AR$4:$AR$800,[2]شهریور!$C$4:$C$800,"قالب تعمیری",[2]شهریور!$B$4:$B$800,B13)</f>
        <v>56625000</v>
      </c>
    </row>
    <row r="14" spans="1:16" ht="39" customHeight="1" x14ac:dyDescent="0.25">
      <c r="A14" s="44"/>
      <c r="B14" s="46"/>
      <c r="C14" s="43"/>
      <c r="D14" s="41"/>
      <c r="E14" s="41"/>
      <c r="F14" s="41"/>
      <c r="G14" s="41"/>
      <c r="H14" s="52"/>
      <c r="I14" s="52"/>
      <c r="J14" s="41"/>
      <c r="K14" s="41"/>
      <c r="L14" s="54"/>
      <c r="M14" s="41"/>
      <c r="N14" s="43"/>
      <c r="O14" s="47"/>
      <c r="P14" s="48"/>
    </row>
    <row r="15" spans="1:16" ht="39" customHeight="1" x14ac:dyDescent="0.25">
      <c r="A15" s="44">
        <v>6</v>
      </c>
      <c r="B15" s="45" t="s">
        <v>325</v>
      </c>
      <c r="C15" s="42" t="s">
        <v>23</v>
      </c>
      <c r="D15" s="40" t="s">
        <v>22</v>
      </c>
      <c r="E15" s="40"/>
      <c r="F15" s="40">
        <v>1</v>
      </c>
      <c r="G15" s="40"/>
      <c r="H15" s="51" t="s">
        <v>311</v>
      </c>
      <c r="I15" s="51" t="s">
        <v>326</v>
      </c>
      <c r="J15" s="40" t="s">
        <v>23</v>
      </c>
      <c r="K15" s="40" t="s">
        <v>327</v>
      </c>
      <c r="L15" s="53">
        <f>SUMIFS([2]شهریور!$AF$4:$AF$800,[2]شهریور!$C$4:$C$800,"قالب تعمیری",[2]شهریور!$B$4:$B$800,B15,[2]شهریور!$H$4:$H$800,1)</f>
        <v>30</v>
      </c>
      <c r="M15" s="40">
        <v>1722</v>
      </c>
      <c r="N15" s="42" t="s">
        <v>328</v>
      </c>
      <c r="O15" s="47"/>
      <c r="P15" s="48">
        <f>SUMIFS([2]شهریور!$AR$4:$AR$800,[2]شهریور!$C$4:$C$800,"قالب تعمیری",[2]شهریور!$B$4:$B$800,B15)</f>
        <v>27750000</v>
      </c>
    </row>
    <row r="16" spans="1:16" ht="39" customHeight="1" thickBot="1" x14ac:dyDescent="0.3">
      <c r="A16" s="44"/>
      <c r="B16" s="46"/>
      <c r="C16" s="43"/>
      <c r="D16" s="41"/>
      <c r="E16" s="41"/>
      <c r="F16" s="41"/>
      <c r="G16" s="41"/>
      <c r="H16" s="52"/>
      <c r="I16" s="52"/>
      <c r="J16" s="41"/>
      <c r="K16" s="41"/>
      <c r="L16" s="54"/>
      <c r="M16" s="41"/>
      <c r="N16" s="43"/>
      <c r="O16" s="47"/>
      <c r="P16" s="48"/>
    </row>
    <row r="17" spans="1:16" ht="53.25" customHeight="1" thickBot="1" x14ac:dyDescent="0.3">
      <c r="A17" s="5"/>
      <c r="B17" s="56" t="s">
        <v>17</v>
      </c>
      <c r="C17" s="56"/>
      <c r="D17" s="56"/>
      <c r="E17" s="6"/>
      <c r="F17" s="6"/>
      <c r="G17" s="6"/>
      <c r="H17" s="6"/>
      <c r="I17" s="6"/>
      <c r="J17" s="6"/>
      <c r="K17" s="6"/>
      <c r="L17" s="7">
        <f>SUM(L5:L16)</f>
        <v>101.5</v>
      </c>
      <c r="M17" s="6"/>
      <c r="N17" s="6"/>
      <c r="O17" s="8">
        <f>SUM(O5:O16)</f>
        <v>0</v>
      </c>
      <c r="P17" s="9">
        <f>SUM(P5:P16)</f>
        <v>97500000</v>
      </c>
    </row>
  </sheetData>
  <mergeCells count="113">
    <mergeCell ref="A13:A14"/>
    <mergeCell ref="P11:P12"/>
    <mergeCell ref="A11:A12"/>
    <mergeCell ref="P15:P16"/>
    <mergeCell ref="A15:A16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O9:O10"/>
    <mergeCell ref="P9:P10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J9:J10"/>
    <mergeCell ref="K9:K10"/>
    <mergeCell ref="L9:L10"/>
    <mergeCell ref="M9:M10"/>
    <mergeCell ref="N9:N10"/>
    <mergeCell ref="E9:E10"/>
    <mergeCell ref="F9:F10"/>
    <mergeCell ref="G9:G10"/>
    <mergeCell ref="H9:H10"/>
    <mergeCell ref="I9:I10"/>
    <mergeCell ref="A7:A8"/>
    <mergeCell ref="A9:A10"/>
    <mergeCell ref="B9:B10"/>
    <mergeCell ref="C9:C10"/>
    <mergeCell ref="D9:D10"/>
    <mergeCell ref="L7:L8"/>
    <mergeCell ref="M7:M8"/>
    <mergeCell ref="N7:N8"/>
    <mergeCell ref="O7:O8"/>
    <mergeCell ref="P7:P8"/>
    <mergeCell ref="G7:G8"/>
    <mergeCell ref="H7:H8"/>
    <mergeCell ref="I7:I8"/>
    <mergeCell ref="J7:J8"/>
    <mergeCell ref="K7:K8"/>
    <mergeCell ref="B7:B8"/>
    <mergeCell ref="C7:C8"/>
    <mergeCell ref="D7:D8"/>
    <mergeCell ref="E7:E8"/>
    <mergeCell ref="F7:F8"/>
    <mergeCell ref="O3:O4"/>
    <mergeCell ref="P3:P4"/>
    <mergeCell ref="A1:N2"/>
    <mergeCell ref="A3:A4"/>
    <mergeCell ref="B3:B4"/>
    <mergeCell ref="C3:C4"/>
    <mergeCell ref="D3:D4"/>
    <mergeCell ref="F3:F4"/>
    <mergeCell ref="G3:G4"/>
    <mergeCell ref="H3:H4"/>
    <mergeCell ref="I3:I4"/>
    <mergeCell ref="J3:J4"/>
    <mergeCell ref="F5:F6"/>
    <mergeCell ref="K3:K4"/>
    <mergeCell ref="L3:L4"/>
    <mergeCell ref="M3:M4"/>
    <mergeCell ref="N3:N4"/>
    <mergeCell ref="A5:A6"/>
    <mergeCell ref="B5:B6"/>
    <mergeCell ref="C5:C6"/>
    <mergeCell ref="D5:D6"/>
    <mergeCell ref="E5:E6"/>
    <mergeCell ref="M5:M6"/>
    <mergeCell ref="N5:N6"/>
    <mergeCell ref="O5:O6"/>
    <mergeCell ref="P5:P6"/>
    <mergeCell ref="G5:G6"/>
    <mergeCell ref="H5:H6"/>
    <mergeCell ref="I5:I6"/>
    <mergeCell ref="J5:J6"/>
    <mergeCell ref="K5:K6"/>
    <mergeCell ref="L5:L6"/>
    <mergeCell ref="M13:M14"/>
    <mergeCell ref="N13:N14"/>
    <mergeCell ref="O13:O14"/>
    <mergeCell ref="P13:P14"/>
    <mergeCell ref="B17:D17"/>
    <mergeCell ref="G13:G14"/>
    <mergeCell ref="H13:H14"/>
    <mergeCell ref="I13:I14"/>
    <mergeCell ref="J13:J14"/>
    <mergeCell ref="K13:K14"/>
    <mergeCell ref="L13:L14"/>
    <mergeCell ref="B13:B14"/>
    <mergeCell ref="C13:C14"/>
    <mergeCell ref="D13:D14"/>
    <mergeCell ref="E13:E14"/>
    <mergeCell ref="F13:F14"/>
  </mergeCells>
  <printOptions horizontalCentered="1" verticalCentered="1"/>
  <pageMargins left="0" right="0" top="0" bottom="0" header="0" footer="0"/>
  <pageSetup scale="86" fitToHeight="0" orientation="landscape" r:id="rId1"/>
  <ignoredErrors>
    <ignoredError sqref="L9 L11 L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2026-09-14T11:24:03Z</cp:lastPrinted>
  <dcterms:created xsi:type="dcterms:W3CDTF">2025-04-08T08:59:05Z</dcterms:created>
  <dcterms:modified xsi:type="dcterms:W3CDTF">2026-09-14T12:16:43Z</dcterms:modified>
</cp:coreProperties>
</file>