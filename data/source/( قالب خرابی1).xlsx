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6BFE4898-72FF-4F3F-9613-927878FDA6FE}" xr6:coauthVersionLast="47" xr6:coauthVersionMax="47" xr10:uidLastSave="{00000000-0000-0000-0000-000000000000}"/>
  <bookViews>
    <workbookView xWindow="-120" yWindow="-120" windowWidth="24240" windowHeight="13020" firstSheet="17" activeTab="23" xr2:uid="{803D1134-E2D9-48EC-8881-37AAAD714B4E}"/>
  </bookViews>
  <sheets>
    <sheet name="2" sheetId="70" r:id="rId1"/>
    <sheet name="3" sheetId="51" r:id="rId2"/>
    <sheet name="4" sheetId="71" r:id="rId3"/>
    <sheet name="5" sheetId="72" r:id="rId4"/>
    <sheet name="6" sheetId="73" r:id="rId5"/>
    <sheet name="7" sheetId="74" r:id="rId6"/>
    <sheet name="8" sheetId="75" r:id="rId7"/>
    <sheet name="9" sheetId="76" r:id="rId8"/>
    <sheet name="10" sheetId="77" r:id="rId9"/>
    <sheet name="11" sheetId="78" r:id="rId10"/>
    <sheet name="12" sheetId="79" r:id="rId11"/>
    <sheet name="13" sheetId="80" r:id="rId12"/>
    <sheet name="14" sheetId="81" r:id="rId13"/>
    <sheet name="15" sheetId="82" r:id="rId14"/>
    <sheet name="16" sheetId="83" r:id="rId15"/>
    <sheet name="17" sheetId="84" r:id="rId16"/>
    <sheet name="18" sheetId="85" r:id="rId17"/>
    <sheet name="19" sheetId="86" r:id="rId18"/>
    <sheet name="20" sheetId="87" r:id="rId19"/>
    <sheet name="21" sheetId="88" r:id="rId20"/>
    <sheet name="22" sheetId="89" r:id="rId21"/>
    <sheet name="23" sheetId="90" r:id="rId22"/>
    <sheet name="24" sheetId="91" r:id="rId23"/>
    <sheet name="25" sheetId="92" r:id="rId24"/>
  </sheets>
  <definedNames>
    <definedName name="_xlnm.Print_Titles" localSheetId="8">'10'!$1:$3</definedName>
    <definedName name="_xlnm.Print_Titles" localSheetId="9">'11'!$1:$3</definedName>
    <definedName name="_xlnm.Print_Titles" localSheetId="10">'12'!$1:$3</definedName>
    <definedName name="_xlnm.Print_Titles" localSheetId="11">'13'!$1:$3</definedName>
    <definedName name="_xlnm.Print_Titles" localSheetId="12">'14'!$1:$3</definedName>
    <definedName name="_xlnm.Print_Titles" localSheetId="13">'15'!$1:$3</definedName>
    <definedName name="_xlnm.Print_Titles" localSheetId="14">'16'!$1:$3</definedName>
    <definedName name="_xlnm.Print_Titles" localSheetId="15">'17'!$1:$3</definedName>
    <definedName name="_xlnm.Print_Titles" localSheetId="16">'18'!$1:$3</definedName>
    <definedName name="_xlnm.Print_Titles" localSheetId="17">'19'!$1:$3</definedName>
    <definedName name="_xlnm.Print_Titles" localSheetId="0">'2'!$1:$3</definedName>
    <definedName name="_xlnm.Print_Titles" localSheetId="18">'20'!$1:$3</definedName>
    <definedName name="_xlnm.Print_Titles" localSheetId="19">'21'!$1:$3</definedName>
    <definedName name="_xlnm.Print_Titles" localSheetId="20">'22'!$1:$3</definedName>
    <definedName name="_xlnm.Print_Titles" localSheetId="21">'23'!$1:$3</definedName>
    <definedName name="_xlnm.Print_Titles" localSheetId="22">'24'!$1:$3</definedName>
    <definedName name="_xlnm.Print_Titles" localSheetId="23">'25'!$1:$3</definedName>
    <definedName name="_xlnm.Print_Titles" localSheetId="1">'3'!$1:$3</definedName>
    <definedName name="_xlnm.Print_Titles" localSheetId="2">'4'!$1:$3</definedName>
    <definedName name="_xlnm.Print_Titles" localSheetId="3">'5'!$1:$3</definedName>
    <definedName name="_xlnm.Print_Titles" localSheetId="4">'6'!$1:$3</definedName>
    <definedName name="_xlnm.Print_Titles" localSheetId="5">'7'!$1:$3</definedName>
    <definedName name="_xlnm.Print_Titles" localSheetId="6">'8'!$1:$3</definedName>
    <definedName name="_xlnm.Print_Titles" localSheetId="7">'9'!$1:$3</definedName>
  </definedNames>
  <calcPr calcId="191029" calcMode="autoNoTable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92" l="1"/>
  <c r="P26" i="91" l="1"/>
  <c r="P26" i="90" l="1"/>
  <c r="P26" i="89" l="1"/>
  <c r="P22" i="88"/>
  <c r="P22" i="87" l="1"/>
  <c r="P22" i="86" l="1"/>
  <c r="P20" i="85"/>
  <c r="P20" i="84" l="1"/>
  <c r="P22" i="83" l="1"/>
  <c r="P24" i="82" l="1"/>
  <c r="P26" i="81" l="1"/>
  <c r="P30" i="80"/>
  <c r="P32" i="79" l="1"/>
  <c r="P30" i="78"/>
  <c r="P30" i="77"/>
  <c r="P32" i="76"/>
  <c r="P32" i="75"/>
  <c r="P36" i="74"/>
  <c r="P34" i="73"/>
  <c r="P32" i="72"/>
  <c r="P32" i="71"/>
  <c r="P38" i="70"/>
  <c r="P34" i="51" l="1"/>
</calcChain>
</file>

<file path=xl/sharedStrings.xml><?xml version="1.0" encoding="utf-8"?>
<sst xmlns="http://schemas.openxmlformats.org/spreadsheetml/2006/main" count="2477" uniqueCount="166">
  <si>
    <t>ردیف</t>
  </si>
  <si>
    <t>نام قالب</t>
  </si>
  <si>
    <t>نام اپراتور</t>
  </si>
  <si>
    <t>تعداد ضرب</t>
  </si>
  <si>
    <t>شماره قالب</t>
  </si>
  <si>
    <t>شماره دستگاه</t>
  </si>
  <si>
    <t>شماره نامه</t>
  </si>
  <si>
    <t>تاریخ دریافت</t>
  </si>
  <si>
    <t xml:space="preserve">تاریخ تحویل </t>
  </si>
  <si>
    <t>علت تاخیر در تحویل</t>
  </si>
  <si>
    <t>روزهای دیر کرد</t>
  </si>
  <si>
    <t>مواد تامین شده</t>
  </si>
  <si>
    <t>عنوان خرابی</t>
  </si>
  <si>
    <t>علت خرابی</t>
  </si>
  <si>
    <t>نظر کارشناس قالب سازی</t>
  </si>
  <si>
    <t>میل راهنما</t>
  </si>
  <si>
    <t>اپراتور</t>
  </si>
  <si>
    <t>قیمت پیش بینی جهت تعمیر
(تومان)</t>
  </si>
  <si>
    <t>مجموع</t>
  </si>
  <si>
    <t>Date</t>
  </si>
  <si>
    <t>Weeks</t>
  </si>
  <si>
    <t>1404/02/10</t>
  </si>
  <si>
    <t>1404/03/30</t>
  </si>
  <si>
    <t>اصلاح و ابکاری</t>
  </si>
  <si>
    <t>پخت کلاچ 309 سوراخدار</t>
  </si>
  <si>
    <t>ترابوزا</t>
  </si>
  <si>
    <t>پخت کلاچ پیکان</t>
  </si>
  <si>
    <t>لهیدگی</t>
  </si>
  <si>
    <t>پخت کلاچ پراید</t>
  </si>
  <si>
    <t>مترو K</t>
  </si>
  <si>
    <t>عقب بنز 74</t>
  </si>
  <si>
    <t>MC30241-05s</t>
  </si>
  <si>
    <t>1404/08/28</t>
  </si>
  <si>
    <t>راه خدا اسدی</t>
  </si>
  <si>
    <t>صفحه بالای قالب</t>
  </si>
  <si>
    <t>پولیش و قلاویز سوراخ ، برسی سقف قالب</t>
  </si>
  <si>
    <t>تابیدگی صفحه قالب</t>
  </si>
  <si>
    <r>
      <t xml:space="preserve">       </t>
    </r>
    <r>
      <rPr>
        <sz val="22"/>
        <color theme="1"/>
        <rFont val="Baskerville Old Face"/>
        <family val="1"/>
      </rPr>
      <t>Mold under repair</t>
    </r>
  </si>
  <si>
    <t>1404/11/15</t>
  </si>
  <si>
    <t>1404/11/11</t>
  </si>
  <si>
    <t>MC30241-08s</t>
  </si>
  <si>
    <t>پوکی زیاد</t>
  </si>
  <si>
    <t>1404/12/26</t>
  </si>
  <si>
    <t>MH19562-01P</t>
  </si>
  <si>
    <t>1405/02/20</t>
  </si>
  <si>
    <t>STOP
میل راهنما</t>
  </si>
  <si>
    <t>پخت کلاچ پژو</t>
  </si>
  <si>
    <t>MC30243-07S</t>
  </si>
  <si>
    <t>1404/12/05</t>
  </si>
  <si>
    <t>1405/03/20</t>
  </si>
  <si>
    <t>MC30241-04s</t>
  </si>
  <si>
    <t>1404/12/24</t>
  </si>
  <si>
    <t>تامین متریال
خرابی سنگ مغناطیسی</t>
  </si>
  <si>
    <t>MC30250-01S</t>
  </si>
  <si>
    <t>1404/12/03</t>
  </si>
  <si>
    <t>ماتریس</t>
  </si>
  <si>
    <t>شکستن ماتریس</t>
  </si>
  <si>
    <t>تعویض و اصلاح ماتریس جدید</t>
  </si>
  <si>
    <t>عقب ولوو سوپر</t>
  </si>
  <si>
    <t>1405/01/22</t>
  </si>
  <si>
    <t xml:space="preserve">Matrix
Top Plate
Botton Plate
Guide Rod
Stoper
</t>
  </si>
  <si>
    <t>MC30243-02S</t>
  </si>
  <si>
    <t>MC30243-03S</t>
  </si>
  <si>
    <t>MC30243-04S</t>
  </si>
  <si>
    <t>MC30241-02s</t>
  </si>
  <si>
    <t>MC30241-06s</t>
  </si>
  <si>
    <t>mc30246-01s</t>
  </si>
  <si>
    <t>mc30246-07s</t>
  </si>
  <si>
    <t>mc30246-02s</t>
  </si>
  <si>
    <t>mc30246-08s</t>
  </si>
  <si>
    <t>MC30243-10S</t>
  </si>
  <si>
    <t>404/د/05</t>
  </si>
  <si>
    <t>407/د/05</t>
  </si>
  <si>
    <t>پراید خاردار</t>
  </si>
  <si>
    <t>شیم ربو</t>
  </si>
  <si>
    <t>1405/01/19</t>
  </si>
  <si>
    <t>اصلاح سنبه و ماتریس</t>
  </si>
  <si>
    <t>سنگ زنی</t>
  </si>
  <si>
    <t xml:space="preserve"> MT30163</t>
  </si>
  <si>
    <t>05/
د
/1306</t>
  </si>
  <si>
    <t>1405/02/07</t>
  </si>
  <si>
    <t>1405/02/15</t>
  </si>
  <si>
    <t>خرابی رزوه</t>
  </si>
  <si>
    <t>خرابی</t>
  </si>
  <si>
    <t>05/د/1314</t>
  </si>
  <si>
    <t>MH19487</t>
  </si>
  <si>
    <t>نیسان آریا</t>
  </si>
  <si>
    <t xml:space="preserve">FD30303 </t>
  </si>
  <si>
    <t>1405/02/17</t>
  </si>
  <si>
    <t>05/
د
/1745</t>
  </si>
  <si>
    <t>1405/04/01</t>
  </si>
  <si>
    <t>صفحه زیر</t>
  </si>
  <si>
    <t>لهیدگی صفحه</t>
  </si>
  <si>
    <t>لب پر شدن لنت تولیدی</t>
  </si>
  <si>
    <t>اصلاح</t>
  </si>
  <si>
    <t>ML21355-01S</t>
  </si>
  <si>
    <t>05/
د
/624</t>
  </si>
  <si>
    <t>1405/01/24</t>
  </si>
  <si>
    <t>1405/02/30</t>
  </si>
  <si>
    <t>لهیدگی کف</t>
  </si>
  <si>
    <t>1405/03/30</t>
  </si>
  <si>
    <t>قالب ولوو سوپر</t>
  </si>
  <si>
    <t>قالب عقب F12</t>
  </si>
  <si>
    <t>لهدیگی</t>
  </si>
  <si>
    <t>توقب بعلت خرابی سنگ</t>
  </si>
  <si>
    <t>1405/02/10</t>
  </si>
  <si>
    <t>ساخت Matrix جدید</t>
  </si>
  <si>
    <t>1405/03/18</t>
  </si>
  <si>
    <t>1405/04/18</t>
  </si>
  <si>
    <t>کوبه نک قطاری</t>
  </si>
  <si>
    <t>خیالی</t>
  </si>
  <si>
    <t>01S</t>
  </si>
  <si>
    <t>1405/03/24</t>
  </si>
  <si>
    <t>1405/04/05</t>
  </si>
  <si>
    <t>شکستن سنبه</t>
  </si>
  <si>
    <t xml:space="preserve">Manfrel
</t>
  </si>
  <si>
    <t>1405/04/30</t>
  </si>
  <si>
    <t>1405/04/25</t>
  </si>
  <si>
    <t>قالب قطاری</t>
  </si>
  <si>
    <t>1405/04/08</t>
  </si>
  <si>
    <t>1405/04/20</t>
  </si>
  <si>
    <t>پیچ</t>
  </si>
  <si>
    <t>پیچ بریدگی</t>
  </si>
  <si>
    <t xml:space="preserve">اصلاح </t>
  </si>
  <si>
    <t>MT30158-01S</t>
  </si>
  <si>
    <t>قالب پخت SAF</t>
  </si>
  <si>
    <t>1405/05/30</t>
  </si>
  <si>
    <t>کارکرد ، مواد اولیه</t>
  </si>
  <si>
    <t>Matrixs دچار خوردگی شده( نیاز به جوشکاری و عملیات اصلاحی دارد)</t>
  </si>
  <si>
    <t>عقب سمند سورن</t>
  </si>
  <si>
    <t>وایر Mandrel ساخت پشت سمبه ای</t>
  </si>
  <si>
    <t>جلو ریو</t>
  </si>
  <si>
    <t>ML23873-03S</t>
  </si>
  <si>
    <t>1405/04/28</t>
  </si>
  <si>
    <t>1405/05/10</t>
  </si>
  <si>
    <t>خرابی ست قالب</t>
  </si>
  <si>
    <t>خرابی و خوردگی کف قالب</t>
  </si>
  <si>
    <t>MC30250-02S</t>
  </si>
  <si>
    <t>1405/05/03</t>
  </si>
  <si>
    <t>1405/06/28</t>
  </si>
  <si>
    <t xml:space="preserve">Pin connector
Guide Rod </t>
  </si>
  <si>
    <t>پخت کلاچ لندکروز</t>
  </si>
  <si>
    <t>MC30276-01S</t>
  </si>
  <si>
    <t>1405/06/20</t>
  </si>
  <si>
    <t>فوتون 107</t>
  </si>
  <si>
    <t>MS29983-01S</t>
  </si>
  <si>
    <t>1405/05/07</t>
  </si>
  <si>
    <t>1405/07/10</t>
  </si>
  <si>
    <t>گشادی ، پرت داخلی</t>
  </si>
  <si>
    <t>Matrix , Mandrel دچار خوردگی شده</t>
  </si>
  <si>
    <t>باز اصلاحی</t>
  </si>
  <si>
    <t>پخت کلاچ ایسوزو</t>
  </si>
  <si>
    <t>MC30252-02S</t>
  </si>
  <si>
    <t>1405/05/18</t>
  </si>
  <si>
    <t>1405/06/30</t>
  </si>
  <si>
    <t>پخت کلاچ پژو 206 TU5</t>
  </si>
  <si>
    <t>خرابی سنگ مغناطیسی</t>
  </si>
  <si>
    <t>1404/12/20</t>
  </si>
  <si>
    <t>قالب برشی مترو مشهد</t>
  </si>
  <si>
    <t>1405/05/27</t>
  </si>
  <si>
    <t>1405/06/25</t>
  </si>
  <si>
    <t>Top Plate
Botttom Plate</t>
  </si>
  <si>
    <t>سنگ زنی 
تراش 
مونتاژ 
CNC</t>
  </si>
  <si>
    <t>سنگ زنی و گزاشتن صفحات زیر و رو جهت قالب (قالب اولیه نداشت)</t>
  </si>
  <si>
    <t>MC30354-01S</t>
  </si>
  <si>
    <t>کمباین بزرگ پره ای
(تراکتور رومانی)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</si>
</sst>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15" x14ac:knownFonts="1">
    <font>
      <sz val="11"/>
      <color theme="1"/>
      <name val="Calibri"/>
      <family val="2"/>
      <scheme val="minor"/>
    </font>
    <font>
      <b/>
      <sz val="16"/>
      <color theme="1"/>
      <name val="B Nazanin"/>
      <charset val="178"/>
    </font>
    <font>
      <b/>
      <i/>
      <sz val="12"/>
      <color theme="1"/>
      <name val="B Nazanin"/>
      <charset val="178"/>
    </font>
    <font>
      <b/>
      <sz val="12"/>
      <color theme="1"/>
      <name val="B Nazanin"/>
      <charset val="178"/>
    </font>
    <font>
      <b/>
      <sz val="10"/>
      <color theme="1"/>
      <name val="B Nazanin"/>
      <charset val="178"/>
    </font>
    <font>
      <sz val="9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Nazanin"/>
      <charset val="178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B Badr"/>
      <charset val="178"/>
    </font>
    <font>
      <sz val="12"/>
      <color theme="1"/>
      <name val="Calibri"/>
      <family val="2"/>
      <scheme val="minor"/>
    </font>
    <font>
      <sz val="22"/>
      <color theme="1"/>
      <name val="Baskerville Old Face"/>
      <family val="1"/>
    </font>
    <font>
      <sz val="12"/>
      <color theme="1"/>
      <name val="B Nazanin"/>
      <charset val="178"/>
    </font>
    <font>
      <b/>
      <sz val="10"/>
      <color theme="1"/>
      <name val="B Badr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16" xfId="0" applyNumberFormat="1" applyFont="1" applyBorder="1" applyAlignment="1">
      <alignment vertical="center" wrapText="1"/>
    </xf>
    <xf numFmtId="3" fontId="7" fillId="0" borderId="17" xfId="0" applyNumberFormat="1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0" fillId="2" borderId="11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7" fillId="0" borderId="16" xfId="0" applyNumberFormat="1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textRotation="180"/>
    </xf>
    <xf numFmtId="0" fontId="10" fillId="0" borderId="4" xfId="0" applyFont="1" applyBorder="1" applyAlignment="1">
      <alignment horizontal="center" vertical="center" textRotation="180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textRotation="180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4" fillId="2" borderId="10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textRotation="180" wrapText="1"/>
    </xf>
    <xf numFmtId="0" fontId="11" fillId="3" borderId="22" xfId="0" applyFont="1" applyFill="1" applyBorder="1" applyAlignment="1">
      <alignment horizontal="center" vertical="center"/>
    </xf>
    <xf numFmtId="0" fontId="11" fillId="3" borderId="23" xfId="0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CE5AD3-5159-4295-8364-A5D370501E5B}">
  <we:reference id="wa200006230" version="1.0.0.0" store="en-US" storeType="OMEX"/>
  <we:alternateReferences>
    <we:reference id="WA200006230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914A-33CA-4421-AF40-509FC121007E}">
  <sheetPr>
    <pageSetUpPr fitToPage="1"/>
  </sheetPr>
  <dimension ref="A1:P39"/>
  <sheetViews>
    <sheetView rightToLeft="1" view="pageLayout" zoomScale="70" zoomScaleNormal="100" zoomScalePageLayoutView="70" workbookViewId="0">
      <selection activeCell="H9" sqref="H9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2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1.25" customHeight="1" x14ac:dyDescent="0.25">
      <c r="A4" s="105">
        <v>1</v>
      </c>
      <c r="B4" s="117" t="s">
        <v>26</v>
      </c>
      <c r="C4" s="109"/>
      <c r="D4" s="109"/>
      <c r="E4" s="111" t="s">
        <v>40</v>
      </c>
      <c r="F4" s="109"/>
      <c r="G4" s="109">
        <v>720</v>
      </c>
      <c r="H4" s="24" t="s">
        <v>39</v>
      </c>
      <c r="I4" s="119" t="s">
        <v>44</v>
      </c>
      <c r="J4" s="121"/>
      <c r="K4" s="121"/>
      <c r="L4" s="123" t="s">
        <v>45</v>
      </c>
      <c r="M4" s="123" t="s">
        <v>41</v>
      </c>
      <c r="N4" s="30" t="s">
        <v>16</v>
      </c>
      <c r="O4" s="123" t="s">
        <v>27</v>
      </c>
      <c r="P4" s="3">
        <v>95000000</v>
      </c>
    </row>
    <row r="5" spans="1:16" ht="41.25" customHeight="1" thickBot="1" x14ac:dyDescent="0.3">
      <c r="A5" s="106"/>
      <c r="B5" s="118"/>
      <c r="C5" s="110"/>
      <c r="D5" s="110"/>
      <c r="E5" s="112"/>
      <c r="F5" s="110"/>
      <c r="G5" s="110"/>
      <c r="H5" s="25"/>
      <c r="I5" s="120"/>
      <c r="J5" s="122"/>
      <c r="K5" s="122"/>
      <c r="L5" s="120"/>
      <c r="M5" s="120"/>
      <c r="N5" s="1"/>
      <c r="O5" s="120"/>
      <c r="P5" s="4">
        <v>25000000</v>
      </c>
    </row>
    <row r="6" spans="1:16" ht="45" customHeight="1" x14ac:dyDescent="0.25">
      <c r="A6" s="105">
        <v>2</v>
      </c>
      <c r="B6" s="107" t="s">
        <v>46</v>
      </c>
      <c r="C6" s="109"/>
      <c r="D6" s="109"/>
      <c r="E6" s="111" t="s">
        <v>47</v>
      </c>
      <c r="F6" s="109"/>
      <c r="G6" s="109">
        <v>739</v>
      </c>
      <c r="H6" s="109" t="s">
        <v>48</v>
      </c>
      <c r="I6" s="21"/>
      <c r="J6" s="123"/>
      <c r="K6" s="21"/>
      <c r="L6" s="123" t="s">
        <v>60</v>
      </c>
      <c r="M6" s="123" t="s">
        <v>27</v>
      </c>
      <c r="N6" s="21" t="s">
        <v>16</v>
      </c>
      <c r="O6" s="123" t="s">
        <v>27</v>
      </c>
      <c r="P6" s="26">
        <v>95000000</v>
      </c>
    </row>
    <row r="7" spans="1:16" ht="45" customHeight="1" thickBot="1" x14ac:dyDescent="0.3">
      <c r="A7" s="106"/>
      <c r="B7" s="108"/>
      <c r="C7" s="110"/>
      <c r="D7" s="110"/>
      <c r="E7" s="112"/>
      <c r="F7" s="110"/>
      <c r="G7" s="110"/>
      <c r="H7" s="110"/>
      <c r="I7" s="22"/>
      <c r="J7" s="120"/>
      <c r="K7" s="22"/>
      <c r="L7" s="120"/>
      <c r="M7" s="120"/>
      <c r="N7" s="22"/>
      <c r="O7" s="120"/>
      <c r="P7" s="27">
        <v>25000000</v>
      </c>
    </row>
    <row r="8" spans="1:16" ht="36" customHeight="1" x14ac:dyDescent="0.25">
      <c r="A8" s="105">
        <v>3</v>
      </c>
      <c r="B8" s="117" t="s">
        <v>26</v>
      </c>
      <c r="C8" s="109"/>
      <c r="D8" s="109"/>
      <c r="E8" s="111" t="s">
        <v>50</v>
      </c>
      <c r="F8" s="109"/>
      <c r="G8" s="109">
        <v>746</v>
      </c>
      <c r="H8" s="24" t="s">
        <v>51</v>
      </c>
      <c r="I8" s="124" t="s">
        <v>49</v>
      </c>
      <c r="J8" s="123"/>
      <c r="K8" s="21"/>
      <c r="L8" s="123" t="s">
        <v>45</v>
      </c>
      <c r="M8" s="123" t="s">
        <v>27</v>
      </c>
      <c r="N8" s="21" t="s">
        <v>16</v>
      </c>
      <c r="O8" s="123" t="s">
        <v>27</v>
      </c>
      <c r="P8" s="26">
        <v>95000000</v>
      </c>
    </row>
    <row r="9" spans="1:16" ht="36" customHeight="1" thickBot="1" x14ac:dyDescent="0.3">
      <c r="A9" s="106"/>
      <c r="B9" s="118"/>
      <c r="C9" s="110"/>
      <c r="D9" s="110"/>
      <c r="E9" s="112"/>
      <c r="F9" s="110"/>
      <c r="G9" s="110"/>
      <c r="H9" s="25"/>
      <c r="I9" s="120"/>
      <c r="J9" s="120"/>
      <c r="K9" s="22"/>
      <c r="L9" s="120"/>
      <c r="M9" s="120"/>
      <c r="N9" s="22"/>
      <c r="O9" s="120"/>
      <c r="P9" s="27">
        <v>25000000</v>
      </c>
    </row>
    <row r="10" spans="1:16" ht="39" customHeight="1" x14ac:dyDescent="0.25">
      <c r="A10" s="105">
        <v>4</v>
      </c>
      <c r="B10" s="107" t="s">
        <v>25</v>
      </c>
      <c r="C10" s="109" t="s">
        <v>33</v>
      </c>
      <c r="D10" s="109"/>
      <c r="E10" s="111"/>
      <c r="F10" s="109">
        <v>2040</v>
      </c>
      <c r="G10" s="109">
        <v>780</v>
      </c>
      <c r="H10" s="109" t="s">
        <v>32</v>
      </c>
      <c r="I10" s="22" t="s">
        <v>38</v>
      </c>
      <c r="J10" s="123" t="s">
        <v>52</v>
      </c>
      <c r="K10" s="21"/>
      <c r="L10" s="21" t="s">
        <v>34</v>
      </c>
      <c r="M10" s="123" t="s">
        <v>35</v>
      </c>
      <c r="N10" s="21"/>
      <c r="O10" s="123" t="s">
        <v>36</v>
      </c>
      <c r="P10" s="26">
        <v>50000000</v>
      </c>
    </row>
    <row r="11" spans="1:16" ht="39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22"/>
      <c r="J11" s="120"/>
      <c r="K11" s="22"/>
      <c r="L11" s="22" t="s">
        <v>15</v>
      </c>
      <c r="M11" s="120"/>
      <c r="N11" s="22"/>
      <c r="O11" s="120"/>
      <c r="P11" s="27">
        <v>25000000</v>
      </c>
    </row>
    <row r="12" spans="1:16" ht="51.75" customHeight="1" x14ac:dyDescent="0.25">
      <c r="A12" s="105">
        <v>5</v>
      </c>
      <c r="B12" s="107" t="s">
        <v>24</v>
      </c>
      <c r="C12" s="109"/>
      <c r="D12" s="109"/>
      <c r="E12" s="111" t="s">
        <v>53</v>
      </c>
      <c r="F12" s="109"/>
      <c r="G12" s="109">
        <v>733</v>
      </c>
      <c r="H12" s="109" t="s">
        <v>54</v>
      </c>
      <c r="I12" s="21" t="s">
        <v>21</v>
      </c>
      <c r="J12" s="123"/>
      <c r="K12" s="21"/>
      <c r="L12" s="21" t="s">
        <v>55</v>
      </c>
      <c r="M12" s="123" t="s">
        <v>56</v>
      </c>
      <c r="N12" s="21"/>
      <c r="O12" s="123" t="s">
        <v>57</v>
      </c>
      <c r="P12" s="26">
        <v>35000000</v>
      </c>
    </row>
    <row r="13" spans="1:16" ht="51.7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22"/>
      <c r="J13" s="120"/>
      <c r="K13" s="22"/>
      <c r="L13" s="22"/>
      <c r="M13" s="120"/>
      <c r="N13" s="22"/>
      <c r="O13" s="120"/>
      <c r="P13" s="27"/>
    </row>
    <row r="14" spans="1:16" ht="51.75" customHeight="1" x14ac:dyDescent="0.25">
      <c r="A14" s="105">
        <v>6</v>
      </c>
      <c r="B14" s="129" t="s">
        <v>58</v>
      </c>
      <c r="C14" s="130"/>
      <c r="D14" s="130"/>
      <c r="E14" s="131" t="s">
        <v>43</v>
      </c>
      <c r="F14" s="130"/>
      <c r="G14" s="109"/>
      <c r="H14" s="126" t="s">
        <v>42</v>
      </c>
      <c r="I14" s="21" t="s">
        <v>22</v>
      </c>
      <c r="J14" s="123"/>
      <c r="K14" s="21"/>
      <c r="L14" s="21" t="s">
        <v>15</v>
      </c>
      <c r="M14" s="128" t="s">
        <v>23</v>
      </c>
      <c r="N14" s="21"/>
      <c r="O14" s="123" t="s">
        <v>27</v>
      </c>
      <c r="P14" s="26">
        <v>85000000</v>
      </c>
    </row>
    <row r="15" spans="1:16" ht="51.75" customHeight="1" thickBot="1" x14ac:dyDescent="0.3">
      <c r="A15" s="106"/>
      <c r="B15" s="117"/>
      <c r="C15" s="109"/>
      <c r="D15" s="109"/>
      <c r="E15" s="111"/>
      <c r="F15" s="109"/>
      <c r="G15" s="125"/>
      <c r="H15" s="127"/>
      <c r="I15" s="21"/>
      <c r="J15" s="120"/>
      <c r="K15" s="23"/>
      <c r="L15" s="23"/>
      <c r="M15" s="123"/>
      <c r="N15" s="23"/>
      <c r="O15" s="120"/>
      <c r="P15" s="27">
        <v>25000000</v>
      </c>
    </row>
    <row r="16" spans="1:16" ht="48.75" customHeight="1" x14ac:dyDescent="0.25">
      <c r="A16" s="105">
        <v>7</v>
      </c>
      <c r="B16" s="107" t="s">
        <v>46</v>
      </c>
      <c r="C16" s="109"/>
      <c r="D16" s="109"/>
      <c r="E16" s="111" t="s">
        <v>70</v>
      </c>
      <c r="F16" s="109"/>
      <c r="G16" s="109">
        <v>691</v>
      </c>
      <c r="H16" s="109"/>
      <c r="I16" s="21"/>
      <c r="J16" s="123"/>
      <c r="K16" s="21"/>
      <c r="L16" s="123" t="s">
        <v>60</v>
      </c>
      <c r="M16" s="123" t="s">
        <v>27</v>
      </c>
      <c r="N16" s="21" t="s">
        <v>16</v>
      </c>
      <c r="O16" s="123" t="s">
        <v>27</v>
      </c>
      <c r="P16" s="26">
        <v>95000000</v>
      </c>
    </row>
    <row r="17" spans="1:16" ht="48.7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22"/>
      <c r="J17" s="120"/>
      <c r="K17" s="22"/>
      <c r="L17" s="120"/>
      <c r="M17" s="120"/>
      <c r="N17" s="22"/>
      <c r="O17" s="120"/>
      <c r="P17" s="27">
        <v>25000000</v>
      </c>
    </row>
    <row r="18" spans="1:16" ht="60.75" customHeight="1" x14ac:dyDescent="0.25">
      <c r="A18" s="105">
        <v>8</v>
      </c>
      <c r="B18" s="107" t="s">
        <v>46</v>
      </c>
      <c r="C18" s="109"/>
      <c r="D18" s="109"/>
      <c r="E18" s="111" t="s">
        <v>61</v>
      </c>
      <c r="F18" s="109"/>
      <c r="G18" s="109" t="s">
        <v>71</v>
      </c>
      <c r="H18" s="109"/>
      <c r="I18" s="21"/>
      <c r="J18" s="123"/>
      <c r="K18" s="21"/>
      <c r="L18" s="123" t="s">
        <v>60</v>
      </c>
      <c r="M18" s="123" t="s">
        <v>27</v>
      </c>
      <c r="N18" s="21" t="s">
        <v>16</v>
      </c>
      <c r="O18" s="123" t="s">
        <v>27</v>
      </c>
      <c r="P18" s="26">
        <v>95000000</v>
      </c>
    </row>
    <row r="19" spans="1:16" ht="60.75" customHeight="1" thickBot="1" x14ac:dyDescent="0.3">
      <c r="A19" s="106"/>
      <c r="B19" s="108"/>
      <c r="C19" s="110"/>
      <c r="D19" s="110"/>
      <c r="E19" s="112"/>
      <c r="F19" s="110"/>
      <c r="G19" s="110"/>
      <c r="H19" s="110"/>
      <c r="I19" s="22"/>
      <c r="J19" s="120"/>
      <c r="K19" s="22"/>
      <c r="L19" s="120"/>
      <c r="M19" s="120"/>
      <c r="N19" s="22"/>
      <c r="O19" s="120"/>
      <c r="P19" s="27">
        <v>25000000</v>
      </c>
    </row>
    <row r="20" spans="1:16" ht="43.5" customHeight="1" x14ac:dyDescent="0.25">
      <c r="A20" s="105">
        <v>9</v>
      </c>
      <c r="B20" s="107" t="s">
        <v>46</v>
      </c>
      <c r="C20" s="109"/>
      <c r="D20" s="109"/>
      <c r="E20" s="111" t="s">
        <v>62</v>
      </c>
      <c r="F20" s="109"/>
      <c r="G20" s="109" t="s">
        <v>72</v>
      </c>
      <c r="H20" s="109"/>
      <c r="I20" s="21"/>
      <c r="J20" s="123"/>
      <c r="K20" s="21"/>
      <c r="L20" s="123" t="s">
        <v>60</v>
      </c>
      <c r="M20" s="123" t="s">
        <v>27</v>
      </c>
      <c r="N20" s="21" t="s">
        <v>16</v>
      </c>
      <c r="O20" s="123" t="s">
        <v>27</v>
      </c>
      <c r="P20" s="26">
        <v>95000000</v>
      </c>
    </row>
    <row r="21" spans="1:16" ht="43.5" customHeight="1" thickBot="1" x14ac:dyDescent="0.3">
      <c r="A21" s="106"/>
      <c r="B21" s="108"/>
      <c r="C21" s="110"/>
      <c r="D21" s="110"/>
      <c r="E21" s="112"/>
      <c r="F21" s="110"/>
      <c r="G21" s="110"/>
      <c r="H21" s="110"/>
      <c r="I21" s="22"/>
      <c r="J21" s="120"/>
      <c r="K21" s="22"/>
      <c r="L21" s="120"/>
      <c r="M21" s="120"/>
      <c r="N21" s="22"/>
      <c r="O21" s="120"/>
      <c r="P21" s="27">
        <v>25000000</v>
      </c>
    </row>
    <row r="22" spans="1:16" ht="43.5" customHeight="1" x14ac:dyDescent="0.25">
      <c r="A22" s="105">
        <v>10</v>
      </c>
      <c r="B22" s="107" t="s">
        <v>46</v>
      </c>
      <c r="C22" s="109"/>
      <c r="D22" s="109"/>
      <c r="E22" s="111" t="s">
        <v>63</v>
      </c>
      <c r="F22" s="109"/>
      <c r="G22" s="109">
        <v>737</v>
      </c>
      <c r="H22" s="109"/>
      <c r="I22" s="21"/>
      <c r="J22" s="123"/>
      <c r="K22" s="21"/>
      <c r="L22" s="123" t="s">
        <v>60</v>
      </c>
      <c r="M22" s="123" t="s">
        <v>27</v>
      </c>
      <c r="N22" s="21" t="s">
        <v>16</v>
      </c>
      <c r="O22" s="123" t="s">
        <v>27</v>
      </c>
      <c r="P22" s="26">
        <v>95000000</v>
      </c>
    </row>
    <row r="23" spans="1:16" ht="43.5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33"/>
      <c r="J23" s="120"/>
      <c r="K23" s="22"/>
      <c r="L23" s="120"/>
      <c r="M23" s="120"/>
      <c r="N23" s="22"/>
      <c r="O23" s="120"/>
      <c r="P23" s="27">
        <v>25000000</v>
      </c>
    </row>
    <row r="24" spans="1:16" ht="43.5" customHeight="1" x14ac:dyDescent="0.25">
      <c r="A24" s="105">
        <v>11</v>
      </c>
      <c r="B24" s="117" t="s">
        <v>26</v>
      </c>
      <c r="C24" s="109"/>
      <c r="D24" s="109"/>
      <c r="E24" s="111" t="s">
        <v>64</v>
      </c>
      <c r="F24" s="109"/>
      <c r="G24" s="109">
        <v>738</v>
      </c>
      <c r="H24" s="24"/>
      <c r="I24" s="128"/>
      <c r="J24" s="123"/>
      <c r="K24" s="21"/>
      <c r="L24" s="123" t="s">
        <v>60</v>
      </c>
      <c r="M24" s="123" t="s">
        <v>27</v>
      </c>
      <c r="N24" s="21" t="s">
        <v>16</v>
      </c>
      <c r="O24" s="123" t="s">
        <v>27</v>
      </c>
      <c r="P24" s="26">
        <v>95000000</v>
      </c>
    </row>
    <row r="25" spans="1:16" ht="43.5" customHeight="1" thickBot="1" x14ac:dyDescent="0.3">
      <c r="A25" s="106"/>
      <c r="B25" s="118"/>
      <c r="C25" s="110"/>
      <c r="D25" s="110"/>
      <c r="E25" s="112"/>
      <c r="F25" s="110"/>
      <c r="G25" s="110"/>
      <c r="H25" s="25"/>
      <c r="I25" s="128"/>
      <c r="J25" s="120"/>
      <c r="K25" s="22"/>
      <c r="L25" s="120"/>
      <c r="M25" s="120"/>
      <c r="N25" s="22"/>
      <c r="O25" s="120"/>
      <c r="P25" s="27">
        <v>25000000</v>
      </c>
    </row>
    <row r="26" spans="1:16" ht="55.5" customHeight="1" x14ac:dyDescent="0.25">
      <c r="A26" s="134">
        <v>12</v>
      </c>
      <c r="B26" s="107" t="s">
        <v>26</v>
      </c>
      <c r="C26" s="109"/>
      <c r="D26" s="109"/>
      <c r="E26" s="111" t="s">
        <v>65</v>
      </c>
      <c r="F26" s="109"/>
      <c r="G26" s="109">
        <v>682</v>
      </c>
      <c r="H26" s="24"/>
      <c r="I26" s="128"/>
      <c r="J26" s="123"/>
      <c r="K26" s="21"/>
      <c r="L26" s="123" t="s">
        <v>60</v>
      </c>
      <c r="M26" s="123" t="s">
        <v>27</v>
      </c>
      <c r="N26" s="21" t="s">
        <v>16</v>
      </c>
      <c r="O26" s="123" t="s">
        <v>27</v>
      </c>
      <c r="P26" s="26">
        <v>95000000</v>
      </c>
    </row>
    <row r="27" spans="1:16" ht="55.5" customHeight="1" thickBot="1" x14ac:dyDescent="0.3">
      <c r="A27" s="135"/>
      <c r="B27" s="108"/>
      <c r="C27" s="110"/>
      <c r="D27" s="110"/>
      <c r="E27" s="112"/>
      <c r="F27" s="110"/>
      <c r="G27" s="110"/>
      <c r="H27" s="25"/>
      <c r="I27" s="128"/>
      <c r="J27" s="120"/>
      <c r="K27" s="22"/>
      <c r="L27" s="120"/>
      <c r="M27" s="120"/>
      <c r="N27" s="22"/>
      <c r="O27" s="120"/>
      <c r="P27" s="27">
        <v>25000000</v>
      </c>
    </row>
    <row r="28" spans="1:16" ht="55.5" customHeight="1" x14ac:dyDescent="0.25">
      <c r="A28" s="105">
        <v>13</v>
      </c>
      <c r="B28" s="117" t="s">
        <v>26</v>
      </c>
      <c r="C28" s="109"/>
      <c r="D28" s="109"/>
      <c r="E28" s="111" t="s">
        <v>31</v>
      </c>
      <c r="F28" s="109"/>
      <c r="G28" s="109">
        <v>692</v>
      </c>
      <c r="H28" s="24"/>
      <c r="I28" s="124"/>
      <c r="J28" s="123"/>
      <c r="K28" s="21"/>
      <c r="L28" s="132" t="s">
        <v>60</v>
      </c>
      <c r="M28" s="123" t="s">
        <v>27</v>
      </c>
      <c r="N28" s="21" t="s">
        <v>16</v>
      </c>
      <c r="O28" s="123" t="s">
        <v>27</v>
      </c>
      <c r="P28" s="26">
        <v>95000000</v>
      </c>
    </row>
    <row r="29" spans="1:16" ht="55.5" customHeight="1" thickBot="1" x14ac:dyDescent="0.3">
      <c r="A29" s="106"/>
      <c r="B29" s="118"/>
      <c r="C29" s="110"/>
      <c r="D29" s="110"/>
      <c r="E29" s="112"/>
      <c r="F29" s="110"/>
      <c r="G29" s="110"/>
      <c r="H29" s="25"/>
      <c r="I29" s="120"/>
      <c r="J29" s="120"/>
      <c r="K29" s="22"/>
      <c r="L29" s="133"/>
      <c r="M29" s="120"/>
      <c r="N29" s="22"/>
      <c r="O29" s="120"/>
      <c r="P29" s="27">
        <v>25000000</v>
      </c>
    </row>
    <row r="30" spans="1:16" ht="55.5" customHeight="1" x14ac:dyDescent="0.25">
      <c r="A30" s="105">
        <v>14</v>
      </c>
      <c r="B30" s="107" t="s">
        <v>28</v>
      </c>
      <c r="C30" s="109"/>
      <c r="D30" s="109"/>
      <c r="E30" s="111" t="s">
        <v>66</v>
      </c>
      <c r="F30" s="109"/>
      <c r="G30" s="109">
        <v>745</v>
      </c>
      <c r="H30" s="109"/>
      <c r="I30" s="2"/>
      <c r="J30" s="123"/>
      <c r="K30" s="21"/>
      <c r="L30" s="132" t="s">
        <v>60</v>
      </c>
      <c r="M30" s="123" t="s">
        <v>27</v>
      </c>
      <c r="N30" s="21" t="s">
        <v>16</v>
      </c>
      <c r="O30" s="123" t="s">
        <v>27</v>
      </c>
      <c r="P30" s="26">
        <v>95000000</v>
      </c>
    </row>
    <row r="31" spans="1:16" ht="55.5" customHeight="1" thickBot="1" x14ac:dyDescent="0.3">
      <c r="A31" s="106"/>
      <c r="B31" s="108"/>
      <c r="C31" s="110"/>
      <c r="D31" s="110"/>
      <c r="E31" s="112"/>
      <c r="F31" s="110"/>
      <c r="G31" s="110"/>
      <c r="H31" s="110"/>
      <c r="I31" s="1"/>
      <c r="J31" s="120"/>
      <c r="K31" s="22"/>
      <c r="L31" s="133"/>
      <c r="M31" s="120"/>
      <c r="N31" s="22"/>
      <c r="O31" s="120"/>
      <c r="P31" s="27">
        <v>25000000</v>
      </c>
    </row>
    <row r="32" spans="1:16" ht="43.5" customHeight="1" x14ac:dyDescent="0.25">
      <c r="A32" s="105">
        <v>15</v>
      </c>
      <c r="B32" s="107" t="s">
        <v>28</v>
      </c>
      <c r="C32" s="109"/>
      <c r="D32" s="109"/>
      <c r="E32" s="111" t="s">
        <v>69</v>
      </c>
      <c r="F32" s="109"/>
      <c r="G32" s="109">
        <v>668</v>
      </c>
      <c r="H32" s="109"/>
      <c r="I32" s="21"/>
      <c r="J32" s="123"/>
      <c r="K32" s="21"/>
      <c r="L32" s="123" t="s">
        <v>60</v>
      </c>
      <c r="M32" s="123" t="s">
        <v>27</v>
      </c>
      <c r="N32" s="21" t="s">
        <v>16</v>
      </c>
      <c r="O32" s="123" t="s">
        <v>27</v>
      </c>
      <c r="P32" s="26">
        <v>95000000</v>
      </c>
    </row>
    <row r="33" spans="1:16" ht="43.5" customHeight="1" thickBot="1" x14ac:dyDescent="0.3">
      <c r="A33" s="106"/>
      <c r="B33" s="108"/>
      <c r="C33" s="110"/>
      <c r="D33" s="110"/>
      <c r="E33" s="112"/>
      <c r="F33" s="110"/>
      <c r="G33" s="110"/>
      <c r="H33" s="110"/>
      <c r="I33" s="22"/>
      <c r="J33" s="120"/>
      <c r="K33" s="22"/>
      <c r="L33" s="120"/>
      <c r="M33" s="120"/>
      <c r="N33" s="22"/>
      <c r="O33" s="120"/>
      <c r="P33" s="27">
        <v>25000000</v>
      </c>
    </row>
    <row r="34" spans="1:16" ht="43.5" customHeight="1" x14ac:dyDescent="0.25">
      <c r="A34" s="105">
        <v>16</v>
      </c>
      <c r="B34" s="107" t="s">
        <v>28</v>
      </c>
      <c r="C34" s="109"/>
      <c r="D34" s="109"/>
      <c r="E34" s="111" t="s">
        <v>68</v>
      </c>
      <c r="F34" s="109"/>
      <c r="G34" s="109">
        <v>734</v>
      </c>
      <c r="H34" s="109"/>
      <c r="I34" s="21"/>
      <c r="J34" s="123"/>
      <c r="K34" s="21"/>
      <c r="L34" s="123" t="s">
        <v>60</v>
      </c>
      <c r="M34" s="123" t="s">
        <v>27</v>
      </c>
      <c r="N34" s="21" t="s">
        <v>16</v>
      </c>
      <c r="O34" s="123" t="s">
        <v>27</v>
      </c>
      <c r="P34" s="26">
        <v>95000000</v>
      </c>
    </row>
    <row r="35" spans="1:16" ht="43.5" customHeight="1" x14ac:dyDescent="0.25">
      <c r="A35" s="106"/>
      <c r="B35" s="108"/>
      <c r="C35" s="110"/>
      <c r="D35" s="110"/>
      <c r="E35" s="112"/>
      <c r="F35" s="110"/>
      <c r="G35" s="110"/>
      <c r="H35" s="110"/>
      <c r="I35" s="22"/>
      <c r="J35" s="120"/>
      <c r="K35" s="22"/>
      <c r="L35" s="120"/>
      <c r="M35" s="120"/>
      <c r="N35" s="22"/>
      <c r="O35" s="120"/>
      <c r="P35" s="27">
        <v>25000000</v>
      </c>
    </row>
    <row r="36" spans="1:16" ht="43.5" customHeight="1" x14ac:dyDescent="0.25">
      <c r="A36" s="140">
        <v>17</v>
      </c>
      <c r="B36" s="107" t="s">
        <v>28</v>
      </c>
      <c r="C36" s="109"/>
      <c r="D36" s="109"/>
      <c r="E36" s="111" t="s">
        <v>67</v>
      </c>
      <c r="F36" s="130"/>
      <c r="G36" s="109">
        <v>679</v>
      </c>
      <c r="H36" s="126"/>
      <c r="I36" s="123"/>
      <c r="J36" s="123"/>
      <c r="K36" s="21"/>
      <c r="L36" s="123" t="s">
        <v>60</v>
      </c>
      <c r="M36" s="123" t="s">
        <v>27</v>
      </c>
      <c r="N36" s="21" t="s">
        <v>16</v>
      </c>
      <c r="O36" s="123" t="s">
        <v>27</v>
      </c>
      <c r="P36" s="26">
        <v>95000000</v>
      </c>
    </row>
    <row r="37" spans="1:16" ht="43.5" customHeight="1" thickBot="1" x14ac:dyDescent="0.3">
      <c r="A37" s="135"/>
      <c r="B37" s="108"/>
      <c r="C37" s="110"/>
      <c r="D37" s="110"/>
      <c r="E37" s="112"/>
      <c r="F37" s="109"/>
      <c r="G37" s="125"/>
      <c r="H37" s="127"/>
      <c r="I37" s="141"/>
      <c r="J37" s="120"/>
      <c r="K37" s="23"/>
      <c r="L37" s="120"/>
      <c r="M37" s="120"/>
      <c r="N37" s="22"/>
      <c r="O37" s="120"/>
      <c r="P37" s="27">
        <v>25000000</v>
      </c>
    </row>
    <row r="38" spans="1:16" ht="25.5" customHeight="1" x14ac:dyDescent="0.25">
      <c r="A38" s="12"/>
      <c r="B38" s="136" t="s">
        <v>18</v>
      </c>
      <c r="C38" s="136"/>
      <c r="D38" s="13"/>
      <c r="E38" s="13"/>
      <c r="F38" s="13"/>
      <c r="G38" s="13"/>
      <c r="H38" s="13"/>
      <c r="I38" s="14"/>
      <c r="J38" s="13"/>
      <c r="K38" s="13"/>
      <c r="L38" s="13"/>
      <c r="M38" s="13"/>
      <c r="N38" s="13"/>
      <c r="O38" s="13"/>
      <c r="P38" s="138">
        <f>SUM(P6:P37)</f>
        <v>1780000000</v>
      </c>
    </row>
    <row r="39" spans="1:16" ht="25.5" customHeight="1" thickBot="1" x14ac:dyDescent="0.3">
      <c r="A39" s="10"/>
      <c r="B39" s="137"/>
      <c r="C39" s="137"/>
      <c r="D39" s="11"/>
      <c r="E39" s="11"/>
      <c r="F39" s="11"/>
      <c r="G39" s="11"/>
      <c r="H39" s="11"/>
      <c r="I39" s="15"/>
      <c r="J39" s="11"/>
      <c r="K39" s="11"/>
      <c r="L39" s="11"/>
      <c r="M39" s="11"/>
      <c r="N39" s="11"/>
      <c r="O39" s="11"/>
      <c r="P39" s="139"/>
    </row>
  </sheetData>
  <mergeCells count="206">
    <mergeCell ref="M36:M37"/>
    <mergeCell ref="O36:O37"/>
    <mergeCell ref="B38:C39"/>
    <mergeCell ref="P38:P39"/>
    <mergeCell ref="O34:O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F34:F35"/>
    <mergeCell ref="G34:G35"/>
    <mergeCell ref="H34:H35"/>
    <mergeCell ref="J34:J35"/>
    <mergeCell ref="L34:L35"/>
    <mergeCell ref="M34:M35"/>
    <mergeCell ref="J36:J37"/>
    <mergeCell ref="L36:L37"/>
    <mergeCell ref="M32:M33"/>
    <mergeCell ref="O32:O33"/>
    <mergeCell ref="A34:A35"/>
    <mergeCell ref="B34:B35"/>
    <mergeCell ref="C34:C35"/>
    <mergeCell ref="D34:D35"/>
    <mergeCell ref="E34:E35"/>
    <mergeCell ref="L30:L31"/>
    <mergeCell ref="M30:M31"/>
    <mergeCell ref="O30:O31"/>
    <mergeCell ref="A32:A33"/>
    <mergeCell ref="B32:B33"/>
    <mergeCell ref="C32:C33"/>
    <mergeCell ref="D32:D33"/>
    <mergeCell ref="E32:E33"/>
    <mergeCell ref="F32:F33"/>
    <mergeCell ref="G32:G33"/>
    <mergeCell ref="H32:H33"/>
    <mergeCell ref="J32:J33"/>
    <mergeCell ref="L32:L33"/>
    <mergeCell ref="A30:A31"/>
    <mergeCell ref="B30:B31"/>
    <mergeCell ref="C30:C31"/>
    <mergeCell ref="D30:D31"/>
    <mergeCell ref="E30:E31"/>
    <mergeCell ref="F30:F31"/>
    <mergeCell ref="G30:G31"/>
    <mergeCell ref="H30:H31"/>
    <mergeCell ref="J30:J31"/>
    <mergeCell ref="M26:M27"/>
    <mergeCell ref="O26:O27"/>
    <mergeCell ref="A28:A29"/>
    <mergeCell ref="B28:B29"/>
    <mergeCell ref="C28:C29"/>
    <mergeCell ref="D28:D29"/>
    <mergeCell ref="E28:E29"/>
    <mergeCell ref="A26:A27"/>
    <mergeCell ref="E26:E27"/>
    <mergeCell ref="D26:D27"/>
    <mergeCell ref="C26:C27"/>
    <mergeCell ref="B26:B27"/>
    <mergeCell ref="I26:I27"/>
    <mergeCell ref="J26:J27"/>
    <mergeCell ref="L26:L27"/>
    <mergeCell ref="O28:O29"/>
    <mergeCell ref="F28:F29"/>
    <mergeCell ref="G28:G29"/>
    <mergeCell ref="I28:I29"/>
    <mergeCell ref="J28:J29"/>
    <mergeCell ref="L28:L29"/>
    <mergeCell ref="M28:M29"/>
    <mergeCell ref="G26:G27"/>
    <mergeCell ref="F26:F27"/>
    <mergeCell ref="A22:A23"/>
    <mergeCell ref="B22:B23"/>
    <mergeCell ref="C22:C23"/>
    <mergeCell ref="D22:D23"/>
    <mergeCell ref="E22:E23"/>
    <mergeCell ref="O22:O23"/>
    <mergeCell ref="A24:A25"/>
    <mergeCell ref="B24:B25"/>
    <mergeCell ref="C24:C25"/>
    <mergeCell ref="D24:D25"/>
    <mergeCell ref="E24:E25"/>
    <mergeCell ref="F24:F25"/>
    <mergeCell ref="G24:G25"/>
    <mergeCell ref="I24:I25"/>
    <mergeCell ref="J24:J25"/>
    <mergeCell ref="F22:F23"/>
    <mergeCell ref="G22:G23"/>
    <mergeCell ref="H22:H23"/>
    <mergeCell ref="J22:J23"/>
    <mergeCell ref="L22:L23"/>
    <mergeCell ref="M22:M23"/>
    <mergeCell ref="L24:L25"/>
    <mergeCell ref="M24:M25"/>
    <mergeCell ref="O24:O25"/>
    <mergeCell ref="L18:L19"/>
    <mergeCell ref="M18:M19"/>
    <mergeCell ref="O18:O19"/>
    <mergeCell ref="A20:A21"/>
    <mergeCell ref="B20:B21"/>
    <mergeCell ref="C20:C21"/>
    <mergeCell ref="D20:D21"/>
    <mergeCell ref="E20:E21"/>
    <mergeCell ref="F20:F21"/>
    <mergeCell ref="G20:G21"/>
    <mergeCell ref="H20:H21"/>
    <mergeCell ref="J20:J21"/>
    <mergeCell ref="L20:L21"/>
    <mergeCell ref="M20:M21"/>
    <mergeCell ref="O20:O21"/>
    <mergeCell ref="A18:A19"/>
    <mergeCell ref="B18:B19"/>
    <mergeCell ref="C18:C19"/>
    <mergeCell ref="D18:D19"/>
    <mergeCell ref="E18:E19"/>
    <mergeCell ref="F18:F19"/>
    <mergeCell ref="G18:G19"/>
    <mergeCell ref="H18:H19"/>
    <mergeCell ref="J18:J19"/>
    <mergeCell ref="G14:G15"/>
    <mergeCell ref="H14:H15"/>
    <mergeCell ref="J14:J15"/>
    <mergeCell ref="M14:M15"/>
    <mergeCell ref="O14:O15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F14:F15"/>
    <mergeCell ref="O16:O17"/>
    <mergeCell ref="F16:F17"/>
    <mergeCell ref="G16:G17"/>
    <mergeCell ref="H16:H17"/>
    <mergeCell ref="J16:J17"/>
    <mergeCell ref="L16:L17"/>
    <mergeCell ref="M16:M17"/>
    <mergeCell ref="G12:G13"/>
    <mergeCell ref="H12:H13"/>
    <mergeCell ref="J12:J13"/>
    <mergeCell ref="M12:M13"/>
    <mergeCell ref="O12:O13"/>
    <mergeCell ref="G10:G11"/>
    <mergeCell ref="H10:H11"/>
    <mergeCell ref="J10:J11"/>
    <mergeCell ref="M10:M11"/>
    <mergeCell ref="O10:O11"/>
    <mergeCell ref="A8:A9"/>
    <mergeCell ref="B8:B9"/>
    <mergeCell ref="C8:C9"/>
    <mergeCell ref="D8:D9"/>
    <mergeCell ref="E8:E9"/>
    <mergeCell ref="F8:F9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F12:F13"/>
    <mergeCell ref="F10:F11"/>
    <mergeCell ref="O6:O7"/>
    <mergeCell ref="K4:K5"/>
    <mergeCell ref="L4:L5"/>
    <mergeCell ref="M4:M5"/>
    <mergeCell ref="O4:O5"/>
    <mergeCell ref="G8:G9"/>
    <mergeCell ref="I8:I9"/>
    <mergeCell ref="J8:J9"/>
    <mergeCell ref="L8:L9"/>
    <mergeCell ref="M8:M9"/>
    <mergeCell ref="O8:O9"/>
    <mergeCell ref="A6:A7"/>
    <mergeCell ref="B6:B7"/>
    <mergeCell ref="C6:C7"/>
    <mergeCell ref="D6:D7"/>
    <mergeCell ref="E6:E7"/>
    <mergeCell ref="F6:F7"/>
    <mergeCell ref="A1:N2"/>
    <mergeCell ref="A4:A5"/>
    <mergeCell ref="B4:B5"/>
    <mergeCell ref="C4:C5"/>
    <mergeCell ref="D4:D5"/>
    <mergeCell ref="E4:E5"/>
    <mergeCell ref="F4:F5"/>
    <mergeCell ref="G4:G5"/>
    <mergeCell ref="I4:I5"/>
    <mergeCell ref="J4:J5"/>
    <mergeCell ref="G6:G7"/>
    <mergeCell ref="H6:H7"/>
    <mergeCell ref="J6:J7"/>
    <mergeCell ref="L6:L7"/>
    <mergeCell ref="M6:M7"/>
  </mergeCells>
  <printOptions horizontalCentered="1" verticalCentered="1"/>
  <pageMargins left="0" right="0" top="0" bottom="0" header="0" footer="0"/>
  <pageSetup scale="78" fitToHeight="0" orientation="landscape" r:id="rId1"/>
  <ignoredErrors>
    <ignoredError sqref="P3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3BB7-7216-4F2B-9552-E204B4A31D80}">
  <sheetPr>
    <pageSetUpPr fitToPage="1"/>
  </sheetPr>
  <dimension ref="A1:P35"/>
  <sheetViews>
    <sheetView rightToLeft="1" view="pageLayout" topLeftCell="A30" zoomScaleNormal="100" workbookViewId="0">
      <selection activeCell="A30" sqref="A30:A31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3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18"/>
      <c r="J4" s="123"/>
      <c r="K4" s="18"/>
      <c r="L4" s="123" t="s">
        <v>60</v>
      </c>
      <c r="M4" s="123" t="s">
        <v>27</v>
      </c>
      <c r="N4" s="18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17"/>
      <c r="J5" s="120"/>
      <c r="K5" s="17"/>
      <c r="L5" s="120"/>
      <c r="M5" s="120"/>
      <c r="N5" s="17"/>
      <c r="O5" s="120"/>
      <c r="P5" s="27">
        <v>25000000</v>
      </c>
    </row>
    <row r="6" spans="1:16" ht="36" customHeight="1" x14ac:dyDescent="0.25">
      <c r="A6" s="105">
        <v>2</v>
      </c>
      <c r="B6" s="117" t="s">
        <v>26</v>
      </c>
      <c r="C6" s="109"/>
      <c r="D6" s="109"/>
      <c r="E6" s="111" t="s">
        <v>50</v>
      </c>
      <c r="F6" s="109"/>
      <c r="G6" s="109">
        <v>746</v>
      </c>
      <c r="H6" s="19" t="s">
        <v>51</v>
      </c>
      <c r="I6" s="124" t="s">
        <v>49</v>
      </c>
      <c r="J6" s="123"/>
      <c r="K6" s="18"/>
      <c r="L6" s="123" t="s">
        <v>45</v>
      </c>
      <c r="M6" s="123" t="s">
        <v>27</v>
      </c>
      <c r="N6" s="18" t="s">
        <v>16</v>
      </c>
      <c r="O6" s="123" t="s">
        <v>27</v>
      </c>
      <c r="P6" s="26">
        <v>95000000</v>
      </c>
    </row>
    <row r="7" spans="1:16" ht="36" customHeight="1" thickBot="1" x14ac:dyDescent="0.3">
      <c r="A7" s="106"/>
      <c r="B7" s="118"/>
      <c r="C7" s="110"/>
      <c r="D7" s="110"/>
      <c r="E7" s="112"/>
      <c r="F7" s="110"/>
      <c r="G7" s="110"/>
      <c r="H7" s="20"/>
      <c r="I7" s="120"/>
      <c r="J7" s="120"/>
      <c r="K7" s="17"/>
      <c r="L7" s="120"/>
      <c r="M7" s="120"/>
      <c r="N7" s="17"/>
      <c r="O7" s="120"/>
      <c r="P7" s="27">
        <v>25000000</v>
      </c>
    </row>
    <row r="8" spans="1:16" ht="39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17" t="s">
        <v>38</v>
      </c>
      <c r="J8" s="123" t="s">
        <v>52</v>
      </c>
      <c r="K8" s="18"/>
      <c r="L8" s="18" t="s">
        <v>34</v>
      </c>
      <c r="M8" s="123" t="s">
        <v>35</v>
      </c>
      <c r="N8" s="18"/>
      <c r="O8" s="123" t="s">
        <v>36</v>
      </c>
      <c r="P8" s="26">
        <v>50000000</v>
      </c>
    </row>
    <row r="9" spans="1:16" ht="39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17"/>
      <c r="J9" s="120"/>
      <c r="K9" s="17"/>
      <c r="L9" s="17" t="s">
        <v>15</v>
      </c>
      <c r="M9" s="120"/>
      <c r="N9" s="17"/>
      <c r="O9" s="120"/>
      <c r="P9" s="27">
        <v>25000000</v>
      </c>
    </row>
    <row r="10" spans="1:16" ht="40.5" customHeight="1" x14ac:dyDescent="0.25">
      <c r="A10" s="105">
        <v>4</v>
      </c>
      <c r="B10" s="107" t="s">
        <v>24</v>
      </c>
      <c r="C10" s="109"/>
      <c r="D10" s="109"/>
      <c r="E10" s="111" t="s">
        <v>53</v>
      </c>
      <c r="F10" s="109"/>
      <c r="G10" s="109">
        <v>733</v>
      </c>
      <c r="H10" s="109" t="s">
        <v>54</v>
      </c>
      <c r="I10" s="18" t="s">
        <v>21</v>
      </c>
      <c r="J10" s="123"/>
      <c r="K10" s="18"/>
      <c r="L10" s="18" t="s">
        <v>55</v>
      </c>
      <c r="M10" s="123" t="s">
        <v>56</v>
      </c>
      <c r="N10" s="18"/>
      <c r="O10" s="123" t="s">
        <v>57</v>
      </c>
      <c r="P10" s="26">
        <v>35000000</v>
      </c>
    </row>
    <row r="11" spans="1:16" ht="40.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17"/>
      <c r="J11" s="120"/>
      <c r="K11" s="17"/>
      <c r="L11" s="17"/>
      <c r="M11" s="120"/>
      <c r="N11" s="17"/>
      <c r="O11" s="120"/>
      <c r="P11" s="27"/>
    </row>
    <row r="12" spans="1:16" ht="36.75" customHeight="1" x14ac:dyDescent="0.25">
      <c r="A12" s="105">
        <v>5</v>
      </c>
      <c r="B12" s="129" t="s">
        <v>74</v>
      </c>
      <c r="C12" s="130"/>
      <c r="D12" s="130"/>
      <c r="E12" s="131">
        <v>1</v>
      </c>
      <c r="F12" s="130"/>
      <c r="G12" s="109"/>
      <c r="H12" s="126" t="s">
        <v>75</v>
      </c>
      <c r="I12" s="18" t="s">
        <v>59</v>
      </c>
      <c r="J12" s="123"/>
      <c r="K12" s="18"/>
      <c r="L12" s="18"/>
      <c r="M12" s="128" t="s">
        <v>76</v>
      </c>
      <c r="N12" s="18"/>
      <c r="O12" s="123" t="s">
        <v>77</v>
      </c>
      <c r="P12" s="26">
        <v>10000000</v>
      </c>
    </row>
    <row r="13" spans="1:16" ht="36.75" customHeight="1" thickBot="1" x14ac:dyDescent="0.3">
      <c r="A13" s="106"/>
      <c r="B13" s="117"/>
      <c r="C13" s="109"/>
      <c r="D13" s="109"/>
      <c r="E13" s="111"/>
      <c r="F13" s="109"/>
      <c r="G13" s="125"/>
      <c r="H13" s="127"/>
      <c r="I13" s="18"/>
      <c r="J13" s="120"/>
      <c r="K13" s="16"/>
      <c r="L13" s="16"/>
      <c r="M13" s="123"/>
      <c r="N13" s="16"/>
      <c r="O13" s="120"/>
      <c r="P13" s="27"/>
    </row>
    <row r="14" spans="1:16" ht="48.75" customHeight="1" x14ac:dyDescent="0.25">
      <c r="A14" s="105">
        <v>6</v>
      </c>
      <c r="B14" s="107" t="s">
        <v>46</v>
      </c>
      <c r="C14" s="109"/>
      <c r="D14" s="109"/>
      <c r="E14" s="111" t="s">
        <v>70</v>
      </c>
      <c r="F14" s="109"/>
      <c r="G14" s="109">
        <v>691</v>
      </c>
      <c r="H14" s="109"/>
      <c r="I14" s="18"/>
      <c r="J14" s="123"/>
      <c r="K14" s="18"/>
      <c r="L14" s="123" t="s">
        <v>60</v>
      </c>
      <c r="M14" s="123" t="s">
        <v>27</v>
      </c>
      <c r="N14" s="18" t="s">
        <v>16</v>
      </c>
      <c r="O14" s="123" t="s">
        <v>27</v>
      </c>
      <c r="P14" s="26">
        <v>95000000</v>
      </c>
    </row>
    <row r="15" spans="1:16" ht="48.7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17"/>
      <c r="J15" s="120"/>
      <c r="K15" s="17"/>
      <c r="L15" s="120"/>
      <c r="M15" s="120"/>
      <c r="N15" s="17"/>
      <c r="O15" s="120"/>
      <c r="P15" s="27">
        <v>25000000</v>
      </c>
    </row>
    <row r="16" spans="1:16" ht="48.75" customHeight="1" x14ac:dyDescent="0.25">
      <c r="A16" s="105">
        <v>7</v>
      </c>
      <c r="B16" s="107" t="s">
        <v>46</v>
      </c>
      <c r="C16" s="109"/>
      <c r="D16" s="109"/>
      <c r="E16" s="111" t="s">
        <v>61</v>
      </c>
      <c r="F16" s="109"/>
      <c r="G16" s="109" t="s">
        <v>71</v>
      </c>
      <c r="H16" s="109"/>
      <c r="I16" s="18"/>
      <c r="J16" s="123"/>
      <c r="K16" s="18"/>
      <c r="L16" s="123" t="s">
        <v>60</v>
      </c>
      <c r="M16" s="123" t="s">
        <v>27</v>
      </c>
      <c r="N16" s="18" t="s">
        <v>16</v>
      </c>
      <c r="O16" s="123" t="s">
        <v>27</v>
      </c>
      <c r="P16" s="26">
        <v>95000000</v>
      </c>
    </row>
    <row r="17" spans="1:16" ht="48.7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17"/>
      <c r="J17" s="120"/>
      <c r="K17" s="17"/>
      <c r="L17" s="120"/>
      <c r="M17" s="120"/>
      <c r="N17" s="17"/>
      <c r="O17" s="120"/>
      <c r="P17" s="27">
        <v>25000000</v>
      </c>
    </row>
    <row r="18" spans="1:16" ht="43.5" customHeight="1" x14ac:dyDescent="0.25">
      <c r="A18" s="105">
        <v>8</v>
      </c>
      <c r="B18" s="107" t="s">
        <v>46</v>
      </c>
      <c r="C18" s="109"/>
      <c r="D18" s="109"/>
      <c r="E18" s="111" t="s">
        <v>62</v>
      </c>
      <c r="F18" s="109"/>
      <c r="G18" s="109" t="s">
        <v>72</v>
      </c>
      <c r="H18" s="109"/>
      <c r="I18" s="18"/>
      <c r="J18" s="123"/>
      <c r="K18" s="18"/>
      <c r="L18" s="123" t="s">
        <v>60</v>
      </c>
      <c r="M18" s="123" t="s">
        <v>27</v>
      </c>
      <c r="N18" s="18" t="s">
        <v>16</v>
      </c>
      <c r="O18" s="123" t="s">
        <v>27</v>
      </c>
      <c r="P18" s="26">
        <v>95000000</v>
      </c>
    </row>
    <row r="19" spans="1:16" ht="43.5" customHeight="1" thickBot="1" x14ac:dyDescent="0.3">
      <c r="A19" s="106"/>
      <c r="B19" s="108"/>
      <c r="C19" s="110"/>
      <c r="D19" s="110"/>
      <c r="E19" s="112"/>
      <c r="F19" s="110"/>
      <c r="G19" s="110"/>
      <c r="H19" s="110"/>
      <c r="I19" s="17"/>
      <c r="J19" s="120"/>
      <c r="K19" s="17"/>
      <c r="L19" s="120"/>
      <c r="M19" s="120"/>
      <c r="N19" s="17"/>
      <c r="O19" s="120"/>
      <c r="P19" s="27">
        <v>25000000</v>
      </c>
    </row>
    <row r="20" spans="1:16" ht="43.5" customHeight="1" x14ac:dyDescent="0.25">
      <c r="A20" s="105">
        <v>9</v>
      </c>
      <c r="B20" s="107" t="s">
        <v>46</v>
      </c>
      <c r="C20" s="109"/>
      <c r="D20" s="109"/>
      <c r="E20" s="111" t="s">
        <v>63</v>
      </c>
      <c r="F20" s="109"/>
      <c r="G20" s="109">
        <v>737</v>
      </c>
      <c r="H20" s="109"/>
      <c r="I20" s="18"/>
      <c r="J20" s="123"/>
      <c r="K20" s="18"/>
      <c r="L20" s="123" t="s">
        <v>60</v>
      </c>
      <c r="M20" s="123" t="s">
        <v>27</v>
      </c>
      <c r="N20" s="18" t="s">
        <v>16</v>
      </c>
      <c r="O20" s="123" t="s">
        <v>27</v>
      </c>
      <c r="P20" s="26">
        <v>95000000</v>
      </c>
    </row>
    <row r="21" spans="1:16" ht="43.5" customHeight="1" thickBot="1" x14ac:dyDescent="0.3">
      <c r="A21" s="106"/>
      <c r="B21" s="108"/>
      <c r="C21" s="110"/>
      <c r="D21" s="110"/>
      <c r="E21" s="112"/>
      <c r="F21" s="110"/>
      <c r="G21" s="110"/>
      <c r="H21" s="110"/>
      <c r="I21" s="17"/>
      <c r="J21" s="120"/>
      <c r="K21" s="17"/>
      <c r="L21" s="120"/>
      <c r="M21" s="120"/>
      <c r="N21" s="17"/>
      <c r="O21" s="120"/>
      <c r="P21" s="27">
        <v>25000000</v>
      </c>
    </row>
    <row r="22" spans="1:16" ht="43.5" customHeight="1" x14ac:dyDescent="0.25">
      <c r="A22" s="105">
        <v>10</v>
      </c>
      <c r="B22" s="117" t="s">
        <v>26</v>
      </c>
      <c r="C22" s="109"/>
      <c r="D22" s="109"/>
      <c r="E22" s="111" t="s">
        <v>64</v>
      </c>
      <c r="F22" s="109"/>
      <c r="G22" s="109">
        <v>738</v>
      </c>
      <c r="H22" s="19"/>
      <c r="I22" s="119"/>
      <c r="J22" s="123"/>
      <c r="K22" s="18"/>
      <c r="L22" s="123" t="s">
        <v>60</v>
      </c>
      <c r="M22" s="123" t="s">
        <v>27</v>
      </c>
      <c r="N22" s="18" t="s">
        <v>16</v>
      </c>
      <c r="O22" s="123" t="s">
        <v>27</v>
      </c>
      <c r="P22" s="26">
        <v>95000000</v>
      </c>
    </row>
    <row r="23" spans="1:16" ht="43.5" customHeight="1" thickBot="1" x14ac:dyDescent="0.3">
      <c r="A23" s="106"/>
      <c r="B23" s="118"/>
      <c r="C23" s="110"/>
      <c r="D23" s="110"/>
      <c r="E23" s="112"/>
      <c r="F23" s="110"/>
      <c r="G23" s="110"/>
      <c r="H23" s="20"/>
      <c r="I23" s="120"/>
      <c r="J23" s="120"/>
      <c r="K23" s="17"/>
      <c r="L23" s="120"/>
      <c r="M23" s="120"/>
      <c r="N23" s="17"/>
      <c r="O23" s="120"/>
      <c r="P23" s="27">
        <v>25000000</v>
      </c>
    </row>
    <row r="24" spans="1:16" ht="60" customHeight="1" x14ac:dyDescent="0.25">
      <c r="A24" s="105">
        <v>11</v>
      </c>
      <c r="B24" s="117" t="s">
        <v>26</v>
      </c>
      <c r="C24" s="109"/>
      <c r="D24" s="109"/>
      <c r="E24" s="111" t="s">
        <v>31</v>
      </c>
      <c r="F24" s="109"/>
      <c r="G24" s="109">
        <v>692</v>
      </c>
      <c r="H24" s="19"/>
      <c r="I24" s="119"/>
      <c r="J24" s="123"/>
      <c r="K24" s="18"/>
      <c r="L24" s="132" t="s">
        <v>60</v>
      </c>
      <c r="M24" s="123" t="s">
        <v>27</v>
      </c>
      <c r="N24" s="18" t="s">
        <v>16</v>
      </c>
      <c r="O24" s="123" t="s">
        <v>27</v>
      </c>
      <c r="P24" s="26">
        <v>95000000</v>
      </c>
    </row>
    <row r="25" spans="1:16" ht="60" customHeight="1" thickBot="1" x14ac:dyDescent="0.3">
      <c r="A25" s="106"/>
      <c r="B25" s="118"/>
      <c r="C25" s="110"/>
      <c r="D25" s="110"/>
      <c r="E25" s="112"/>
      <c r="F25" s="110"/>
      <c r="G25" s="110"/>
      <c r="H25" s="20"/>
      <c r="I25" s="120"/>
      <c r="J25" s="120"/>
      <c r="K25" s="17"/>
      <c r="L25" s="133"/>
      <c r="M25" s="120"/>
      <c r="N25" s="17"/>
      <c r="O25" s="120"/>
      <c r="P25" s="27">
        <v>25000000</v>
      </c>
    </row>
    <row r="26" spans="1:16" ht="53.25" customHeight="1" x14ac:dyDescent="0.25">
      <c r="A26" s="105">
        <v>12</v>
      </c>
      <c r="B26" s="107" t="s">
        <v>28</v>
      </c>
      <c r="C26" s="109"/>
      <c r="D26" s="109"/>
      <c r="E26" s="111" t="s">
        <v>66</v>
      </c>
      <c r="F26" s="109"/>
      <c r="G26" s="109">
        <v>745</v>
      </c>
      <c r="H26" s="109"/>
      <c r="I26" s="2"/>
      <c r="J26" s="123"/>
      <c r="K26" s="18"/>
      <c r="L26" s="132" t="s">
        <v>60</v>
      </c>
      <c r="M26" s="123" t="s">
        <v>27</v>
      </c>
      <c r="N26" s="18" t="s">
        <v>16</v>
      </c>
      <c r="O26" s="123" t="s">
        <v>27</v>
      </c>
      <c r="P26" s="26">
        <v>95000000</v>
      </c>
    </row>
    <row r="27" spans="1:16" ht="53.25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1"/>
      <c r="J27" s="120"/>
      <c r="K27" s="17"/>
      <c r="L27" s="133"/>
      <c r="M27" s="120"/>
      <c r="N27" s="17"/>
      <c r="O27" s="120"/>
      <c r="P27" s="27">
        <v>25000000</v>
      </c>
    </row>
    <row r="28" spans="1:16" ht="53.25" customHeight="1" x14ac:dyDescent="0.25">
      <c r="A28" s="105">
        <v>13</v>
      </c>
      <c r="B28" s="107" t="s">
        <v>28</v>
      </c>
      <c r="C28" s="109"/>
      <c r="D28" s="109"/>
      <c r="E28" s="111" t="s">
        <v>69</v>
      </c>
      <c r="F28" s="109"/>
      <c r="G28" s="109">
        <v>668</v>
      </c>
      <c r="H28" s="109"/>
      <c r="I28" s="18"/>
      <c r="J28" s="123"/>
      <c r="K28" s="18"/>
      <c r="L28" s="123" t="s">
        <v>60</v>
      </c>
      <c r="M28" s="123" t="s">
        <v>27</v>
      </c>
      <c r="N28" s="18" t="s">
        <v>16</v>
      </c>
      <c r="O28" s="123" t="s">
        <v>27</v>
      </c>
      <c r="P28" s="26">
        <v>95000000</v>
      </c>
    </row>
    <row r="29" spans="1:16" ht="53.25" customHeight="1" thickBot="1" x14ac:dyDescent="0.3">
      <c r="A29" s="106"/>
      <c r="B29" s="108"/>
      <c r="C29" s="110"/>
      <c r="D29" s="110"/>
      <c r="E29" s="112"/>
      <c r="F29" s="110"/>
      <c r="G29" s="110"/>
      <c r="H29" s="110"/>
      <c r="I29" s="17"/>
      <c r="J29" s="120"/>
      <c r="K29" s="17"/>
      <c r="L29" s="120"/>
      <c r="M29" s="120"/>
      <c r="N29" s="17"/>
      <c r="O29" s="120"/>
      <c r="P29" s="27">
        <v>25000000</v>
      </c>
    </row>
    <row r="30" spans="1:16" ht="43.5" customHeight="1" x14ac:dyDescent="0.25">
      <c r="A30" s="105">
        <v>14</v>
      </c>
      <c r="B30" s="107" t="s">
        <v>28</v>
      </c>
      <c r="C30" s="109"/>
      <c r="D30" s="109"/>
      <c r="E30" s="111" t="s">
        <v>68</v>
      </c>
      <c r="F30" s="109"/>
      <c r="G30" s="109">
        <v>734</v>
      </c>
      <c r="H30" s="109"/>
      <c r="I30" s="18"/>
      <c r="J30" s="123"/>
      <c r="K30" s="18"/>
      <c r="L30" s="123" t="s">
        <v>60</v>
      </c>
      <c r="M30" s="123" t="s">
        <v>27</v>
      </c>
      <c r="N30" s="18" t="s">
        <v>16</v>
      </c>
      <c r="O30" s="123" t="s">
        <v>27</v>
      </c>
      <c r="P30" s="26">
        <v>95000000</v>
      </c>
    </row>
    <row r="31" spans="1:16" ht="43.5" customHeight="1" x14ac:dyDescent="0.25">
      <c r="A31" s="106"/>
      <c r="B31" s="108"/>
      <c r="C31" s="110"/>
      <c r="D31" s="110"/>
      <c r="E31" s="112"/>
      <c r="F31" s="110"/>
      <c r="G31" s="110"/>
      <c r="H31" s="110"/>
      <c r="I31" s="17"/>
      <c r="J31" s="120"/>
      <c r="K31" s="17"/>
      <c r="L31" s="120"/>
      <c r="M31" s="120"/>
      <c r="N31" s="17"/>
      <c r="O31" s="120"/>
      <c r="P31" s="27">
        <v>25000000</v>
      </c>
    </row>
    <row r="32" spans="1:16" ht="43.5" customHeight="1" x14ac:dyDescent="0.25">
      <c r="A32" s="140">
        <v>15</v>
      </c>
      <c r="B32" s="107" t="s">
        <v>28</v>
      </c>
      <c r="C32" s="109"/>
      <c r="D32" s="109"/>
      <c r="E32" s="111" t="s">
        <v>67</v>
      </c>
      <c r="F32" s="130"/>
      <c r="G32" s="109">
        <v>679</v>
      </c>
      <c r="H32" s="126"/>
      <c r="I32" s="123"/>
      <c r="J32" s="123"/>
      <c r="K32" s="18"/>
      <c r="L32" s="123" t="s">
        <v>60</v>
      </c>
      <c r="M32" s="123" t="s">
        <v>27</v>
      </c>
      <c r="N32" s="18" t="s">
        <v>16</v>
      </c>
      <c r="O32" s="123" t="s">
        <v>27</v>
      </c>
      <c r="P32" s="26">
        <v>95000000</v>
      </c>
    </row>
    <row r="33" spans="1:16" ht="43.5" customHeight="1" thickBot="1" x14ac:dyDescent="0.3">
      <c r="A33" s="135"/>
      <c r="B33" s="108"/>
      <c r="C33" s="110"/>
      <c r="D33" s="110"/>
      <c r="E33" s="112"/>
      <c r="F33" s="109"/>
      <c r="G33" s="125"/>
      <c r="H33" s="127"/>
      <c r="I33" s="141"/>
      <c r="J33" s="120"/>
      <c r="K33" s="16"/>
      <c r="L33" s="120"/>
      <c r="M33" s="120"/>
      <c r="N33" s="17"/>
      <c r="O33" s="120"/>
      <c r="P33" s="27">
        <v>25000000</v>
      </c>
    </row>
    <row r="34" spans="1:16" ht="25.5" customHeight="1" x14ac:dyDescent="0.25">
      <c r="A34" s="12"/>
      <c r="B34" s="136" t="s">
        <v>18</v>
      </c>
      <c r="C34" s="136"/>
      <c r="D34" s="13"/>
      <c r="E34" s="13"/>
      <c r="F34" s="13"/>
      <c r="G34" s="13"/>
      <c r="H34" s="13"/>
      <c r="I34" s="14"/>
      <c r="J34" s="13"/>
      <c r="K34" s="13"/>
      <c r="L34" s="13"/>
      <c r="M34" s="13"/>
      <c r="N34" s="13"/>
      <c r="O34" s="13"/>
      <c r="P34" s="138">
        <f>SUM(P4:P33)</f>
        <v>1560000000</v>
      </c>
    </row>
    <row r="35" spans="1:16" ht="25.5" customHeight="1" thickBot="1" x14ac:dyDescent="0.3">
      <c r="A35" s="10"/>
      <c r="B35" s="137"/>
      <c r="C35" s="137"/>
      <c r="D35" s="11"/>
      <c r="E35" s="11"/>
      <c r="F35" s="11"/>
      <c r="G35" s="11"/>
      <c r="H35" s="11"/>
      <c r="I35" s="15"/>
      <c r="J35" s="11"/>
      <c r="K35" s="11"/>
      <c r="L35" s="11"/>
      <c r="M35" s="11"/>
      <c r="N35" s="11"/>
      <c r="O35" s="11"/>
      <c r="P35" s="139"/>
    </row>
  </sheetData>
  <mergeCells count="181">
    <mergeCell ref="A1:N2"/>
    <mergeCell ref="G4:G5"/>
    <mergeCell ref="H4:H5"/>
    <mergeCell ref="J4:J5"/>
    <mergeCell ref="L4:L5"/>
    <mergeCell ref="M4:M5"/>
    <mergeCell ref="O4:O5"/>
    <mergeCell ref="G6:G7"/>
    <mergeCell ref="I6:I7"/>
    <mergeCell ref="J6:J7"/>
    <mergeCell ref="L6:L7"/>
    <mergeCell ref="M6:M7"/>
    <mergeCell ref="O6:O7"/>
    <mergeCell ref="A6:A7"/>
    <mergeCell ref="B6:B7"/>
    <mergeCell ref="C6:C7"/>
    <mergeCell ref="D6:D7"/>
    <mergeCell ref="E6:E7"/>
    <mergeCell ref="F6:F7"/>
    <mergeCell ref="A4:A5"/>
    <mergeCell ref="B4:B5"/>
    <mergeCell ref="C4:C5"/>
    <mergeCell ref="D4:D5"/>
    <mergeCell ref="E4:E5"/>
    <mergeCell ref="F4:F5"/>
    <mergeCell ref="A10:A11"/>
    <mergeCell ref="B10:B11"/>
    <mergeCell ref="C10:C11"/>
    <mergeCell ref="D10:D11"/>
    <mergeCell ref="E10:E11"/>
    <mergeCell ref="A8:A9"/>
    <mergeCell ref="B8:B9"/>
    <mergeCell ref="C8:C9"/>
    <mergeCell ref="D8:D9"/>
    <mergeCell ref="E8:E9"/>
    <mergeCell ref="F10:F11"/>
    <mergeCell ref="F8:F9"/>
    <mergeCell ref="G10:G11"/>
    <mergeCell ref="H10:H11"/>
    <mergeCell ref="J10:J11"/>
    <mergeCell ref="M10:M11"/>
    <mergeCell ref="O10:O11"/>
    <mergeCell ref="G8:G9"/>
    <mergeCell ref="H8:H9"/>
    <mergeCell ref="J8:J9"/>
    <mergeCell ref="M8:M9"/>
    <mergeCell ref="O8:O9"/>
    <mergeCell ref="G12:G13"/>
    <mergeCell ref="H12:H13"/>
    <mergeCell ref="J12:J13"/>
    <mergeCell ref="M12:M13"/>
    <mergeCell ref="O12:O13"/>
    <mergeCell ref="A12:A13"/>
    <mergeCell ref="B12:B13"/>
    <mergeCell ref="C12:C13"/>
    <mergeCell ref="D12:D13"/>
    <mergeCell ref="E12:E13"/>
    <mergeCell ref="F12:F13"/>
    <mergeCell ref="B34:C35"/>
    <mergeCell ref="P34:P35"/>
    <mergeCell ref="A14:A15"/>
    <mergeCell ref="B14:B15"/>
    <mergeCell ref="C14:C15"/>
    <mergeCell ref="D14:D15"/>
    <mergeCell ref="E14:E15"/>
    <mergeCell ref="F14:F15"/>
    <mergeCell ref="G14:G15"/>
    <mergeCell ref="M16:M17"/>
    <mergeCell ref="O16:O17"/>
    <mergeCell ref="A18:A19"/>
    <mergeCell ref="B18:B19"/>
    <mergeCell ref="C18:C19"/>
    <mergeCell ref="D18:D19"/>
    <mergeCell ref="E18:E19"/>
    <mergeCell ref="H14:H15"/>
    <mergeCell ref="J14:J15"/>
    <mergeCell ref="M14:M15"/>
    <mergeCell ref="O14:O15"/>
    <mergeCell ref="A16:A17"/>
    <mergeCell ref="B16:B17"/>
    <mergeCell ref="C16:C17"/>
    <mergeCell ref="D16:D17"/>
    <mergeCell ref="E16:E17"/>
    <mergeCell ref="F16:F17"/>
    <mergeCell ref="J20:J21"/>
    <mergeCell ref="M20:M21"/>
    <mergeCell ref="O20:O21"/>
    <mergeCell ref="L14:L15"/>
    <mergeCell ref="L16:L17"/>
    <mergeCell ref="L18:L19"/>
    <mergeCell ref="L20:L21"/>
    <mergeCell ref="O18:O19"/>
    <mergeCell ref="J18:J19"/>
    <mergeCell ref="M18:M19"/>
    <mergeCell ref="G16:G17"/>
    <mergeCell ref="H16:H17"/>
    <mergeCell ref="J16:J17"/>
    <mergeCell ref="A20:A21"/>
    <mergeCell ref="B20:B21"/>
    <mergeCell ref="C20:C21"/>
    <mergeCell ref="D20:D21"/>
    <mergeCell ref="E20:E21"/>
    <mergeCell ref="F20:F21"/>
    <mergeCell ref="G20:G21"/>
    <mergeCell ref="H20:H21"/>
    <mergeCell ref="F18:F19"/>
    <mergeCell ref="G18:G19"/>
    <mergeCell ref="H18:H19"/>
    <mergeCell ref="G22:G23"/>
    <mergeCell ref="J22:J23"/>
    <mergeCell ref="L22:L23"/>
    <mergeCell ref="M22:M23"/>
    <mergeCell ref="O22:O23"/>
    <mergeCell ref="I22:I23"/>
    <mergeCell ref="A22:A23"/>
    <mergeCell ref="B22:B23"/>
    <mergeCell ref="C22:C23"/>
    <mergeCell ref="D22:D23"/>
    <mergeCell ref="E22:E23"/>
    <mergeCell ref="F22:F23"/>
    <mergeCell ref="G24:G25"/>
    <mergeCell ref="J24:J25"/>
    <mergeCell ref="L24:L25"/>
    <mergeCell ref="M24:M25"/>
    <mergeCell ref="O24:O25"/>
    <mergeCell ref="I24:I25"/>
    <mergeCell ref="A24:A25"/>
    <mergeCell ref="B24:B25"/>
    <mergeCell ref="C24:C25"/>
    <mergeCell ref="D24:D25"/>
    <mergeCell ref="E24:E25"/>
    <mergeCell ref="F24:F25"/>
    <mergeCell ref="G26:G27"/>
    <mergeCell ref="H26:H27"/>
    <mergeCell ref="J26:J27"/>
    <mergeCell ref="L26:L27"/>
    <mergeCell ref="M26:M27"/>
    <mergeCell ref="O26:O27"/>
    <mergeCell ref="A26:A27"/>
    <mergeCell ref="B26:B27"/>
    <mergeCell ref="C26:C27"/>
    <mergeCell ref="D26:D27"/>
    <mergeCell ref="E26:E27"/>
    <mergeCell ref="F26:F27"/>
    <mergeCell ref="G28:G29"/>
    <mergeCell ref="H28:H29"/>
    <mergeCell ref="J28:J29"/>
    <mergeCell ref="L28:L29"/>
    <mergeCell ref="M28:M29"/>
    <mergeCell ref="O28:O29"/>
    <mergeCell ref="A28:A29"/>
    <mergeCell ref="B28:B29"/>
    <mergeCell ref="C28:C29"/>
    <mergeCell ref="D28:D29"/>
    <mergeCell ref="E28:E29"/>
    <mergeCell ref="F28:F29"/>
    <mergeCell ref="G30:G31"/>
    <mergeCell ref="H30:H31"/>
    <mergeCell ref="J30:J31"/>
    <mergeCell ref="L30:L31"/>
    <mergeCell ref="M30:M31"/>
    <mergeCell ref="O30:O31"/>
    <mergeCell ref="A30:A31"/>
    <mergeCell ref="B30:B31"/>
    <mergeCell ref="C30:C31"/>
    <mergeCell ref="D30:D31"/>
    <mergeCell ref="E30:E31"/>
    <mergeCell ref="F30:F31"/>
    <mergeCell ref="A32:A33"/>
    <mergeCell ref="G32:G33"/>
    <mergeCell ref="H32:H33"/>
    <mergeCell ref="I32:I33"/>
    <mergeCell ref="J32:J33"/>
    <mergeCell ref="M32:M33"/>
    <mergeCell ref="O32:O33"/>
    <mergeCell ref="L32:L33"/>
    <mergeCell ref="B32:B33"/>
    <mergeCell ref="C32:C33"/>
    <mergeCell ref="D32:D33"/>
    <mergeCell ref="E32:E33"/>
    <mergeCell ref="F32:F33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4C73-E6D6-4236-A044-9E2734D92FCF}">
  <sheetPr>
    <pageSetUpPr fitToPage="1"/>
  </sheetPr>
  <dimension ref="A1:P33"/>
  <sheetViews>
    <sheetView rightToLeft="1" view="pageLayout" zoomScale="85" zoomScaleNormal="100" zoomScalePageLayoutView="85" workbookViewId="0">
      <selection activeCell="P3" sqref="P3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4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21"/>
      <c r="J4" s="123"/>
      <c r="K4" s="21"/>
      <c r="L4" s="123" t="s">
        <v>60</v>
      </c>
      <c r="M4" s="123" t="s">
        <v>27</v>
      </c>
      <c r="N4" s="21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22"/>
      <c r="J5" s="120"/>
      <c r="K5" s="22"/>
      <c r="L5" s="120"/>
      <c r="M5" s="120"/>
      <c r="N5" s="22"/>
      <c r="O5" s="120"/>
      <c r="P5" s="27">
        <v>25000000</v>
      </c>
    </row>
    <row r="6" spans="1:16" ht="36" customHeight="1" x14ac:dyDescent="0.25">
      <c r="A6" s="105">
        <v>2</v>
      </c>
      <c r="B6" s="117" t="s">
        <v>26</v>
      </c>
      <c r="C6" s="109"/>
      <c r="D6" s="109"/>
      <c r="E6" s="111" t="s">
        <v>50</v>
      </c>
      <c r="F6" s="109"/>
      <c r="G6" s="109">
        <v>746</v>
      </c>
      <c r="H6" s="24" t="s">
        <v>51</v>
      </c>
      <c r="I6" s="124" t="s">
        <v>49</v>
      </c>
      <c r="J6" s="123"/>
      <c r="K6" s="21"/>
      <c r="L6" s="123" t="s">
        <v>45</v>
      </c>
      <c r="M6" s="123" t="s">
        <v>27</v>
      </c>
      <c r="N6" s="21" t="s">
        <v>16</v>
      </c>
      <c r="O6" s="123" t="s">
        <v>27</v>
      </c>
      <c r="P6" s="26">
        <v>95000000</v>
      </c>
    </row>
    <row r="7" spans="1:16" ht="36" customHeight="1" thickBot="1" x14ac:dyDescent="0.3">
      <c r="A7" s="106"/>
      <c r="B7" s="118"/>
      <c r="C7" s="110"/>
      <c r="D7" s="110"/>
      <c r="E7" s="112"/>
      <c r="F7" s="110"/>
      <c r="G7" s="110"/>
      <c r="H7" s="25"/>
      <c r="I7" s="120"/>
      <c r="J7" s="120"/>
      <c r="K7" s="22"/>
      <c r="L7" s="120"/>
      <c r="M7" s="120"/>
      <c r="N7" s="22"/>
      <c r="O7" s="120"/>
      <c r="P7" s="27">
        <v>25000000</v>
      </c>
    </row>
    <row r="8" spans="1:16" ht="39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22" t="s">
        <v>38</v>
      </c>
      <c r="J8" s="123" t="s">
        <v>52</v>
      </c>
      <c r="K8" s="21"/>
      <c r="L8" s="21" t="s">
        <v>34</v>
      </c>
      <c r="M8" s="123" t="s">
        <v>35</v>
      </c>
      <c r="N8" s="21"/>
      <c r="O8" s="123" t="s">
        <v>36</v>
      </c>
      <c r="P8" s="26">
        <v>50000000</v>
      </c>
    </row>
    <row r="9" spans="1:16" ht="39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22"/>
      <c r="J9" s="120"/>
      <c r="K9" s="22"/>
      <c r="L9" s="22" t="s">
        <v>15</v>
      </c>
      <c r="M9" s="120"/>
      <c r="N9" s="22"/>
      <c r="O9" s="120"/>
      <c r="P9" s="27">
        <v>25000000</v>
      </c>
    </row>
    <row r="10" spans="1:16" ht="48.75" customHeight="1" x14ac:dyDescent="0.25">
      <c r="A10" s="105">
        <v>4</v>
      </c>
      <c r="B10" s="107" t="s">
        <v>46</v>
      </c>
      <c r="C10" s="109"/>
      <c r="D10" s="109"/>
      <c r="E10" s="111" t="s">
        <v>70</v>
      </c>
      <c r="F10" s="109"/>
      <c r="G10" s="109">
        <v>691</v>
      </c>
      <c r="H10" s="109"/>
      <c r="I10" s="21"/>
      <c r="J10" s="123"/>
      <c r="K10" s="21"/>
      <c r="L10" s="123" t="s">
        <v>60</v>
      </c>
      <c r="M10" s="123" t="s">
        <v>27</v>
      </c>
      <c r="N10" s="21" t="s">
        <v>16</v>
      </c>
      <c r="O10" s="123" t="s">
        <v>27</v>
      </c>
      <c r="P10" s="26">
        <v>95000000</v>
      </c>
    </row>
    <row r="11" spans="1:16" ht="48.7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22"/>
      <c r="J11" s="120"/>
      <c r="K11" s="22"/>
      <c r="L11" s="120"/>
      <c r="M11" s="120"/>
      <c r="N11" s="22"/>
      <c r="O11" s="120"/>
      <c r="P11" s="27">
        <v>25000000</v>
      </c>
    </row>
    <row r="12" spans="1:16" ht="48.75" customHeight="1" x14ac:dyDescent="0.25">
      <c r="A12" s="105">
        <v>5</v>
      </c>
      <c r="B12" s="107" t="s">
        <v>46</v>
      </c>
      <c r="C12" s="109"/>
      <c r="D12" s="109"/>
      <c r="E12" s="111" t="s">
        <v>61</v>
      </c>
      <c r="F12" s="109"/>
      <c r="G12" s="109" t="s">
        <v>71</v>
      </c>
      <c r="H12" s="109"/>
      <c r="I12" s="21"/>
      <c r="J12" s="123"/>
      <c r="K12" s="21"/>
      <c r="L12" s="123" t="s">
        <v>60</v>
      </c>
      <c r="M12" s="123" t="s">
        <v>27</v>
      </c>
      <c r="N12" s="21" t="s">
        <v>16</v>
      </c>
      <c r="O12" s="123" t="s">
        <v>27</v>
      </c>
      <c r="P12" s="26">
        <v>95000000</v>
      </c>
    </row>
    <row r="13" spans="1:16" ht="48.7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22"/>
      <c r="J13" s="120"/>
      <c r="K13" s="22"/>
      <c r="L13" s="120"/>
      <c r="M13" s="120"/>
      <c r="N13" s="22"/>
      <c r="O13" s="120"/>
      <c r="P13" s="27">
        <v>25000000</v>
      </c>
    </row>
    <row r="14" spans="1:16" ht="43.5" customHeight="1" x14ac:dyDescent="0.25">
      <c r="A14" s="105">
        <v>6</v>
      </c>
      <c r="B14" s="107" t="s">
        <v>46</v>
      </c>
      <c r="C14" s="109"/>
      <c r="D14" s="109"/>
      <c r="E14" s="111" t="s">
        <v>62</v>
      </c>
      <c r="F14" s="109"/>
      <c r="G14" s="109" t="s">
        <v>72</v>
      </c>
      <c r="H14" s="109"/>
      <c r="I14" s="21"/>
      <c r="J14" s="123"/>
      <c r="K14" s="21"/>
      <c r="L14" s="123" t="s">
        <v>60</v>
      </c>
      <c r="M14" s="123" t="s">
        <v>27</v>
      </c>
      <c r="N14" s="21" t="s">
        <v>16</v>
      </c>
      <c r="O14" s="123" t="s">
        <v>27</v>
      </c>
      <c r="P14" s="26">
        <v>95000000</v>
      </c>
    </row>
    <row r="15" spans="1:16" ht="43.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22"/>
      <c r="J15" s="120"/>
      <c r="K15" s="22"/>
      <c r="L15" s="120"/>
      <c r="M15" s="120"/>
      <c r="N15" s="22"/>
      <c r="O15" s="120"/>
      <c r="P15" s="27">
        <v>25000000</v>
      </c>
    </row>
    <row r="16" spans="1:16" ht="43.5" customHeight="1" x14ac:dyDescent="0.25">
      <c r="A16" s="105">
        <v>7</v>
      </c>
      <c r="B16" s="107" t="s">
        <v>46</v>
      </c>
      <c r="C16" s="109"/>
      <c r="D16" s="109"/>
      <c r="E16" s="111" t="s">
        <v>63</v>
      </c>
      <c r="F16" s="109"/>
      <c r="G16" s="109">
        <v>737</v>
      </c>
      <c r="H16" s="109"/>
      <c r="I16" s="21"/>
      <c r="J16" s="123"/>
      <c r="K16" s="21"/>
      <c r="L16" s="123" t="s">
        <v>60</v>
      </c>
      <c r="M16" s="123" t="s">
        <v>27</v>
      </c>
      <c r="N16" s="21" t="s">
        <v>16</v>
      </c>
      <c r="O16" s="123" t="s">
        <v>27</v>
      </c>
      <c r="P16" s="26">
        <v>95000000</v>
      </c>
    </row>
    <row r="17" spans="1:16" ht="43.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22"/>
      <c r="J17" s="120"/>
      <c r="K17" s="22"/>
      <c r="L17" s="120"/>
      <c r="M17" s="120"/>
      <c r="N17" s="22"/>
      <c r="O17" s="120"/>
      <c r="P17" s="27">
        <v>25000000</v>
      </c>
    </row>
    <row r="18" spans="1:16" ht="43.5" customHeight="1" x14ac:dyDescent="0.25">
      <c r="A18" s="105">
        <v>8</v>
      </c>
      <c r="B18" s="117" t="s">
        <v>26</v>
      </c>
      <c r="C18" s="109"/>
      <c r="D18" s="109"/>
      <c r="E18" s="111" t="s">
        <v>64</v>
      </c>
      <c r="F18" s="109"/>
      <c r="G18" s="109">
        <v>738</v>
      </c>
      <c r="H18" s="24"/>
      <c r="I18" s="119"/>
      <c r="J18" s="123"/>
      <c r="K18" s="21"/>
      <c r="L18" s="123" t="s">
        <v>60</v>
      </c>
      <c r="M18" s="123" t="s">
        <v>27</v>
      </c>
      <c r="N18" s="21" t="s">
        <v>16</v>
      </c>
      <c r="O18" s="123" t="s">
        <v>27</v>
      </c>
      <c r="P18" s="26">
        <v>95000000</v>
      </c>
    </row>
    <row r="19" spans="1:16" ht="43.5" customHeight="1" thickBot="1" x14ac:dyDescent="0.3">
      <c r="A19" s="106"/>
      <c r="B19" s="118"/>
      <c r="C19" s="110"/>
      <c r="D19" s="110"/>
      <c r="E19" s="112"/>
      <c r="F19" s="110"/>
      <c r="G19" s="110"/>
      <c r="H19" s="25"/>
      <c r="I19" s="120"/>
      <c r="J19" s="120"/>
      <c r="K19" s="22"/>
      <c r="L19" s="120"/>
      <c r="M19" s="120"/>
      <c r="N19" s="22"/>
      <c r="O19" s="120"/>
      <c r="P19" s="27">
        <v>25000000</v>
      </c>
    </row>
    <row r="20" spans="1:16" ht="55.5" customHeight="1" x14ac:dyDescent="0.25">
      <c r="A20" s="105">
        <v>9</v>
      </c>
      <c r="B20" s="117" t="s">
        <v>26</v>
      </c>
      <c r="C20" s="109"/>
      <c r="D20" s="109"/>
      <c r="E20" s="111" t="s">
        <v>31</v>
      </c>
      <c r="F20" s="109"/>
      <c r="G20" s="109">
        <v>692</v>
      </c>
      <c r="H20" s="24"/>
      <c r="I20" s="119"/>
      <c r="J20" s="123"/>
      <c r="K20" s="21"/>
      <c r="L20" s="132" t="s">
        <v>60</v>
      </c>
      <c r="M20" s="123" t="s">
        <v>27</v>
      </c>
      <c r="N20" s="21" t="s">
        <v>16</v>
      </c>
      <c r="O20" s="123" t="s">
        <v>27</v>
      </c>
      <c r="P20" s="26">
        <v>95000000</v>
      </c>
    </row>
    <row r="21" spans="1:16" ht="55.5" customHeight="1" thickBot="1" x14ac:dyDescent="0.3">
      <c r="A21" s="106"/>
      <c r="B21" s="118"/>
      <c r="C21" s="110"/>
      <c r="D21" s="110"/>
      <c r="E21" s="112"/>
      <c r="F21" s="110"/>
      <c r="G21" s="110"/>
      <c r="H21" s="25"/>
      <c r="I21" s="120"/>
      <c r="J21" s="120"/>
      <c r="K21" s="22"/>
      <c r="L21" s="133"/>
      <c r="M21" s="120"/>
      <c r="N21" s="22"/>
      <c r="O21" s="120"/>
      <c r="P21" s="27">
        <v>25000000</v>
      </c>
    </row>
    <row r="22" spans="1:16" ht="55.5" customHeight="1" x14ac:dyDescent="0.25">
      <c r="A22" s="105">
        <v>10</v>
      </c>
      <c r="B22" s="107" t="s">
        <v>28</v>
      </c>
      <c r="C22" s="109"/>
      <c r="D22" s="109"/>
      <c r="E22" s="111" t="s">
        <v>66</v>
      </c>
      <c r="F22" s="109"/>
      <c r="G22" s="109">
        <v>745</v>
      </c>
      <c r="H22" s="109"/>
      <c r="I22" s="2"/>
      <c r="J22" s="123"/>
      <c r="K22" s="21"/>
      <c r="L22" s="132" t="s">
        <v>60</v>
      </c>
      <c r="M22" s="123" t="s">
        <v>27</v>
      </c>
      <c r="N22" s="21" t="s">
        <v>16</v>
      </c>
      <c r="O22" s="123" t="s">
        <v>27</v>
      </c>
      <c r="P22" s="26">
        <v>95000000</v>
      </c>
    </row>
    <row r="23" spans="1:16" ht="55.5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1"/>
      <c r="J23" s="120"/>
      <c r="K23" s="22"/>
      <c r="L23" s="133"/>
      <c r="M23" s="120"/>
      <c r="N23" s="22"/>
      <c r="O23" s="120"/>
      <c r="P23" s="27">
        <v>25000000</v>
      </c>
    </row>
    <row r="24" spans="1:16" ht="49.5" customHeight="1" x14ac:dyDescent="0.25">
      <c r="A24" s="105">
        <v>11</v>
      </c>
      <c r="B24" s="107" t="s">
        <v>28</v>
      </c>
      <c r="C24" s="109"/>
      <c r="D24" s="109"/>
      <c r="E24" s="111" t="s">
        <v>69</v>
      </c>
      <c r="F24" s="109"/>
      <c r="G24" s="109">
        <v>668</v>
      </c>
      <c r="H24" s="109"/>
      <c r="I24" s="21"/>
      <c r="J24" s="123"/>
      <c r="K24" s="21"/>
      <c r="L24" s="123" t="s">
        <v>60</v>
      </c>
      <c r="M24" s="123" t="s">
        <v>27</v>
      </c>
      <c r="N24" s="21" t="s">
        <v>16</v>
      </c>
      <c r="O24" s="123" t="s">
        <v>27</v>
      </c>
      <c r="P24" s="26">
        <v>95000000</v>
      </c>
    </row>
    <row r="25" spans="1:16" ht="49.5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22"/>
      <c r="J25" s="120"/>
      <c r="K25" s="22"/>
      <c r="L25" s="120"/>
      <c r="M25" s="120"/>
      <c r="N25" s="22"/>
      <c r="O25" s="120"/>
      <c r="P25" s="27">
        <v>25000000</v>
      </c>
    </row>
    <row r="26" spans="1:16" ht="49.5" customHeight="1" x14ac:dyDescent="0.25">
      <c r="A26" s="105">
        <v>12</v>
      </c>
      <c r="B26" s="107" t="s">
        <v>28</v>
      </c>
      <c r="C26" s="109"/>
      <c r="D26" s="109"/>
      <c r="E26" s="111" t="s">
        <v>68</v>
      </c>
      <c r="F26" s="109"/>
      <c r="G26" s="109">
        <v>734</v>
      </c>
      <c r="H26" s="109"/>
      <c r="I26" s="21"/>
      <c r="J26" s="123"/>
      <c r="K26" s="21"/>
      <c r="L26" s="123" t="s">
        <v>60</v>
      </c>
      <c r="M26" s="123" t="s">
        <v>27</v>
      </c>
      <c r="N26" s="21" t="s">
        <v>16</v>
      </c>
      <c r="O26" s="123" t="s">
        <v>27</v>
      </c>
      <c r="P26" s="26">
        <v>95000000</v>
      </c>
    </row>
    <row r="27" spans="1:16" ht="49.5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22"/>
      <c r="J27" s="120"/>
      <c r="K27" s="22"/>
      <c r="L27" s="120"/>
      <c r="M27" s="120"/>
      <c r="N27" s="22"/>
      <c r="O27" s="120"/>
      <c r="P27" s="27">
        <v>25000000</v>
      </c>
    </row>
    <row r="28" spans="1:16" ht="43.5" customHeight="1" x14ac:dyDescent="0.25">
      <c r="A28" s="105">
        <v>13</v>
      </c>
      <c r="B28" s="107" t="s">
        <v>28</v>
      </c>
      <c r="C28" s="109"/>
      <c r="D28" s="109"/>
      <c r="E28" s="111" t="s">
        <v>67</v>
      </c>
      <c r="F28" s="130"/>
      <c r="G28" s="109">
        <v>679</v>
      </c>
      <c r="H28" s="109"/>
      <c r="I28" s="123"/>
      <c r="J28" s="123"/>
      <c r="K28" s="21"/>
      <c r="L28" s="123" t="s">
        <v>60</v>
      </c>
      <c r="M28" s="123" t="s">
        <v>27</v>
      </c>
      <c r="N28" s="21" t="s">
        <v>16</v>
      </c>
      <c r="O28" s="123" t="s">
        <v>27</v>
      </c>
      <c r="P28" s="26">
        <v>95000000</v>
      </c>
    </row>
    <row r="29" spans="1:16" ht="43.5" customHeight="1" thickBot="1" x14ac:dyDescent="0.3">
      <c r="A29" s="106"/>
      <c r="B29" s="108"/>
      <c r="C29" s="110"/>
      <c r="D29" s="110"/>
      <c r="E29" s="112"/>
      <c r="F29" s="130"/>
      <c r="G29" s="110"/>
      <c r="H29" s="110"/>
      <c r="I29" s="120"/>
      <c r="J29" s="120"/>
      <c r="K29" s="22"/>
      <c r="L29" s="120"/>
      <c r="M29" s="120"/>
      <c r="N29" s="22"/>
      <c r="O29" s="120"/>
      <c r="P29" s="27">
        <v>25000000</v>
      </c>
    </row>
    <row r="30" spans="1:16" ht="43.5" customHeight="1" x14ac:dyDescent="0.25">
      <c r="A30" s="105">
        <v>14</v>
      </c>
      <c r="B30" s="107" t="s">
        <v>73</v>
      </c>
      <c r="C30" s="109"/>
      <c r="D30" s="109">
        <v>450</v>
      </c>
      <c r="E30" s="111" t="s">
        <v>95</v>
      </c>
      <c r="F30" s="110">
        <v>2014</v>
      </c>
      <c r="G30" s="142" t="s">
        <v>96</v>
      </c>
      <c r="H30" s="127" t="s">
        <v>97</v>
      </c>
      <c r="I30" s="124" t="s">
        <v>98</v>
      </c>
      <c r="J30" s="123"/>
      <c r="K30" s="21"/>
      <c r="L30" s="123"/>
      <c r="M30" s="123" t="s">
        <v>99</v>
      </c>
      <c r="N30" s="21"/>
      <c r="O30" s="123" t="s">
        <v>94</v>
      </c>
      <c r="P30" s="26">
        <v>55000000</v>
      </c>
    </row>
    <row r="31" spans="1:16" ht="43.5" customHeight="1" thickBot="1" x14ac:dyDescent="0.3">
      <c r="A31" s="106"/>
      <c r="B31" s="108"/>
      <c r="C31" s="110"/>
      <c r="D31" s="110"/>
      <c r="E31" s="112"/>
      <c r="F31" s="109"/>
      <c r="G31" s="125"/>
      <c r="H31" s="127"/>
      <c r="I31" s="141"/>
      <c r="J31" s="120"/>
      <c r="K31" s="23"/>
      <c r="L31" s="120"/>
      <c r="M31" s="120"/>
      <c r="N31" s="22"/>
      <c r="O31" s="120"/>
      <c r="P31" s="27"/>
    </row>
    <row r="32" spans="1:16" ht="25.5" customHeight="1" x14ac:dyDescent="0.25">
      <c r="A32" s="12"/>
      <c r="B32" s="136" t="s">
        <v>18</v>
      </c>
      <c r="C32" s="136"/>
      <c r="D32" s="13"/>
      <c r="E32" s="13"/>
      <c r="F32" s="13"/>
      <c r="G32" s="13"/>
      <c r="H32" s="13"/>
      <c r="I32" s="14"/>
      <c r="J32" s="13"/>
      <c r="K32" s="13"/>
      <c r="L32" s="13"/>
      <c r="M32" s="13"/>
      <c r="N32" s="13"/>
      <c r="O32" s="13"/>
      <c r="P32" s="138">
        <f>SUM(P4:P31)</f>
        <v>1570000000</v>
      </c>
    </row>
    <row r="33" spans="1:16" ht="25.5" customHeight="1" thickBot="1" x14ac:dyDescent="0.3">
      <c r="A33" s="10"/>
      <c r="B33" s="137"/>
      <c r="C33" s="137"/>
      <c r="D33" s="11"/>
      <c r="E33" s="11"/>
      <c r="F33" s="11"/>
      <c r="G33" s="11"/>
      <c r="H33" s="11"/>
      <c r="I33" s="15"/>
      <c r="J33" s="11"/>
      <c r="K33" s="11"/>
      <c r="L33" s="11"/>
      <c r="M33" s="11"/>
      <c r="N33" s="11"/>
      <c r="O33" s="11"/>
      <c r="P33" s="139"/>
    </row>
  </sheetData>
  <mergeCells count="172">
    <mergeCell ref="I28:I29"/>
    <mergeCell ref="J28:J29"/>
    <mergeCell ref="L28:L29"/>
    <mergeCell ref="M28:M29"/>
    <mergeCell ref="O28:O29"/>
    <mergeCell ref="O30:O31"/>
    <mergeCell ref="B32:C33"/>
    <mergeCell ref="P32:P33"/>
    <mergeCell ref="I30:I31"/>
    <mergeCell ref="J30:J31"/>
    <mergeCell ref="L30:L31"/>
    <mergeCell ref="M30:M31"/>
    <mergeCell ref="A28:A29"/>
    <mergeCell ref="B28:B29"/>
    <mergeCell ref="C28:C29"/>
    <mergeCell ref="D28:D29"/>
    <mergeCell ref="E28:E29"/>
    <mergeCell ref="F28:F29"/>
    <mergeCell ref="G28:G29"/>
    <mergeCell ref="G30:G31"/>
    <mergeCell ref="H30:H31"/>
    <mergeCell ref="A30:A31"/>
    <mergeCell ref="B30:B31"/>
    <mergeCell ref="C30:C31"/>
    <mergeCell ref="D30:D31"/>
    <mergeCell ref="E30:E31"/>
    <mergeCell ref="F30:F31"/>
    <mergeCell ref="H28:H29"/>
    <mergeCell ref="G26:G27"/>
    <mergeCell ref="H26:H27"/>
    <mergeCell ref="J26:J27"/>
    <mergeCell ref="L26:L27"/>
    <mergeCell ref="M26:M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J24:J25"/>
    <mergeCell ref="L24:L25"/>
    <mergeCell ref="M24:M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J22:J23"/>
    <mergeCell ref="L22:L23"/>
    <mergeCell ref="M22:M23"/>
    <mergeCell ref="O22:O23"/>
    <mergeCell ref="A22:A23"/>
    <mergeCell ref="B22:B23"/>
    <mergeCell ref="C22:C23"/>
    <mergeCell ref="D22:D23"/>
    <mergeCell ref="E22:E23"/>
    <mergeCell ref="F22:F23"/>
    <mergeCell ref="G20:G21"/>
    <mergeCell ref="I20:I21"/>
    <mergeCell ref="J20:J21"/>
    <mergeCell ref="L20:L21"/>
    <mergeCell ref="M20:M21"/>
    <mergeCell ref="O20:O21"/>
    <mergeCell ref="A20:A21"/>
    <mergeCell ref="B20:B21"/>
    <mergeCell ref="C20:C21"/>
    <mergeCell ref="D20:D21"/>
    <mergeCell ref="E20:E21"/>
    <mergeCell ref="F20:F21"/>
    <mergeCell ref="G18:G19"/>
    <mergeCell ref="I18:I19"/>
    <mergeCell ref="J18:J19"/>
    <mergeCell ref="L18:L19"/>
    <mergeCell ref="M18:M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J16:J17"/>
    <mergeCell ref="L16:L17"/>
    <mergeCell ref="M16:M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J14:J15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G12:G13"/>
    <mergeCell ref="H12:H13"/>
    <mergeCell ref="J12:J13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M6:M7"/>
    <mergeCell ref="O6:O7"/>
    <mergeCell ref="G10:G11"/>
    <mergeCell ref="H10:H11"/>
    <mergeCell ref="J10:J11"/>
    <mergeCell ref="L10:L11"/>
    <mergeCell ref="M10:M11"/>
    <mergeCell ref="O10:O11"/>
    <mergeCell ref="A10:A11"/>
    <mergeCell ref="B10:B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G8:G9"/>
    <mergeCell ref="H8:H9"/>
    <mergeCell ref="J8:J9"/>
    <mergeCell ref="M8:M9"/>
    <mergeCell ref="O8:O9"/>
    <mergeCell ref="I6:I7"/>
    <mergeCell ref="J6:J7"/>
    <mergeCell ref="L6:L7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7C5F-2140-4AC5-8BE3-6D676844A80F}">
  <sheetPr>
    <pageSetUpPr fitToPage="1"/>
  </sheetPr>
  <dimension ref="A1:P33"/>
  <sheetViews>
    <sheetView rightToLeft="1" view="pageLayout" topLeftCell="A28" zoomScale="85" zoomScaleNormal="100" zoomScalePageLayoutView="85" workbookViewId="0">
      <selection activeCell="B30" sqref="B30:P31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5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0.2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21"/>
      <c r="J4" s="123"/>
      <c r="K4" s="21"/>
      <c r="L4" s="123" t="s">
        <v>60</v>
      </c>
      <c r="M4" s="123" t="s">
        <v>27</v>
      </c>
      <c r="N4" s="21" t="s">
        <v>16</v>
      </c>
      <c r="O4" s="123" t="s">
        <v>27</v>
      </c>
      <c r="P4" s="26">
        <v>95000000</v>
      </c>
    </row>
    <row r="5" spans="1:16" ht="50.2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22"/>
      <c r="J5" s="120"/>
      <c r="K5" s="22"/>
      <c r="L5" s="120"/>
      <c r="M5" s="120"/>
      <c r="N5" s="22"/>
      <c r="O5" s="120"/>
      <c r="P5" s="27">
        <v>25000000</v>
      </c>
    </row>
    <row r="6" spans="1:16" ht="50.25" customHeight="1" x14ac:dyDescent="0.25">
      <c r="A6" s="105">
        <v>2</v>
      </c>
      <c r="B6" s="117" t="s">
        <v>26</v>
      </c>
      <c r="C6" s="109"/>
      <c r="D6" s="109"/>
      <c r="E6" s="111" t="s">
        <v>50</v>
      </c>
      <c r="F6" s="109"/>
      <c r="G6" s="109">
        <v>746</v>
      </c>
      <c r="H6" s="24" t="s">
        <v>51</v>
      </c>
      <c r="I6" s="124" t="s">
        <v>49</v>
      </c>
      <c r="J6" s="123"/>
      <c r="K6" s="21"/>
      <c r="L6" s="123" t="s">
        <v>45</v>
      </c>
      <c r="M6" s="123" t="s">
        <v>27</v>
      </c>
      <c r="N6" s="21" t="s">
        <v>16</v>
      </c>
      <c r="O6" s="123" t="s">
        <v>27</v>
      </c>
      <c r="P6" s="26">
        <v>95000000</v>
      </c>
    </row>
    <row r="7" spans="1:16" ht="50.25" customHeight="1" thickBot="1" x14ac:dyDescent="0.3">
      <c r="A7" s="106"/>
      <c r="B7" s="118"/>
      <c r="C7" s="110"/>
      <c r="D7" s="110"/>
      <c r="E7" s="112"/>
      <c r="F7" s="110"/>
      <c r="G7" s="110"/>
      <c r="H7" s="25"/>
      <c r="I7" s="120"/>
      <c r="J7" s="120"/>
      <c r="K7" s="22"/>
      <c r="L7" s="120"/>
      <c r="M7" s="120"/>
      <c r="N7" s="22"/>
      <c r="O7" s="120"/>
      <c r="P7" s="27">
        <v>25000000</v>
      </c>
    </row>
    <row r="8" spans="1:16" ht="50.25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22" t="s">
        <v>38</v>
      </c>
      <c r="J8" s="123" t="s">
        <v>52</v>
      </c>
      <c r="K8" s="21"/>
      <c r="L8" s="21" t="s">
        <v>34</v>
      </c>
      <c r="M8" s="123" t="s">
        <v>35</v>
      </c>
      <c r="N8" s="21"/>
      <c r="O8" s="123" t="s">
        <v>36</v>
      </c>
      <c r="P8" s="26">
        <v>50000000</v>
      </c>
    </row>
    <row r="9" spans="1:16" ht="50.25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22"/>
      <c r="J9" s="120"/>
      <c r="K9" s="22"/>
      <c r="L9" s="22" t="s">
        <v>15</v>
      </c>
      <c r="M9" s="120"/>
      <c r="N9" s="22"/>
      <c r="O9" s="120"/>
      <c r="P9" s="27">
        <v>25000000</v>
      </c>
    </row>
    <row r="10" spans="1:16" ht="50.25" customHeight="1" x14ac:dyDescent="0.25">
      <c r="A10" s="105">
        <v>4</v>
      </c>
      <c r="B10" s="107" t="s">
        <v>46</v>
      </c>
      <c r="C10" s="109"/>
      <c r="D10" s="109"/>
      <c r="E10" s="111" t="s">
        <v>70</v>
      </c>
      <c r="F10" s="109"/>
      <c r="G10" s="109">
        <v>691</v>
      </c>
      <c r="H10" s="109"/>
      <c r="I10" s="21"/>
      <c r="J10" s="123"/>
      <c r="K10" s="21"/>
      <c r="L10" s="123" t="s">
        <v>60</v>
      </c>
      <c r="M10" s="123" t="s">
        <v>27</v>
      </c>
      <c r="N10" s="21" t="s">
        <v>16</v>
      </c>
      <c r="O10" s="123" t="s">
        <v>27</v>
      </c>
      <c r="P10" s="26">
        <v>95000000</v>
      </c>
    </row>
    <row r="11" spans="1:16" ht="50.2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22"/>
      <c r="J11" s="120"/>
      <c r="K11" s="22"/>
      <c r="L11" s="120"/>
      <c r="M11" s="120"/>
      <c r="N11" s="22"/>
      <c r="O11" s="120"/>
      <c r="P11" s="27">
        <v>25000000</v>
      </c>
    </row>
    <row r="12" spans="1:16" ht="50.25" customHeight="1" x14ac:dyDescent="0.25">
      <c r="A12" s="105">
        <v>5</v>
      </c>
      <c r="B12" s="107" t="s">
        <v>46</v>
      </c>
      <c r="C12" s="109"/>
      <c r="D12" s="109"/>
      <c r="E12" s="111" t="s">
        <v>61</v>
      </c>
      <c r="F12" s="109"/>
      <c r="G12" s="109" t="s">
        <v>71</v>
      </c>
      <c r="H12" s="109"/>
      <c r="I12" s="21"/>
      <c r="J12" s="123"/>
      <c r="K12" s="21"/>
      <c r="L12" s="123" t="s">
        <v>60</v>
      </c>
      <c r="M12" s="123" t="s">
        <v>27</v>
      </c>
      <c r="N12" s="21" t="s">
        <v>16</v>
      </c>
      <c r="O12" s="123" t="s">
        <v>27</v>
      </c>
      <c r="P12" s="26">
        <v>95000000</v>
      </c>
    </row>
    <row r="13" spans="1:16" ht="50.2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22"/>
      <c r="J13" s="120"/>
      <c r="K13" s="22"/>
      <c r="L13" s="120"/>
      <c r="M13" s="120"/>
      <c r="N13" s="22"/>
      <c r="O13" s="120"/>
      <c r="P13" s="27">
        <v>25000000</v>
      </c>
    </row>
    <row r="14" spans="1:16" ht="45" customHeight="1" x14ac:dyDescent="0.25">
      <c r="A14" s="105">
        <v>6</v>
      </c>
      <c r="B14" s="107" t="s">
        <v>46</v>
      </c>
      <c r="C14" s="109"/>
      <c r="D14" s="109"/>
      <c r="E14" s="111" t="s">
        <v>62</v>
      </c>
      <c r="F14" s="109"/>
      <c r="G14" s="109" t="s">
        <v>72</v>
      </c>
      <c r="H14" s="109"/>
      <c r="I14" s="21"/>
      <c r="J14" s="123"/>
      <c r="K14" s="21"/>
      <c r="L14" s="123" t="s">
        <v>60</v>
      </c>
      <c r="M14" s="123" t="s">
        <v>27</v>
      </c>
      <c r="N14" s="21" t="s">
        <v>16</v>
      </c>
      <c r="O14" s="123" t="s">
        <v>27</v>
      </c>
      <c r="P14" s="26">
        <v>95000000</v>
      </c>
    </row>
    <row r="15" spans="1:16" ht="4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22"/>
      <c r="J15" s="120"/>
      <c r="K15" s="22"/>
      <c r="L15" s="120"/>
      <c r="M15" s="120"/>
      <c r="N15" s="22"/>
      <c r="O15" s="120"/>
      <c r="P15" s="27">
        <v>25000000</v>
      </c>
    </row>
    <row r="16" spans="1:16" ht="45" customHeight="1" x14ac:dyDescent="0.25">
      <c r="A16" s="105">
        <v>7</v>
      </c>
      <c r="B16" s="107" t="s">
        <v>46</v>
      </c>
      <c r="C16" s="109"/>
      <c r="D16" s="109"/>
      <c r="E16" s="111" t="s">
        <v>63</v>
      </c>
      <c r="F16" s="109"/>
      <c r="G16" s="109">
        <v>737</v>
      </c>
      <c r="H16" s="109"/>
      <c r="I16" s="21"/>
      <c r="J16" s="123"/>
      <c r="K16" s="21"/>
      <c r="L16" s="123" t="s">
        <v>60</v>
      </c>
      <c r="M16" s="123" t="s">
        <v>27</v>
      </c>
      <c r="N16" s="21" t="s">
        <v>16</v>
      </c>
      <c r="O16" s="123" t="s">
        <v>27</v>
      </c>
      <c r="P16" s="26">
        <v>95000000</v>
      </c>
    </row>
    <row r="17" spans="1:16" ht="4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22"/>
      <c r="J17" s="120"/>
      <c r="K17" s="22"/>
      <c r="L17" s="120"/>
      <c r="M17" s="120"/>
      <c r="N17" s="22"/>
      <c r="O17" s="120"/>
      <c r="P17" s="27">
        <v>25000000</v>
      </c>
    </row>
    <row r="18" spans="1:16" ht="45" customHeight="1" x14ac:dyDescent="0.25">
      <c r="A18" s="105">
        <v>8</v>
      </c>
      <c r="B18" s="117" t="s">
        <v>26</v>
      </c>
      <c r="C18" s="109"/>
      <c r="D18" s="109"/>
      <c r="E18" s="111" t="s">
        <v>64</v>
      </c>
      <c r="F18" s="109"/>
      <c r="G18" s="109">
        <v>738</v>
      </c>
      <c r="H18" s="24"/>
      <c r="I18" s="119"/>
      <c r="J18" s="123"/>
      <c r="K18" s="21"/>
      <c r="L18" s="123" t="s">
        <v>60</v>
      </c>
      <c r="M18" s="123" t="s">
        <v>27</v>
      </c>
      <c r="N18" s="21" t="s">
        <v>16</v>
      </c>
      <c r="O18" s="123" t="s">
        <v>27</v>
      </c>
      <c r="P18" s="26">
        <v>95000000</v>
      </c>
    </row>
    <row r="19" spans="1:16" ht="45" customHeight="1" thickBot="1" x14ac:dyDescent="0.3">
      <c r="A19" s="106"/>
      <c r="B19" s="118"/>
      <c r="C19" s="110"/>
      <c r="D19" s="110"/>
      <c r="E19" s="112"/>
      <c r="F19" s="110"/>
      <c r="G19" s="110"/>
      <c r="H19" s="25"/>
      <c r="I19" s="120"/>
      <c r="J19" s="120"/>
      <c r="K19" s="22"/>
      <c r="L19" s="120"/>
      <c r="M19" s="120"/>
      <c r="N19" s="22"/>
      <c r="O19" s="120"/>
      <c r="P19" s="27">
        <v>25000000</v>
      </c>
    </row>
    <row r="20" spans="1:16" ht="45" customHeight="1" x14ac:dyDescent="0.25">
      <c r="A20" s="105">
        <v>9</v>
      </c>
      <c r="B20" s="117" t="s">
        <v>26</v>
      </c>
      <c r="C20" s="109"/>
      <c r="D20" s="109"/>
      <c r="E20" s="111" t="s">
        <v>31</v>
      </c>
      <c r="F20" s="109"/>
      <c r="G20" s="109">
        <v>692</v>
      </c>
      <c r="H20" s="24"/>
      <c r="I20" s="119"/>
      <c r="J20" s="123"/>
      <c r="K20" s="21"/>
      <c r="L20" s="132" t="s">
        <v>60</v>
      </c>
      <c r="M20" s="123" t="s">
        <v>27</v>
      </c>
      <c r="N20" s="21" t="s">
        <v>16</v>
      </c>
      <c r="O20" s="123" t="s">
        <v>27</v>
      </c>
      <c r="P20" s="26">
        <v>95000000</v>
      </c>
    </row>
    <row r="21" spans="1:16" ht="45" customHeight="1" thickBot="1" x14ac:dyDescent="0.3">
      <c r="A21" s="106"/>
      <c r="B21" s="118"/>
      <c r="C21" s="110"/>
      <c r="D21" s="110"/>
      <c r="E21" s="112"/>
      <c r="F21" s="110"/>
      <c r="G21" s="110"/>
      <c r="H21" s="25"/>
      <c r="I21" s="120"/>
      <c r="J21" s="120"/>
      <c r="K21" s="22"/>
      <c r="L21" s="133"/>
      <c r="M21" s="120"/>
      <c r="N21" s="22"/>
      <c r="O21" s="120"/>
      <c r="P21" s="27">
        <v>25000000</v>
      </c>
    </row>
    <row r="22" spans="1:16" ht="45" customHeight="1" x14ac:dyDescent="0.25">
      <c r="A22" s="105">
        <v>10</v>
      </c>
      <c r="B22" s="107" t="s">
        <v>28</v>
      </c>
      <c r="C22" s="109"/>
      <c r="D22" s="109"/>
      <c r="E22" s="111" t="s">
        <v>66</v>
      </c>
      <c r="F22" s="109"/>
      <c r="G22" s="109">
        <v>745</v>
      </c>
      <c r="H22" s="109"/>
      <c r="I22" s="2"/>
      <c r="J22" s="123"/>
      <c r="K22" s="21"/>
      <c r="L22" s="132" t="s">
        <v>60</v>
      </c>
      <c r="M22" s="123" t="s">
        <v>27</v>
      </c>
      <c r="N22" s="21" t="s">
        <v>16</v>
      </c>
      <c r="O22" s="123" t="s">
        <v>27</v>
      </c>
      <c r="P22" s="26">
        <v>95000000</v>
      </c>
    </row>
    <row r="23" spans="1:16" ht="45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1"/>
      <c r="J23" s="120"/>
      <c r="K23" s="22"/>
      <c r="L23" s="133"/>
      <c r="M23" s="120"/>
      <c r="N23" s="22"/>
      <c r="O23" s="120"/>
      <c r="P23" s="27">
        <v>25000000</v>
      </c>
    </row>
    <row r="24" spans="1:16" ht="45" customHeight="1" x14ac:dyDescent="0.25">
      <c r="A24" s="105">
        <v>11</v>
      </c>
      <c r="B24" s="107" t="s">
        <v>28</v>
      </c>
      <c r="C24" s="109"/>
      <c r="D24" s="109"/>
      <c r="E24" s="111" t="s">
        <v>69</v>
      </c>
      <c r="F24" s="109"/>
      <c r="G24" s="109">
        <v>668</v>
      </c>
      <c r="H24" s="109"/>
      <c r="I24" s="21"/>
      <c r="J24" s="123"/>
      <c r="K24" s="21"/>
      <c r="L24" s="123" t="s">
        <v>60</v>
      </c>
      <c r="M24" s="123" t="s">
        <v>27</v>
      </c>
      <c r="N24" s="21" t="s">
        <v>16</v>
      </c>
      <c r="O24" s="123" t="s">
        <v>27</v>
      </c>
      <c r="P24" s="26">
        <v>95000000</v>
      </c>
    </row>
    <row r="25" spans="1:16" ht="45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22"/>
      <c r="J25" s="120"/>
      <c r="K25" s="22"/>
      <c r="L25" s="120"/>
      <c r="M25" s="120"/>
      <c r="N25" s="22"/>
      <c r="O25" s="120"/>
      <c r="P25" s="27">
        <v>25000000</v>
      </c>
    </row>
    <row r="26" spans="1:16" ht="43.5" customHeight="1" x14ac:dyDescent="0.25">
      <c r="A26" s="105">
        <v>12</v>
      </c>
      <c r="B26" s="107" t="s">
        <v>28</v>
      </c>
      <c r="C26" s="109"/>
      <c r="D26" s="109"/>
      <c r="E26" s="111" t="s">
        <v>68</v>
      </c>
      <c r="F26" s="109"/>
      <c r="G26" s="109">
        <v>734</v>
      </c>
      <c r="H26" s="109"/>
      <c r="I26" s="21"/>
      <c r="J26" s="123"/>
      <c r="K26" s="21"/>
      <c r="L26" s="123" t="s">
        <v>60</v>
      </c>
      <c r="M26" s="123" t="s">
        <v>27</v>
      </c>
      <c r="N26" s="21" t="s">
        <v>16</v>
      </c>
      <c r="O26" s="123" t="s">
        <v>27</v>
      </c>
      <c r="P26" s="26">
        <v>95000000</v>
      </c>
    </row>
    <row r="27" spans="1:16" ht="43.5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22"/>
      <c r="J27" s="120"/>
      <c r="K27" s="22"/>
      <c r="L27" s="120"/>
      <c r="M27" s="120"/>
      <c r="N27" s="22"/>
      <c r="O27" s="120"/>
      <c r="P27" s="27">
        <v>25000000</v>
      </c>
    </row>
    <row r="28" spans="1:16" ht="43.5" customHeight="1" x14ac:dyDescent="0.25">
      <c r="A28" s="105">
        <v>13</v>
      </c>
      <c r="B28" s="107" t="s">
        <v>28</v>
      </c>
      <c r="C28" s="109"/>
      <c r="D28" s="109"/>
      <c r="E28" s="111" t="s">
        <v>67</v>
      </c>
      <c r="F28" s="130"/>
      <c r="G28" s="109">
        <v>679</v>
      </c>
      <c r="H28" s="126"/>
      <c r="I28" s="123"/>
      <c r="J28" s="123"/>
      <c r="K28" s="21"/>
      <c r="L28" s="123" t="s">
        <v>60</v>
      </c>
      <c r="M28" s="123" t="s">
        <v>27</v>
      </c>
      <c r="N28" s="21" t="s">
        <v>16</v>
      </c>
      <c r="O28" s="123" t="s">
        <v>27</v>
      </c>
      <c r="P28" s="26">
        <v>95000000</v>
      </c>
    </row>
    <row r="29" spans="1:16" ht="43.5" customHeight="1" thickBot="1" x14ac:dyDescent="0.3">
      <c r="A29" s="106"/>
      <c r="B29" s="108"/>
      <c r="C29" s="110"/>
      <c r="D29" s="110"/>
      <c r="E29" s="112"/>
      <c r="F29" s="109"/>
      <c r="G29" s="125"/>
      <c r="H29" s="127"/>
      <c r="I29" s="141"/>
      <c r="J29" s="120"/>
      <c r="K29" s="23"/>
      <c r="L29" s="120"/>
      <c r="M29" s="120"/>
      <c r="N29" s="22"/>
      <c r="O29" s="120"/>
      <c r="P29" s="27">
        <v>25000000</v>
      </c>
    </row>
    <row r="30" spans="1:16" ht="43.5" customHeight="1" x14ac:dyDescent="0.25">
      <c r="A30" s="105">
        <v>14</v>
      </c>
      <c r="B30" s="107" t="s">
        <v>73</v>
      </c>
      <c r="C30" s="109"/>
      <c r="D30" s="109">
        <v>450</v>
      </c>
      <c r="E30" s="111" t="s">
        <v>95</v>
      </c>
      <c r="F30" s="110">
        <v>2014</v>
      </c>
      <c r="G30" s="142" t="s">
        <v>96</v>
      </c>
      <c r="H30" s="127" t="s">
        <v>97</v>
      </c>
      <c r="I30" s="124" t="s">
        <v>98</v>
      </c>
      <c r="J30" s="123"/>
      <c r="K30" s="21"/>
      <c r="L30" s="123"/>
      <c r="M30" s="123" t="s">
        <v>99</v>
      </c>
      <c r="N30" s="21"/>
      <c r="O30" s="123" t="s">
        <v>94</v>
      </c>
      <c r="P30" s="26">
        <v>55000000</v>
      </c>
    </row>
    <row r="31" spans="1:16" ht="43.5" customHeight="1" thickBot="1" x14ac:dyDescent="0.3">
      <c r="A31" s="106"/>
      <c r="B31" s="108"/>
      <c r="C31" s="110"/>
      <c r="D31" s="110"/>
      <c r="E31" s="112"/>
      <c r="F31" s="109"/>
      <c r="G31" s="125"/>
      <c r="H31" s="127"/>
      <c r="I31" s="141"/>
      <c r="J31" s="120"/>
      <c r="K31" s="23"/>
      <c r="L31" s="120"/>
      <c r="M31" s="120"/>
      <c r="N31" s="22"/>
      <c r="O31" s="120"/>
      <c r="P31" s="27"/>
    </row>
    <row r="32" spans="1:16" ht="25.5" customHeight="1" x14ac:dyDescent="0.25">
      <c r="A32" s="12"/>
      <c r="B32" s="136" t="s">
        <v>18</v>
      </c>
      <c r="C32" s="136"/>
      <c r="D32" s="13"/>
      <c r="E32" s="13"/>
      <c r="F32" s="13"/>
      <c r="G32" s="13"/>
      <c r="H32" s="13"/>
      <c r="I32" s="14"/>
      <c r="J32" s="13"/>
      <c r="K32" s="13"/>
      <c r="L32" s="13"/>
      <c r="M32" s="13"/>
      <c r="N32" s="13"/>
      <c r="O32" s="13"/>
      <c r="P32" s="138">
        <f>SUM(P4:P31)</f>
        <v>1570000000</v>
      </c>
    </row>
    <row r="33" spans="1:16" ht="25.5" customHeight="1" thickBot="1" x14ac:dyDescent="0.3">
      <c r="A33" s="10"/>
      <c r="B33" s="137"/>
      <c r="C33" s="137"/>
      <c r="D33" s="11"/>
      <c r="E33" s="11"/>
      <c r="F33" s="11"/>
      <c r="G33" s="11"/>
      <c r="H33" s="11"/>
      <c r="I33" s="15"/>
      <c r="J33" s="11"/>
      <c r="K33" s="11"/>
      <c r="L33" s="11"/>
      <c r="M33" s="11"/>
      <c r="N33" s="11"/>
      <c r="O33" s="11"/>
      <c r="P33" s="139"/>
    </row>
  </sheetData>
  <mergeCells count="172">
    <mergeCell ref="J30:J31"/>
    <mergeCell ref="L30:L31"/>
    <mergeCell ref="M30:M31"/>
    <mergeCell ref="O30:O31"/>
    <mergeCell ref="B32:C33"/>
    <mergeCell ref="P32:P33"/>
    <mergeCell ref="O28:O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G28:G29"/>
    <mergeCell ref="H28:H29"/>
    <mergeCell ref="I28:I29"/>
    <mergeCell ref="J28:J29"/>
    <mergeCell ref="L28:L29"/>
    <mergeCell ref="M28:M29"/>
    <mergeCell ref="A28:A29"/>
    <mergeCell ref="B28:B29"/>
    <mergeCell ref="C28:C29"/>
    <mergeCell ref="D28:D29"/>
    <mergeCell ref="E28:E29"/>
    <mergeCell ref="F28:F29"/>
    <mergeCell ref="G26:G27"/>
    <mergeCell ref="H26:H27"/>
    <mergeCell ref="J26:J27"/>
    <mergeCell ref="L26:L27"/>
    <mergeCell ref="M26:M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J24:J25"/>
    <mergeCell ref="L24:L25"/>
    <mergeCell ref="M24:M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J22:J23"/>
    <mergeCell ref="L22:L23"/>
    <mergeCell ref="M22:M23"/>
    <mergeCell ref="O22:O23"/>
    <mergeCell ref="A22:A23"/>
    <mergeCell ref="B22:B23"/>
    <mergeCell ref="C22:C23"/>
    <mergeCell ref="D22:D23"/>
    <mergeCell ref="E22:E23"/>
    <mergeCell ref="F22:F23"/>
    <mergeCell ref="G20:G21"/>
    <mergeCell ref="I20:I21"/>
    <mergeCell ref="J20:J21"/>
    <mergeCell ref="L20:L21"/>
    <mergeCell ref="M20:M21"/>
    <mergeCell ref="O20:O21"/>
    <mergeCell ref="A20:A21"/>
    <mergeCell ref="B20:B21"/>
    <mergeCell ref="C20:C21"/>
    <mergeCell ref="D20:D21"/>
    <mergeCell ref="E20:E21"/>
    <mergeCell ref="F20:F21"/>
    <mergeCell ref="G18:G19"/>
    <mergeCell ref="I18:I19"/>
    <mergeCell ref="J18:J19"/>
    <mergeCell ref="L18:L19"/>
    <mergeCell ref="M18:M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J16:J17"/>
    <mergeCell ref="L16:L17"/>
    <mergeCell ref="M16:M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J14:J15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G12:G13"/>
    <mergeCell ref="H12:H13"/>
    <mergeCell ref="J12:J13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M6:M7"/>
    <mergeCell ref="O6:O7"/>
    <mergeCell ref="G10:G11"/>
    <mergeCell ref="H10:H11"/>
    <mergeCell ref="J10:J11"/>
    <mergeCell ref="L10:L11"/>
    <mergeCell ref="M10:M11"/>
    <mergeCell ref="O10:O11"/>
    <mergeCell ref="A10:A11"/>
    <mergeCell ref="B10:B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G8:G9"/>
    <mergeCell ref="H8:H9"/>
    <mergeCell ref="J8:J9"/>
    <mergeCell ref="M8:M9"/>
    <mergeCell ref="O8:O9"/>
    <mergeCell ref="I6:I7"/>
    <mergeCell ref="J6:J7"/>
    <mergeCell ref="L6:L7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E184-01A3-4CF7-8DC4-742560CEA4F3}">
  <sheetPr>
    <pageSetUpPr fitToPage="1"/>
  </sheetPr>
  <dimension ref="A1:P35"/>
  <sheetViews>
    <sheetView rightToLeft="1" view="pageLayout" topLeftCell="A32" zoomScale="85" zoomScaleNormal="100" zoomScalePageLayoutView="85" workbookViewId="0">
      <selection activeCell="B34" sqref="B34:C35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6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21"/>
      <c r="J4" s="123"/>
      <c r="K4" s="21"/>
      <c r="L4" s="123" t="s">
        <v>60</v>
      </c>
      <c r="M4" s="123" t="s">
        <v>27</v>
      </c>
      <c r="N4" s="21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22"/>
      <c r="J5" s="120"/>
      <c r="K5" s="22"/>
      <c r="L5" s="120"/>
      <c r="M5" s="120"/>
      <c r="N5" s="22"/>
      <c r="O5" s="120"/>
      <c r="P5" s="27">
        <v>25000000</v>
      </c>
    </row>
    <row r="6" spans="1:16" ht="36" customHeight="1" x14ac:dyDescent="0.25">
      <c r="A6" s="105">
        <v>2</v>
      </c>
      <c r="B6" s="117" t="s">
        <v>26</v>
      </c>
      <c r="C6" s="109"/>
      <c r="D6" s="109"/>
      <c r="E6" s="111" t="s">
        <v>50</v>
      </c>
      <c r="F6" s="109"/>
      <c r="G6" s="109">
        <v>746</v>
      </c>
      <c r="H6" s="24" t="s">
        <v>51</v>
      </c>
      <c r="I6" s="124" t="s">
        <v>49</v>
      </c>
      <c r="J6" s="123"/>
      <c r="K6" s="21"/>
      <c r="L6" s="123" t="s">
        <v>45</v>
      </c>
      <c r="M6" s="123" t="s">
        <v>27</v>
      </c>
      <c r="N6" s="21" t="s">
        <v>16</v>
      </c>
      <c r="O6" s="123" t="s">
        <v>27</v>
      </c>
      <c r="P6" s="26">
        <v>95000000</v>
      </c>
    </row>
    <row r="7" spans="1:16" ht="36" customHeight="1" thickBot="1" x14ac:dyDescent="0.3">
      <c r="A7" s="106"/>
      <c r="B7" s="118"/>
      <c r="C7" s="110"/>
      <c r="D7" s="110"/>
      <c r="E7" s="112"/>
      <c r="F7" s="110"/>
      <c r="G7" s="110"/>
      <c r="H7" s="25"/>
      <c r="I7" s="120"/>
      <c r="J7" s="120"/>
      <c r="K7" s="22"/>
      <c r="L7" s="120"/>
      <c r="M7" s="120"/>
      <c r="N7" s="22"/>
      <c r="O7" s="120"/>
      <c r="P7" s="27">
        <v>25000000</v>
      </c>
    </row>
    <row r="8" spans="1:16" ht="39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22" t="s">
        <v>38</v>
      </c>
      <c r="J8" s="123" t="s">
        <v>52</v>
      </c>
      <c r="K8" s="21"/>
      <c r="L8" s="21" t="s">
        <v>34</v>
      </c>
      <c r="M8" s="123" t="s">
        <v>35</v>
      </c>
      <c r="N8" s="21"/>
      <c r="O8" s="123" t="s">
        <v>36</v>
      </c>
      <c r="P8" s="26">
        <v>50000000</v>
      </c>
    </row>
    <row r="9" spans="1:16" ht="39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22"/>
      <c r="J9" s="120"/>
      <c r="K9" s="22"/>
      <c r="L9" s="22" t="s">
        <v>15</v>
      </c>
      <c r="M9" s="120"/>
      <c r="N9" s="22"/>
      <c r="O9" s="120"/>
      <c r="P9" s="27">
        <v>25000000</v>
      </c>
    </row>
    <row r="10" spans="1:16" ht="48.75" customHeight="1" x14ac:dyDescent="0.25">
      <c r="A10" s="105">
        <v>4</v>
      </c>
      <c r="B10" s="107" t="s">
        <v>46</v>
      </c>
      <c r="C10" s="109"/>
      <c r="D10" s="109"/>
      <c r="E10" s="111" t="s">
        <v>70</v>
      </c>
      <c r="F10" s="109"/>
      <c r="G10" s="109">
        <v>691</v>
      </c>
      <c r="H10" s="109"/>
      <c r="I10" s="21"/>
      <c r="J10" s="123"/>
      <c r="K10" s="21"/>
      <c r="L10" s="123" t="s">
        <v>60</v>
      </c>
      <c r="M10" s="123" t="s">
        <v>27</v>
      </c>
      <c r="N10" s="21" t="s">
        <v>16</v>
      </c>
      <c r="O10" s="123" t="s">
        <v>27</v>
      </c>
      <c r="P10" s="26">
        <v>95000000</v>
      </c>
    </row>
    <row r="11" spans="1:16" ht="48.7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22"/>
      <c r="J11" s="120"/>
      <c r="K11" s="22"/>
      <c r="L11" s="120"/>
      <c r="M11" s="120"/>
      <c r="N11" s="22"/>
      <c r="O11" s="120"/>
      <c r="P11" s="27">
        <v>25000000</v>
      </c>
    </row>
    <row r="12" spans="1:16" ht="48.75" customHeight="1" x14ac:dyDescent="0.25">
      <c r="A12" s="105">
        <v>5</v>
      </c>
      <c r="B12" s="107" t="s">
        <v>46</v>
      </c>
      <c r="C12" s="109"/>
      <c r="D12" s="109"/>
      <c r="E12" s="111" t="s">
        <v>61</v>
      </c>
      <c r="F12" s="109"/>
      <c r="G12" s="109" t="s">
        <v>71</v>
      </c>
      <c r="H12" s="109"/>
      <c r="I12" s="21"/>
      <c r="J12" s="123"/>
      <c r="K12" s="21"/>
      <c r="L12" s="123" t="s">
        <v>60</v>
      </c>
      <c r="M12" s="123" t="s">
        <v>27</v>
      </c>
      <c r="N12" s="21" t="s">
        <v>16</v>
      </c>
      <c r="O12" s="123" t="s">
        <v>27</v>
      </c>
      <c r="P12" s="26">
        <v>95000000</v>
      </c>
    </row>
    <row r="13" spans="1:16" ht="48.7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22"/>
      <c r="J13" s="120"/>
      <c r="K13" s="22"/>
      <c r="L13" s="120"/>
      <c r="M13" s="120"/>
      <c r="N13" s="22"/>
      <c r="O13" s="120"/>
      <c r="P13" s="27">
        <v>25000000</v>
      </c>
    </row>
    <row r="14" spans="1:16" ht="43.5" customHeight="1" x14ac:dyDescent="0.25">
      <c r="A14" s="105">
        <v>6</v>
      </c>
      <c r="B14" s="107" t="s">
        <v>46</v>
      </c>
      <c r="C14" s="109"/>
      <c r="D14" s="109"/>
      <c r="E14" s="111" t="s">
        <v>62</v>
      </c>
      <c r="F14" s="109"/>
      <c r="G14" s="109" t="s">
        <v>72</v>
      </c>
      <c r="H14" s="109"/>
      <c r="I14" s="21"/>
      <c r="J14" s="123"/>
      <c r="K14" s="21"/>
      <c r="L14" s="123" t="s">
        <v>60</v>
      </c>
      <c r="M14" s="123" t="s">
        <v>27</v>
      </c>
      <c r="N14" s="21" t="s">
        <v>16</v>
      </c>
      <c r="O14" s="123" t="s">
        <v>27</v>
      </c>
      <c r="P14" s="26">
        <v>95000000</v>
      </c>
    </row>
    <row r="15" spans="1:16" ht="43.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22"/>
      <c r="J15" s="120"/>
      <c r="K15" s="22"/>
      <c r="L15" s="120"/>
      <c r="M15" s="120"/>
      <c r="N15" s="22"/>
      <c r="O15" s="120"/>
      <c r="P15" s="27">
        <v>25000000</v>
      </c>
    </row>
    <row r="16" spans="1:16" ht="43.5" customHeight="1" x14ac:dyDescent="0.25">
      <c r="A16" s="105">
        <v>7</v>
      </c>
      <c r="B16" s="107" t="s">
        <v>46</v>
      </c>
      <c r="C16" s="109"/>
      <c r="D16" s="109"/>
      <c r="E16" s="111" t="s">
        <v>63</v>
      </c>
      <c r="F16" s="109"/>
      <c r="G16" s="109">
        <v>737</v>
      </c>
      <c r="H16" s="109"/>
      <c r="I16" s="21"/>
      <c r="J16" s="123"/>
      <c r="K16" s="21"/>
      <c r="L16" s="123" t="s">
        <v>60</v>
      </c>
      <c r="M16" s="123" t="s">
        <v>27</v>
      </c>
      <c r="N16" s="21" t="s">
        <v>16</v>
      </c>
      <c r="O16" s="123" t="s">
        <v>27</v>
      </c>
      <c r="P16" s="26">
        <v>95000000</v>
      </c>
    </row>
    <row r="17" spans="1:16" ht="43.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22"/>
      <c r="J17" s="120"/>
      <c r="K17" s="22"/>
      <c r="L17" s="120"/>
      <c r="M17" s="120"/>
      <c r="N17" s="22"/>
      <c r="O17" s="120"/>
      <c r="P17" s="27">
        <v>25000000</v>
      </c>
    </row>
    <row r="18" spans="1:16" ht="43.5" customHeight="1" x14ac:dyDescent="0.25">
      <c r="A18" s="105">
        <v>8</v>
      </c>
      <c r="B18" s="117" t="s">
        <v>26</v>
      </c>
      <c r="C18" s="109"/>
      <c r="D18" s="109"/>
      <c r="E18" s="111" t="s">
        <v>64</v>
      </c>
      <c r="F18" s="109"/>
      <c r="G18" s="109">
        <v>738</v>
      </c>
      <c r="H18" s="24"/>
      <c r="I18" s="119"/>
      <c r="J18" s="123"/>
      <c r="K18" s="21"/>
      <c r="L18" s="123" t="s">
        <v>60</v>
      </c>
      <c r="M18" s="123" t="s">
        <v>27</v>
      </c>
      <c r="N18" s="21" t="s">
        <v>16</v>
      </c>
      <c r="O18" s="123" t="s">
        <v>27</v>
      </c>
      <c r="P18" s="26">
        <v>95000000</v>
      </c>
    </row>
    <row r="19" spans="1:16" ht="43.5" customHeight="1" thickBot="1" x14ac:dyDescent="0.3">
      <c r="A19" s="106"/>
      <c r="B19" s="118"/>
      <c r="C19" s="110"/>
      <c r="D19" s="110"/>
      <c r="E19" s="112"/>
      <c r="F19" s="110"/>
      <c r="G19" s="110"/>
      <c r="H19" s="25"/>
      <c r="I19" s="120"/>
      <c r="J19" s="120"/>
      <c r="K19" s="22"/>
      <c r="L19" s="120"/>
      <c r="M19" s="120"/>
      <c r="N19" s="22"/>
      <c r="O19" s="120"/>
      <c r="P19" s="27">
        <v>25000000</v>
      </c>
    </row>
    <row r="20" spans="1:16" ht="55.5" customHeight="1" x14ac:dyDescent="0.25">
      <c r="A20" s="105">
        <v>9</v>
      </c>
      <c r="B20" s="117" t="s">
        <v>26</v>
      </c>
      <c r="C20" s="109"/>
      <c r="D20" s="109"/>
      <c r="E20" s="111" t="s">
        <v>31</v>
      </c>
      <c r="F20" s="109"/>
      <c r="G20" s="109">
        <v>692</v>
      </c>
      <c r="H20" s="24"/>
      <c r="I20" s="119"/>
      <c r="J20" s="123"/>
      <c r="K20" s="21"/>
      <c r="L20" s="132" t="s">
        <v>60</v>
      </c>
      <c r="M20" s="123" t="s">
        <v>27</v>
      </c>
      <c r="N20" s="21" t="s">
        <v>16</v>
      </c>
      <c r="O20" s="123" t="s">
        <v>27</v>
      </c>
      <c r="P20" s="26">
        <v>95000000</v>
      </c>
    </row>
    <row r="21" spans="1:16" ht="55.5" customHeight="1" thickBot="1" x14ac:dyDescent="0.3">
      <c r="A21" s="106"/>
      <c r="B21" s="118"/>
      <c r="C21" s="110"/>
      <c r="D21" s="110"/>
      <c r="E21" s="112"/>
      <c r="F21" s="110"/>
      <c r="G21" s="110"/>
      <c r="H21" s="25"/>
      <c r="I21" s="120"/>
      <c r="J21" s="120"/>
      <c r="K21" s="22"/>
      <c r="L21" s="133"/>
      <c r="M21" s="120"/>
      <c r="N21" s="22"/>
      <c r="O21" s="120"/>
      <c r="P21" s="27">
        <v>25000000</v>
      </c>
    </row>
    <row r="22" spans="1:16" ht="55.5" customHeight="1" x14ac:dyDescent="0.25">
      <c r="A22" s="105">
        <v>10</v>
      </c>
      <c r="B22" s="107" t="s">
        <v>28</v>
      </c>
      <c r="C22" s="109"/>
      <c r="D22" s="109"/>
      <c r="E22" s="111" t="s">
        <v>66</v>
      </c>
      <c r="F22" s="109"/>
      <c r="G22" s="109">
        <v>745</v>
      </c>
      <c r="H22" s="109"/>
      <c r="I22" s="2"/>
      <c r="J22" s="123"/>
      <c r="K22" s="21"/>
      <c r="L22" s="132" t="s">
        <v>60</v>
      </c>
      <c r="M22" s="123" t="s">
        <v>27</v>
      </c>
      <c r="N22" s="21" t="s">
        <v>16</v>
      </c>
      <c r="O22" s="123" t="s">
        <v>27</v>
      </c>
      <c r="P22" s="26">
        <v>95000000</v>
      </c>
    </row>
    <row r="23" spans="1:16" ht="55.5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1"/>
      <c r="J23" s="120"/>
      <c r="K23" s="22"/>
      <c r="L23" s="133"/>
      <c r="M23" s="120"/>
      <c r="N23" s="22"/>
      <c r="O23" s="120"/>
      <c r="P23" s="27">
        <v>25000000</v>
      </c>
    </row>
    <row r="24" spans="1:16" ht="43.5" customHeight="1" x14ac:dyDescent="0.25">
      <c r="A24" s="105">
        <v>11</v>
      </c>
      <c r="B24" s="107" t="s">
        <v>28</v>
      </c>
      <c r="C24" s="109"/>
      <c r="D24" s="109"/>
      <c r="E24" s="111" t="s">
        <v>69</v>
      </c>
      <c r="F24" s="109"/>
      <c r="G24" s="109">
        <v>668</v>
      </c>
      <c r="H24" s="109"/>
      <c r="I24" s="21"/>
      <c r="J24" s="123"/>
      <c r="K24" s="21"/>
      <c r="L24" s="123" t="s">
        <v>60</v>
      </c>
      <c r="M24" s="123" t="s">
        <v>27</v>
      </c>
      <c r="N24" s="21" t="s">
        <v>16</v>
      </c>
      <c r="O24" s="123" t="s">
        <v>27</v>
      </c>
      <c r="P24" s="26">
        <v>95000000</v>
      </c>
    </row>
    <row r="25" spans="1:16" ht="43.5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22"/>
      <c r="J25" s="120"/>
      <c r="K25" s="22"/>
      <c r="L25" s="120"/>
      <c r="M25" s="120"/>
      <c r="N25" s="22"/>
      <c r="O25" s="120"/>
      <c r="P25" s="27">
        <v>25000000</v>
      </c>
    </row>
    <row r="26" spans="1:16" ht="43.5" customHeight="1" x14ac:dyDescent="0.25">
      <c r="A26" s="105">
        <v>12</v>
      </c>
      <c r="B26" s="107" t="s">
        <v>28</v>
      </c>
      <c r="C26" s="109"/>
      <c r="D26" s="109"/>
      <c r="E26" s="111" t="s">
        <v>68</v>
      </c>
      <c r="F26" s="109"/>
      <c r="G26" s="109">
        <v>734</v>
      </c>
      <c r="H26" s="109"/>
      <c r="I26" s="21"/>
      <c r="J26" s="123"/>
      <c r="K26" s="21"/>
      <c r="L26" s="123" t="s">
        <v>60</v>
      </c>
      <c r="M26" s="123" t="s">
        <v>27</v>
      </c>
      <c r="N26" s="21" t="s">
        <v>16</v>
      </c>
      <c r="O26" s="123" t="s">
        <v>27</v>
      </c>
      <c r="P26" s="26">
        <v>95000000</v>
      </c>
    </row>
    <row r="27" spans="1:16" ht="43.5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22"/>
      <c r="J27" s="120"/>
      <c r="K27" s="22"/>
      <c r="L27" s="120"/>
      <c r="M27" s="120"/>
      <c r="N27" s="22"/>
      <c r="O27" s="120"/>
      <c r="P27" s="27">
        <v>25000000</v>
      </c>
    </row>
    <row r="28" spans="1:16" ht="58.5" customHeight="1" x14ac:dyDescent="0.25">
      <c r="A28" s="105">
        <v>13</v>
      </c>
      <c r="B28" s="107" t="s">
        <v>28</v>
      </c>
      <c r="C28" s="109"/>
      <c r="D28" s="109"/>
      <c r="E28" s="111" t="s">
        <v>67</v>
      </c>
      <c r="F28" s="130"/>
      <c r="G28" s="109">
        <v>679</v>
      </c>
      <c r="H28" s="126"/>
      <c r="I28" s="123"/>
      <c r="J28" s="123"/>
      <c r="K28" s="21"/>
      <c r="L28" s="123" t="s">
        <v>60</v>
      </c>
      <c r="M28" s="123" t="s">
        <v>27</v>
      </c>
      <c r="N28" s="21" t="s">
        <v>16</v>
      </c>
      <c r="O28" s="123" t="s">
        <v>27</v>
      </c>
      <c r="P28" s="26">
        <v>95000000</v>
      </c>
    </row>
    <row r="29" spans="1:16" ht="58.5" customHeight="1" thickBot="1" x14ac:dyDescent="0.3">
      <c r="A29" s="106"/>
      <c r="B29" s="108"/>
      <c r="C29" s="110"/>
      <c r="D29" s="110"/>
      <c r="E29" s="112"/>
      <c r="F29" s="130"/>
      <c r="G29" s="110"/>
      <c r="H29" s="144"/>
      <c r="I29" s="120"/>
      <c r="J29" s="120"/>
      <c r="K29" s="22"/>
      <c r="L29" s="120"/>
      <c r="M29" s="120"/>
      <c r="N29" s="22"/>
      <c r="O29" s="120"/>
      <c r="P29" s="27">
        <v>25000000</v>
      </c>
    </row>
    <row r="30" spans="1:16" ht="43.5" customHeight="1" x14ac:dyDescent="0.25">
      <c r="A30" s="105">
        <v>14</v>
      </c>
      <c r="B30" s="107" t="s">
        <v>30</v>
      </c>
      <c r="C30" s="109"/>
      <c r="D30" s="109"/>
      <c r="E30" s="145" t="s">
        <v>85</v>
      </c>
      <c r="F30" s="130"/>
      <c r="G30" s="145" t="s">
        <v>84</v>
      </c>
      <c r="H30" s="126" t="s">
        <v>80</v>
      </c>
      <c r="I30" s="123" t="s">
        <v>81</v>
      </c>
      <c r="J30" s="123"/>
      <c r="K30" s="21"/>
      <c r="L30" s="123"/>
      <c r="M30" s="123" t="s">
        <v>82</v>
      </c>
      <c r="N30" s="21"/>
      <c r="O30" s="123" t="s">
        <v>83</v>
      </c>
      <c r="P30" s="26">
        <v>5000000</v>
      </c>
    </row>
    <row r="31" spans="1:16" ht="43.5" customHeight="1" thickBot="1" x14ac:dyDescent="0.3">
      <c r="A31" s="106"/>
      <c r="B31" s="108"/>
      <c r="C31" s="110"/>
      <c r="D31" s="110"/>
      <c r="E31" s="112"/>
      <c r="F31" s="109"/>
      <c r="G31" s="112"/>
      <c r="H31" s="127"/>
      <c r="I31" s="120"/>
      <c r="J31" s="120"/>
      <c r="K31" s="23"/>
      <c r="L31" s="120"/>
      <c r="M31" s="120"/>
      <c r="N31" s="22"/>
      <c r="O31" s="120"/>
      <c r="P31" s="27"/>
    </row>
    <row r="32" spans="1:16" ht="43.5" customHeight="1" x14ac:dyDescent="0.25">
      <c r="A32" s="105">
        <v>15</v>
      </c>
      <c r="B32" s="107" t="s">
        <v>29</v>
      </c>
      <c r="C32" s="109"/>
      <c r="D32" s="109"/>
      <c r="E32" s="111" t="s">
        <v>78</v>
      </c>
      <c r="F32" s="130"/>
      <c r="G32" s="143" t="s">
        <v>79</v>
      </c>
      <c r="H32" s="126" t="s">
        <v>80</v>
      </c>
      <c r="I32" s="124" t="s">
        <v>81</v>
      </c>
      <c r="J32" s="123"/>
      <c r="K32" s="21"/>
      <c r="L32" s="123"/>
      <c r="M32" s="123" t="s">
        <v>82</v>
      </c>
      <c r="N32" s="21"/>
      <c r="O32" s="123" t="s">
        <v>83</v>
      </c>
      <c r="P32" s="26">
        <v>5000000</v>
      </c>
    </row>
    <row r="33" spans="1:16" ht="43.5" customHeight="1" thickBot="1" x14ac:dyDescent="0.3">
      <c r="A33" s="106"/>
      <c r="B33" s="108"/>
      <c r="C33" s="110"/>
      <c r="D33" s="110"/>
      <c r="E33" s="112"/>
      <c r="F33" s="109"/>
      <c r="G33" s="125"/>
      <c r="H33" s="127"/>
      <c r="I33" s="141"/>
      <c r="J33" s="120"/>
      <c r="K33" s="23"/>
      <c r="L33" s="120"/>
      <c r="M33" s="120"/>
      <c r="N33" s="22"/>
      <c r="O33" s="120"/>
      <c r="P33" s="27"/>
    </row>
    <row r="34" spans="1:16" ht="25.5" customHeight="1" x14ac:dyDescent="0.25">
      <c r="A34" s="12"/>
      <c r="B34" s="136" t="s">
        <v>18</v>
      </c>
      <c r="C34" s="136"/>
      <c r="D34" s="13"/>
      <c r="E34" s="13"/>
      <c r="F34" s="13"/>
      <c r="G34" s="13"/>
      <c r="H34" s="13"/>
      <c r="I34" s="14"/>
      <c r="J34" s="13"/>
      <c r="K34" s="13"/>
      <c r="L34" s="13"/>
      <c r="M34" s="13"/>
      <c r="N34" s="13"/>
      <c r="O34" s="13"/>
      <c r="P34" s="138">
        <f>SUM(P4:P33)</f>
        <v>1525000000</v>
      </c>
    </row>
    <row r="35" spans="1:16" ht="25.5" customHeight="1" thickBot="1" x14ac:dyDescent="0.3">
      <c r="A35" s="10"/>
      <c r="B35" s="137"/>
      <c r="C35" s="137"/>
      <c r="D35" s="11"/>
      <c r="E35" s="11"/>
      <c r="F35" s="11"/>
      <c r="G35" s="11"/>
      <c r="H35" s="11"/>
      <c r="I35" s="15"/>
      <c r="J35" s="11"/>
      <c r="K35" s="11"/>
      <c r="L35" s="11"/>
      <c r="M35" s="11"/>
      <c r="N35" s="11"/>
      <c r="O35" s="11"/>
      <c r="P35" s="139"/>
    </row>
  </sheetData>
  <mergeCells count="185">
    <mergeCell ref="A30:A31"/>
    <mergeCell ref="H30:H31"/>
    <mergeCell ref="I30:I31"/>
    <mergeCell ref="J30:J31"/>
    <mergeCell ref="L30:L31"/>
    <mergeCell ref="M30:M31"/>
    <mergeCell ref="O30:O31"/>
    <mergeCell ref="B30:B31"/>
    <mergeCell ref="C30:C31"/>
    <mergeCell ref="D30:D31"/>
    <mergeCell ref="E30:E31"/>
    <mergeCell ref="F30:F31"/>
    <mergeCell ref="G30:G31"/>
    <mergeCell ref="J32:J33"/>
    <mergeCell ref="L32:L33"/>
    <mergeCell ref="M32:M33"/>
    <mergeCell ref="O32:O33"/>
    <mergeCell ref="B34:C35"/>
    <mergeCell ref="P34:P35"/>
    <mergeCell ref="O28:O29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G28:G29"/>
    <mergeCell ref="H28:H29"/>
    <mergeCell ref="I28:I29"/>
    <mergeCell ref="J28:J29"/>
    <mergeCell ref="L28:L29"/>
    <mergeCell ref="M28:M29"/>
    <mergeCell ref="A28:A29"/>
    <mergeCell ref="B28:B29"/>
    <mergeCell ref="C28:C29"/>
    <mergeCell ref="D28:D29"/>
    <mergeCell ref="E28:E29"/>
    <mergeCell ref="F28:F29"/>
    <mergeCell ref="G26:G27"/>
    <mergeCell ref="H26:H27"/>
    <mergeCell ref="J26:J27"/>
    <mergeCell ref="L26:L27"/>
    <mergeCell ref="M26:M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J24:J25"/>
    <mergeCell ref="L24:L25"/>
    <mergeCell ref="M24:M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J22:J23"/>
    <mergeCell ref="L22:L23"/>
    <mergeCell ref="M22:M23"/>
    <mergeCell ref="O22:O23"/>
    <mergeCell ref="A22:A23"/>
    <mergeCell ref="B22:B23"/>
    <mergeCell ref="C22:C23"/>
    <mergeCell ref="D22:D23"/>
    <mergeCell ref="E22:E23"/>
    <mergeCell ref="F22:F23"/>
    <mergeCell ref="G20:G21"/>
    <mergeCell ref="I20:I21"/>
    <mergeCell ref="J20:J21"/>
    <mergeCell ref="L20:L21"/>
    <mergeCell ref="M20:M21"/>
    <mergeCell ref="O20:O21"/>
    <mergeCell ref="A20:A21"/>
    <mergeCell ref="B20:B21"/>
    <mergeCell ref="C20:C21"/>
    <mergeCell ref="D20:D21"/>
    <mergeCell ref="E20:E21"/>
    <mergeCell ref="F20:F21"/>
    <mergeCell ref="G18:G19"/>
    <mergeCell ref="I18:I19"/>
    <mergeCell ref="J18:J19"/>
    <mergeCell ref="L18:L19"/>
    <mergeCell ref="M18:M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J16:J17"/>
    <mergeCell ref="L16:L17"/>
    <mergeCell ref="M16:M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J14:J15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G12:G13"/>
    <mergeCell ref="H12:H13"/>
    <mergeCell ref="J12:J13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M6:M7"/>
    <mergeCell ref="O6:O7"/>
    <mergeCell ref="G10:G11"/>
    <mergeCell ref="H10:H11"/>
    <mergeCell ref="J10:J11"/>
    <mergeCell ref="L10:L11"/>
    <mergeCell ref="M10:M11"/>
    <mergeCell ref="O10:O11"/>
    <mergeCell ref="A10:A11"/>
    <mergeCell ref="B10:B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G8:G9"/>
    <mergeCell ref="H8:H9"/>
    <mergeCell ref="J8:J9"/>
    <mergeCell ref="M8:M9"/>
    <mergeCell ref="O8:O9"/>
    <mergeCell ref="I6:I7"/>
    <mergeCell ref="J6:J7"/>
    <mergeCell ref="L6:L7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B58B-CFE4-4C6A-945A-8785E41CBADA}">
  <sheetPr>
    <pageSetUpPr fitToPage="1"/>
  </sheetPr>
  <dimension ref="A1:P37"/>
  <sheetViews>
    <sheetView rightToLeft="1" view="pageLayout" topLeftCell="A31" zoomScale="85" zoomScaleNormal="100" zoomScalePageLayoutView="85" workbookViewId="0">
      <selection activeCell="P3" sqref="P3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7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21"/>
      <c r="J4" s="123"/>
      <c r="K4" s="21"/>
      <c r="L4" s="123" t="s">
        <v>60</v>
      </c>
      <c r="M4" s="123" t="s">
        <v>27</v>
      </c>
      <c r="N4" s="21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22"/>
      <c r="J5" s="120"/>
      <c r="K5" s="22"/>
      <c r="L5" s="120"/>
      <c r="M5" s="120"/>
      <c r="N5" s="22"/>
      <c r="O5" s="120"/>
      <c r="P5" s="27">
        <v>25000000</v>
      </c>
    </row>
    <row r="6" spans="1:16" ht="36" customHeight="1" x14ac:dyDescent="0.25">
      <c r="A6" s="105">
        <v>2</v>
      </c>
      <c r="B6" s="117" t="s">
        <v>26</v>
      </c>
      <c r="C6" s="109"/>
      <c r="D6" s="109"/>
      <c r="E6" s="111" t="s">
        <v>50</v>
      </c>
      <c r="F6" s="109"/>
      <c r="G6" s="109">
        <v>746</v>
      </c>
      <c r="H6" s="24" t="s">
        <v>51</v>
      </c>
      <c r="I6" s="124" t="s">
        <v>49</v>
      </c>
      <c r="J6" s="123"/>
      <c r="K6" s="21"/>
      <c r="L6" s="123" t="s">
        <v>45</v>
      </c>
      <c r="M6" s="123" t="s">
        <v>27</v>
      </c>
      <c r="N6" s="21" t="s">
        <v>16</v>
      </c>
      <c r="O6" s="123" t="s">
        <v>27</v>
      </c>
      <c r="P6" s="26">
        <v>95000000</v>
      </c>
    </row>
    <row r="7" spans="1:16" ht="36" customHeight="1" thickBot="1" x14ac:dyDescent="0.3">
      <c r="A7" s="106"/>
      <c r="B7" s="118"/>
      <c r="C7" s="110"/>
      <c r="D7" s="110"/>
      <c r="E7" s="112"/>
      <c r="F7" s="110"/>
      <c r="G7" s="110"/>
      <c r="H7" s="25"/>
      <c r="I7" s="120"/>
      <c r="J7" s="120"/>
      <c r="K7" s="22"/>
      <c r="L7" s="120"/>
      <c r="M7" s="120"/>
      <c r="N7" s="22"/>
      <c r="O7" s="120"/>
      <c r="P7" s="27">
        <v>25000000</v>
      </c>
    </row>
    <row r="8" spans="1:16" ht="39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22" t="s">
        <v>38</v>
      </c>
      <c r="J8" s="123" t="s">
        <v>52</v>
      </c>
      <c r="K8" s="21"/>
      <c r="L8" s="21" t="s">
        <v>34</v>
      </c>
      <c r="M8" s="123" t="s">
        <v>35</v>
      </c>
      <c r="N8" s="21"/>
      <c r="O8" s="123" t="s">
        <v>36</v>
      </c>
      <c r="P8" s="26">
        <v>50000000</v>
      </c>
    </row>
    <row r="9" spans="1:16" ht="39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22"/>
      <c r="J9" s="120"/>
      <c r="K9" s="22"/>
      <c r="L9" s="22" t="s">
        <v>15</v>
      </c>
      <c r="M9" s="120"/>
      <c r="N9" s="22"/>
      <c r="O9" s="120"/>
      <c r="P9" s="27">
        <v>25000000</v>
      </c>
    </row>
    <row r="10" spans="1:16" ht="48.75" customHeight="1" x14ac:dyDescent="0.25">
      <c r="A10" s="105">
        <v>4</v>
      </c>
      <c r="B10" s="107" t="s">
        <v>46</v>
      </c>
      <c r="C10" s="109"/>
      <c r="D10" s="109"/>
      <c r="E10" s="111" t="s">
        <v>70</v>
      </c>
      <c r="F10" s="109"/>
      <c r="G10" s="109">
        <v>691</v>
      </c>
      <c r="H10" s="109"/>
      <c r="I10" s="21"/>
      <c r="J10" s="123"/>
      <c r="K10" s="21"/>
      <c r="L10" s="123" t="s">
        <v>60</v>
      </c>
      <c r="M10" s="123" t="s">
        <v>27</v>
      </c>
      <c r="N10" s="21" t="s">
        <v>16</v>
      </c>
      <c r="O10" s="123" t="s">
        <v>27</v>
      </c>
      <c r="P10" s="26">
        <v>95000000</v>
      </c>
    </row>
    <row r="11" spans="1:16" ht="48.7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22"/>
      <c r="J11" s="120"/>
      <c r="K11" s="22"/>
      <c r="L11" s="120"/>
      <c r="M11" s="120"/>
      <c r="N11" s="22"/>
      <c r="O11" s="120"/>
      <c r="P11" s="27">
        <v>25000000</v>
      </c>
    </row>
    <row r="12" spans="1:16" ht="48.75" customHeight="1" x14ac:dyDescent="0.25">
      <c r="A12" s="105">
        <v>5</v>
      </c>
      <c r="B12" s="107" t="s">
        <v>46</v>
      </c>
      <c r="C12" s="109"/>
      <c r="D12" s="109"/>
      <c r="E12" s="111" t="s">
        <v>61</v>
      </c>
      <c r="F12" s="109"/>
      <c r="G12" s="109" t="s">
        <v>71</v>
      </c>
      <c r="H12" s="109"/>
      <c r="I12" s="21"/>
      <c r="J12" s="123"/>
      <c r="K12" s="21"/>
      <c r="L12" s="123" t="s">
        <v>60</v>
      </c>
      <c r="M12" s="123" t="s">
        <v>27</v>
      </c>
      <c r="N12" s="21" t="s">
        <v>16</v>
      </c>
      <c r="O12" s="123" t="s">
        <v>27</v>
      </c>
      <c r="P12" s="26">
        <v>95000000</v>
      </c>
    </row>
    <row r="13" spans="1:16" ht="48.7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22"/>
      <c r="J13" s="120"/>
      <c r="K13" s="22"/>
      <c r="L13" s="120"/>
      <c r="M13" s="120"/>
      <c r="N13" s="22"/>
      <c r="O13" s="120"/>
      <c r="P13" s="27">
        <v>25000000</v>
      </c>
    </row>
    <row r="14" spans="1:16" ht="43.5" customHeight="1" x14ac:dyDescent="0.25">
      <c r="A14" s="105">
        <v>6</v>
      </c>
      <c r="B14" s="107" t="s">
        <v>46</v>
      </c>
      <c r="C14" s="109"/>
      <c r="D14" s="109"/>
      <c r="E14" s="111" t="s">
        <v>62</v>
      </c>
      <c r="F14" s="109"/>
      <c r="G14" s="109" t="s">
        <v>72</v>
      </c>
      <c r="H14" s="109"/>
      <c r="I14" s="21"/>
      <c r="J14" s="123"/>
      <c r="K14" s="21"/>
      <c r="L14" s="123" t="s">
        <v>60</v>
      </c>
      <c r="M14" s="123" t="s">
        <v>27</v>
      </c>
      <c r="N14" s="21" t="s">
        <v>16</v>
      </c>
      <c r="O14" s="123" t="s">
        <v>27</v>
      </c>
      <c r="P14" s="26">
        <v>95000000</v>
      </c>
    </row>
    <row r="15" spans="1:16" ht="43.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22"/>
      <c r="J15" s="120"/>
      <c r="K15" s="22"/>
      <c r="L15" s="120"/>
      <c r="M15" s="120"/>
      <c r="N15" s="22"/>
      <c r="O15" s="120"/>
      <c r="P15" s="27">
        <v>25000000</v>
      </c>
    </row>
    <row r="16" spans="1:16" ht="43.5" customHeight="1" x14ac:dyDescent="0.25">
      <c r="A16" s="105">
        <v>7</v>
      </c>
      <c r="B16" s="107" t="s">
        <v>46</v>
      </c>
      <c r="C16" s="109"/>
      <c r="D16" s="109"/>
      <c r="E16" s="111" t="s">
        <v>63</v>
      </c>
      <c r="F16" s="109"/>
      <c r="G16" s="109">
        <v>737</v>
      </c>
      <c r="H16" s="109"/>
      <c r="I16" s="21"/>
      <c r="J16" s="123"/>
      <c r="K16" s="21"/>
      <c r="L16" s="123" t="s">
        <v>60</v>
      </c>
      <c r="M16" s="123" t="s">
        <v>27</v>
      </c>
      <c r="N16" s="21" t="s">
        <v>16</v>
      </c>
      <c r="O16" s="123" t="s">
        <v>27</v>
      </c>
      <c r="P16" s="26">
        <v>95000000</v>
      </c>
    </row>
    <row r="17" spans="1:16" ht="43.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22"/>
      <c r="J17" s="120"/>
      <c r="K17" s="22"/>
      <c r="L17" s="120"/>
      <c r="M17" s="120"/>
      <c r="N17" s="22"/>
      <c r="O17" s="120"/>
      <c r="P17" s="27">
        <v>25000000</v>
      </c>
    </row>
    <row r="18" spans="1:16" ht="43.5" customHeight="1" x14ac:dyDescent="0.25">
      <c r="A18" s="105">
        <v>8</v>
      </c>
      <c r="B18" s="117" t="s">
        <v>26</v>
      </c>
      <c r="C18" s="109"/>
      <c r="D18" s="109"/>
      <c r="E18" s="111" t="s">
        <v>64</v>
      </c>
      <c r="F18" s="109"/>
      <c r="G18" s="109">
        <v>738</v>
      </c>
      <c r="H18" s="24"/>
      <c r="I18" s="119"/>
      <c r="J18" s="123"/>
      <c r="K18" s="21"/>
      <c r="L18" s="123" t="s">
        <v>60</v>
      </c>
      <c r="M18" s="123" t="s">
        <v>27</v>
      </c>
      <c r="N18" s="21" t="s">
        <v>16</v>
      </c>
      <c r="O18" s="123" t="s">
        <v>27</v>
      </c>
      <c r="P18" s="26">
        <v>95000000</v>
      </c>
    </row>
    <row r="19" spans="1:16" ht="43.5" customHeight="1" thickBot="1" x14ac:dyDescent="0.3">
      <c r="A19" s="106"/>
      <c r="B19" s="118"/>
      <c r="C19" s="110"/>
      <c r="D19" s="110"/>
      <c r="E19" s="112"/>
      <c r="F19" s="110"/>
      <c r="G19" s="110"/>
      <c r="H19" s="25"/>
      <c r="I19" s="120"/>
      <c r="J19" s="120"/>
      <c r="K19" s="22"/>
      <c r="L19" s="120"/>
      <c r="M19" s="120"/>
      <c r="N19" s="22"/>
      <c r="O19" s="120"/>
      <c r="P19" s="27">
        <v>25000000</v>
      </c>
    </row>
    <row r="20" spans="1:16" ht="58.5" customHeight="1" x14ac:dyDescent="0.25">
      <c r="A20" s="105">
        <v>9</v>
      </c>
      <c r="B20" s="117" t="s">
        <v>26</v>
      </c>
      <c r="C20" s="109"/>
      <c r="D20" s="109"/>
      <c r="E20" s="111" t="s">
        <v>31</v>
      </c>
      <c r="F20" s="109"/>
      <c r="G20" s="109">
        <v>692</v>
      </c>
      <c r="H20" s="24"/>
      <c r="I20" s="124"/>
      <c r="J20" s="123"/>
      <c r="K20" s="21"/>
      <c r="L20" s="132" t="s">
        <v>60</v>
      </c>
      <c r="M20" s="123" t="s">
        <v>27</v>
      </c>
      <c r="N20" s="21" t="s">
        <v>16</v>
      </c>
      <c r="O20" s="123" t="s">
        <v>27</v>
      </c>
      <c r="P20" s="26">
        <v>95000000</v>
      </c>
    </row>
    <row r="21" spans="1:16" ht="58.5" customHeight="1" thickBot="1" x14ac:dyDescent="0.3">
      <c r="A21" s="106"/>
      <c r="B21" s="118"/>
      <c r="C21" s="110"/>
      <c r="D21" s="110"/>
      <c r="E21" s="112"/>
      <c r="F21" s="110"/>
      <c r="G21" s="110"/>
      <c r="H21" s="25"/>
      <c r="I21" s="120"/>
      <c r="J21" s="120"/>
      <c r="K21" s="22"/>
      <c r="L21" s="133"/>
      <c r="M21" s="120"/>
      <c r="N21" s="22"/>
      <c r="O21" s="120"/>
      <c r="P21" s="27">
        <v>25000000</v>
      </c>
    </row>
    <row r="22" spans="1:16" ht="58.5" customHeight="1" x14ac:dyDescent="0.25">
      <c r="A22" s="105">
        <v>10</v>
      </c>
      <c r="B22" s="107" t="s">
        <v>28</v>
      </c>
      <c r="C22" s="109"/>
      <c r="D22" s="109"/>
      <c r="E22" s="111" t="s">
        <v>66</v>
      </c>
      <c r="F22" s="109"/>
      <c r="G22" s="109">
        <v>745</v>
      </c>
      <c r="H22" s="109"/>
      <c r="I22" s="2"/>
      <c r="J22" s="123"/>
      <c r="K22" s="21"/>
      <c r="L22" s="132" t="s">
        <v>60</v>
      </c>
      <c r="M22" s="123" t="s">
        <v>27</v>
      </c>
      <c r="N22" s="21" t="s">
        <v>16</v>
      </c>
      <c r="O22" s="123" t="s">
        <v>27</v>
      </c>
      <c r="P22" s="26">
        <v>95000000</v>
      </c>
    </row>
    <row r="23" spans="1:16" ht="58.5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1"/>
      <c r="J23" s="120"/>
      <c r="K23" s="22"/>
      <c r="L23" s="133"/>
      <c r="M23" s="120"/>
      <c r="N23" s="22"/>
      <c r="O23" s="120"/>
      <c r="P23" s="27">
        <v>25000000</v>
      </c>
    </row>
    <row r="24" spans="1:16" ht="58.5" customHeight="1" x14ac:dyDescent="0.25">
      <c r="A24" s="105">
        <v>11</v>
      </c>
      <c r="B24" s="107" t="s">
        <v>28</v>
      </c>
      <c r="C24" s="109"/>
      <c r="D24" s="109"/>
      <c r="E24" s="111" t="s">
        <v>69</v>
      </c>
      <c r="F24" s="109"/>
      <c r="G24" s="109">
        <v>668</v>
      </c>
      <c r="H24" s="109"/>
      <c r="I24" s="21"/>
      <c r="J24" s="123"/>
      <c r="K24" s="21"/>
      <c r="L24" s="123" t="s">
        <v>60</v>
      </c>
      <c r="M24" s="123" t="s">
        <v>27</v>
      </c>
      <c r="N24" s="21" t="s">
        <v>16</v>
      </c>
      <c r="O24" s="123" t="s">
        <v>27</v>
      </c>
      <c r="P24" s="26">
        <v>95000000</v>
      </c>
    </row>
    <row r="25" spans="1:16" ht="58.5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22"/>
      <c r="J25" s="120"/>
      <c r="K25" s="22"/>
      <c r="L25" s="120"/>
      <c r="M25" s="120"/>
      <c r="N25" s="22"/>
      <c r="O25" s="120"/>
      <c r="P25" s="27">
        <v>25000000</v>
      </c>
    </row>
    <row r="26" spans="1:16" ht="43.5" customHeight="1" x14ac:dyDescent="0.25">
      <c r="A26" s="105">
        <v>12</v>
      </c>
      <c r="B26" s="107" t="s">
        <v>28</v>
      </c>
      <c r="C26" s="109"/>
      <c r="D26" s="109"/>
      <c r="E26" s="111" t="s">
        <v>68</v>
      </c>
      <c r="F26" s="109"/>
      <c r="G26" s="109">
        <v>734</v>
      </c>
      <c r="H26" s="109"/>
      <c r="I26" s="21"/>
      <c r="J26" s="123"/>
      <c r="K26" s="21"/>
      <c r="L26" s="123" t="s">
        <v>60</v>
      </c>
      <c r="M26" s="123" t="s">
        <v>27</v>
      </c>
      <c r="N26" s="21" t="s">
        <v>16</v>
      </c>
      <c r="O26" s="123" t="s">
        <v>27</v>
      </c>
      <c r="P26" s="26">
        <v>95000000</v>
      </c>
    </row>
    <row r="27" spans="1:16" ht="43.5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22"/>
      <c r="J27" s="120"/>
      <c r="K27" s="22"/>
      <c r="L27" s="120"/>
      <c r="M27" s="120"/>
      <c r="N27" s="22"/>
      <c r="O27" s="120"/>
      <c r="P27" s="27">
        <v>25000000</v>
      </c>
    </row>
    <row r="28" spans="1:16" ht="43.5" customHeight="1" x14ac:dyDescent="0.25">
      <c r="A28" s="105">
        <v>13</v>
      </c>
      <c r="B28" s="107" t="s">
        <v>28</v>
      </c>
      <c r="C28" s="109"/>
      <c r="D28" s="109"/>
      <c r="E28" s="111" t="s">
        <v>67</v>
      </c>
      <c r="F28" s="130"/>
      <c r="G28" s="109">
        <v>679</v>
      </c>
      <c r="H28" s="126"/>
      <c r="I28" s="123"/>
      <c r="J28" s="123"/>
      <c r="K28" s="21"/>
      <c r="L28" s="123" t="s">
        <v>60</v>
      </c>
      <c r="M28" s="123" t="s">
        <v>27</v>
      </c>
      <c r="N28" s="21" t="s">
        <v>16</v>
      </c>
      <c r="O28" s="123" t="s">
        <v>27</v>
      </c>
      <c r="P28" s="26">
        <v>95000000</v>
      </c>
    </row>
    <row r="29" spans="1:16" ht="43.5" customHeight="1" thickBot="1" x14ac:dyDescent="0.3">
      <c r="A29" s="106"/>
      <c r="B29" s="108"/>
      <c r="C29" s="110"/>
      <c r="D29" s="110"/>
      <c r="E29" s="112"/>
      <c r="F29" s="130"/>
      <c r="G29" s="110"/>
      <c r="H29" s="144"/>
      <c r="I29" s="120"/>
      <c r="J29" s="120"/>
      <c r="K29" s="22"/>
      <c r="L29" s="120"/>
      <c r="M29" s="120"/>
      <c r="N29" s="22"/>
      <c r="O29" s="120"/>
      <c r="P29" s="27">
        <v>25000000</v>
      </c>
    </row>
    <row r="30" spans="1:16" ht="43.5" customHeight="1" x14ac:dyDescent="0.25">
      <c r="A30" s="105">
        <v>14</v>
      </c>
      <c r="B30" s="107" t="s">
        <v>86</v>
      </c>
      <c r="C30" s="109"/>
      <c r="D30" s="109"/>
      <c r="E30" s="145" t="s">
        <v>87</v>
      </c>
      <c r="F30" s="130"/>
      <c r="G30" s="111" t="s">
        <v>89</v>
      </c>
      <c r="H30" s="126" t="s">
        <v>88</v>
      </c>
      <c r="I30" s="124" t="s">
        <v>90</v>
      </c>
      <c r="J30" s="123"/>
      <c r="K30" s="21"/>
      <c r="L30" s="123" t="s">
        <v>91</v>
      </c>
      <c r="M30" s="123" t="s">
        <v>93</v>
      </c>
      <c r="N30" s="21" t="s">
        <v>92</v>
      </c>
      <c r="O30" s="123" t="s">
        <v>94</v>
      </c>
      <c r="P30" s="26">
        <v>50000000</v>
      </c>
    </row>
    <row r="31" spans="1:16" ht="43.5" customHeight="1" thickBot="1" x14ac:dyDescent="0.3">
      <c r="A31" s="106"/>
      <c r="B31" s="108"/>
      <c r="C31" s="110"/>
      <c r="D31" s="110"/>
      <c r="E31" s="112"/>
      <c r="F31" s="109"/>
      <c r="G31" s="112"/>
      <c r="H31" s="127"/>
      <c r="I31" s="141"/>
      <c r="J31" s="120"/>
      <c r="K31" s="23"/>
      <c r="L31" s="120"/>
      <c r="M31" s="120"/>
      <c r="N31" s="22"/>
      <c r="O31" s="120"/>
      <c r="P31" s="27"/>
    </row>
    <row r="32" spans="1:16" ht="43.5" customHeight="1" x14ac:dyDescent="0.25">
      <c r="A32" s="105">
        <v>15</v>
      </c>
      <c r="B32" s="107" t="s">
        <v>30</v>
      </c>
      <c r="C32" s="109"/>
      <c r="D32" s="109"/>
      <c r="E32" s="145" t="s">
        <v>85</v>
      </c>
      <c r="F32" s="130"/>
      <c r="G32" s="145" t="s">
        <v>84</v>
      </c>
      <c r="H32" s="126" t="s">
        <v>80</v>
      </c>
      <c r="I32" s="124" t="s">
        <v>81</v>
      </c>
      <c r="J32" s="123"/>
      <c r="K32" s="21"/>
      <c r="L32" s="123"/>
      <c r="M32" s="123" t="s">
        <v>82</v>
      </c>
      <c r="N32" s="21"/>
      <c r="O32" s="123" t="s">
        <v>83</v>
      </c>
      <c r="P32" s="26">
        <v>5000000</v>
      </c>
    </row>
    <row r="33" spans="1:16" ht="43.5" customHeight="1" thickBot="1" x14ac:dyDescent="0.3">
      <c r="A33" s="106"/>
      <c r="B33" s="108"/>
      <c r="C33" s="110"/>
      <c r="D33" s="110"/>
      <c r="E33" s="112"/>
      <c r="F33" s="109"/>
      <c r="G33" s="112"/>
      <c r="H33" s="127"/>
      <c r="I33" s="141"/>
      <c r="J33" s="120"/>
      <c r="K33" s="23"/>
      <c r="L33" s="120"/>
      <c r="M33" s="120"/>
      <c r="N33" s="22"/>
      <c r="O33" s="120"/>
      <c r="P33" s="27"/>
    </row>
    <row r="34" spans="1:16" ht="43.5" customHeight="1" x14ac:dyDescent="0.25">
      <c r="A34" s="105">
        <v>16</v>
      </c>
      <c r="B34" s="107" t="s">
        <v>29</v>
      </c>
      <c r="C34" s="109"/>
      <c r="D34" s="109"/>
      <c r="E34" s="111" t="s">
        <v>78</v>
      </c>
      <c r="F34" s="130"/>
      <c r="G34" s="143" t="s">
        <v>79</v>
      </c>
      <c r="H34" s="126" t="s">
        <v>80</v>
      </c>
      <c r="I34" s="124" t="s">
        <v>81</v>
      </c>
      <c r="J34" s="123"/>
      <c r="K34" s="21"/>
      <c r="L34" s="123"/>
      <c r="M34" s="123" t="s">
        <v>82</v>
      </c>
      <c r="N34" s="21"/>
      <c r="O34" s="123" t="s">
        <v>83</v>
      </c>
      <c r="P34" s="26">
        <v>5000000</v>
      </c>
    </row>
    <row r="35" spans="1:16" ht="43.5" customHeight="1" thickBot="1" x14ac:dyDescent="0.3">
      <c r="A35" s="106"/>
      <c r="B35" s="108"/>
      <c r="C35" s="110"/>
      <c r="D35" s="110"/>
      <c r="E35" s="112"/>
      <c r="F35" s="109"/>
      <c r="G35" s="125"/>
      <c r="H35" s="127"/>
      <c r="I35" s="141"/>
      <c r="J35" s="120"/>
      <c r="K35" s="23"/>
      <c r="L35" s="120"/>
      <c r="M35" s="120"/>
      <c r="N35" s="22"/>
      <c r="O35" s="120"/>
      <c r="P35" s="27"/>
    </row>
    <row r="36" spans="1:16" ht="25.5" customHeight="1" x14ac:dyDescent="0.25">
      <c r="A36" s="12"/>
      <c r="B36" s="136" t="s">
        <v>18</v>
      </c>
      <c r="C36" s="136"/>
      <c r="D36" s="13"/>
      <c r="E36" s="13"/>
      <c r="F36" s="13"/>
      <c r="G36" s="13"/>
      <c r="H36" s="13"/>
      <c r="I36" s="14"/>
      <c r="J36" s="13"/>
      <c r="K36" s="13"/>
      <c r="L36" s="13"/>
      <c r="M36" s="13"/>
      <c r="N36" s="13"/>
      <c r="O36" s="13"/>
      <c r="P36" s="138">
        <f>SUM(P4:P35)</f>
        <v>1575000000</v>
      </c>
    </row>
    <row r="37" spans="1:16" ht="25.5" customHeight="1" thickBot="1" x14ac:dyDescent="0.3">
      <c r="A37" s="10"/>
      <c r="B37" s="137"/>
      <c r="C37" s="137"/>
      <c r="D37" s="11"/>
      <c r="E37" s="11"/>
      <c r="F37" s="11"/>
      <c r="G37" s="11"/>
      <c r="H37" s="11"/>
      <c r="I37" s="15"/>
      <c r="J37" s="11"/>
      <c r="K37" s="11"/>
      <c r="L37" s="11"/>
      <c r="M37" s="11"/>
      <c r="N37" s="11"/>
      <c r="O37" s="11"/>
      <c r="P37" s="139"/>
    </row>
  </sheetData>
  <mergeCells count="198">
    <mergeCell ref="F30:F31"/>
    <mergeCell ref="G30:G31"/>
    <mergeCell ref="H30:H31"/>
    <mergeCell ref="I30:I31"/>
    <mergeCell ref="E32:E33"/>
    <mergeCell ref="F32:F33"/>
    <mergeCell ref="A32:A33"/>
    <mergeCell ref="B32:B33"/>
    <mergeCell ref="C32:C33"/>
    <mergeCell ref="D32:D33"/>
    <mergeCell ref="A30:A31"/>
    <mergeCell ref="B30:B31"/>
    <mergeCell ref="C30:C31"/>
    <mergeCell ref="D30:D31"/>
    <mergeCell ref="E30:E31"/>
    <mergeCell ref="J34:J35"/>
    <mergeCell ref="L34:L35"/>
    <mergeCell ref="M34:M35"/>
    <mergeCell ref="O34:O35"/>
    <mergeCell ref="B36:C37"/>
    <mergeCell ref="P36:P37"/>
    <mergeCell ref="O28:O29"/>
    <mergeCell ref="G28:G29"/>
    <mergeCell ref="H28:H29"/>
    <mergeCell ref="I28:I29"/>
    <mergeCell ref="J28:J29"/>
    <mergeCell ref="L28:L29"/>
    <mergeCell ref="M28:M29"/>
    <mergeCell ref="J30:J31"/>
    <mergeCell ref="L30:L31"/>
    <mergeCell ref="M30:M31"/>
    <mergeCell ref="O30:O31"/>
    <mergeCell ref="O32:O33"/>
    <mergeCell ref="G32:G33"/>
    <mergeCell ref="H32:H33"/>
    <mergeCell ref="I32:I33"/>
    <mergeCell ref="J32:J33"/>
    <mergeCell ref="L32:L33"/>
    <mergeCell ref="M32:M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A28:A29"/>
    <mergeCell ref="B28:B29"/>
    <mergeCell ref="C28:C29"/>
    <mergeCell ref="D28:D29"/>
    <mergeCell ref="E28:E29"/>
    <mergeCell ref="F28:F29"/>
    <mergeCell ref="G26:G27"/>
    <mergeCell ref="H26:H27"/>
    <mergeCell ref="J26:J27"/>
    <mergeCell ref="L26:L27"/>
    <mergeCell ref="M26:M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J24:J25"/>
    <mergeCell ref="L24:L25"/>
    <mergeCell ref="M24:M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J22:J23"/>
    <mergeCell ref="L22:L23"/>
    <mergeCell ref="M22:M23"/>
    <mergeCell ref="O22:O23"/>
    <mergeCell ref="A22:A23"/>
    <mergeCell ref="B22:B23"/>
    <mergeCell ref="C22:C23"/>
    <mergeCell ref="D22:D23"/>
    <mergeCell ref="E22:E23"/>
    <mergeCell ref="F22:F23"/>
    <mergeCell ref="G20:G21"/>
    <mergeCell ref="I20:I21"/>
    <mergeCell ref="J20:J21"/>
    <mergeCell ref="L20:L21"/>
    <mergeCell ref="M20:M21"/>
    <mergeCell ref="O20:O21"/>
    <mergeCell ref="A20:A21"/>
    <mergeCell ref="B20:B21"/>
    <mergeCell ref="C20:C21"/>
    <mergeCell ref="D20:D21"/>
    <mergeCell ref="E20:E21"/>
    <mergeCell ref="F20:F21"/>
    <mergeCell ref="G18:G19"/>
    <mergeCell ref="I18:I19"/>
    <mergeCell ref="J18:J19"/>
    <mergeCell ref="L18:L19"/>
    <mergeCell ref="M18:M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J16:J17"/>
    <mergeCell ref="L16:L17"/>
    <mergeCell ref="M16:M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J14:J15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G12:G13"/>
    <mergeCell ref="H12:H13"/>
    <mergeCell ref="J12:J13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M6:M7"/>
    <mergeCell ref="O6:O7"/>
    <mergeCell ref="G10:G11"/>
    <mergeCell ref="H10:H11"/>
    <mergeCell ref="J10:J11"/>
    <mergeCell ref="L10:L11"/>
    <mergeCell ref="M10:M11"/>
    <mergeCell ref="O10:O11"/>
    <mergeCell ref="A10:A11"/>
    <mergeCell ref="B10:B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G8:G9"/>
    <mergeCell ref="H8:H9"/>
    <mergeCell ref="J8:J9"/>
    <mergeCell ref="M8:M9"/>
    <mergeCell ref="O8:O9"/>
    <mergeCell ref="I6:I7"/>
    <mergeCell ref="J6:J7"/>
    <mergeCell ref="L6:L7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C5DB-C36A-4B10-A1D2-E673F58B83EF}">
  <sheetPr>
    <pageSetUpPr fitToPage="1"/>
  </sheetPr>
  <dimension ref="A1:P33"/>
  <sheetViews>
    <sheetView rightToLeft="1" view="pageLayout" topLeftCell="A28" zoomScale="85" zoomScaleNormal="100" zoomScalePageLayoutView="85" workbookViewId="0">
      <selection activeCell="I30" sqref="I30:I31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8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30" t="s">
        <v>100</v>
      </c>
      <c r="J4" s="123"/>
      <c r="K4" s="30"/>
      <c r="L4" s="123" t="s">
        <v>60</v>
      </c>
      <c r="M4" s="123" t="s">
        <v>27</v>
      </c>
      <c r="N4" s="30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31"/>
      <c r="J5" s="120"/>
      <c r="K5" s="31"/>
      <c r="L5" s="120"/>
      <c r="M5" s="120"/>
      <c r="N5" s="31"/>
      <c r="O5" s="120"/>
      <c r="P5" s="27">
        <v>25000000</v>
      </c>
    </row>
    <row r="6" spans="1:16" ht="36" customHeight="1" x14ac:dyDescent="0.25">
      <c r="A6" s="105">
        <v>2</v>
      </c>
      <c r="B6" s="117" t="s">
        <v>26</v>
      </c>
      <c r="C6" s="109"/>
      <c r="D6" s="109"/>
      <c r="E6" s="111" t="s">
        <v>50</v>
      </c>
      <c r="F6" s="109"/>
      <c r="G6" s="109">
        <v>746</v>
      </c>
      <c r="H6" s="32" t="s">
        <v>51</v>
      </c>
      <c r="I6" s="124" t="s">
        <v>49</v>
      </c>
      <c r="J6" s="123"/>
      <c r="K6" s="30"/>
      <c r="L6" s="123" t="s">
        <v>45</v>
      </c>
      <c r="M6" s="123" t="s">
        <v>27</v>
      </c>
      <c r="N6" s="30" t="s">
        <v>16</v>
      </c>
      <c r="O6" s="123" t="s">
        <v>27</v>
      </c>
      <c r="P6" s="26">
        <v>95000000</v>
      </c>
    </row>
    <row r="7" spans="1:16" ht="36" customHeight="1" thickBot="1" x14ac:dyDescent="0.3">
      <c r="A7" s="106"/>
      <c r="B7" s="118"/>
      <c r="C7" s="110"/>
      <c r="D7" s="110"/>
      <c r="E7" s="112"/>
      <c r="F7" s="110"/>
      <c r="G7" s="110"/>
      <c r="H7" s="34"/>
      <c r="I7" s="120"/>
      <c r="J7" s="120"/>
      <c r="K7" s="31"/>
      <c r="L7" s="120"/>
      <c r="M7" s="120"/>
      <c r="N7" s="31"/>
      <c r="O7" s="120"/>
      <c r="P7" s="27">
        <v>25000000</v>
      </c>
    </row>
    <row r="8" spans="1:16" ht="39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124"/>
      <c r="J8" s="123" t="s">
        <v>52</v>
      </c>
      <c r="K8" s="30"/>
      <c r="L8" s="30" t="s">
        <v>34</v>
      </c>
      <c r="M8" s="123" t="s">
        <v>35</v>
      </c>
      <c r="N8" s="30"/>
      <c r="O8" s="123" t="s">
        <v>36</v>
      </c>
      <c r="P8" s="26">
        <v>50000000</v>
      </c>
    </row>
    <row r="9" spans="1:16" ht="39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120"/>
      <c r="J9" s="120"/>
      <c r="K9" s="31"/>
      <c r="L9" s="31" t="s">
        <v>15</v>
      </c>
      <c r="M9" s="120"/>
      <c r="N9" s="31"/>
      <c r="O9" s="120"/>
      <c r="P9" s="27">
        <v>25000000</v>
      </c>
    </row>
    <row r="10" spans="1:16" ht="48.75" customHeight="1" x14ac:dyDescent="0.25">
      <c r="A10" s="105">
        <v>4</v>
      </c>
      <c r="B10" s="107" t="s">
        <v>46</v>
      </c>
      <c r="C10" s="109"/>
      <c r="D10" s="109"/>
      <c r="E10" s="111" t="s">
        <v>70</v>
      </c>
      <c r="F10" s="109"/>
      <c r="G10" s="109">
        <v>691</v>
      </c>
      <c r="H10" s="109"/>
      <c r="I10" s="30" t="s">
        <v>100</v>
      </c>
      <c r="J10" s="123"/>
      <c r="K10" s="30"/>
      <c r="L10" s="123" t="s">
        <v>60</v>
      </c>
      <c r="M10" s="123" t="s">
        <v>27</v>
      </c>
      <c r="N10" s="30" t="s">
        <v>16</v>
      </c>
      <c r="O10" s="123" t="s">
        <v>27</v>
      </c>
      <c r="P10" s="26">
        <v>95000000</v>
      </c>
    </row>
    <row r="11" spans="1:16" ht="48.7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31"/>
      <c r="J11" s="120"/>
      <c r="K11" s="31"/>
      <c r="L11" s="120"/>
      <c r="M11" s="120"/>
      <c r="N11" s="31"/>
      <c r="O11" s="120"/>
      <c r="P11" s="27">
        <v>25000000</v>
      </c>
    </row>
    <row r="12" spans="1:16" ht="48.75" customHeight="1" x14ac:dyDescent="0.25">
      <c r="A12" s="105">
        <v>5</v>
      </c>
      <c r="B12" s="107" t="s">
        <v>46</v>
      </c>
      <c r="C12" s="109"/>
      <c r="D12" s="109"/>
      <c r="E12" s="111" t="s">
        <v>61</v>
      </c>
      <c r="F12" s="109"/>
      <c r="G12" s="109" t="s">
        <v>71</v>
      </c>
      <c r="H12" s="109"/>
      <c r="I12" s="30" t="s">
        <v>100</v>
      </c>
      <c r="J12" s="123"/>
      <c r="K12" s="30"/>
      <c r="L12" s="123" t="s">
        <v>60</v>
      </c>
      <c r="M12" s="123" t="s">
        <v>27</v>
      </c>
      <c r="N12" s="30" t="s">
        <v>16</v>
      </c>
      <c r="O12" s="123" t="s">
        <v>27</v>
      </c>
      <c r="P12" s="26">
        <v>95000000</v>
      </c>
    </row>
    <row r="13" spans="1:16" ht="48.7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31"/>
      <c r="J13" s="120"/>
      <c r="K13" s="31"/>
      <c r="L13" s="120"/>
      <c r="M13" s="120"/>
      <c r="N13" s="31"/>
      <c r="O13" s="120"/>
      <c r="P13" s="27">
        <v>25000000</v>
      </c>
    </row>
    <row r="14" spans="1:16" ht="43.5" customHeight="1" x14ac:dyDescent="0.25">
      <c r="A14" s="105">
        <v>6</v>
      </c>
      <c r="B14" s="107" t="s">
        <v>46</v>
      </c>
      <c r="C14" s="109"/>
      <c r="D14" s="109"/>
      <c r="E14" s="111" t="s">
        <v>62</v>
      </c>
      <c r="F14" s="109"/>
      <c r="G14" s="109" t="s">
        <v>72</v>
      </c>
      <c r="H14" s="109"/>
      <c r="I14" s="30" t="s">
        <v>100</v>
      </c>
      <c r="J14" s="123"/>
      <c r="K14" s="30"/>
      <c r="L14" s="123" t="s">
        <v>60</v>
      </c>
      <c r="M14" s="123" t="s">
        <v>27</v>
      </c>
      <c r="N14" s="30" t="s">
        <v>16</v>
      </c>
      <c r="O14" s="123" t="s">
        <v>27</v>
      </c>
      <c r="P14" s="26">
        <v>95000000</v>
      </c>
    </row>
    <row r="15" spans="1:16" ht="43.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31"/>
      <c r="J15" s="120"/>
      <c r="K15" s="31"/>
      <c r="L15" s="120"/>
      <c r="M15" s="120"/>
      <c r="N15" s="31"/>
      <c r="O15" s="120"/>
      <c r="P15" s="27">
        <v>25000000</v>
      </c>
    </row>
    <row r="16" spans="1:16" ht="43.5" customHeight="1" x14ac:dyDescent="0.25">
      <c r="A16" s="105">
        <v>7</v>
      </c>
      <c r="B16" s="107" t="s">
        <v>46</v>
      </c>
      <c r="C16" s="109"/>
      <c r="D16" s="109"/>
      <c r="E16" s="111" t="s">
        <v>63</v>
      </c>
      <c r="F16" s="109"/>
      <c r="G16" s="109">
        <v>737</v>
      </c>
      <c r="H16" s="109"/>
      <c r="I16" s="30" t="s">
        <v>100</v>
      </c>
      <c r="J16" s="123"/>
      <c r="K16" s="30"/>
      <c r="L16" s="123" t="s">
        <v>60</v>
      </c>
      <c r="M16" s="123" t="s">
        <v>27</v>
      </c>
      <c r="N16" s="30" t="s">
        <v>16</v>
      </c>
      <c r="O16" s="123" t="s">
        <v>27</v>
      </c>
      <c r="P16" s="26">
        <v>95000000</v>
      </c>
    </row>
    <row r="17" spans="1:16" ht="43.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31"/>
      <c r="J17" s="120"/>
      <c r="K17" s="31"/>
      <c r="L17" s="120"/>
      <c r="M17" s="120"/>
      <c r="N17" s="31"/>
      <c r="O17" s="120"/>
      <c r="P17" s="27">
        <v>25000000</v>
      </c>
    </row>
    <row r="18" spans="1:16" ht="43.5" customHeight="1" x14ac:dyDescent="0.25">
      <c r="A18" s="105">
        <v>8</v>
      </c>
      <c r="B18" s="117" t="s">
        <v>26</v>
      </c>
      <c r="C18" s="109"/>
      <c r="D18" s="109"/>
      <c r="E18" s="111" t="s">
        <v>64</v>
      </c>
      <c r="F18" s="109"/>
      <c r="G18" s="109">
        <v>738</v>
      </c>
      <c r="H18" s="32"/>
      <c r="I18" s="119" t="s">
        <v>100</v>
      </c>
      <c r="J18" s="123"/>
      <c r="K18" s="30"/>
      <c r="L18" s="123" t="s">
        <v>60</v>
      </c>
      <c r="M18" s="123" t="s">
        <v>27</v>
      </c>
      <c r="N18" s="30" t="s">
        <v>16</v>
      </c>
      <c r="O18" s="123" t="s">
        <v>27</v>
      </c>
      <c r="P18" s="26">
        <v>95000000</v>
      </c>
    </row>
    <row r="19" spans="1:16" ht="43.5" customHeight="1" thickBot="1" x14ac:dyDescent="0.3">
      <c r="A19" s="106"/>
      <c r="B19" s="118"/>
      <c r="C19" s="110"/>
      <c r="D19" s="110"/>
      <c r="E19" s="112"/>
      <c r="F19" s="110"/>
      <c r="G19" s="110"/>
      <c r="H19" s="34"/>
      <c r="I19" s="120"/>
      <c r="J19" s="120"/>
      <c r="K19" s="31"/>
      <c r="L19" s="120"/>
      <c r="M19" s="120"/>
      <c r="N19" s="31"/>
      <c r="O19" s="120"/>
      <c r="P19" s="27">
        <v>25000000</v>
      </c>
    </row>
    <row r="20" spans="1:16" ht="58.5" customHeight="1" x14ac:dyDescent="0.25">
      <c r="A20" s="105">
        <v>9</v>
      </c>
      <c r="B20" s="117" t="s">
        <v>26</v>
      </c>
      <c r="C20" s="109"/>
      <c r="D20" s="109"/>
      <c r="E20" s="111" t="s">
        <v>31</v>
      </c>
      <c r="F20" s="109"/>
      <c r="G20" s="109">
        <v>692</v>
      </c>
      <c r="H20" s="32"/>
      <c r="I20" s="124" t="s">
        <v>100</v>
      </c>
      <c r="J20" s="123"/>
      <c r="K20" s="30"/>
      <c r="L20" s="132" t="s">
        <v>60</v>
      </c>
      <c r="M20" s="123" t="s">
        <v>27</v>
      </c>
      <c r="N20" s="30" t="s">
        <v>16</v>
      </c>
      <c r="O20" s="123" t="s">
        <v>27</v>
      </c>
      <c r="P20" s="26">
        <v>95000000</v>
      </c>
    </row>
    <row r="21" spans="1:16" ht="58.5" customHeight="1" thickBot="1" x14ac:dyDescent="0.3">
      <c r="A21" s="106"/>
      <c r="B21" s="118"/>
      <c r="C21" s="110"/>
      <c r="D21" s="110"/>
      <c r="E21" s="112"/>
      <c r="F21" s="110"/>
      <c r="G21" s="110"/>
      <c r="H21" s="34"/>
      <c r="I21" s="120"/>
      <c r="J21" s="120"/>
      <c r="K21" s="31"/>
      <c r="L21" s="133"/>
      <c r="M21" s="120"/>
      <c r="N21" s="31"/>
      <c r="O21" s="120"/>
      <c r="P21" s="27">
        <v>25000000</v>
      </c>
    </row>
    <row r="22" spans="1:16" ht="58.5" customHeight="1" x14ac:dyDescent="0.25">
      <c r="A22" s="105">
        <v>10</v>
      </c>
      <c r="B22" s="107" t="s">
        <v>28</v>
      </c>
      <c r="C22" s="109"/>
      <c r="D22" s="109"/>
      <c r="E22" s="111" t="s">
        <v>66</v>
      </c>
      <c r="F22" s="109"/>
      <c r="G22" s="109">
        <v>745</v>
      </c>
      <c r="H22" s="109"/>
      <c r="I22" s="30" t="s">
        <v>100</v>
      </c>
      <c r="J22" s="123"/>
      <c r="K22" s="30"/>
      <c r="L22" s="132" t="s">
        <v>60</v>
      </c>
      <c r="M22" s="123" t="s">
        <v>27</v>
      </c>
      <c r="N22" s="30" t="s">
        <v>16</v>
      </c>
      <c r="O22" s="123" t="s">
        <v>27</v>
      </c>
      <c r="P22" s="26">
        <v>95000000</v>
      </c>
    </row>
    <row r="23" spans="1:16" ht="58.5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30"/>
      <c r="J23" s="120"/>
      <c r="K23" s="31"/>
      <c r="L23" s="133"/>
      <c r="M23" s="120"/>
      <c r="N23" s="31"/>
      <c r="O23" s="120"/>
      <c r="P23" s="27">
        <v>25000000</v>
      </c>
    </row>
    <row r="24" spans="1:16" ht="58.5" customHeight="1" x14ac:dyDescent="0.25">
      <c r="A24" s="105">
        <v>11</v>
      </c>
      <c r="B24" s="107" t="s">
        <v>28</v>
      </c>
      <c r="C24" s="109"/>
      <c r="D24" s="109"/>
      <c r="E24" s="111" t="s">
        <v>69</v>
      </c>
      <c r="F24" s="109"/>
      <c r="G24" s="109">
        <v>668</v>
      </c>
      <c r="H24" s="109"/>
      <c r="I24" s="30" t="s">
        <v>100</v>
      </c>
      <c r="J24" s="123"/>
      <c r="K24" s="30"/>
      <c r="L24" s="123" t="s">
        <v>60</v>
      </c>
      <c r="M24" s="123" t="s">
        <v>27</v>
      </c>
      <c r="N24" s="30" t="s">
        <v>16</v>
      </c>
      <c r="O24" s="123" t="s">
        <v>27</v>
      </c>
      <c r="P24" s="26">
        <v>95000000</v>
      </c>
    </row>
    <row r="25" spans="1:16" ht="58.5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31"/>
      <c r="J25" s="120"/>
      <c r="K25" s="31"/>
      <c r="L25" s="120"/>
      <c r="M25" s="120"/>
      <c r="N25" s="31"/>
      <c r="O25" s="120"/>
      <c r="P25" s="27">
        <v>25000000</v>
      </c>
    </row>
    <row r="26" spans="1:16" ht="43.5" customHeight="1" x14ac:dyDescent="0.25">
      <c r="A26" s="105">
        <v>12</v>
      </c>
      <c r="B26" s="107" t="s">
        <v>28</v>
      </c>
      <c r="C26" s="109"/>
      <c r="D26" s="109"/>
      <c r="E26" s="111" t="s">
        <v>68</v>
      </c>
      <c r="F26" s="109"/>
      <c r="G26" s="109">
        <v>734</v>
      </c>
      <c r="H26" s="109"/>
      <c r="I26" s="30" t="s">
        <v>100</v>
      </c>
      <c r="J26" s="123"/>
      <c r="K26" s="30"/>
      <c r="L26" s="123" t="s">
        <v>60</v>
      </c>
      <c r="M26" s="123" t="s">
        <v>27</v>
      </c>
      <c r="N26" s="30" t="s">
        <v>16</v>
      </c>
      <c r="O26" s="123" t="s">
        <v>27</v>
      </c>
      <c r="P26" s="26">
        <v>95000000</v>
      </c>
    </row>
    <row r="27" spans="1:16" ht="43.5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31"/>
      <c r="J27" s="120"/>
      <c r="K27" s="31"/>
      <c r="L27" s="120"/>
      <c r="M27" s="120"/>
      <c r="N27" s="31"/>
      <c r="O27" s="120"/>
      <c r="P27" s="27">
        <v>25000000</v>
      </c>
    </row>
    <row r="28" spans="1:16" ht="43.5" customHeight="1" x14ac:dyDescent="0.25">
      <c r="A28" s="105">
        <v>13</v>
      </c>
      <c r="B28" s="107" t="s">
        <v>28</v>
      </c>
      <c r="C28" s="109"/>
      <c r="D28" s="109"/>
      <c r="E28" s="111" t="s">
        <v>67</v>
      </c>
      <c r="F28" s="130"/>
      <c r="G28" s="109">
        <v>679</v>
      </c>
      <c r="H28" s="126"/>
      <c r="I28" s="123" t="s">
        <v>100</v>
      </c>
      <c r="J28" s="123"/>
      <c r="K28" s="30"/>
      <c r="L28" s="123" t="s">
        <v>60</v>
      </c>
      <c r="M28" s="123" t="s">
        <v>27</v>
      </c>
      <c r="N28" s="30" t="s">
        <v>16</v>
      </c>
      <c r="O28" s="123" t="s">
        <v>27</v>
      </c>
      <c r="P28" s="26">
        <v>95000000</v>
      </c>
    </row>
    <row r="29" spans="1:16" ht="43.5" customHeight="1" thickBot="1" x14ac:dyDescent="0.3">
      <c r="A29" s="106"/>
      <c r="B29" s="108"/>
      <c r="C29" s="110"/>
      <c r="D29" s="110"/>
      <c r="E29" s="112"/>
      <c r="F29" s="130"/>
      <c r="G29" s="110"/>
      <c r="H29" s="144"/>
      <c r="I29" s="120"/>
      <c r="J29" s="120"/>
      <c r="K29" s="31"/>
      <c r="L29" s="120"/>
      <c r="M29" s="120"/>
      <c r="N29" s="31"/>
      <c r="O29" s="120"/>
      <c r="P29" s="27">
        <v>25000000</v>
      </c>
    </row>
    <row r="30" spans="1:16" ht="43.5" customHeight="1" x14ac:dyDescent="0.25">
      <c r="A30" s="105">
        <v>14</v>
      </c>
      <c r="B30" s="107" t="s">
        <v>86</v>
      </c>
      <c r="C30" s="109"/>
      <c r="D30" s="109"/>
      <c r="E30" s="145" t="s">
        <v>87</v>
      </c>
      <c r="F30" s="130"/>
      <c r="G30" s="111" t="s">
        <v>89</v>
      </c>
      <c r="H30" s="126" t="s">
        <v>88</v>
      </c>
      <c r="I30" s="124" t="s">
        <v>90</v>
      </c>
      <c r="J30" s="123"/>
      <c r="K30" s="30"/>
      <c r="L30" s="123" t="s">
        <v>91</v>
      </c>
      <c r="M30" s="123" t="s">
        <v>93</v>
      </c>
      <c r="N30" s="30" t="s">
        <v>92</v>
      </c>
      <c r="O30" s="123" t="s">
        <v>94</v>
      </c>
      <c r="P30" s="26">
        <v>50000000</v>
      </c>
    </row>
    <row r="31" spans="1:16" ht="43.5" customHeight="1" thickBot="1" x14ac:dyDescent="0.3">
      <c r="A31" s="106"/>
      <c r="B31" s="108"/>
      <c r="C31" s="110"/>
      <c r="D31" s="110"/>
      <c r="E31" s="112"/>
      <c r="F31" s="109"/>
      <c r="G31" s="112"/>
      <c r="H31" s="127"/>
      <c r="I31" s="124"/>
      <c r="J31" s="120"/>
      <c r="K31" s="33"/>
      <c r="L31" s="120"/>
      <c r="M31" s="120"/>
      <c r="N31" s="31"/>
      <c r="O31" s="120"/>
      <c r="P31" s="27"/>
    </row>
    <row r="32" spans="1:16" ht="25.5" customHeight="1" x14ac:dyDescent="0.25">
      <c r="A32" s="12"/>
      <c r="B32" s="136" t="s">
        <v>18</v>
      </c>
      <c r="C32" s="136"/>
      <c r="D32" s="13"/>
      <c r="E32" s="13"/>
      <c r="F32" s="13"/>
      <c r="G32" s="13"/>
      <c r="H32" s="13"/>
      <c r="I32" s="14"/>
      <c r="J32" s="13"/>
      <c r="K32" s="13"/>
      <c r="L32" s="13"/>
      <c r="M32" s="13"/>
      <c r="N32" s="13"/>
      <c r="O32" s="13"/>
      <c r="P32" s="138">
        <f>SUM(P4:P31)</f>
        <v>1565000000</v>
      </c>
    </row>
    <row r="33" spans="1:16" ht="25.5" customHeight="1" thickBot="1" x14ac:dyDescent="0.3">
      <c r="A33" s="10"/>
      <c r="B33" s="137"/>
      <c r="C33" s="137"/>
      <c r="D33" s="11"/>
      <c r="E33" s="11"/>
      <c r="F33" s="11"/>
      <c r="G33" s="11"/>
      <c r="H33" s="11"/>
      <c r="I33" s="15"/>
      <c r="J33" s="11"/>
      <c r="K33" s="11"/>
      <c r="L33" s="11"/>
      <c r="M33" s="11"/>
      <c r="N33" s="11"/>
      <c r="O33" s="11"/>
      <c r="P33" s="139"/>
    </row>
  </sheetData>
  <mergeCells count="173">
    <mergeCell ref="B32:C33"/>
    <mergeCell ref="P32:P33"/>
    <mergeCell ref="J30:J31"/>
    <mergeCell ref="L30:L31"/>
    <mergeCell ref="M30:M31"/>
    <mergeCell ref="O30:O31"/>
    <mergeCell ref="O28:O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G28:G29"/>
    <mergeCell ref="H28:H29"/>
    <mergeCell ref="I28:I29"/>
    <mergeCell ref="J28:J29"/>
    <mergeCell ref="L28:L29"/>
    <mergeCell ref="M28:M29"/>
    <mergeCell ref="A28:A29"/>
    <mergeCell ref="B28:B29"/>
    <mergeCell ref="C28:C29"/>
    <mergeCell ref="D28:D29"/>
    <mergeCell ref="E28:E29"/>
    <mergeCell ref="F28:F29"/>
    <mergeCell ref="G26:G27"/>
    <mergeCell ref="H26:H27"/>
    <mergeCell ref="J26:J27"/>
    <mergeCell ref="L26:L27"/>
    <mergeCell ref="M26:M27"/>
    <mergeCell ref="O26:O27"/>
    <mergeCell ref="A26:A27"/>
    <mergeCell ref="B26:B27"/>
    <mergeCell ref="C26:C27"/>
    <mergeCell ref="D26:D27"/>
    <mergeCell ref="E26:E27"/>
    <mergeCell ref="F26:F27"/>
    <mergeCell ref="G24:G25"/>
    <mergeCell ref="H24:H25"/>
    <mergeCell ref="J24:J25"/>
    <mergeCell ref="L24:L25"/>
    <mergeCell ref="M24:M25"/>
    <mergeCell ref="O24:O25"/>
    <mergeCell ref="A24:A25"/>
    <mergeCell ref="B24:B25"/>
    <mergeCell ref="C24:C25"/>
    <mergeCell ref="D24:D25"/>
    <mergeCell ref="E24:E25"/>
    <mergeCell ref="F24:F25"/>
    <mergeCell ref="G22:G23"/>
    <mergeCell ref="H22:H23"/>
    <mergeCell ref="J22:J23"/>
    <mergeCell ref="L22:L23"/>
    <mergeCell ref="M22:M23"/>
    <mergeCell ref="O22:O23"/>
    <mergeCell ref="A22:A23"/>
    <mergeCell ref="B22:B23"/>
    <mergeCell ref="C22:C23"/>
    <mergeCell ref="D22:D23"/>
    <mergeCell ref="E22:E23"/>
    <mergeCell ref="F22:F23"/>
    <mergeCell ref="G20:G21"/>
    <mergeCell ref="I20:I21"/>
    <mergeCell ref="J20:J21"/>
    <mergeCell ref="L20:L21"/>
    <mergeCell ref="M20:M21"/>
    <mergeCell ref="O20:O21"/>
    <mergeCell ref="A20:A21"/>
    <mergeCell ref="B20:B21"/>
    <mergeCell ref="C20:C21"/>
    <mergeCell ref="D20:D21"/>
    <mergeCell ref="E20:E21"/>
    <mergeCell ref="F20:F21"/>
    <mergeCell ref="G18:G19"/>
    <mergeCell ref="I18:I19"/>
    <mergeCell ref="J18:J19"/>
    <mergeCell ref="L18:L19"/>
    <mergeCell ref="M18:M19"/>
    <mergeCell ref="O18:O19"/>
    <mergeCell ref="A18:A19"/>
    <mergeCell ref="B18:B19"/>
    <mergeCell ref="C18:C19"/>
    <mergeCell ref="D18:D19"/>
    <mergeCell ref="E18:E19"/>
    <mergeCell ref="F18:F19"/>
    <mergeCell ref="G16:G17"/>
    <mergeCell ref="H16:H17"/>
    <mergeCell ref="J16:J17"/>
    <mergeCell ref="L16:L17"/>
    <mergeCell ref="M16:M17"/>
    <mergeCell ref="O16:O17"/>
    <mergeCell ref="A16:A17"/>
    <mergeCell ref="B16:B17"/>
    <mergeCell ref="C16:C17"/>
    <mergeCell ref="D16:D17"/>
    <mergeCell ref="E16:E17"/>
    <mergeCell ref="F16:F17"/>
    <mergeCell ref="G14:G15"/>
    <mergeCell ref="H14:H15"/>
    <mergeCell ref="J14:J15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A10:A11"/>
    <mergeCell ref="B10:B11"/>
    <mergeCell ref="C10:C11"/>
    <mergeCell ref="D10:D11"/>
    <mergeCell ref="E10:E11"/>
    <mergeCell ref="F10:F11"/>
    <mergeCell ref="G12:G13"/>
    <mergeCell ref="H12:H13"/>
    <mergeCell ref="J12:J13"/>
    <mergeCell ref="L6:L7"/>
    <mergeCell ref="M6:M7"/>
    <mergeCell ref="O6:O7"/>
    <mergeCell ref="G10:G11"/>
    <mergeCell ref="H10:H11"/>
    <mergeCell ref="J10:J11"/>
    <mergeCell ref="L10:L11"/>
    <mergeCell ref="M10:M11"/>
    <mergeCell ref="O10:O11"/>
    <mergeCell ref="A8:A9"/>
    <mergeCell ref="B8:B9"/>
    <mergeCell ref="C8:C9"/>
    <mergeCell ref="D8:D9"/>
    <mergeCell ref="E8:E9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  <mergeCell ref="F8:F9"/>
    <mergeCell ref="G8:G9"/>
    <mergeCell ref="H8:H9"/>
    <mergeCell ref="J8:J9"/>
    <mergeCell ref="M8:M9"/>
    <mergeCell ref="O8:O9"/>
    <mergeCell ref="I8:I9"/>
    <mergeCell ref="I6:I7"/>
    <mergeCell ref="J6:J7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62B4-FCCD-45B2-91BF-BED5A72EE921}">
  <sheetPr>
    <pageSetUpPr fitToPage="1"/>
  </sheetPr>
  <dimension ref="A1:P33"/>
  <sheetViews>
    <sheetView rightToLeft="1" view="pageLayout" zoomScale="85" zoomScaleNormal="100" zoomScalePageLayoutView="85" workbookViewId="0">
      <selection activeCell="G16" sqref="G16:G17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9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36" t="s">
        <v>100</v>
      </c>
      <c r="J4" s="123"/>
      <c r="K4" s="36"/>
      <c r="L4" s="123" t="s">
        <v>60</v>
      </c>
      <c r="M4" s="123" t="s">
        <v>27</v>
      </c>
      <c r="N4" s="36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35"/>
      <c r="J5" s="120"/>
      <c r="K5" s="35"/>
      <c r="L5" s="120"/>
      <c r="M5" s="120"/>
      <c r="N5" s="35"/>
      <c r="O5" s="120"/>
      <c r="P5" s="27">
        <v>25000000</v>
      </c>
    </row>
    <row r="6" spans="1:16" ht="36" customHeight="1" x14ac:dyDescent="0.25">
      <c r="A6" s="105">
        <v>2</v>
      </c>
      <c r="B6" s="117" t="s">
        <v>26</v>
      </c>
      <c r="C6" s="109"/>
      <c r="D6" s="109"/>
      <c r="E6" s="111" t="s">
        <v>50</v>
      </c>
      <c r="F6" s="109"/>
      <c r="G6" s="109">
        <v>746</v>
      </c>
      <c r="H6" s="38" t="s">
        <v>51</v>
      </c>
      <c r="I6" s="124" t="s">
        <v>49</v>
      </c>
      <c r="J6" s="123"/>
      <c r="K6" s="36"/>
      <c r="L6" s="123" t="s">
        <v>45</v>
      </c>
      <c r="M6" s="123" t="s">
        <v>27</v>
      </c>
      <c r="N6" s="36" t="s">
        <v>16</v>
      </c>
      <c r="O6" s="123" t="s">
        <v>27</v>
      </c>
      <c r="P6" s="26">
        <v>95000000</v>
      </c>
    </row>
    <row r="7" spans="1:16" ht="36" customHeight="1" thickBot="1" x14ac:dyDescent="0.3">
      <c r="A7" s="106"/>
      <c r="B7" s="118"/>
      <c r="C7" s="110"/>
      <c r="D7" s="110"/>
      <c r="E7" s="112"/>
      <c r="F7" s="110"/>
      <c r="G7" s="110"/>
      <c r="H7" s="39"/>
      <c r="I7" s="120"/>
      <c r="J7" s="120"/>
      <c r="K7" s="35"/>
      <c r="L7" s="120"/>
      <c r="M7" s="120"/>
      <c r="N7" s="35"/>
      <c r="O7" s="120"/>
      <c r="P7" s="27">
        <v>25000000</v>
      </c>
    </row>
    <row r="8" spans="1:16" ht="39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124"/>
      <c r="J8" s="123" t="s">
        <v>52</v>
      </c>
      <c r="K8" s="36"/>
      <c r="L8" s="36" t="s">
        <v>34</v>
      </c>
      <c r="M8" s="123" t="s">
        <v>35</v>
      </c>
      <c r="N8" s="36"/>
      <c r="O8" s="123" t="s">
        <v>36</v>
      </c>
      <c r="P8" s="26">
        <v>50000000</v>
      </c>
    </row>
    <row r="9" spans="1:16" ht="39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120"/>
      <c r="J9" s="120"/>
      <c r="K9" s="35"/>
      <c r="L9" s="35" t="s">
        <v>15</v>
      </c>
      <c r="M9" s="120"/>
      <c r="N9" s="35"/>
      <c r="O9" s="120"/>
      <c r="P9" s="27">
        <v>25000000</v>
      </c>
    </row>
    <row r="10" spans="1:16" ht="48.75" customHeight="1" x14ac:dyDescent="0.25">
      <c r="A10" s="105">
        <v>4</v>
      </c>
      <c r="B10" s="107" t="s">
        <v>46</v>
      </c>
      <c r="C10" s="109"/>
      <c r="D10" s="109"/>
      <c r="E10" s="111" t="s">
        <v>70</v>
      </c>
      <c r="F10" s="109"/>
      <c r="G10" s="109">
        <v>691</v>
      </c>
      <c r="H10" s="109"/>
      <c r="I10" s="36" t="s">
        <v>100</v>
      </c>
      <c r="J10" s="123"/>
      <c r="K10" s="36"/>
      <c r="L10" s="123" t="s">
        <v>60</v>
      </c>
      <c r="M10" s="123" t="s">
        <v>27</v>
      </c>
      <c r="N10" s="36" t="s">
        <v>16</v>
      </c>
      <c r="O10" s="123" t="s">
        <v>27</v>
      </c>
      <c r="P10" s="26">
        <v>95000000</v>
      </c>
    </row>
    <row r="11" spans="1:16" ht="48.7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35"/>
      <c r="J11" s="120"/>
      <c r="K11" s="35"/>
      <c r="L11" s="120"/>
      <c r="M11" s="120"/>
      <c r="N11" s="35"/>
      <c r="O11" s="120"/>
      <c r="P11" s="27">
        <v>25000000</v>
      </c>
    </row>
    <row r="12" spans="1:16" ht="48.75" customHeight="1" x14ac:dyDescent="0.25">
      <c r="A12" s="105">
        <v>5</v>
      </c>
      <c r="B12" s="107" t="s">
        <v>46</v>
      </c>
      <c r="C12" s="109"/>
      <c r="D12" s="109"/>
      <c r="E12" s="111" t="s">
        <v>61</v>
      </c>
      <c r="F12" s="109"/>
      <c r="G12" s="109" t="s">
        <v>71</v>
      </c>
      <c r="H12" s="109"/>
      <c r="I12" s="36" t="s">
        <v>100</v>
      </c>
      <c r="J12" s="123"/>
      <c r="K12" s="36"/>
      <c r="L12" s="123" t="s">
        <v>60</v>
      </c>
      <c r="M12" s="123" t="s">
        <v>27</v>
      </c>
      <c r="N12" s="36" t="s">
        <v>16</v>
      </c>
      <c r="O12" s="123" t="s">
        <v>27</v>
      </c>
      <c r="P12" s="26">
        <v>95000000</v>
      </c>
    </row>
    <row r="13" spans="1:16" ht="48.7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35"/>
      <c r="J13" s="120"/>
      <c r="K13" s="35"/>
      <c r="L13" s="120"/>
      <c r="M13" s="120"/>
      <c r="N13" s="35"/>
      <c r="O13" s="120"/>
      <c r="P13" s="27">
        <v>25000000</v>
      </c>
    </row>
    <row r="14" spans="1:16" ht="43.5" customHeight="1" x14ac:dyDescent="0.25">
      <c r="A14" s="105">
        <v>6</v>
      </c>
      <c r="B14" s="107" t="s">
        <v>46</v>
      </c>
      <c r="C14" s="109"/>
      <c r="D14" s="109"/>
      <c r="E14" s="111" t="s">
        <v>62</v>
      </c>
      <c r="F14" s="109"/>
      <c r="G14" s="109" t="s">
        <v>72</v>
      </c>
      <c r="H14" s="109"/>
      <c r="I14" s="36" t="s">
        <v>100</v>
      </c>
      <c r="J14" s="123"/>
      <c r="K14" s="36"/>
      <c r="L14" s="123" t="s">
        <v>60</v>
      </c>
      <c r="M14" s="123" t="s">
        <v>27</v>
      </c>
      <c r="N14" s="36" t="s">
        <v>16</v>
      </c>
      <c r="O14" s="123" t="s">
        <v>27</v>
      </c>
      <c r="P14" s="26">
        <v>95000000</v>
      </c>
    </row>
    <row r="15" spans="1:16" ht="43.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35"/>
      <c r="J15" s="120"/>
      <c r="K15" s="35"/>
      <c r="L15" s="120"/>
      <c r="M15" s="120"/>
      <c r="N15" s="35"/>
      <c r="O15" s="120"/>
      <c r="P15" s="27">
        <v>25000000</v>
      </c>
    </row>
    <row r="16" spans="1:16" ht="43.5" customHeight="1" x14ac:dyDescent="0.25">
      <c r="A16" s="105">
        <v>7</v>
      </c>
      <c r="B16" s="107" t="s">
        <v>46</v>
      </c>
      <c r="C16" s="109"/>
      <c r="D16" s="109"/>
      <c r="E16" s="111" t="s">
        <v>63</v>
      </c>
      <c r="F16" s="109"/>
      <c r="G16" s="109">
        <v>737</v>
      </c>
      <c r="H16" s="109"/>
      <c r="I16" s="36" t="s">
        <v>100</v>
      </c>
      <c r="J16" s="123"/>
      <c r="K16" s="36"/>
      <c r="L16" s="123" t="s">
        <v>60</v>
      </c>
      <c r="M16" s="123" t="s">
        <v>27</v>
      </c>
      <c r="N16" s="36" t="s">
        <v>16</v>
      </c>
      <c r="O16" s="123" t="s">
        <v>27</v>
      </c>
      <c r="P16" s="26">
        <v>95000000</v>
      </c>
    </row>
    <row r="17" spans="1:16" ht="43.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35"/>
      <c r="J17" s="120"/>
      <c r="K17" s="35"/>
      <c r="L17" s="120"/>
      <c r="M17" s="120"/>
      <c r="N17" s="35"/>
      <c r="O17" s="120"/>
      <c r="P17" s="27">
        <v>25000000</v>
      </c>
    </row>
    <row r="18" spans="1:16" ht="43.5" customHeight="1" x14ac:dyDescent="0.25">
      <c r="A18" s="105">
        <v>8</v>
      </c>
      <c r="B18" s="117" t="s">
        <v>26</v>
      </c>
      <c r="C18" s="109"/>
      <c r="D18" s="109"/>
      <c r="E18" s="111" t="s">
        <v>64</v>
      </c>
      <c r="F18" s="109"/>
      <c r="G18" s="109">
        <v>738</v>
      </c>
      <c r="H18" s="38"/>
      <c r="I18" s="119" t="s">
        <v>100</v>
      </c>
      <c r="J18" s="123"/>
      <c r="K18" s="36"/>
      <c r="L18" s="123" t="s">
        <v>60</v>
      </c>
      <c r="M18" s="123" t="s">
        <v>27</v>
      </c>
      <c r="N18" s="36" t="s">
        <v>16</v>
      </c>
      <c r="O18" s="123" t="s">
        <v>27</v>
      </c>
      <c r="P18" s="26">
        <v>95000000</v>
      </c>
    </row>
    <row r="19" spans="1:16" ht="43.5" customHeight="1" thickBot="1" x14ac:dyDescent="0.3">
      <c r="A19" s="106"/>
      <c r="B19" s="118"/>
      <c r="C19" s="110"/>
      <c r="D19" s="110"/>
      <c r="E19" s="112"/>
      <c r="F19" s="110"/>
      <c r="G19" s="110"/>
      <c r="H19" s="39"/>
      <c r="I19" s="120"/>
      <c r="J19" s="120"/>
      <c r="K19" s="35"/>
      <c r="L19" s="120"/>
      <c r="M19" s="120"/>
      <c r="N19" s="35"/>
      <c r="O19" s="120"/>
      <c r="P19" s="27">
        <v>25000000</v>
      </c>
    </row>
    <row r="20" spans="1:16" ht="58.5" customHeight="1" x14ac:dyDescent="0.25">
      <c r="A20" s="105">
        <v>9</v>
      </c>
      <c r="B20" s="117" t="s">
        <v>26</v>
      </c>
      <c r="C20" s="109"/>
      <c r="D20" s="109"/>
      <c r="E20" s="111" t="s">
        <v>31</v>
      </c>
      <c r="F20" s="109"/>
      <c r="G20" s="109">
        <v>692</v>
      </c>
      <c r="H20" s="38"/>
      <c r="I20" s="124" t="s">
        <v>100</v>
      </c>
      <c r="J20" s="123"/>
      <c r="K20" s="36"/>
      <c r="L20" s="132" t="s">
        <v>60</v>
      </c>
      <c r="M20" s="123" t="s">
        <v>27</v>
      </c>
      <c r="N20" s="36" t="s">
        <v>16</v>
      </c>
      <c r="O20" s="123" t="s">
        <v>27</v>
      </c>
      <c r="P20" s="26">
        <v>95000000</v>
      </c>
    </row>
    <row r="21" spans="1:16" ht="58.5" customHeight="1" thickBot="1" x14ac:dyDescent="0.3">
      <c r="A21" s="106"/>
      <c r="B21" s="118"/>
      <c r="C21" s="110"/>
      <c r="D21" s="110"/>
      <c r="E21" s="112"/>
      <c r="F21" s="110"/>
      <c r="G21" s="110"/>
      <c r="H21" s="39"/>
      <c r="I21" s="120"/>
      <c r="J21" s="120"/>
      <c r="K21" s="35"/>
      <c r="L21" s="133"/>
      <c r="M21" s="120"/>
      <c r="N21" s="35"/>
      <c r="O21" s="120"/>
      <c r="P21" s="27">
        <v>25000000</v>
      </c>
    </row>
    <row r="22" spans="1:16" ht="58.5" customHeight="1" x14ac:dyDescent="0.25">
      <c r="A22" s="105">
        <v>10</v>
      </c>
      <c r="B22" s="107" t="s">
        <v>28</v>
      </c>
      <c r="C22" s="109"/>
      <c r="D22" s="109"/>
      <c r="E22" s="111" t="s">
        <v>66</v>
      </c>
      <c r="F22" s="109"/>
      <c r="G22" s="109">
        <v>745</v>
      </c>
      <c r="H22" s="109"/>
      <c r="I22" s="36" t="s">
        <v>100</v>
      </c>
      <c r="J22" s="123"/>
      <c r="K22" s="36"/>
      <c r="L22" s="132" t="s">
        <v>60</v>
      </c>
      <c r="M22" s="123" t="s">
        <v>27</v>
      </c>
      <c r="N22" s="36" t="s">
        <v>16</v>
      </c>
      <c r="O22" s="123" t="s">
        <v>27</v>
      </c>
      <c r="P22" s="26">
        <v>95000000</v>
      </c>
    </row>
    <row r="23" spans="1:16" ht="58.5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36"/>
      <c r="J23" s="120"/>
      <c r="K23" s="35"/>
      <c r="L23" s="133"/>
      <c r="M23" s="120"/>
      <c r="N23" s="35"/>
      <c r="O23" s="120"/>
      <c r="P23" s="27">
        <v>25000000</v>
      </c>
    </row>
    <row r="24" spans="1:16" ht="58.5" customHeight="1" x14ac:dyDescent="0.25">
      <c r="A24" s="105">
        <v>11</v>
      </c>
      <c r="B24" s="107" t="s">
        <v>28</v>
      </c>
      <c r="C24" s="109"/>
      <c r="D24" s="109"/>
      <c r="E24" s="111" t="s">
        <v>69</v>
      </c>
      <c r="F24" s="109"/>
      <c r="G24" s="109">
        <v>668</v>
      </c>
      <c r="H24" s="109"/>
      <c r="I24" s="36" t="s">
        <v>100</v>
      </c>
      <c r="J24" s="123"/>
      <c r="K24" s="36"/>
      <c r="L24" s="123" t="s">
        <v>60</v>
      </c>
      <c r="M24" s="123" t="s">
        <v>27</v>
      </c>
      <c r="N24" s="36" t="s">
        <v>16</v>
      </c>
      <c r="O24" s="123" t="s">
        <v>27</v>
      </c>
      <c r="P24" s="26">
        <v>95000000</v>
      </c>
    </row>
    <row r="25" spans="1:16" ht="58.5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35"/>
      <c r="J25" s="120"/>
      <c r="K25" s="35"/>
      <c r="L25" s="120"/>
      <c r="M25" s="120"/>
      <c r="N25" s="35"/>
      <c r="O25" s="120"/>
      <c r="P25" s="27">
        <v>25000000</v>
      </c>
    </row>
    <row r="26" spans="1:16" ht="43.5" customHeight="1" x14ac:dyDescent="0.25">
      <c r="A26" s="105">
        <v>12</v>
      </c>
      <c r="B26" s="107" t="s">
        <v>28</v>
      </c>
      <c r="C26" s="109"/>
      <c r="D26" s="109"/>
      <c r="E26" s="111" t="s">
        <v>68</v>
      </c>
      <c r="F26" s="109"/>
      <c r="G26" s="109">
        <v>734</v>
      </c>
      <c r="H26" s="109"/>
      <c r="I26" s="36" t="s">
        <v>100</v>
      </c>
      <c r="J26" s="123"/>
      <c r="K26" s="36"/>
      <c r="L26" s="123" t="s">
        <v>60</v>
      </c>
      <c r="M26" s="123" t="s">
        <v>27</v>
      </c>
      <c r="N26" s="36" t="s">
        <v>16</v>
      </c>
      <c r="O26" s="123" t="s">
        <v>27</v>
      </c>
      <c r="P26" s="26">
        <v>95000000</v>
      </c>
    </row>
    <row r="27" spans="1:16" ht="43.5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35"/>
      <c r="J27" s="120"/>
      <c r="K27" s="35"/>
      <c r="L27" s="120"/>
      <c r="M27" s="120"/>
      <c r="N27" s="35"/>
      <c r="O27" s="120"/>
      <c r="P27" s="27">
        <v>25000000</v>
      </c>
    </row>
    <row r="28" spans="1:16" ht="43.5" customHeight="1" x14ac:dyDescent="0.25">
      <c r="A28" s="105">
        <v>13</v>
      </c>
      <c r="B28" s="107" t="s">
        <v>28</v>
      </c>
      <c r="C28" s="109"/>
      <c r="D28" s="109"/>
      <c r="E28" s="111" t="s">
        <v>67</v>
      </c>
      <c r="F28" s="130"/>
      <c r="G28" s="109">
        <v>679</v>
      </c>
      <c r="H28" s="126"/>
      <c r="I28" s="123" t="s">
        <v>100</v>
      </c>
      <c r="J28" s="123"/>
      <c r="K28" s="36"/>
      <c r="L28" s="123" t="s">
        <v>60</v>
      </c>
      <c r="M28" s="123" t="s">
        <v>27</v>
      </c>
      <c r="N28" s="36" t="s">
        <v>16</v>
      </c>
      <c r="O28" s="123" t="s">
        <v>27</v>
      </c>
      <c r="P28" s="26">
        <v>95000000</v>
      </c>
    </row>
    <row r="29" spans="1:16" ht="43.5" customHeight="1" thickBot="1" x14ac:dyDescent="0.3">
      <c r="A29" s="106"/>
      <c r="B29" s="108"/>
      <c r="C29" s="110"/>
      <c r="D29" s="110"/>
      <c r="E29" s="112"/>
      <c r="F29" s="130"/>
      <c r="G29" s="110"/>
      <c r="H29" s="144"/>
      <c r="I29" s="120"/>
      <c r="J29" s="120"/>
      <c r="K29" s="35"/>
      <c r="L29" s="120"/>
      <c r="M29" s="120"/>
      <c r="N29" s="35"/>
      <c r="O29" s="120"/>
      <c r="P29" s="27">
        <v>25000000</v>
      </c>
    </row>
    <row r="30" spans="1:16" ht="43.5" customHeight="1" x14ac:dyDescent="0.25">
      <c r="A30" s="105">
        <v>14</v>
      </c>
      <c r="B30" s="107" t="s">
        <v>73</v>
      </c>
      <c r="C30" s="109"/>
      <c r="D30" s="109">
        <v>450</v>
      </c>
      <c r="E30" s="111" t="s">
        <v>95</v>
      </c>
      <c r="F30" s="110">
        <v>2014</v>
      </c>
      <c r="G30" s="142" t="s">
        <v>96</v>
      </c>
      <c r="H30" s="127" t="s">
        <v>97</v>
      </c>
      <c r="I30" s="124" t="s">
        <v>98</v>
      </c>
      <c r="J30" s="123"/>
      <c r="K30" s="36"/>
      <c r="L30" s="123"/>
      <c r="M30" s="123" t="s">
        <v>99</v>
      </c>
      <c r="N30" s="36"/>
      <c r="O30" s="123" t="s">
        <v>94</v>
      </c>
      <c r="P30" s="26">
        <v>55000000</v>
      </c>
    </row>
    <row r="31" spans="1:16" ht="43.5" customHeight="1" thickBot="1" x14ac:dyDescent="0.3">
      <c r="A31" s="106"/>
      <c r="B31" s="108"/>
      <c r="C31" s="110"/>
      <c r="D31" s="110"/>
      <c r="E31" s="112"/>
      <c r="F31" s="109"/>
      <c r="G31" s="125"/>
      <c r="H31" s="127"/>
      <c r="I31" s="141"/>
      <c r="J31" s="120"/>
      <c r="K31" s="37"/>
      <c r="L31" s="120"/>
      <c r="M31" s="120"/>
      <c r="N31" s="35"/>
      <c r="O31" s="120"/>
      <c r="P31" s="27"/>
    </row>
    <row r="32" spans="1:16" ht="25.5" customHeight="1" x14ac:dyDescent="0.25">
      <c r="A32" s="12"/>
      <c r="B32" s="136" t="s">
        <v>18</v>
      </c>
      <c r="C32" s="136"/>
      <c r="D32" s="13"/>
      <c r="E32" s="13"/>
      <c r="F32" s="13"/>
      <c r="G32" s="13"/>
      <c r="H32" s="13"/>
      <c r="I32" s="14"/>
      <c r="J32" s="13"/>
      <c r="K32" s="13"/>
      <c r="L32" s="13"/>
      <c r="M32" s="13"/>
      <c r="N32" s="13"/>
      <c r="O32" s="13"/>
      <c r="P32" s="138">
        <f>SUM(P4:P31)</f>
        <v>1570000000</v>
      </c>
    </row>
    <row r="33" spans="1:16" ht="25.5" customHeight="1" thickBot="1" x14ac:dyDescent="0.3">
      <c r="A33" s="10"/>
      <c r="B33" s="137"/>
      <c r="C33" s="137"/>
      <c r="D33" s="11"/>
      <c r="E33" s="11"/>
      <c r="F33" s="11"/>
      <c r="G33" s="11"/>
      <c r="H33" s="11"/>
      <c r="I33" s="15"/>
      <c r="J33" s="11"/>
      <c r="K33" s="11"/>
      <c r="L33" s="11"/>
      <c r="M33" s="11"/>
      <c r="N33" s="11"/>
      <c r="O33" s="11"/>
      <c r="P33" s="139"/>
    </row>
  </sheetData>
  <mergeCells count="173"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  <mergeCell ref="I6:I7"/>
    <mergeCell ref="J6:J7"/>
    <mergeCell ref="L6:L7"/>
    <mergeCell ref="M6:M7"/>
    <mergeCell ref="O6:O7"/>
    <mergeCell ref="A8:A9"/>
    <mergeCell ref="B8:B9"/>
    <mergeCell ref="C8:C9"/>
    <mergeCell ref="D8:D9"/>
    <mergeCell ref="E8:E9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F8:F9"/>
    <mergeCell ref="G8:G9"/>
    <mergeCell ref="H8:H9"/>
    <mergeCell ref="I8:I9"/>
    <mergeCell ref="J8:J9"/>
    <mergeCell ref="M8:M9"/>
    <mergeCell ref="L10:L11"/>
    <mergeCell ref="M10:M11"/>
    <mergeCell ref="O10:O11"/>
    <mergeCell ref="L12:L13"/>
    <mergeCell ref="M12:M13"/>
    <mergeCell ref="O12:O13"/>
    <mergeCell ref="A14:A15"/>
    <mergeCell ref="B14:B15"/>
    <mergeCell ref="C14:C15"/>
    <mergeCell ref="D14:D15"/>
    <mergeCell ref="E14:E15"/>
    <mergeCell ref="O14:O15"/>
    <mergeCell ref="F14:F15"/>
    <mergeCell ref="G14:G15"/>
    <mergeCell ref="H14:H15"/>
    <mergeCell ref="J14:J15"/>
    <mergeCell ref="L14:L15"/>
    <mergeCell ref="M14:M15"/>
    <mergeCell ref="A12:A13"/>
    <mergeCell ref="B12:B13"/>
    <mergeCell ref="C12:C13"/>
    <mergeCell ref="D12:D13"/>
    <mergeCell ref="E12:E13"/>
    <mergeCell ref="F12:F13"/>
    <mergeCell ref="G12:G13"/>
    <mergeCell ref="H12:H13"/>
    <mergeCell ref="J12:J13"/>
    <mergeCell ref="L16:L17"/>
    <mergeCell ref="M16:M17"/>
    <mergeCell ref="O16:O17"/>
    <mergeCell ref="A18:A19"/>
    <mergeCell ref="B18:B19"/>
    <mergeCell ref="C18:C19"/>
    <mergeCell ref="D18:D19"/>
    <mergeCell ref="E18:E19"/>
    <mergeCell ref="F18:F19"/>
    <mergeCell ref="G18:G19"/>
    <mergeCell ref="I18:I19"/>
    <mergeCell ref="J18:J19"/>
    <mergeCell ref="L18:L19"/>
    <mergeCell ref="M18:M19"/>
    <mergeCell ref="O18:O19"/>
    <mergeCell ref="A16:A17"/>
    <mergeCell ref="B16:B17"/>
    <mergeCell ref="C16:C17"/>
    <mergeCell ref="D16:D17"/>
    <mergeCell ref="E16:E17"/>
    <mergeCell ref="F16:F17"/>
    <mergeCell ref="G16:G17"/>
    <mergeCell ref="H16:H17"/>
    <mergeCell ref="J16:J17"/>
    <mergeCell ref="A20:A21"/>
    <mergeCell ref="B20:B21"/>
    <mergeCell ref="C20:C21"/>
    <mergeCell ref="D20:D21"/>
    <mergeCell ref="E20:E21"/>
    <mergeCell ref="O20:O21"/>
    <mergeCell ref="A22:A23"/>
    <mergeCell ref="B22:B23"/>
    <mergeCell ref="C22:C23"/>
    <mergeCell ref="D22:D23"/>
    <mergeCell ref="E22:E23"/>
    <mergeCell ref="F22:F23"/>
    <mergeCell ref="G22:G23"/>
    <mergeCell ref="H22:H23"/>
    <mergeCell ref="J22:J23"/>
    <mergeCell ref="F20:F21"/>
    <mergeCell ref="G20:G21"/>
    <mergeCell ref="I20:I21"/>
    <mergeCell ref="J20:J21"/>
    <mergeCell ref="L20:L21"/>
    <mergeCell ref="M20:M21"/>
    <mergeCell ref="L22:L23"/>
    <mergeCell ref="M22:M23"/>
    <mergeCell ref="O22:O23"/>
    <mergeCell ref="L24:L25"/>
    <mergeCell ref="M24:M25"/>
    <mergeCell ref="O24:O25"/>
    <mergeCell ref="A26:A27"/>
    <mergeCell ref="B26:B27"/>
    <mergeCell ref="C26:C27"/>
    <mergeCell ref="D26:D27"/>
    <mergeCell ref="E26:E27"/>
    <mergeCell ref="O26:O27"/>
    <mergeCell ref="F26:F27"/>
    <mergeCell ref="G26:G27"/>
    <mergeCell ref="H26:H27"/>
    <mergeCell ref="J26:J27"/>
    <mergeCell ref="L26:L27"/>
    <mergeCell ref="M26:M27"/>
    <mergeCell ref="A24:A25"/>
    <mergeCell ref="B24:B25"/>
    <mergeCell ref="C24:C25"/>
    <mergeCell ref="D24:D25"/>
    <mergeCell ref="E24:E25"/>
    <mergeCell ref="F24:F25"/>
    <mergeCell ref="G24:G25"/>
    <mergeCell ref="H24:H25"/>
    <mergeCell ref="J24:J25"/>
    <mergeCell ref="A30:A31"/>
    <mergeCell ref="B30:B31"/>
    <mergeCell ref="C30:C31"/>
    <mergeCell ref="D30:D31"/>
    <mergeCell ref="E30:E31"/>
    <mergeCell ref="F30:F31"/>
    <mergeCell ref="O30:O31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B32:C33"/>
    <mergeCell ref="P32:P33"/>
    <mergeCell ref="G30:G31"/>
    <mergeCell ref="H30:H31"/>
    <mergeCell ref="I30:I31"/>
    <mergeCell ref="J30:J31"/>
    <mergeCell ref="L30:L31"/>
    <mergeCell ref="M30:M31"/>
    <mergeCell ref="J28:J29"/>
    <mergeCell ref="L28:L29"/>
    <mergeCell ref="M28:M29"/>
    <mergeCell ref="O28:O29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319B-E82A-48D8-8078-43756FE974C8}">
  <sheetPr>
    <pageSetUpPr fitToPage="1"/>
  </sheetPr>
  <dimension ref="A1:P31"/>
  <sheetViews>
    <sheetView rightToLeft="1" view="pageLayout" zoomScale="85" zoomScaleNormal="100" zoomScalePageLayoutView="85" workbookViewId="0">
      <selection activeCell="I4" sqref="I4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10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36" t="s">
        <v>100</v>
      </c>
      <c r="J4" s="123"/>
      <c r="K4" s="36"/>
      <c r="L4" s="123" t="s">
        <v>60</v>
      </c>
      <c r="M4" s="123" t="s">
        <v>27</v>
      </c>
      <c r="N4" s="36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35"/>
      <c r="J5" s="120"/>
      <c r="K5" s="35"/>
      <c r="L5" s="120"/>
      <c r="M5" s="120"/>
      <c r="N5" s="35"/>
      <c r="O5" s="120"/>
      <c r="P5" s="27">
        <v>25000000</v>
      </c>
    </row>
    <row r="6" spans="1:16" ht="36" customHeight="1" x14ac:dyDescent="0.25">
      <c r="A6" s="105">
        <v>2</v>
      </c>
      <c r="B6" s="117" t="s">
        <v>26</v>
      </c>
      <c r="C6" s="109"/>
      <c r="D6" s="109"/>
      <c r="E6" s="111" t="s">
        <v>50</v>
      </c>
      <c r="F6" s="109"/>
      <c r="G6" s="109">
        <v>746</v>
      </c>
      <c r="H6" s="38" t="s">
        <v>51</v>
      </c>
      <c r="I6" s="124" t="s">
        <v>49</v>
      </c>
      <c r="J6" s="123"/>
      <c r="K6" s="36"/>
      <c r="L6" s="123" t="s">
        <v>45</v>
      </c>
      <c r="M6" s="123" t="s">
        <v>27</v>
      </c>
      <c r="N6" s="36" t="s">
        <v>16</v>
      </c>
      <c r="O6" s="123" t="s">
        <v>27</v>
      </c>
      <c r="P6" s="26">
        <v>95000000</v>
      </c>
    </row>
    <row r="7" spans="1:16" ht="36" customHeight="1" thickBot="1" x14ac:dyDescent="0.3">
      <c r="A7" s="106"/>
      <c r="B7" s="118"/>
      <c r="C7" s="110"/>
      <c r="D7" s="110"/>
      <c r="E7" s="112"/>
      <c r="F7" s="110"/>
      <c r="G7" s="110"/>
      <c r="H7" s="39"/>
      <c r="I7" s="120"/>
      <c r="J7" s="120"/>
      <c r="K7" s="35"/>
      <c r="L7" s="120"/>
      <c r="M7" s="120"/>
      <c r="N7" s="35"/>
      <c r="O7" s="120"/>
      <c r="P7" s="27">
        <v>25000000</v>
      </c>
    </row>
    <row r="8" spans="1:16" ht="39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124"/>
      <c r="J8" s="123" t="s">
        <v>52</v>
      </c>
      <c r="K8" s="36"/>
      <c r="L8" s="36" t="s">
        <v>34</v>
      </c>
      <c r="M8" s="123" t="s">
        <v>35</v>
      </c>
      <c r="N8" s="36"/>
      <c r="O8" s="123" t="s">
        <v>36</v>
      </c>
      <c r="P8" s="26">
        <v>50000000</v>
      </c>
    </row>
    <row r="9" spans="1:16" ht="39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120"/>
      <c r="J9" s="120"/>
      <c r="K9" s="35"/>
      <c r="L9" s="35" t="s">
        <v>15</v>
      </c>
      <c r="M9" s="120"/>
      <c r="N9" s="35"/>
      <c r="O9" s="120"/>
      <c r="P9" s="27">
        <v>25000000</v>
      </c>
    </row>
    <row r="10" spans="1:16" ht="48.75" customHeight="1" x14ac:dyDescent="0.25">
      <c r="A10" s="105">
        <v>4</v>
      </c>
      <c r="B10" s="107" t="s">
        <v>46</v>
      </c>
      <c r="C10" s="109"/>
      <c r="D10" s="109"/>
      <c r="E10" s="111" t="s">
        <v>70</v>
      </c>
      <c r="F10" s="109"/>
      <c r="G10" s="109">
        <v>691</v>
      </c>
      <c r="H10" s="109"/>
      <c r="I10" s="36" t="s">
        <v>100</v>
      </c>
      <c r="J10" s="123"/>
      <c r="K10" s="36"/>
      <c r="L10" s="123" t="s">
        <v>60</v>
      </c>
      <c r="M10" s="123" t="s">
        <v>27</v>
      </c>
      <c r="N10" s="36" t="s">
        <v>16</v>
      </c>
      <c r="O10" s="123" t="s">
        <v>27</v>
      </c>
      <c r="P10" s="26">
        <v>95000000</v>
      </c>
    </row>
    <row r="11" spans="1:16" ht="48.7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35"/>
      <c r="J11" s="120"/>
      <c r="K11" s="35"/>
      <c r="L11" s="120"/>
      <c r="M11" s="120"/>
      <c r="N11" s="35"/>
      <c r="O11" s="120"/>
      <c r="P11" s="27">
        <v>25000000</v>
      </c>
    </row>
    <row r="12" spans="1:16" ht="48.75" customHeight="1" x14ac:dyDescent="0.25">
      <c r="A12" s="105">
        <v>5</v>
      </c>
      <c r="B12" s="107" t="s">
        <v>46</v>
      </c>
      <c r="C12" s="109"/>
      <c r="D12" s="109"/>
      <c r="E12" s="111" t="s">
        <v>61</v>
      </c>
      <c r="F12" s="109"/>
      <c r="G12" s="109" t="s">
        <v>71</v>
      </c>
      <c r="H12" s="109"/>
      <c r="I12" s="36" t="s">
        <v>100</v>
      </c>
      <c r="J12" s="123"/>
      <c r="K12" s="36"/>
      <c r="L12" s="123" t="s">
        <v>60</v>
      </c>
      <c r="M12" s="123" t="s">
        <v>27</v>
      </c>
      <c r="N12" s="36" t="s">
        <v>16</v>
      </c>
      <c r="O12" s="123" t="s">
        <v>27</v>
      </c>
      <c r="P12" s="26">
        <v>95000000</v>
      </c>
    </row>
    <row r="13" spans="1:16" ht="48.7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35"/>
      <c r="J13" s="120"/>
      <c r="K13" s="35"/>
      <c r="L13" s="120"/>
      <c r="M13" s="120"/>
      <c r="N13" s="35"/>
      <c r="O13" s="120"/>
      <c r="P13" s="27">
        <v>25000000</v>
      </c>
    </row>
    <row r="14" spans="1:16" ht="43.5" customHeight="1" x14ac:dyDescent="0.25">
      <c r="A14" s="105">
        <v>6</v>
      </c>
      <c r="B14" s="107" t="s">
        <v>46</v>
      </c>
      <c r="C14" s="109"/>
      <c r="D14" s="109"/>
      <c r="E14" s="111" t="s">
        <v>62</v>
      </c>
      <c r="F14" s="109"/>
      <c r="G14" s="109" t="s">
        <v>72</v>
      </c>
      <c r="H14" s="109"/>
      <c r="I14" s="36" t="s">
        <v>100</v>
      </c>
      <c r="J14" s="123"/>
      <c r="K14" s="36"/>
      <c r="L14" s="123" t="s">
        <v>60</v>
      </c>
      <c r="M14" s="123" t="s">
        <v>27</v>
      </c>
      <c r="N14" s="36" t="s">
        <v>16</v>
      </c>
      <c r="O14" s="123" t="s">
        <v>27</v>
      </c>
      <c r="P14" s="26">
        <v>95000000</v>
      </c>
    </row>
    <row r="15" spans="1:16" ht="43.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35"/>
      <c r="J15" s="120"/>
      <c r="K15" s="35"/>
      <c r="L15" s="120"/>
      <c r="M15" s="120"/>
      <c r="N15" s="35"/>
      <c r="O15" s="120"/>
      <c r="P15" s="27">
        <v>25000000</v>
      </c>
    </row>
    <row r="16" spans="1:16" ht="43.5" customHeight="1" x14ac:dyDescent="0.25">
      <c r="A16" s="105">
        <v>7</v>
      </c>
      <c r="B16" s="107" t="s">
        <v>46</v>
      </c>
      <c r="C16" s="109"/>
      <c r="D16" s="109"/>
      <c r="E16" s="111" t="s">
        <v>63</v>
      </c>
      <c r="F16" s="109"/>
      <c r="G16" s="109">
        <v>737</v>
      </c>
      <c r="H16" s="109"/>
      <c r="I16" s="36" t="s">
        <v>100</v>
      </c>
      <c r="J16" s="123"/>
      <c r="K16" s="36"/>
      <c r="L16" s="123" t="s">
        <v>60</v>
      </c>
      <c r="M16" s="123" t="s">
        <v>27</v>
      </c>
      <c r="N16" s="36" t="s">
        <v>16</v>
      </c>
      <c r="O16" s="123" t="s">
        <v>27</v>
      </c>
      <c r="P16" s="26">
        <v>95000000</v>
      </c>
    </row>
    <row r="17" spans="1:16" ht="43.5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35"/>
      <c r="J17" s="120"/>
      <c r="K17" s="35"/>
      <c r="L17" s="120"/>
      <c r="M17" s="120"/>
      <c r="N17" s="35"/>
      <c r="O17" s="120"/>
      <c r="P17" s="27">
        <v>25000000</v>
      </c>
    </row>
    <row r="18" spans="1:16" ht="48" customHeight="1" x14ac:dyDescent="0.25">
      <c r="A18" s="105">
        <v>8</v>
      </c>
      <c r="B18" s="117" t="s">
        <v>26</v>
      </c>
      <c r="C18" s="109"/>
      <c r="D18" s="109"/>
      <c r="E18" s="111" t="s">
        <v>64</v>
      </c>
      <c r="F18" s="109"/>
      <c r="G18" s="109">
        <v>738</v>
      </c>
      <c r="H18" s="38"/>
      <c r="I18" s="119" t="s">
        <v>100</v>
      </c>
      <c r="J18" s="123"/>
      <c r="K18" s="36"/>
      <c r="L18" s="123" t="s">
        <v>60</v>
      </c>
      <c r="M18" s="123" t="s">
        <v>27</v>
      </c>
      <c r="N18" s="36" t="s">
        <v>16</v>
      </c>
      <c r="O18" s="123" t="s">
        <v>27</v>
      </c>
      <c r="P18" s="26">
        <v>95000000</v>
      </c>
    </row>
    <row r="19" spans="1:16" ht="48" customHeight="1" thickBot="1" x14ac:dyDescent="0.3">
      <c r="A19" s="106"/>
      <c r="B19" s="118"/>
      <c r="C19" s="110"/>
      <c r="D19" s="110"/>
      <c r="E19" s="112"/>
      <c r="F19" s="110"/>
      <c r="G19" s="110"/>
      <c r="H19" s="39"/>
      <c r="I19" s="120"/>
      <c r="J19" s="120"/>
      <c r="K19" s="35"/>
      <c r="L19" s="120"/>
      <c r="M19" s="120"/>
      <c r="N19" s="35"/>
      <c r="O19" s="120"/>
      <c r="P19" s="27">
        <v>25000000</v>
      </c>
    </row>
    <row r="20" spans="1:16" ht="48" customHeight="1" x14ac:dyDescent="0.25">
      <c r="A20" s="105">
        <v>9</v>
      </c>
      <c r="B20" s="117" t="s">
        <v>26</v>
      </c>
      <c r="C20" s="109"/>
      <c r="D20" s="109"/>
      <c r="E20" s="111" t="s">
        <v>31</v>
      </c>
      <c r="F20" s="109"/>
      <c r="G20" s="109">
        <v>692</v>
      </c>
      <c r="H20" s="38"/>
      <c r="I20" s="124" t="s">
        <v>100</v>
      </c>
      <c r="J20" s="123"/>
      <c r="K20" s="36"/>
      <c r="L20" s="132" t="s">
        <v>60</v>
      </c>
      <c r="M20" s="123" t="s">
        <v>27</v>
      </c>
      <c r="N20" s="36" t="s">
        <v>16</v>
      </c>
      <c r="O20" s="123" t="s">
        <v>27</v>
      </c>
      <c r="P20" s="26">
        <v>95000000</v>
      </c>
    </row>
    <row r="21" spans="1:16" ht="48" customHeight="1" thickBot="1" x14ac:dyDescent="0.3">
      <c r="A21" s="106"/>
      <c r="B21" s="118"/>
      <c r="C21" s="110"/>
      <c r="D21" s="110"/>
      <c r="E21" s="112"/>
      <c r="F21" s="110"/>
      <c r="G21" s="110"/>
      <c r="H21" s="39"/>
      <c r="I21" s="120"/>
      <c r="J21" s="120"/>
      <c r="K21" s="35"/>
      <c r="L21" s="133"/>
      <c r="M21" s="120"/>
      <c r="N21" s="35"/>
      <c r="O21" s="120"/>
      <c r="P21" s="27">
        <v>25000000</v>
      </c>
    </row>
    <row r="22" spans="1:16" ht="48" customHeight="1" x14ac:dyDescent="0.25">
      <c r="A22" s="105">
        <v>10</v>
      </c>
      <c r="B22" s="107" t="s">
        <v>28</v>
      </c>
      <c r="C22" s="109"/>
      <c r="D22" s="109"/>
      <c r="E22" s="111" t="s">
        <v>66</v>
      </c>
      <c r="F22" s="109"/>
      <c r="G22" s="109">
        <v>745</v>
      </c>
      <c r="H22" s="109"/>
      <c r="I22" s="36" t="s">
        <v>100</v>
      </c>
      <c r="J22" s="123"/>
      <c r="K22" s="36"/>
      <c r="L22" s="132" t="s">
        <v>60</v>
      </c>
      <c r="M22" s="123" t="s">
        <v>27</v>
      </c>
      <c r="N22" s="36" t="s">
        <v>16</v>
      </c>
      <c r="O22" s="123" t="s">
        <v>27</v>
      </c>
      <c r="P22" s="26">
        <v>95000000</v>
      </c>
    </row>
    <row r="23" spans="1:16" ht="48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36"/>
      <c r="J23" s="120"/>
      <c r="K23" s="35"/>
      <c r="L23" s="133"/>
      <c r="M23" s="120"/>
      <c r="N23" s="35"/>
      <c r="O23" s="120"/>
      <c r="P23" s="27">
        <v>25000000</v>
      </c>
    </row>
    <row r="24" spans="1:16" ht="48" customHeight="1" x14ac:dyDescent="0.25">
      <c r="A24" s="105">
        <v>11</v>
      </c>
      <c r="B24" s="107" t="s">
        <v>28</v>
      </c>
      <c r="C24" s="109"/>
      <c r="D24" s="109"/>
      <c r="E24" s="111" t="s">
        <v>69</v>
      </c>
      <c r="F24" s="109"/>
      <c r="G24" s="109">
        <v>668</v>
      </c>
      <c r="H24" s="109"/>
      <c r="I24" s="36" t="s">
        <v>100</v>
      </c>
      <c r="J24" s="123"/>
      <c r="K24" s="36"/>
      <c r="L24" s="123" t="s">
        <v>60</v>
      </c>
      <c r="M24" s="123" t="s">
        <v>27</v>
      </c>
      <c r="N24" s="36" t="s">
        <v>16</v>
      </c>
      <c r="O24" s="123" t="s">
        <v>27</v>
      </c>
      <c r="P24" s="26">
        <v>95000000</v>
      </c>
    </row>
    <row r="25" spans="1:16" ht="48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35"/>
      <c r="J25" s="120"/>
      <c r="K25" s="35"/>
      <c r="L25" s="120"/>
      <c r="M25" s="120"/>
      <c r="N25" s="35"/>
      <c r="O25" s="120"/>
      <c r="P25" s="27">
        <v>25000000</v>
      </c>
    </row>
    <row r="26" spans="1:16" ht="48" customHeight="1" x14ac:dyDescent="0.25">
      <c r="A26" s="105">
        <v>12</v>
      </c>
      <c r="B26" s="107" t="s">
        <v>28</v>
      </c>
      <c r="C26" s="109"/>
      <c r="D26" s="109"/>
      <c r="E26" s="111" t="s">
        <v>68</v>
      </c>
      <c r="F26" s="109"/>
      <c r="G26" s="109">
        <v>734</v>
      </c>
      <c r="H26" s="109"/>
      <c r="I26" s="36" t="s">
        <v>100</v>
      </c>
      <c r="J26" s="123"/>
      <c r="K26" s="36"/>
      <c r="L26" s="123" t="s">
        <v>60</v>
      </c>
      <c r="M26" s="123" t="s">
        <v>27</v>
      </c>
      <c r="N26" s="36" t="s">
        <v>16</v>
      </c>
      <c r="O26" s="123" t="s">
        <v>27</v>
      </c>
      <c r="P26" s="26">
        <v>95000000</v>
      </c>
    </row>
    <row r="27" spans="1:16" ht="48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35"/>
      <c r="J27" s="120"/>
      <c r="K27" s="35"/>
      <c r="L27" s="120"/>
      <c r="M27" s="120"/>
      <c r="N27" s="35"/>
      <c r="O27" s="120"/>
      <c r="P27" s="27">
        <v>25000000</v>
      </c>
    </row>
    <row r="28" spans="1:16" ht="48" customHeight="1" x14ac:dyDescent="0.25">
      <c r="A28" s="105">
        <v>13</v>
      </c>
      <c r="B28" s="107" t="s">
        <v>28</v>
      </c>
      <c r="C28" s="109"/>
      <c r="D28" s="109"/>
      <c r="E28" s="111" t="s">
        <v>67</v>
      </c>
      <c r="F28" s="130"/>
      <c r="G28" s="109">
        <v>679</v>
      </c>
      <c r="H28" s="126"/>
      <c r="I28" s="123" t="s">
        <v>100</v>
      </c>
      <c r="J28" s="123"/>
      <c r="K28" s="36"/>
      <c r="L28" s="123" t="s">
        <v>60</v>
      </c>
      <c r="M28" s="123" t="s">
        <v>27</v>
      </c>
      <c r="N28" s="36" t="s">
        <v>16</v>
      </c>
      <c r="O28" s="123" t="s">
        <v>27</v>
      </c>
      <c r="P28" s="26">
        <v>95000000</v>
      </c>
    </row>
    <row r="29" spans="1:16" ht="48" customHeight="1" thickBot="1" x14ac:dyDescent="0.3">
      <c r="A29" s="106"/>
      <c r="B29" s="108"/>
      <c r="C29" s="110"/>
      <c r="D29" s="110"/>
      <c r="E29" s="112"/>
      <c r="F29" s="130"/>
      <c r="G29" s="110"/>
      <c r="H29" s="144"/>
      <c r="I29" s="120"/>
      <c r="J29" s="120"/>
      <c r="K29" s="35"/>
      <c r="L29" s="120"/>
      <c r="M29" s="120"/>
      <c r="N29" s="35"/>
      <c r="O29" s="120"/>
      <c r="P29" s="27">
        <v>25000000</v>
      </c>
    </row>
    <row r="30" spans="1:16" ht="25.5" customHeight="1" x14ac:dyDescent="0.25">
      <c r="A30" s="12"/>
      <c r="B30" s="136" t="s">
        <v>18</v>
      </c>
      <c r="C30" s="136"/>
      <c r="D30" s="13"/>
      <c r="E30" s="13"/>
      <c r="F30" s="13"/>
      <c r="G30" s="13"/>
      <c r="H30" s="13"/>
      <c r="I30" s="14"/>
      <c r="J30" s="13"/>
      <c r="K30" s="13"/>
      <c r="L30" s="13"/>
      <c r="M30" s="13"/>
      <c r="N30" s="13"/>
      <c r="O30" s="13"/>
      <c r="P30" s="138">
        <f>SUM(P4:P29)</f>
        <v>1515000000</v>
      </c>
    </row>
    <row r="31" spans="1:16" ht="25.5" customHeight="1" thickBot="1" x14ac:dyDescent="0.3">
      <c r="A31" s="10"/>
      <c r="B31" s="137"/>
      <c r="C31" s="137"/>
      <c r="D31" s="11"/>
      <c r="E31" s="11"/>
      <c r="F31" s="11"/>
      <c r="G31" s="11"/>
      <c r="H31" s="11"/>
      <c r="I31" s="15"/>
      <c r="J31" s="11"/>
      <c r="K31" s="11"/>
      <c r="L31" s="11"/>
      <c r="M31" s="11"/>
      <c r="N31" s="11"/>
      <c r="O31" s="11"/>
      <c r="P31" s="139"/>
    </row>
  </sheetData>
  <mergeCells count="160"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  <mergeCell ref="I6:I7"/>
    <mergeCell ref="J6:J7"/>
    <mergeCell ref="L6:L7"/>
    <mergeCell ref="M6:M7"/>
    <mergeCell ref="O6:O7"/>
    <mergeCell ref="A8:A9"/>
    <mergeCell ref="B8:B9"/>
    <mergeCell ref="C8:C9"/>
    <mergeCell ref="D8:D9"/>
    <mergeCell ref="E8:E9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F8:F9"/>
    <mergeCell ref="G8:G9"/>
    <mergeCell ref="H8:H9"/>
    <mergeCell ref="I8:I9"/>
    <mergeCell ref="J8:J9"/>
    <mergeCell ref="M8:M9"/>
    <mergeCell ref="L10:L11"/>
    <mergeCell ref="M10:M11"/>
    <mergeCell ref="O10:O11"/>
    <mergeCell ref="L12:L13"/>
    <mergeCell ref="M12:M13"/>
    <mergeCell ref="O12:O13"/>
    <mergeCell ref="A14:A15"/>
    <mergeCell ref="B14:B15"/>
    <mergeCell ref="C14:C15"/>
    <mergeCell ref="D14:D15"/>
    <mergeCell ref="E14:E15"/>
    <mergeCell ref="O14:O15"/>
    <mergeCell ref="F14:F15"/>
    <mergeCell ref="G14:G15"/>
    <mergeCell ref="H14:H15"/>
    <mergeCell ref="J14:J15"/>
    <mergeCell ref="L14:L15"/>
    <mergeCell ref="M14:M15"/>
    <mergeCell ref="A12:A13"/>
    <mergeCell ref="B12:B13"/>
    <mergeCell ref="C12:C13"/>
    <mergeCell ref="D12:D13"/>
    <mergeCell ref="E12:E13"/>
    <mergeCell ref="F12:F13"/>
    <mergeCell ref="G12:G13"/>
    <mergeCell ref="H12:H13"/>
    <mergeCell ref="J12:J13"/>
    <mergeCell ref="L16:L17"/>
    <mergeCell ref="M16:M17"/>
    <mergeCell ref="O16:O17"/>
    <mergeCell ref="A18:A19"/>
    <mergeCell ref="B18:B19"/>
    <mergeCell ref="C18:C19"/>
    <mergeCell ref="D18:D19"/>
    <mergeCell ref="E18:E19"/>
    <mergeCell ref="F18:F19"/>
    <mergeCell ref="G18:G19"/>
    <mergeCell ref="I18:I19"/>
    <mergeCell ref="J18:J19"/>
    <mergeCell ref="L18:L19"/>
    <mergeCell ref="M18:M19"/>
    <mergeCell ref="O18:O19"/>
    <mergeCell ref="A16:A17"/>
    <mergeCell ref="B16:B17"/>
    <mergeCell ref="C16:C17"/>
    <mergeCell ref="D16:D17"/>
    <mergeCell ref="E16:E17"/>
    <mergeCell ref="F16:F17"/>
    <mergeCell ref="G16:G17"/>
    <mergeCell ref="H16:H17"/>
    <mergeCell ref="J16:J17"/>
    <mergeCell ref="A20:A21"/>
    <mergeCell ref="B20:B21"/>
    <mergeCell ref="C20:C21"/>
    <mergeCell ref="D20:D21"/>
    <mergeCell ref="E20:E21"/>
    <mergeCell ref="O20:O21"/>
    <mergeCell ref="A22:A23"/>
    <mergeCell ref="B22:B23"/>
    <mergeCell ref="C22:C23"/>
    <mergeCell ref="D22:D23"/>
    <mergeCell ref="E22:E23"/>
    <mergeCell ref="F22:F23"/>
    <mergeCell ref="G22:G23"/>
    <mergeCell ref="H22:H23"/>
    <mergeCell ref="J22:J23"/>
    <mergeCell ref="F20:F21"/>
    <mergeCell ref="G20:G21"/>
    <mergeCell ref="I20:I21"/>
    <mergeCell ref="J20:J21"/>
    <mergeCell ref="L20:L21"/>
    <mergeCell ref="M20:M21"/>
    <mergeCell ref="L22:L23"/>
    <mergeCell ref="M22:M23"/>
    <mergeCell ref="O22:O23"/>
    <mergeCell ref="L24:L25"/>
    <mergeCell ref="M24:M25"/>
    <mergeCell ref="O24:O25"/>
    <mergeCell ref="A26:A27"/>
    <mergeCell ref="B26:B27"/>
    <mergeCell ref="C26:C27"/>
    <mergeCell ref="D26:D27"/>
    <mergeCell ref="E26:E27"/>
    <mergeCell ref="B30:C31"/>
    <mergeCell ref="A24:A25"/>
    <mergeCell ref="B24:B25"/>
    <mergeCell ref="C24:C25"/>
    <mergeCell ref="D24:D25"/>
    <mergeCell ref="E24:E25"/>
    <mergeCell ref="F24:F25"/>
    <mergeCell ref="G24:G25"/>
    <mergeCell ref="H24:H25"/>
    <mergeCell ref="J24:J25"/>
    <mergeCell ref="P30:P31"/>
    <mergeCell ref="J28:J29"/>
    <mergeCell ref="L28:L29"/>
    <mergeCell ref="M28:M29"/>
    <mergeCell ref="O28:O29"/>
    <mergeCell ref="O26:O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F26:F27"/>
    <mergeCell ref="G26:G27"/>
    <mergeCell ref="H26:H27"/>
    <mergeCell ref="J26:J27"/>
    <mergeCell ref="L26:L27"/>
    <mergeCell ref="M26:M27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4034-EC1C-473A-AB2C-CCFED1C4E594}">
  <sheetPr>
    <pageSetUpPr fitToPage="1"/>
  </sheetPr>
  <dimension ref="A1:P31"/>
  <sheetViews>
    <sheetView rightToLeft="1" view="pageLayout" topLeftCell="A4" zoomScale="85" zoomScaleNormal="100" zoomScalePageLayoutView="85" workbookViewId="0">
      <selection activeCell="H6" sqref="A6:XFD7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11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40" t="s">
        <v>100</v>
      </c>
      <c r="J4" s="123"/>
      <c r="K4" s="40"/>
      <c r="L4" s="123" t="s">
        <v>60</v>
      </c>
      <c r="M4" s="123" t="s">
        <v>27</v>
      </c>
      <c r="N4" s="40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41"/>
      <c r="J5" s="120"/>
      <c r="K5" s="41"/>
      <c r="L5" s="120"/>
      <c r="M5" s="120"/>
      <c r="N5" s="41"/>
      <c r="O5" s="120"/>
      <c r="P5" s="27">
        <v>25000000</v>
      </c>
    </row>
    <row r="6" spans="1:16" ht="36" customHeight="1" x14ac:dyDescent="0.25">
      <c r="A6" s="134">
        <v>2</v>
      </c>
      <c r="B6" s="107" t="s">
        <v>26</v>
      </c>
      <c r="C6" s="109"/>
      <c r="D6" s="109"/>
      <c r="E6" s="111" t="s">
        <v>50</v>
      </c>
      <c r="F6" s="109"/>
      <c r="G6" s="109">
        <v>746</v>
      </c>
      <c r="H6" s="42" t="s">
        <v>51</v>
      </c>
      <c r="I6" s="123" t="s">
        <v>49</v>
      </c>
      <c r="J6" s="123"/>
      <c r="K6" s="40"/>
      <c r="L6" s="123" t="s">
        <v>45</v>
      </c>
      <c r="M6" s="123" t="s">
        <v>27</v>
      </c>
      <c r="N6" s="40" t="s">
        <v>16</v>
      </c>
      <c r="O6" s="123" t="s">
        <v>27</v>
      </c>
      <c r="P6" s="26">
        <v>95000000</v>
      </c>
    </row>
    <row r="7" spans="1:16" ht="36" customHeight="1" thickBot="1" x14ac:dyDescent="0.3">
      <c r="A7" s="135"/>
      <c r="B7" s="108"/>
      <c r="C7" s="110"/>
      <c r="D7" s="110"/>
      <c r="E7" s="112"/>
      <c r="F7" s="110"/>
      <c r="G7" s="110"/>
      <c r="H7" s="43"/>
      <c r="I7" s="120"/>
      <c r="J7" s="120"/>
      <c r="K7" s="41"/>
      <c r="L7" s="120"/>
      <c r="M7" s="120"/>
      <c r="N7" s="41"/>
      <c r="O7" s="120"/>
      <c r="P7" s="27">
        <v>25000000</v>
      </c>
    </row>
    <row r="8" spans="1:16" ht="39" customHeight="1" x14ac:dyDescent="0.25">
      <c r="A8" s="105">
        <v>3</v>
      </c>
      <c r="B8" s="107" t="s">
        <v>25</v>
      </c>
      <c r="C8" s="109" t="s">
        <v>33</v>
      </c>
      <c r="D8" s="109"/>
      <c r="E8" s="111"/>
      <c r="F8" s="109">
        <v>2040</v>
      </c>
      <c r="G8" s="109">
        <v>780</v>
      </c>
      <c r="H8" s="109" t="s">
        <v>32</v>
      </c>
      <c r="I8" s="124"/>
      <c r="J8" s="123" t="s">
        <v>52</v>
      </c>
      <c r="K8" s="40"/>
      <c r="L8" s="40" t="s">
        <v>34</v>
      </c>
      <c r="M8" s="123" t="s">
        <v>35</v>
      </c>
      <c r="N8" s="40"/>
      <c r="O8" s="123" t="s">
        <v>36</v>
      </c>
      <c r="P8" s="26">
        <v>50000000</v>
      </c>
    </row>
    <row r="9" spans="1:16" ht="39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120"/>
      <c r="J9" s="120"/>
      <c r="K9" s="41"/>
      <c r="L9" s="41" t="s">
        <v>15</v>
      </c>
      <c r="M9" s="120"/>
      <c r="N9" s="41"/>
      <c r="O9" s="120"/>
      <c r="P9" s="27">
        <v>25000000</v>
      </c>
    </row>
    <row r="10" spans="1:16" ht="48.75" customHeight="1" x14ac:dyDescent="0.25">
      <c r="A10" s="134">
        <v>4</v>
      </c>
      <c r="B10" s="107" t="s">
        <v>46</v>
      </c>
      <c r="C10" s="109"/>
      <c r="D10" s="109"/>
      <c r="E10" s="111" t="s">
        <v>70</v>
      </c>
      <c r="F10" s="109"/>
      <c r="G10" s="109">
        <v>691</v>
      </c>
      <c r="H10" s="109"/>
      <c r="I10" s="40" t="s">
        <v>100</v>
      </c>
      <c r="J10" s="123"/>
      <c r="K10" s="40"/>
      <c r="L10" s="123" t="s">
        <v>60</v>
      </c>
      <c r="M10" s="123" t="s">
        <v>27</v>
      </c>
      <c r="N10" s="40" t="s">
        <v>16</v>
      </c>
      <c r="O10" s="123" t="s">
        <v>27</v>
      </c>
      <c r="P10" s="26">
        <v>95000000</v>
      </c>
    </row>
    <row r="11" spans="1:16" ht="48.75" customHeight="1" thickBot="1" x14ac:dyDescent="0.3">
      <c r="A11" s="135"/>
      <c r="B11" s="108"/>
      <c r="C11" s="110"/>
      <c r="D11" s="110"/>
      <c r="E11" s="112"/>
      <c r="F11" s="110"/>
      <c r="G11" s="110"/>
      <c r="H11" s="110"/>
      <c r="I11" s="41"/>
      <c r="J11" s="120"/>
      <c r="K11" s="41"/>
      <c r="L11" s="120"/>
      <c r="M11" s="120"/>
      <c r="N11" s="41"/>
      <c r="O11" s="120"/>
      <c r="P11" s="27">
        <v>25000000</v>
      </c>
    </row>
    <row r="12" spans="1:16" ht="48.75" customHeight="1" x14ac:dyDescent="0.25">
      <c r="A12" s="134">
        <v>5</v>
      </c>
      <c r="B12" s="107" t="s">
        <v>46</v>
      </c>
      <c r="C12" s="109"/>
      <c r="D12" s="109"/>
      <c r="E12" s="111" t="s">
        <v>61</v>
      </c>
      <c r="F12" s="109"/>
      <c r="G12" s="109" t="s">
        <v>71</v>
      </c>
      <c r="H12" s="109"/>
      <c r="I12" s="40" t="s">
        <v>100</v>
      </c>
      <c r="J12" s="123"/>
      <c r="K12" s="40"/>
      <c r="L12" s="123" t="s">
        <v>60</v>
      </c>
      <c r="M12" s="123" t="s">
        <v>27</v>
      </c>
      <c r="N12" s="40" t="s">
        <v>16</v>
      </c>
      <c r="O12" s="123" t="s">
        <v>27</v>
      </c>
      <c r="P12" s="26">
        <v>95000000</v>
      </c>
    </row>
    <row r="13" spans="1:16" ht="48.75" customHeight="1" thickBot="1" x14ac:dyDescent="0.3">
      <c r="A13" s="135"/>
      <c r="B13" s="108"/>
      <c r="C13" s="110"/>
      <c r="D13" s="110"/>
      <c r="E13" s="112"/>
      <c r="F13" s="110"/>
      <c r="G13" s="110"/>
      <c r="H13" s="110"/>
      <c r="I13" s="41"/>
      <c r="J13" s="120"/>
      <c r="K13" s="41"/>
      <c r="L13" s="120"/>
      <c r="M13" s="120"/>
      <c r="N13" s="41"/>
      <c r="O13" s="120"/>
      <c r="P13" s="27">
        <v>25000000</v>
      </c>
    </row>
    <row r="14" spans="1:16" ht="43.5" customHeight="1" x14ac:dyDescent="0.25">
      <c r="A14" s="134">
        <v>6</v>
      </c>
      <c r="B14" s="107" t="s">
        <v>46</v>
      </c>
      <c r="C14" s="109"/>
      <c r="D14" s="109"/>
      <c r="E14" s="111" t="s">
        <v>62</v>
      </c>
      <c r="F14" s="109"/>
      <c r="G14" s="109" t="s">
        <v>72</v>
      </c>
      <c r="H14" s="109"/>
      <c r="I14" s="40" t="s">
        <v>100</v>
      </c>
      <c r="J14" s="123"/>
      <c r="K14" s="40"/>
      <c r="L14" s="123" t="s">
        <v>60</v>
      </c>
      <c r="M14" s="123" t="s">
        <v>27</v>
      </c>
      <c r="N14" s="40" t="s">
        <v>16</v>
      </c>
      <c r="O14" s="123" t="s">
        <v>27</v>
      </c>
      <c r="P14" s="26">
        <v>95000000</v>
      </c>
    </row>
    <row r="15" spans="1:16" ht="43.5" customHeight="1" thickBot="1" x14ac:dyDescent="0.3">
      <c r="A15" s="135"/>
      <c r="B15" s="108"/>
      <c r="C15" s="110"/>
      <c r="D15" s="110"/>
      <c r="E15" s="112"/>
      <c r="F15" s="110"/>
      <c r="G15" s="110"/>
      <c r="H15" s="110"/>
      <c r="I15" s="41"/>
      <c r="J15" s="120"/>
      <c r="K15" s="41"/>
      <c r="L15" s="120"/>
      <c r="M15" s="120"/>
      <c r="N15" s="41"/>
      <c r="O15" s="120"/>
      <c r="P15" s="27">
        <v>25000000</v>
      </c>
    </row>
    <row r="16" spans="1:16" ht="43.5" customHeight="1" x14ac:dyDescent="0.25">
      <c r="A16" s="134">
        <v>7</v>
      </c>
      <c r="B16" s="107" t="s">
        <v>46</v>
      </c>
      <c r="C16" s="109"/>
      <c r="D16" s="109"/>
      <c r="E16" s="111" t="s">
        <v>63</v>
      </c>
      <c r="F16" s="109"/>
      <c r="G16" s="109">
        <v>737</v>
      </c>
      <c r="H16" s="109"/>
      <c r="I16" s="40" t="s">
        <v>100</v>
      </c>
      <c r="J16" s="123"/>
      <c r="K16" s="40"/>
      <c r="L16" s="123" t="s">
        <v>60</v>
      </c>
      <c r="M16" s="123" t="s">
        <v>27</v>
      </c>
      <c r="N16" s="40" t="s">
        <v>16</v>
      </c>
      <c r="O16" s="123" t="s">
        <v>27</v>
      </c>
      <c r="P16" s="26">
        <v>95000000</v>
      </c>
    </row>
    <row r="17" spans="1:16" ht="43.5" customHeight="1" thickBot="1" x14ac:dyDescent="0.3">
      <c r="A17" s="135"/>
      <c r="B17" s="108"/>
      <c r="C17" s="110"/>
      <c r="D17" s="110"/>
      <c r="E17" s="112"/>
      <c r="F17" s="110"/>
      <c r="G17" s="110"/>
      <c r="H17" s="110"/>
      <c r="I17" s="41"/>
      <c r="J17" s="120"/>
      <c r="K17" s="41"/>
      <c r="L17" s="120"/>
      <c r="M17" s="120"/>
      <c r="N17" s="41"/>
      <c r="O17" s="120"/>
      <c r="P17" s="27">
        <v>25000000</v>
      </c>
    </row>
    <row r="18" spans="1:16" ht="48" customHeight="1" x14ac:dyDescent="0.25">
      <c r="A18" s="134">
        <v>8</v>
      </c>
      <c r="B18" s="117" t="s">
        <v>26</v>
      </c>
      <c r="C18" s="109"/>
      <c r="D18" s="109"/>
      <c r="E18" s="111" t="s">
        <v>64</v>
      </c>
      <c r="F18" s="109"/>
      <c r="G18" s="109">
        <v>738</v>
      </c>
      <c r="H18" s="42"/>
      <c r="I18" s="119" t="s">
        <v>100</v>
      </c>
      <c r="J18" s="123"/>
      <c r="K18" s="40"/>
      <c r="L18" s="123" t="s">
        <v>60</v>
      </c>
      <c r="M18" s="123" t="s">
        <v>27</v>
      </c>
      <c r="N18" s="40" t="s">
        <v>16</v>
      </c>
      <c r="O18" s="123" t="s">
        <v>27</v>
      </c>
      <c r="P18" s="26">
        <v>95000000</v>
      </c>
    </row>
    <row r="19" spans="1:16" ht="48" customHeight="1" thickBot="1" x14ac:dyDescent="0.3">
      <c r="A19" s="135"/>
      <c r="B19" s="118"/>
      <c r="C19" s="110"/>
      <c r="D19" s="110"/>
      <c r="E19" s="112"/>
      <c r="F19" s="110"/>
      <c r="G19" s="110"/>
      <c r="H19" s="43"/>
      <c r="I19" s="120"/>
      <c r="J19" s="120"/>
      <c r="K19" s="41"/>
      <c r="L19" s="120"/>
      <c r="M19" s="120"/>
      <c r="N19" s="41"/>
      <c r="O19" s="120"/>
      <c r="P19" s="27">
        <v>25000000</v>
      </c>
    </row>
    <row r="20" spans="1:16" ht="48" customHeight="1" x14ac:dyDescent="0.25">
      <c r="A20" s="134">
        <v>9</v>
      </c>
      <c r="B20" s="117" t="s">
        <v>26</v>
      </c>
      <c r="C20" s="109"/>
      <c r="D20" s="109"/>
      <c r="E20" s="111" t="s">
        <v>31</v>
      </c>
      <c r="F20" s="109"/>
      <c r="G20" s="109">
        <v>692</v>
      </c>
      <c r="H20" s="42"/>
      <c r="I20" s="124" t="s">
        <v>100</v>
      </c>
      <c r="J20" s="123"/>
      <c r="K20" s="40"/>
      <c r="L20" s="132" t="s">
        <v>60</v>
      </c>
      <c r="M20" s="123" t="s">
        <v>27</v>
      </c>
      <c r="N20" s="40" t="s">
        <v>16</v>
      </c>
      <c r="O20" s="123" t="s">
        <v>27</v>
      </c>
      <c r="P20" s="26">
        <v>95000000</v>
      </c>
    </row>
    <row r="21" spans="1:16" ht="48" customHeight="1" thickBot="1" x14ac:dyDescent="0.3">
      <c r="A21" s="135"/>
      <c r="B21" s="118"/>
      <c r="C21" s="110"/>
      <c r="D21" s="110"/>
      <c r="E21" s="112"/>
      <c r="F21" s="110"/>
      <c r="G21" s="110"/>
      <c r="H21" s="43"/>
      <c r="I21" s="120"/>
      <c r="J21" s="120"/>
      <c r="K21" s="41"/>
      <c r="L21" s="133"/>
      <c r="M21" s="120"/>
      <c r="N21" s="41"/>
      <c r="O21" s="120"/>
      <c r="P21" s="27">
        <v>25000000</v>
      </c>
    </row>
    <row r="22" spans="1:16" ht="48" customHeight="1" x14ac:dyDescent="0.25">
      <c r="A22" s="134">
        <v>10</v>
      </c>
      <c r="B22" s="107" t="s">
        <v>28</v>
      </c>
      <c r="C22" s="109"/>
      <c r="D22" s="109"/>
      <c r="E22" s="111" t="s">
        <v>66</v>
      </c>
      <c r="F22" s="109"/>
      <c r="G22" s="109">
        <v>745</v>
      </c>
      <c r="H22" s="109"/>
      <c r="I22" s="40" t="s">
        <v>100</v>
      </c>
      <c r="J22" s="123"/>
      <c r="K22" s="40"/>
      <c r="L22" s="132" t="s">
        <v>60</v>
      </c>
      <c r="M22" s="123" t="s">
        <v>27</v>
      </c>
      <c r="N22" s="40" t="s">
        <v>16</v>
      </c>
      <c r="O22" s="123" t="s">
        <v>27</v>
      </c>
      <c r="P22" s="26">
        <v>95000000</v>
      </c>
    </row>
    <row r="23" spans="1:16" ht="48" customHeight="1" thickBot="1" x14ac:dyDescent="0.3">
      <c r="A23" s="135"/>
      <c r="B23" s="108"/>
      <c r="C23" s="110"/>
      <c r="D23" s="110"/>
      <c r="E23" s="112"/>
      <c r="F23" s="110"/>
      <c r="G23" s="110"/>
      <c r="H23" s="110"/>
      <c r="I23" s="40"/>
      <c r="J23" s="120"/>
      <c r="K23" s="41"/>
      <c r="L23" s="133"/>
      <c r="M23" s="120"/>
      <c r="N23" s="41"/>
      <c r="O23" s="120"/>
      <c r="P23" s="27">
        <v>25000000</v>
      </c>
    </row>
    <row r="24" spans="1:16" ht="48" customHeight="1" x14ac:dyDescent="0.25">
      <c r="A24" s="134">
        <v>11</v>
      </c>
      <c r="B24" s="107" t="s">
        <v>28</v>
      </c>
      <c r="C24" s="109"/>
      <c r="D24" s="109"/>
      <c r="E24" s="111" t="s">
        <v>69</v>
      </c>
      <c r="F24" s="109"/>
      <c r="G24" s="109">
        <v>668</v>
      </c>
      <c r="H24" s="109"/>
      <c r="I24" s="40" t="s">
        <v>100</v>
      </c>
      <c r="J24" s="123"/>
      <c r="K24" s="40"/>
      <c r="L24" s="123" t="s">
        <v>60</v>
      </c>
      <c r="M24" s="123" t="s">
        <v>27</v>
      </c>
      <c r="N24" s="40" t="s">
        <v>16</v>
      </c>
      <c r="O24" s="123" t="s">
        <v>27</v>
      </c>
      <c r="P24" s="26">
        <v>95000000</v>
      </c>
    </row>
    <row r="25" spans="1:16" ht="48" customHeight="1" thickBot="1" x14ac:dyDescent="0.3">
      <c r="A25" s="135"/>
      <c r="B25" s="108"/>
      <c r="C25" s="110"/>
      <c r="D25" s="110"/>
      <c r="E25" s="112"/>
      <c r="F25" s="110"/>
      <c r="G25" s="110"/>
      <c r="H25" s="110"/>
      <c r="I25" s="41"/>
      <c r="J25" s="120"/>
      <c r="K25" s="41"/>
      <c r="L25" s="120"/>
      <c r="M25" s="120"/>
      <c r="N25" s="41"/>
      <c r="O25" s="120"/>
      <c r="P25" s="27">
        <v>25000000</v>
      </c>
    </row>
    <row r="26" spans="1:16" ht="48" customHeight="1" x14ac:dyDescent="0.25">
      <c r="A26" s="134">
        <v>12</v>
      </c>
      <c r="B26" s="107" t="s">
        <v>28</v>
      </c>
      <c r="C26" s="109"/>
      <c r="D26" s="109"/>
      <c r="E26" s="111" t="s">
        <v>68</v>
      </c>
      <c r="F26" s="109"/>
      <c r="G26" s="109">
        <v>734</v>
      </c>
      <c r="H26" s="109"/>
      <c r="I26" s="40" t="s">
        <v>100</v>
      </c>
      <c r="J26" s="123"/>
      <c r="K26" s="40"/>
      <c r="L26" s="123" t="s">
        <v>60</v>
      </c>
      <c r="M26" s="123" t="s">
        <v>27</v>
      </c>
      <c r="N26" s="40" t="s">
        <v>16</v>
      </c>
      <c r="O26" s="123" t="s">
        <v>27</v>
      </c>
      <c r="P26" s="26">
        <v>95000000</v>
      </c>
    </row>
    <row r="27" spans="1:16" ht="48" customHeight="1" thickBot="1" x14ac:dyDescent="0.3">
      <c r="A27" s="135"/>
      <c r="B27" s="108"/>
      <c r="C27" s="110"/>
      <c r="D27" s="110"/>
      <c r="E27" s="112"/>
      <c r="F27" s="110"/>
      <c r="G27" s="110"/>
      <c r="H27" s="110"/>
      <c r="I27" s="41"/>
      <c r="J27" s="120"/>
      <c r="K27" s="41"/>
      <c r="L27" s="120"/>
      <c r="M27" s="120"/>
      <c r="N27" s="41"/>
      <c r="O27" s="120"/>
      <c r="P27" s="27">
        <v>25000000</v>
      </c>
    </row>
    <row r="28" spans="1:16" ht="48" customHeight="1" x14ac:dyDescent="0.25">
      <c r="A28" s="134">
        <v>13</v>
      </c>
      <c r="B28" s="107" t="s">
        <v>28</v>
      </c>
      <c r="C28" s="109"/>
      <c r="D28" s="109"/>
      <c r="E28" s="111" t="s">
        <v>67</v>
      </c>
      <c r="F28" s="130"/>
      <c r="G28" s="109">
        <v>679</v>
      </c>
      <c r="H28" s="126"/>
      <c r="I28" s="123" t="s">
        <v>100</v>
      </c>
      <c r="J28" s="123"/>
      <c r="K28" s="40"/>
      <c r="L28" s="123" t="s">
        <v>60</v>
      </c>
      <c r="M28" s="123" t="s">
        <v>27</v>
      </c>
      <c r="N28" s="40" t="s">
        <v>16</v>
      </c>
      <c r="O28" s="123" t="s">
        <v>27</v>
      </c>
      <c r="P28" s="26">
        <v>95000000</v>
      </c>
    </row>
    <row r="29" spans="1:16" ht="48" customHeight="1" thickBot="1" x14ac:dyDescent="0.3">
      <c r="A29" s="135"/>
      <c r="B29" s="108"/>
      <c r="C29" s="110"/>
      <c r="D29" s="110"/>
      <c r="E29" s="112"/>
      <c r="F29" s="130"/>
      <c r="G29" s="110"/>
      <c r="H29" s="144"/>
      <c r="I29" s="120"/>
      <c r="J29" s="120"/>
      <c r="K29" s="41"/>
      <c r="L29" s="120"/>
      <c r="M29" s="120"/>
      <c r="N29" s="41"/>
      <c r="O29" s="120"/>
      <c r="P29" s="27">
        <v>25000000</v>
      </c>
    </row>
    <row r="30" spans="1:16" ht="25.5" customHeight="1" x14ac:dyDescent="0.25">
      <c r="A30" s="12"/>
      <c r="B30" s="136" t="s">
        <v>18</v>
      </c>
      <c r="C30" s="136"/>
      <c r="D30" s="13"/>
      <c r="E30" s="13"/>
      <c r="F30" s="13"/>
      <c r="G30" s="13"/>
      <c r="H30" s="13"/>
      <c r="I30" s="14"/>
      <c r="J30" s="13"/>
      <c r="K30" s="13"/>
      <c r="L30" s="13"/>
      <c r="M30" s="13"/>
      <c r="N30" s="13"/>
      <c r="O30" s="13"/>
      <c r="P30" s="138">
        <f>SUM(P4:P29)</f>
        <v>1515000000</v>
      </c>
    </row>
    <row r="31" spans="1:16" ht="25.5" customHeight="1" thickBot="1" x14ac:dyDescent="0.3">
      <c r="A31" s="10"/>
      <c r="B31" s="137"/>
      <c r="C31" s="137"/>
      <c r="D31" s="11"/>
      <c r="E31" s="11"/>
      <c r="F31" s="11"/>
      <c r="G31" s="11"/>
      <c r="H31" s="11"/>
      <c r="I31" s="15"/>
      <c r="J31" s="11"/>
      <c r="K31" s="11"/>
      <c r="L31" s="11"/>
      <c r="M31" s="11"/>
      <c r="N31" s="11"/>
      <c r="O31" s="11"/>
      <c r="P31" s="139"/>
    </row>
  </sheetData>
  <mergeCells count="160">
    <mergeCell ref="B30:C31"/>
    <mergeCell ref="P30:P31"/>
    <mergeCell ref="O26:O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F26:F27"/>
    <mergeCell ref="G26:G27"/>
    <mergeCell ref="H26:H27"/>
    <mergeCell ref="J26:J27"/>
    <mergeCell ref="L26:L27"/>
    <mergeCell ref="M26:M27"/>
    <mergeCell ref="A26:A27"/>
    <mergeCell ref="B26:B27"/>
    <mergeCell ref="C26:C27"/>
    <mergeCell ref="D26:D27"/>
    <mergeCell ref="E26:E27"/>
    <mergeCell ref="J28:J29"/>
    <mergeCell ref="L28:L29"/>
    <mergeCell ref="M28:M29"/>
    <mergeCell ref="O28:O29"/>
    <mergeCell ref="L22:L23"/>
    <mergeCell ref="M22:M23"/>
    <mergeCell ref="O22:O23"/>
    <mergeCell ref="A24:A25"/>
    <mergeCell ref="B24:B25"/>
    <mergeCell ref="C24:C25"/>
    <mergeCell ref="D24:D25"/>
    <mergeCell ref="E24:E25"/>
    <mergeCell ref="F24:F25"/>
    <mergeCell ref="G24:G25"/>
    <mergeCell ref="H24:H25"/>
    <mergeCell ref="J24:J25"/>
    <mergeCell ref="L24:L25"/>
    <mergeCell ref="M24:M25"/>
    <mergeCell ref="O24:O25"/>
    <mergeCell ref="A22:A23"/>
    <mergeCell ref="B22:B23"/>
    <mergeCell ref="C22:C23"/>
    <mergeCell ref="D22:D23"/>
    <mergeCell ref="E22:E23"/>
    <mergeCell ref="F22:F23"/>
    <mergeCell ref="G22:G23"/>
    <mergeCell ref="H22:H23"/>
    <mergeCell ref="J22:J23"/>
    <mergeCell ref="L18:L19"/>
    <mergeCell ref="M18:M19"/>
    <mergeCell ref="O18:O19"/>
    <mergeCell ref="A20:A21"/>
    <mergeCell ref="B20:B21"/>
    <mergeCell ref="C20:C21"/>
    <mergeCell ref="D20:D21"/>
    <mergeCell ref="E20:E21"/>
    <mergeCell ref="O20:O21"/>
    <mergeCell ref="F20:F21"/>
    <mergeCell ref="G20:G21"/>
    <mergeCell ref="I20:I21"/>
    <mergeCell ref="J20:J21"/>
    <mergeCell ref="L20:L21"/>
    <mergeCell ref="M20:M21"/>
    <mergeCell ref="A18:A19"/>
    <mergeCell ref="B18:B19"/>
    <mergeCell ref="C18:C19"/>
    <mergeCell ref="D18:D19"/>
    <mergeCell ref="E18:E19"/>
    <mergeCell ref="F18:F19"/>
    <mergeCell ref="G18:G19"/>
    <mergeCell ref="I18:I19"/>
    <mergeCell ref="J18:J19"/>
    <mergeCell ref="A14:A15"/>
    <mergeCell ref="B14:B15"/>
    <mergeCell ref="C14:C15"/>
    <mergeCell ref="D14:D15"/>
    <mergeCell ref="E14:E15"/>
    <mergeCell ref="O14:O15"/>
    <mergeCell ref="A16:A17"/>
    <mergeCell ref="B16:B17"/>
    <mergeCell ref="C16:C17"/>
    <mergeCell ref="D16:D17"/>
    <mergeCell ref="E16:E17"/>
    <mergeCell ref="F16:F17"/>
    <mergeCell ref="G16:G17"/>
    <mergeCell ref="H16:H17"/>
    <mergeCell ref="J16:J17"/>
    <mergeCell ref="F14:F15"/>
    <mergeCell ref="G14:G15"/>
    <mergeCell ref="H14:H15"/>
    <mergeCell ref="J14:J15"/>
    <mergeCell ref="L14:L15"/>
    <mergeCell ref="M14:M15"/>
    <mergeCell ref="L16:L17"/>
    <mergeCell ref="M16:M17"/>
    <mergeCell ref="O16:O17"/>
    <mergeCell ref="M8:M9"/>
    <mergeCell ref="L10:L11"/>
    <mergeCell ref="M10:M11"/>
    <mergeCell ref="O10:O11"/>
    <mergeCell ref="A12:A13"/>
    <mergeCell ref="B12:B13"/>
    <mergeCell ref="C12:C13"/>
    <mergeCell ref="D12:D13"/>
    <mergeCell ref="E12:E13"/>
    <mergeCell ref="F12:F13"/>
    <mergeCell ref="G12:G13"/>
    <mergeCell ref="H12:H13"/>
    <mergeCell ref="J12:J13"/>
    <mergeCell ref="L12:L13"/>
    <mergeCell ref="M12:M13"/>
    <mergeCell ref="O12:O13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O4:O5"/>
    <mergeCell ref="I6:I7"/>
    <mergeCell ref="J6:J7"/>
    <mergeCell ref="L6:L7"/>
    <mergeCell ref="M6:M7"/>
    <mergeCell ref="O6:O7"/>
    <mergeCell ref="O8:O9"/>
    <mergeCell ref="H8:H9"/>
    <mergeCell ref="I8:I9"/>
    <mergeCell ref="J8:J9"/>
    <mergeCell ref="A8:A9"/>
    <mergeCell ref="B8:B9"/>
    <mergeCell ref="C8:C9"/>
    <mergeCell ref="D8:D9"/>
    <mergeCell ref="E8:E9"/>
    <mergeCell ref="G6:G7"/>
    <mergeCell ref="F6:F7"/>
    <mergeCell ref="E6:E7"/>
    <mergeCell ref="D6:D7"/>
    <mergeCell ref="C6:C7"/>
    <mergeCell ref="B6:B7"/>
    <mergeCell ref="A6:A7"/>
    <mergeCell ref="F8:F9"/>
    <mergeCell ref="G8:G9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D1BB-2B9D-401C-B798-C334CA36B305}">
  <sheetPr>
    <pageSetUpPr fitToPage="1"/>
  </sheetPr>
  <dimension ref="A1:P33"/>
  <sheetViews>
    <sheetView rightToLeft="1" view="pageLayout" zoomScale="85" zoomScaleNormal="100" zoomScalePageLayoutView="85" workbookViewId="0">
      <selection activeCell="L26" sqref="L26:L27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12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40" t="s">
        <v>100</v>
      </c>
      <c r="J4" s="123"/>
      <c r="K4" s="40"/>
      <c r="L4" s="123" t="s">
        <v>60</v>
      </c>
      <c r="M4" s="123" t="s">
        <v>27</v>
      </c>
      <c r="N4" s="40" t="s">
        <v>16</v>
      </c>
      <c r="O4" s="123" t="s">
        <v>27</v>
      </c>
      <c r="P4" s="26">
        <v>95000000</v>
      </c>
    </row>
    <row r="5" spans="1:16" ht="4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41"/>
      <c r="J5" s="120"/>
      <c r="K5" s="41"/>
      <c r="L5" s="120"/>
      <c r="M5" s="120"/>
      <c r="N5" s="41"/>
      <c r="O5" s="120"/>
      <c r="P5" s="27">
        <v>25000000</v>
      </c>
    </row>
    <row r="6" spans="1:16" ht="39" customHeight="1" x14ac:dyDescent="0.25">
      <c r="A6" s="105">
        <v>2</v>
      </c>
      <c r="B6" s="107" t="s">
        <v>25</v>
      </c>
      <c r="C6" s="109" t="s">
        <v>33</v>
      </c>
      <c r="D6" s="109"/>
      <c r="E6" s="111"/>
      <c r="F6" s="109">
        <v>2040</v>
      </c>
      <c r="G6" s="109">
        <v>780</v>
      </c>
      <c r="H6" s="109" t="s">
        <v>32</v>
      </c>
      <c r="I6" s="124"/>
      <c r="J6" s="123" t="s">
        <v>52</v>
      </c>
      <c r="K6" s="40"/>
      <c r="L6" s="40" t="s">
        <v>34</v>
      </c>
      <c r="M6" s="123" t="s">
        <v>35</v>
      </c>
      <c r="N6" s="40"/>
      <c r="O6" s="123" t="s">
        <v>36</v>
      </c>
      <c r="P6" s="26">
        <v>50000000</v>
      </c>
    </row>
    <row r="7" spans="1:16" ht="39" customHeight="1" thickBot="1" x14ac:dyDescent="0.3">
      <c r="A7" s="106"/>
      <c r="B7" s="108"/>
      <c r="C7" s="110"/>
      <c r="D7" s="110"/>
      <c r="E7" s="112"/>
      <c r="F7" s="110"/>
      <c r="G7" s="110"/>
      <c r="H7" s="110"/>
      <c r="I7" s="120"/>
      <c r="J7" s="120"/>
      <c r="K7" s="41"/>
      <c r="L7" s="41" t="s">
        <v>15</v>
      </c>
      <c r="M7" s="120"/>
      <c r="N7" s="41"/>
      <c r="O7" s="120"/>
      <c r="P7" s="27">
        <v>25000000</v>
      </c>
    </row>
    <row r="8" spans="1:16" ht="48.75" customHeight="1" x14ac:dyDescent="0.25">
      <c r="A8" s="105">
        <v>3</v>
      </c>
      <c r="B8" s="107" t="s">
        <v>46</v>
      </c>
      <c r="C8" s="109"/>
      <c r="D8" s="109"/>
      <c r="E8" s="111" t="s">
        <v>70</v>
      </c>
      <c r="F8" s="109"/>
      <c r="G8" s="109">
        <v>691</v>
      </c>
      <c r="H8" s="109"/>
      <c r="I8" s="40" t="s">
        <v>100</v>
      </c>
      <c r="J8" s="123"/>
      <c r="K8" s="40"/>
      <c r="L8" s="123" t="s">
        <v>60</v>
      </c>
      <c r="M8" s="123" t="s">
        <v>27</v>
      </c>
      <c r="N8" s="40" t="s">
        <v>16</v>
      </c>
      <c r="O8" s="123" t="s">
        <v>27</v>
      </c>
      <c r="P8" s="26">
        <v>95000000</v>
      </c>
    </row>
    <row r="9" spans="1:16" ht="48.75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41"/>
      <c r="J9" s="120"/>
      <c r="K9" s="41"/>
      <c r="L9" s="120"/>
      <c r="M9" s="120"/>
      <c r="N9" s="41"/>
      <c r="O9" s="120"/>
      <c r="P9" s="27">
        <v>25000000</v>
      </c>
    </row>
    <row r="10" spans="1:16" ht="39.75" customHeight="1" x14ac:dyDescent="0.25">
      <c r="A10" s="105">
        <v>4</v>
      </c>
      <c r="B10" s="107" t="s">
        <v>46</v>
      </c>
      <c r="C10" s="109"/>
      <c r="D10" s="109"/>
      <c r="E10" s="111" t="s">
        <v>61</v>
      </c>
      <c r="F10" s="109"/>
      <c r="G10" s="109" t="s">
        <v>71</v>
      </c>
      <c r="H10" s="109"/>
      <c r="I10" s="40" t="s">
        <v>100</v>
      </c>
      <c r="J10" s="123"/>
      <c r="K10" s="40"/>
      <c r="L10" s="123" t="s">
        <v>60</v>
      </c>
      <c r="M10" s="123" t="s">
        <v>27</v>
      </c>
      <c r="N10" s="40" t="s">
        <v>16</v>
      </c>
      <c r="O10" s="123" t="s">
        <v>27</v>
      </c>
      <c r="P10" s="26">
        <v>95000000</v>
      </c>
    </row>
    <row r="11" spans="1:16" ht="39.7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41"/>
      <c r="J11" s="120"/>
      <c r="K11" s="41"/>
      <c r="L11" s="120"/>
      <c r="M11" s="120"/>
      <c r="N11" s="41"/>
      <c r="O11" s="120"/>
      <c r="P11" s="27">
        <v>25000000</v>
      </c>
    </row>
    <row r="12" spans="1:16" ht="39.75" customHeight="1" x14ac:dyDescent="0.25">
      <c r="A12" s="105">
        <v>5</v>
      </c>
      <c r="B12" s="107" t="s">
        <v>46</v>
      </c>
      <c r="C12" s="109"/>
      <c r="D12" s="109"/>
      <c r="E12" s="111" t="s">
        <v>62</v>
      </c>
      <c r="F12" s="109"/>
      <c r="G12" s="109" t="s">
        <v>72</v>
      </c>
      <c r="H12" s="109"/>
      <c r="I12" s="40" t="s">
        <v>100</v>
      </c>
      <c r="J12" s="123"/>
      <c r="K12" s="40"/>
      <c r="L12" s="123" t="s">
        <v>60</v>
      </c>
      <c r="M12" s="123" t="s">
        <v>27</v>
      </c>
      <c r="N12" s="40" t="s">
        <v>16</v>
      </c>
      <c r="O12" s="123" t="s">
        <v>27</v>
      </c>
      <c r="P12" s="26">
        <v>95000000</v>
      </c>
    </row>
    <row r="13" spans="1:16" ht="39.7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41"/>
      <c r="J13" s="120"/>
      <c r="K13" s="41"/>
      <c r="L13" s="120"/>
      <c r="M13" s="120"/>
      <c r="N13" s="41"/>
      <c r="O13" s="120"/>
      <c r="P13" s="27">
        <v>25000000</v>
      </c>
    </row>
    <row r="14" spans="1:16" ht="39.75" customHeight="1" x14ac:dyDescent="0.25">
      <c r="A14" s="105">
        <v>6</v>
      </c>
      <c r="B14" s="107" t="s">
        <v>46</v>
      </c>
      <c r="C14" s="109"/>
      <c r="D14" s="109"/>
      <c r="E14" s="111" t="s">
        <v>63</v>
      </c>
      <c r="F14" s="109"/>
      <c r="G14" s="109">
        <v>737</v>
      </c>
      <c r="H14" s="109"/>
      <c r="I14" s="40" t="s">
        <v>100</v>
      </c>
      <c r="J14" s="123"/>
      <c r="K14" s="40"/>
      <c r="L14" s="123" t="s">
        <v>60</v>
      </c>
      <c r="M14" s="123" t="s">
        <v>27</v>
      </c>
      <c r="N14" s="40" t="s">
        <v>16</v>
      </c>
      <c r="O14" s="123" t="s">
        <v>27</v>
      </c>
      <c r="P14" s="26">
        <v>95000000</v>
      </c>
    </row>
    <row r="15" spans="1:16" ht="39.7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41"/>
      <c r="J15" s="120"/>
      <c r="K15" s="41"/>
      <c r="L15" s="120"/>
      <c r="M15" s="120"/>
      <c r="N15" s="41"/>
      <c r="O15" s="120"/>
      <c r="P15" s="27">
        <v>25000000</v>
      </c>
    </row>
    <row r="16" spans="1:16" ht="48" customHeight="1" x14ac:dyDescent="0.25">
      <c r="A16" s="105">
        <v>7</v>
      </c>
      <c r="B16" s="117" t="s">
        <v>26</v>
      </c>
      <c r="C16" s="109"/>
      <c r="D16" s="109"/>
      <c r="E16" s="111" t="s">
        <v>64</v>
      </c>
      <c r="F16" s="109"/>
      <c r="G16" s="109">
        <v>738</v>
      </c>
      <c r="H16" s="42"/>
      <c r="I16" s="119" t="s">
        <v>100</v>
      </c>
      <c r="J16" s="123"/>
      <c r="K16" s="40"/>
      <c r="L16" s="123" t="s">
        <v>60</v>
      </c>
      <c r="M16" s="123" t="s">
        <v>27</v>
      </c>
      <c r="N16" s="40" t="s">
        <v>16</v>
      </c>
      <c r="O16" s="123" t="s">
        <v>27</v>
      </c>
      <c r="P16" s="26">
        <v>95000000</v>
      </c>
    </row>
    <row r="17" spans="1:16" ht="48" customHeight="1" thickBot="1" x14ac:dyDescent="0.3">
      <c r="A17" s="106"/>
      <c r="B17" s="118"/>
      <c r="C17" s="110"/>
      <c r="D17" s="110"/>
      <c r="E17" s="112"/>
      <c r="F17" s="110"/>
      <c r="G17" s="110"/>
      <c r="H17" s="43"/>
      <c r="I17" s="120"/>
      <c r="J17" s="120"/>
      <c r="K17" s="41"/>
      <c r="L17" s="120"/>
      <c r="M17" s="120"/>
      <c r="N17" s="41"/>
      <c r="O17" s="120"/>
      <c r="P17" s="27">
        <v>25000000</v>
      </c>
    </row>
    <row r="18" spans="1:16" ht="48" customHeight="1" x14ac:dyDescent="0.25">
      <c r="A18" s="105">
        <v>8</v>
      </c>
      <c r="B18" s="117" t="s">
        <v>26</v>
      </c>
      <c r="C18" s="109"/>
      <c r="D18" s="109"/>
      <c r="E18" s="111" t="s">
        <v>31</v>
      </c>
      <c r="F18" s="109"/>
      <c r="G18" s="109">
        <v>692</v>
      </c>
      <c r="H18" s="42"/>
      <c r="I18" s="124" t="s">
        <v>100</v>
      </c>
      <c r="J18" s="123"/>
      <c r="K18" s="40"/>
      <c r="L18" s="132" t="s">
        <v>60</v>
      </c>
      <c r="M18" s="123" t="s">
        <v>27</v>
      </c>
      <c r="N18" s="40" t="s">
        <v>16</v>
      </c>
      <c r="O18" s="123" t="s">
        <v>27</v>
      </c>
      <c r="P18" s="26">
        <v>95000000</v>
      </c>
    </row>
    <row r="19" spans="1:16" ht="48" customHeight="1" thickBot="1" x14ac:dyDescent="0.3">
      <c r="A19" s="106"/>
      <c r="B19" s="118"/>
      <c r="C19" s="110"/>
      <c r="D19" s="110"/>
      <c r="E19" s="112"/>
      <c r="F19" s="110"/>
      <c r="G19" s="110"/>
      <c r="H19" s="43"/>
      <c r="I19" s="120"/>
      <c r="J19" s="120"/>
      <c r="K19" s="41"/>
      <c r="L19" s="133"/>
      <c r="M19" s="120"/>
      <c r="N19" s="41"/>
      <c r="O19" s="120"/>
      <c r="P19" s="27">
        <v>25000000</v>
      </c>
    </row>
    <row r="20" spans="1:16" ht="48" customHeight="1" x14ac:dyDescent="0.25">
      <c r="A20" s="105">
        <v>9</v>
      </c>
      <c r="B20" s="107" t="s">
        <v>28</v>
      </c>
      <c r="C20" s="109"/>
      <c r="D20" s="109"/>
      <c r="E20" s="111" t="s">
        <v>66</v>
      </c>
      <c r="F20" s="109"/>
      <c r="G20" s="109">
        <v>745</v>
      </c>
      <c r="H20" s="109"/>
      <c r="I20" s="40" t="s">
        <v>100</v>
      </c>
      <c r="J20" s="123"/>
      <c r="K20" s="40"/>
      <c r="L20" s="132" t="s">
        <v>60</v>
      </c>
      <c r="M20" s="123" t="s">
        <v>27</v>
      </c>
      <c r="N20" s="40" t="s">
        <v>16</v>
      </c>
      <c r="O20" s="123" t="s">
        <v>27</v>
      </c>
      <c r="P20" s="26">
        <v>95000000</v>
      </c>
    </row>
    <row r="21" spans="1:16" ht="48" customHeight="1" thickBot="1" x14ac:dyDescent="0.3">
      <c r="A21" s="106"/>
      <c r="B21" s="108"/>
      <c r="C21" s="110"/>
      <c r="D21" s="110"/>
      <c r="E21" s="112"/>
      <c r="F21" s="110"/>
      <c r="G21" s="110"/>
      <c r="H21" s="110"/>
      <c r="I21" s="40"/>
      <c r="J21" s="120"/>
      <c r="K21" s="41"/>
      <c r="L21" s="133"/>
      <c r="M21" s="120"/>
      <c r="N21" s="41"/>
      <c r="O21" s="120"/>
      <c r="P21" s="27">
        <v>25000000</v>
      </c>
    </row>
    <row r="22" spans="1:16" ht="48" customHeight="1" x14ac:dyDescent="0.25">
      <c r="A22" s="105">
        <v>10</v>
      </c>
      <c r="B22" s="107" t="s">
        <v>28</v>
      </c>
      <c r="C22" s="109"/>
      <c r="D22" s="109"/>
      <c r="E22" s="111" t="s">
        <v>69</v>
      </c>
      <c r="F22" s="109"/>
      <c r="G22" s="109">
        <v>668</v>
      </c>
      <c r="H22" s="109"/>
      <c r="I22" s="40" t="s">
        <v>100</v>
      </c>
      <c r="J22" s="123"/>
      <c r="K22" s="40"/>
      <c r="L22" s="123" t="s">
        <v>60</v>
      </c>
      <c r="M22" s="123" t="s">
        <v>27</v>
      </c>
      <c r="N22" s="40" t="s">
        <v>16</v>
      </c>
      <c r="O22" s="123" t="s">
        <v>27</v>
      </c>
      <c r="P22" s="26">
        <v>95000000</v>
      </c>
    </row>
    <row r="23" spans="1:16" ht="48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41"/>
      <c r="J23" s="120"/>
      <c r="K23" s="41"/>
      <c r="L23" s="120"/>
      <c r="M23" s="120"/>
      <c r="N23" s="41"/>
      <c r="O23" s="120"/>
      <c r="P23" s="27">
        <v>25000000</v>
      </c>
    </row>
    <row r="24" spans="1:16" ht="62.25" customHeight="1" x14ac:dyDescent="0.25">
      <c r="A24" s="105">
        <v>11</v>
      </c>
      <c r="B24" s="107" t="s">
        <v>28</v>
      </c>
      <c r="C24" s="109"/>
      <c r="D24" s="109"/>
      <c r="E24" s="111" t="s">
        <v>68</v>
      </c>
      <c r="F24" s="109"/>
      <c r="G24" s="109">
        <v>734</v>
      </c>
      <c r="H24" s="109"/>
      <c r="I24" s="40" t="s">
        <v>100</v>
      </c>
      <c r="J24" s="123"/>
      <c r="K24" s="40"/>
      <c r="L24" s="123" t="s">
        <v>60</v>
      </c>
      <c r="M24" s="123" t="s">
        <v>27</v>
      </c>
      <c r="N24" s="40" t="s">
        <v>16</v>
      </c>
      <c r="O24" s="123" t="s">
        <v>27</v>
      </c>
      <c r="P24" s="26">
        <v>95000000</v>
      </c>
    </row>
    <row r="25" spans="1:16" ht="78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41"/>
      <c r="J25" s="120"/>
      <c r="K25" s="41"/>
      <c r="L25" s="120"/>
      <c r="M25" s="120"/>
      <c r="N25" s="41"/>
      <c r="O25" s="120"/>
      <c r="P25" s="27">
        <v>25000000</v>
      </c>
    </row>
    <row r="26" spans="1:16" ht="51.75" customHeight="1" x14ac:dyDescent="0.25">
      <c r="A26" s="105">
        <v>12</v>
      </c>
      <c r="B26" s="107" t="s">
        <v>28</v>
      </c>
      <c r="C26" s="109"/>
      <c r="D26" s="109"/>
      <c r="E26" s="111" t="s">
        <v>67</v>
      </c>
      <c r="F26" s="130"/>
      <c r="G26" s="109">
        <v>679</v>
      </c>
      <c r="H26" s="126"/>
      <c r="I26" s="123" t="s">
        <v>100</v>
      </c>
      <c r="J26" s="123"/>
      <c r="K26" s="45"/>
      <c r="L26" s="123" t="s">
        <v>60</v>
      </c>
      <c r="M26" s="123" t="s">
        <v>27</v>
      </c>
      <c r="N26" s="45" t="s">
        <v>16</v>
      </c>
      <c r="O26" s="123" t="s">
        <v>27</v>
      </c>
      <c r="P26" s="26">
        <v>95000000</v>
      </c>
    </row>
    <row r="27" spans="1:16" ht="51.75" customHeight="1" thickBot="1" x14ac:dyDescent="0.3">
      <c r="A27" s="106"/>
      <c r="B27" s="108"/>
      <c r="C27" s="110"/>
      <c r="D27" s="110"/>
      <c r="E27" s="112"/>
      <c r="F27" s="130"/>
      <c r="G27" s="110"/>
      <c r="H27" s="144"/>
      <c r="I27" s="120"/>
      <c r="J27" s="120"/>
      <c r="K27" s="44"/>
      <c r="L27" s="120"/>
      <c r="M27" s="120"/>
      <c r="N27" s="44"/>
      <c r="O27" s="120"/>
      <c r="P27" s="27">
        <v>25000000</v>
      </c>
    </row>
    <row r="28" spans="1:16" ht="48.75" customHeight="1" x14ac:dyDescent="0.25">
      <c r="A28" s="146">
        <v>13</v>
      </c>
      <c r="B28" s="107" t="s">
        <v>101</v>
      </c>
      <c r="C28" s="109"/>
      <c r="D28" s="109"/>
      <c r="E28" s="111" t="s">
        <v>43</v>
      </c>
      <c r="F28" s="109"/>
      <c r="G28" s="109">
        <v>747</v>
      </c>
      <c r="H28" s="109" t="s">
        <v>42</v>
      </c>
      <c r="I28" s="45"/>
      <c r="J28" s="123" t="s">
        <v>52</v>
      </c>
      <c r="K28" s="45"/>
      <c r="L28" s="123"/>
      <c r="M28" s="123" t="s">
        <v>103</v>
      </c>
      <c r="N28" s="45"/>
      <c r="O28" s="123" t="s">
        <v>104</v>
      </c>
      <c r="P28" s="26"/>
    </row>
    <row r="29" spans="1:16" ht="48.75" customHeight="1" thickBot="1" x14ac:dyDescent="0.3">
      <c r="A29" s="147"/>
      <c r="B29" s="108"/>
      <c r="C29" s="110"/>
      <c r="D29" s="110"/>
      <c r="E29" s="112"/>
      <c r="F29" s="110"/>
      <c r="G29" s="110"/>
      <c r="H29" s="110"/>
      <c r="I29" s="44"/>
      <c r="J29" s="120"/>
      <c r="K29" s="44"/>
      <c r="L29" s="120"/>
      <c r="M29" s="120"/>
      <c r="N29" s="44"/>
      <c r="O29" s="120"/>
      <c r="P29" s="27"/>
    </row>
    <row r="30" spans="1:16" ht="48" customHeight="1" x14ac:dyDescent="0.25">
      <c r="A30" s="105">
        <v>14</v>
      </c>
      <c r="B30" s="107" t="s">
        <v>102</v>
      </c>
      <c r="C30" s="109"/>
      <c r="D30" s="109"/>
      <c r="E30" s="111">
        <v>1</v>
      </c>
      <c r="F30" s="130"/>
      <c r="G30" s="109"/>
      <c r="H30" s="126" t="s">
        <v>105</v>
      </c>
      <c r="I30" s="123"/>
      <c r="J30" s="123" t="s">
        <v>52</v>
      </c>
      <c r="K30" s="40"/>
      <c r="L30" s="123" t="s">
        <v>60</v>
      </c>
      <c r="M30" s="123"/>
      <c r="N30" s="40"/>
      <c r="O30" s="123" t="s">
        <v>106</v>
      </c>
      <c r="P30" s="26"/>
    </row>
    <row r="31" spans="1:16" ht="48" customHeight="1" thickBot="1" x14ac:dyDescent="0.3">
      <c r="A31" s="106"/>
      <c r="B31" s="108"/>
      <c r="C31" s="110"/>
      <c r="D31" s="110"/>
      <c r="E31" s="112"/>
      <c r="F31" s="130"/>
      <c r="G31" s="110"/>
      <c r="H31" s="144"/>
      <c r="I31" s="120"/>
      <c r="J31" s="120"/>
      <c r="K31" s="41"/>
      <c r="L31" s="120"/>
      <c r="M31" s="120"/>
      <c r="N31" s="41"/>
      <c r="O31" s="120"/>
      <c r="P31" s="27"/>
    </row>
    <row r="32" spans="1:16" ht="25.5" customHeight="1" x14ac:dyDescent="0.25">
      <c r="A32" s="12"/>
      <c r="B32" s="136" t="s">
        <v>18</v>
      </c>
      <c r="C32" s="136"/>
      <c r="D32" s="13"/>
      <c r="E32" s="13"/>
      <c r="F32" s="13"/>
      <c r="G32" s="13"/>
      <c r="H32" s="13"/>
      <c r="I32" s="14"/>
      <c r="J32" s="13"/>
      <c r="K32" s="13"/>
      <c r="L32" s="13"/>
      <c r="M32" s="13"/>
      <c r="N32" s="13"/>
      <c r="O32" s="13"/>
      <c r="P32" s="138">
        <f>SUM(P4:P31)</f>
        <v>1395000000</v>
      </c>
    </row>
    <row r="33" spans="1:16" ht="25.5" customHeight="1" thickBot="1" x14ac:dyDescent="0.3">
      <c r="A33" s="10"/>
      <c r="B33" s="137"/>
      <c r="C33" s="137"/>
      <c r="D33" s="11"/>
      <c r="E33" s="11"/>
      <c r="F33" s="11"/>
      <c r="G33" s="11"/>
      <c r="H33" s="11"/>
      <c r="I33" s="15"/>
      <c r="J33" s="11"/>
      <c r="K33" s="11"/>
      <c r="L33" s="11"/>
      <c r="M33" s="11"/>
      <c r="N33" s="11"/>
      <c r="O33" s="11"/>
      <c r="P33" s="139"/>
    </row>
  </sheetData>
  <mergeCells count="173">
    <mergeCell ref="B32:C33"/>
    <mergeCell ref="P32:P33"/>
    <mergeCell ref="O24:O25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F24:F25"/>
    <mergeCell ref="G24:G25"/>
    <mergeCell ref="H24:H25"/>
    <mergeCell ref="J24:J25"/>
    <mergeCell ref="L24:L25"/>
    <mergeCell ref="M24:M25"/>
    <mergeCell ref="A28:A29"/>
    <mergeCell ref="B28:B29"/>
    <mergeCell ref="A24:A25"/>
    <mergeCell ref="B24:B25"/>
    <mergeCell ref="C24:C25"/>
    <mergeCell ref="D24:D25"/>
    <mergeCell ref="E24:E25"/>
    <mergeCell ref="J30:J31"/>
    <mergeCell ref="L30:L31"/>
    <mergeCell ref="M30:M31"/>
    <mergeCell ref="O30:O31"/>
    <mergeCell ref="L20:L21"/>
    <mergeCell ref="M20:M21"/>
    <mergeCell ref="O20:O21"/>
    <mergeCell ref="A22:A23"/>
    <mergeCell ref="B22:B23"/>
    <mergeCell ref="C22:C23"/>
    <mergeCell ref="D22:D23"/>
    <mergeCell ref="E22:E23"/>
    <mergeCell ref="F22:F23"/>
    <mergeCell ref="G22:G23"/>
    <mergeCell ref="H22:H23"/>
    <mergeCell ref="J22:J23"/>
    <mergeCell ref="L22:L23"/>
    <mergeCell ref="M22:M23"/>
    <mergeCell ref="O22:O23"/>
    <mergeCell ref="A20:A21"/>
    <mergeCell ref="B20:B21"/>
    <mergeCell ref="C20:C21"/>
    <mergeCell ref="D20:D21"/>
    <mergeCell ref="E20:E21"/>
    <mergeCell ref="F20:F21"/>
    <mergeCell ref="G20:G21"/>
    <mergeCell ref="H20:H21"/>
    <mergeCell ref="J20:J21"/>
    <mergeCell ref="L16:L17"/>
    <mergeCell ref="M16:M17"/>
    <mergeCell ref="O16:O17"/>
    <mergeCell ref="A18:A19"/>
    <mergeCell ref="B18:B19"/>
    <mergeCell ref="C18:C19"/>
    <mergeCell ref="D18:D19"/>
    <mergeCell ref="E18:E19"/>
    <mergeCell ref="O18:O19"/>
    <mergeCell ref="F18:F19"/>
    <mergeCell ref="G18:G19"/>
    <mergeCell ref="I18:I19"/>
    <mergeCell ref="J18:J19"/>
    <mergeCell ref="L18:L19"/>
    <mergeCell ref="M18:M19"/>
    <mergeCell ref="A16:A17"/>
    <mergeCell ref="B16:B17"/>
    <mergeCell ref="C16:C17"/>
    <mergeCell ref="D16:D17"/>
    <mergeCell ref="E16:E17"/>
    <mergeCell ref="F16:F17"/>
    <mergeCell ref="G16:G17"/>
    <mergeCell ref="I16:I17"/>
    <mergeCell ref="J16:J17"/>
    <mergeCell ref="A12:A13"/>
    <mergeCell ref="B12:B13"/>
    <mergeCell ref="C12:C13"/>
    <mergeCell ref="D12:D13"/>
    <mergeCell ref="E12:E13"/>
    <mergeCell ref="O12:O13"/>
    <mergeCell ref="A14:A15"/>
    <mergeCell ref="B14:B15"/>
    <mergeCell ref="C14:C15"/>
    <mergeCell ref="D14:D15"/>
    <mergeCell ref="E14:E15"/>
    <mergeCell ref="F14:F15"/>
    <mergeCell ref="G14:G15"/>
    <mergeCell ref="H14:H15"/>
    <mergeCell ref="J14:J15"/>
    <mergeCell ref="F12:F13"/>
    <mergeCell ref="G12:G13"/>
    <mergeCell ref="H12:H13"/>
    <mergeCell ref="J12:J13"/>
    <mergeCell ref="L12:L13"/>
    <mergeCell ref="M12:M13"/>
    <mergeCell ref="L14:L15"/>
    <mergeCell ref="M14:M15"/>
    <mergeCell ref="O14:O15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L10:L11"/>
    <mergeCell ref="M10:M11"/>
    <mergeCell ref="O10:O11"/>
    <mergeCell ref="O4:O5"/>
    <mergeCell ref="A6:A7"/>
    <mergeCell ref="B6:B7"/>
    <mergeCell ref="C6:C7"/>
    <mergeCell ref="D6:D7"/>
    <mergeCell ref="E6:E7"/>
    <mergeCell ref="O6:O7"/>
    <mergeCell ref="A8:A9"/>
    <mergeCell ref="B8:B9"/>
    <mergeCell ref="C8:C9"/>
    <mergeCell ref="D8:D9"/>
    <mergeCell ref="E8:E9"/>
    <mergeCell ref="F8:F9"/>
    <mergeCell ref="G8:G9"/>
    <mergeCell ref="H8:H9"/>
    <mergeCell ref="J8:J9"/>
    <mergeCell ref="F6:F7"/>
    <mergeCell ref="G6:G7"/>
    <mergeCell ref="H6:H7"/>
    <mergeCell ref="I6:I7"/>
    <mergeCell ref="J6:J7"/>
    <mergeCell ref="M6:M7"/>
    <mergeCell ref="L8:L9"/>
    <mergeCell ref="M8:M9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A26:A27"/>
    <mergeCell ref="O28:O29"/>
    <mergeCell ref="B26:B27"/>
    <mergeCell ref="C26:C27"/>
    <mergeCell ref="D26:D27"/>
    <mergeCell ref="E26:E27"/>
    <mergeCell ref="F26:F27"/>
    <mergeCell ref="G26:G27"/>
    <mergeCell ref="H26:H27"/>
    <mergeCell ref="J26:J27"/>
    <mergeCell ref="L26:L27"/>
    <mergeCell ref="M26:M27"/>
    <mergeCell ref="O26:O27"/>
    <mergeCell ref="I26:I27"/>
    <mergeCell ref="C28:C29"/>
    <mergeCell ref="D28:D29"/>
    <mergeCell ref="E28:E29"/>
    <mergeCell ref="F28:F29"/>
    <mergeCell ref="G28:G29"/>
    <mergeCell ref="H28:H29"/>
    <mergeCell ref="J28:J29"/>
    <mergeCell ref="L28:L29"/>
    <mergeCell ref="M28:M29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B87A-4C5E-48E0-94AE-C680472C5C33}">
  <sheetPr>
    <pageSetUpPr fitToPage="1"/>
  </sheetPr>
  <dimension ref="A1:P31"/>
  <sheetViews>
    <sheetView rightToLeft="1" view="pageLayout" topLeftCell="A4" zoomScale="85" zoomScaleNormal="100" zoomScalePageLayoutView="85" workbookViewId="0">
      <selection activeCell="E6" sqref="E6:E7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13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1.2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45" t="s">
        <v>107</v>
      </c>
      <c r="J4" s="123"/>
      <c r="K4" s="45"/>
      <c r="L4" s="123" t="s">
        <v>60</v>
      </c>
      <c r="M4" s="123" t="s">
        <v>27</v>
      </c>
      <c r="N4" s="45" t="s">
        <v>16</v>
      </c>
      <c r="O4" s="123" t="s">
        <v>27</v>
      </c>
      <c r="P4" s="26">
        <v>95000000</v>
      </c>
    </row>
    <row r="5" spans="1:16" ht="41.2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44"/>
      <c r="J5" s="120"/>
      <c r="K5" s="44"/>
      <c r="L5" s="120"/>
      <c r="M5" s="120"/>
      <c r="N5" s="44"/>
      <c r="O5" s="120"/>
      <c r="P5" s="27">
        <v>25000000</v>
      </c>
    </row>
    <row r="6" spans="1:16" ht="39" customHeight="1" x14ac:dyDescent="0.25">
      <c r="A6" s="105">
        <v>2</v>
      </c>
      <c r="B6" s="107" t="s">
        <v>25</v>
      </c>
      <c r="C6" s="109" t="s">
        <v>33</v>
      </c>
      <c r="D6" s="109"/>
      <c r="E6" s="111"/>
      <c r="F6" s="109">
        <v>2040</v>
      </c>
      <c r="G6" s="109">
        <v>780</v>
      </c>
      <c r="H6" s="109" t="s">
        <v>32</v>
      </c>
      <c r="I6" s="124" t="s">
        <v>108</v>
      </c>
      <c r="J6" s="123" t="s">
        <v>52</v>
      </c>
      <c r="K6" s="45"/>
      <c r="L6" s="45" t="s">
        <v>34</v>
      </c>
      <c r="M6" s="123" t="s">
        <v>35</v>
      </c>
      <c r="N6" s="45"/>
      <c r="O6" s="123" t="s">
        <v>36</v>
      </c>
      <c r="P6" s="26">
        <v>50000000</v>
      </c>
    </row>
    <row r="7" spans="1:16" ht="39" customHeight="1" thickBot="1" x14ac:dyDescent="0.3">
      <c r="A7" s="106"/>
      <c r="B7" s="108"/>
      <c r="C7" s="110"/>
      <c r="D7" s="110"/>
      <c r="E7" s="112"/>
      <c r="F7" s="110"/>
      <c r="G7" s="110"/>
      <c r="H7" s="110"/>
      <c r="I7" s="120"/>
      <c r="J7" s="120"/>
      <c r="K7" s="44"/>
      <c r="L7" s="44" t="s">
        <v>15</v>
      </c>
      <c r="M7" s="120"/>
      <c r="N7" s="44"/>
      <c r="O7" s="120"/>
      <c r="P7" s="27">
        <v>25000000</v>
      </c>
    </row>
    <row r="8" spans="1:16" ht="45.75" customHeight="1" x14ac:dyDescent="0.25">
      <c r="A8" s="105">
        <v>3</v>
      </c>
      <c r="B8" s="107" t="s">
        <v>46</v>
      </c>
      <c r="C8" s="109"/>
      <c r="D8" s="109"/>
      <c r="E8" s="111" t="s">
        <v>70</v>
      </c>
      <c r="F8" s="109"/>
      <c r="G8" s="109">
        <v>691</v>
      </c>
      <c r="H8" s="109"/>
      <c r="I8" s="45" t="s">
        <v>100</v>
      </c>
      <c r="J8" s="123"/>
      <c r="K8" s="45"/>
      <c r="L8" s="123" t="s">
        <v>60</v>
      </c>
      <c r="M8" s="123" t="s">
        <v>27</v>
      </c>
      <c r="N8" s="45" t="s">
        <v>16</v>
      </c>
      <c r="O8" s="123" t="s">
        <v>27</v>
      </c>
      <c r="P8" s="26">
        <v>95000000</v>
      </c>
    </row>
    <row r="9" spans="1:16" ht="45.75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44"/>
      <c r="J9" s="120"/>
      <c r="K9" s="44"/>
      <c r="L9" s="120"/>
      <c r="M9" s="120"/>
      <c r="N9" s="44"/>
      <c r="O9" s="120"/>
      <c r="P9" s="27">
        <v>25000000</v>
      </c>
    </row>
    <row r="10" spans="1:16" ht="43.5" customHeight="1" x14ac:dyDescent="0.25">
      <c r="A10" s="105">
        <v>4</v>
      </c>
      <c r="B10" s="107" t="s">
        <v>46</v>
      </c>
      <c r="C10" s="109"/>
      <c r="D10" s="109"/>
      <c r="E10" s="111" t="s">
        <v>61</v>
      </c>
      <c r="F10" s="109"/>
      <c r="G10" s="109" t="s">
        <v>71</v>
      </c>
      <c r="H10" s="109"/>
      <c r="I10" s="45" t="s">
        <v>100</v>
      </c>
      <c r="J10" s="123"/>
      <c r="K10" s="45"/>
      <c r="L10" s="123" t="s">
        <v>60</v>
      </c>
      <c r="M10" s="123" t="s">
        <v>27</v>
      </c>
      <c r="N10" s="45" t="s">
        <v>16</v>
      </c>
      <c r="O10" s="123" t="s">
        <v>27</v>
      </c>
      <c r="P10" s="26">
        <v>95000000</v>
      </c>
    </row>
    <row r="11" spans="1:16" ht="43.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44"/>
      <c r="J11" s="120"/>
      <c r="K11" s="44"/>
      <c r="L11" s="120"/>
      <c r="M11" s="120"/>
      <c r="N11" s="44"/>
      <c r="O11" s="120"/>
      <c r="P11" s="27">
        <v>25000000</v>
      </c>
    </row>
    <row r="12" spans="1:16" ht="43.5" customHeight="1" x14ac:dyDescent="0.25">
      <c r="A12" s="105">
        <v>5</v>
      </c>
      <c r="B12" s="107" t="s">
        <v>46</v>
      </c>
      <c r="C12" s="109"/>
      <c r="D12" s="109"/>
      <c r="E12" s="111" t="s">
        <v>62</v>
      </c>
      <c r="F12" s="109"/>
      <c r="G12" s="109" t="s">
        <v>72</v>
      </c>
      <c r="H12" s="109"/>
      <c r="I12" s="45" t="s">
        <v>100</v>
      </c>
      <c r="J12" s="123"/>
      <c r="K12" s="45"/>
      <c r="L12" s="123" t="s">
        <v>60</v>
      </c>
      <c r="M12" s="123" t="s">
        <v>27</v>
      </c>
      <c r="N12" s="45" t="s">
        <v>16</v>
      </c>
      <c r="O12" s="123" t="s">
        <v>27</v>
      </c>
      <c r="P12" s="26">
        <v>95000000</v>
      </c>
    </row>
    <row r="13" spans="1:16" ht="43.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44"/>
      <c r="J13" s="120"/>
      <c r="K13" s="44"/>
      <c r="L13" s="120"/>
      <c r="M13" s="120"/>
      <c r="N13" s="44"/>
      <c r="O13" s="120"/>
      <c r="P13" s="27">
        <v>25000000</v>
      </c>
    </row>
    <row r="14" spans="1:16" ht="43.5" customHeight="1" x14ac:dyDescent="0.25">
      <c r="A14" s="105">
        <v>6</v>
      </c>
      <c r="B14" s="117" t="s">
        <v>26</v>
      </c>
      <c r="C14" s="109"/>
      <c r="D14" s="109"/>
      <c r="E14" s="111" t="s">
        <v>64</v>
      </c>
      <c r="F14" s="109"/>
      <c r="G14" s="109">
        <v>738</v>
      </c>
      <c r="H14" s="46"/>
      <c r="I14" s="119" t="s">
        <v>100</v>
      </c>
      <c r="J14" s="123"/>
      <c r="K14" s="45"/>
      <c r="L14" s="123" t="s">
        <v>60</v>
      </c>
      <c r="M14" s="123" t="s">
        <v>27</v>
      </c>
      <c r="N14" s="45" t="s">
        <v>16</v>
      </c>
      <c r="O14" s="123" t="s">
        <v>27</v>
      </c>
      <c r="P14" s="26">
        <v>95000000</v>
      </c>
    </row>
    <row r="15" spans="1:16" ht="43.5" customHeight="1" thickBot="1" x14ac:dyDescent="0.3">
      <c r="A15" s="106"/>
      <c r="B15" s="118"/>
      <c r="C15" s="110"/>
      <c r="D15" s="110"/>
      <c r="E15" s="112"/>
      <c r="F15" s="110"/>
      <c r="G15" s="110"/>
      <c r="H15" s="47"/>
      <c r="I15" s="120"/>
      <c r="J15" s="120"/>
      <c r="K15" s="44"/>
      <c r="L15" s="120"/>
      <c r="M15" s="120"/>
      <c r="N15" s="44"/>
      <c r="O15" s="120"/>
      <c r="P15" s="27">
        <v>25000000</v>
      </c>
    </row>
    <row r="16" spans="1:16" ht="48" customHeight="1" x14ac:dyDescent="0.25">
      <c r="A16" s="105">
        <v>7</v>
      </c>
      <c r="B16" s="117" t="s">
        <v>26</v>
      </c>
      <c r="C16" s="109"/>
      <c r="D16" s="109"/>
      <c r="E16" s="111" t="s">
        <v>31</v>
      </c>
      <c r="F16" s="109"/>
      <c r="G16" s="109">
        <v>692</v>
      </c>
      <c r="H16" s="46"/>
      <c r="I16" s="124" t="s">
        <v>100</v>
      </c>
      <c r="J16" s="123"/>
      <c r="K16" s="45"/>
      <c r="L16" s="132" t="s">
        <v>60</v>
      </c>
      <c r="M16" s="123" t="s">
        <v>27</v>
      </c>
      <c r="N16" s="45" t="s">
        <v>16</v>
      </c>
      <c r="O16" s="123" t="s">
        <v>27</v>
      </c>
      <c r="P16" s="26">
        <v>95000000</v>
      </c>
    </row>
    <row r="17" spans="1:16" ht="48" customHeight="1" thickBot="1" x14ac:dyDescent="0.3">
      <c r="A17" s="106"/>
      <c r="B17" s="118"/>
      <c r="C17" s="110"/>
      <c r="D17" s="110"/>
      <c r="E17" s="112"/>
      <c r="F17" s="110"/>
      <c r="G17" s="110"/>
      <c r="H17" s="47"/>
      <c r="I17" s="120"/>
      <c r="J17" s="120"/>
      <c r="K17" s="44"/>
      <c r="L17" s="133"/>
      <c r="M17" s="120"/>
      <c r="N17" s="44"/>
      <c r="O17" s="120"/>
      <c r="P17" s="27">
        <v>25000000</v>
      </c>
    </row>
    <row r="18" spans="1:16" ht="48" customHeight="1" x14ac:dyDescent="0.25">
      <c r="A18" s="105">
        <v>8</v>
      </c>
      <c r="B18" s="107" t="s">
        <v>28</v>
      </c>
      <c r="C18" s="109"/>
      <c r="D18" s="109"/>
      <c r="E18" s="111" t="s">
        <v>66</v>
      </c>
      <c r="F18" s="109"/>
      <c r="G18" s="109">
        <v>745</v>
      </c>
      <c r="H18" s="109"/>
      <c r="I18" s="45" t="s">
        <v>100</v>
      </c>
      <c r="J18" s="123"/>
      <c r="K18" s="45"/>
      <c r="L18" s="132" t="s">
        <v>60</v>
      </c>
      <c r="M18" s="123" t="s">
        <v>27</v>
      </c>
      <c r="N18" s="45" t="s">
        <v>16</v>
      </c>
      <c r="O18" s="123" t="s">
        <v>27</v>
      </c>
      <c r="P18" s="26">
        <v>95000000</v>
      </c>
    </row>
    <row r="19" spans="1:16" ht="48" customHeight="1" thickBot="1" x14ac:dyDescent="0.3">
      <c r="A19" s="106"/>
      <c r="B19" s="108"/>
      <c r="C19" s="110"/>
      <c r="D19" s="110"/>
      <c r="E19" s="112"/>
      <c r="F19" s="110"/>
      <c r="G19" s="110"/>
      <c r="H19" s="110"/>
      <c r="I19" s="45"/>
      <c r="J19" s="120"/>
      <c r="K19" s="44"/>
      <c r="L19" s="133"/>
      <c r="M19" s="120"/>
      <c r="N19" s="44"/>
      <c r="O19" s="120"/>
      <c r="P19" s="27">
        <v>25000000</v>
      </c>
    </row>
    <row r="20" spans="1:16" ht="62.25" customHeight="1" x14ac:dyDescent="0.25">
      <c r="A20" s="105">
        <v>9</v>
      </c>
      <c r="B20" s="107" t="s">
        <v>28</v>
      </c>
      <c r="C20" s="109"/>
      <c r="D20" s="109"/>
      <c r="E20" s="111" t="s">
        <v>68</v>
      </c>
      <c r="F20" s="109"/>
      <c r="G20" s="109">
        <v>734</v>
      </c>
      <c r="H20" s="109"/>
      <c r="I20" s="45" t="s">
        <v>100</v>
      </c>
      <c r="J20" s="123"/>
      <c r="K20" s="45"/>
      <c r="L20" s="123" t="s">
        <v>60</v>
      </c>
      <c r="M20" s="123" t="s">
        <v>27</v>
      </c>
      <c r="N20" s="45" t="s">
        <v>16</v>
      </c>
      <c r="O20" s="123" t="s">
        <v>27</v>
      </c>
      <c r="P20" s="26">
        <v>95000000</v>
      </c>
    </row>
    <row r="21" spans="1:16" ht="78" customHeight="1" thickBot="1" x14ac:dyDescent="0.3">
      <c r="A21" s="106"/>
      <c r="B21" s="108"/>
      <c r="C21" s="110"/>
      <c r="D21" s="110"/>
      <c r="E21" s="112"/>
      <c r="F21" s="110"/>
      <c r="G21" s="110"/>
      <c r="H21" s="110"/>
      <c r="I21" s="44"/>
      <c r="J21" s="120"/>
      <c r="K21" s="44"/>
      <c r="L21" s="120"/>
      <c r="M21" s="120"/>
      <c r="N21" s="44"/>
      <c r="O21" s="120"/>
      <c r="P21" s="27">
        <v>25000000</v>
      </c>
    </row>
    <row r="22" spans="1:16" ht="60" customHeight="1" x14ac:dyDescent="0.25">
      <c r="A22" s="105">
        <v>10</v>
      </c>
      <c r="B22" s="107" t="s">
        <v>28</v>
      </c>
      <c r="C22" s="109"/>
      <c r="D22" s="109"/>
      <c r="E22" s="111" t="s">
        <v>67</v>
      </c>
      <c r="F22" s="130"/>
      <c r="G22" s="109">
        <v>679</v>
      </c>
      <c r="H22" s="126"/>
      <c r="I22" s="123" t="s">
        <v>100</v>
      </c>
      <c r="J22" s="123"/>
      <c r="K22" s="45"/>
      <c r="L22" s="123" t="s">
        <v>60</v>
      </c>
      <c r="M22" s="123" t="s">
        <v>27</v>
      </c>
      <c r="N22" s="45" t="s">
        <v>16</v>
      </c>
      <c r="O22" s="123" t="s">
        <v>27</v>
      </c>
      <c r="P22" s="26">
        <v>95000000</v>
      </c>
    </row>
    <row r="23" spans="1:16" ht="60" customHeight="1" thickBot="1" x14ac:dyDescent="0.3">
      <c r="A23" s="106"/>
      <c r="B23" s="108"/>
      <c r="C23" s="110"/>
      <c r="D23" s="110"/>
      <c r="E23" s="112"/>
      <c r="F23" s="130"/>
      <c r="G23" s="110"/>
      <c r="H23" s="144"/>
      <c r="I23" s="120"/>
      <c r="J23" s="120"/>
      <c r="K23" s="44"/>
      <c r="L23" s="120"/>
      <c r="M23" s="120"/>
      <c r="N23" s="44"/>
      <c r="O23" s="120"/>
      <c r="P23" s="27">
        <v>25000000</v>
      </c>
    </row>
    <row r="24" spans="1:16" ht="60" customHeight="1" x14ac:dyDescent="0.25">
      <c r="A24" s="105">
        <v>11</v>
      </c>
      <c r="B24" s="107" t="s">
        <v>101</v>
      </c>
      <c r="C24" s="109"/>
      <c r="D24" s="109"/>
      <c r="E24" s="111" t="s">
        <v>43</v>
      </c>
      <c r="F24" s="109"/>
      <c r="G24" s="109">
        <v>747</v>
      </c>
      <c r="H24" s="109" t="s">
        <v>42</v>
      </c>
      <c r="I24" s="45" t="s">
        <v>117</v>
      </c>
      <c r="J24" s="123" t="s">
        <v>52</v>
      </c>
      <c r="K24" s="45"/>
      <c r="L24" s="123"/>
      <c r="M24" s="123" t="s">
        <v>103</v>
      </c>
      <c r="N24" s="45"/>
      <c r="O24" s="123" t="s">
        <v>104</v>
      </c>
      <c r="P24" s="26"/>
    </row>
    <row r="25" spans="1:16" ht="60" customHeight="1" thickBot="1" x14ac:dyDescent="0.3">
      <c r="A25" s="106"/>
      <c r="B25" s="108"/>
      <c r="C25" s="110"/>
      <c r="D25" s="110"/>
      <c r="E25" s="112"/>
      <c r="F25" s="110"/>
      <c r="G25" s="110"/>
      <c r="H25" s="110"/>
      <c r="I25" s="44"/>
      <c r="J25" s="120"/>
      <c r="K25" s="44"/>
      <c r="L25" s="120"/>
      <c r="M25" s="120"/>
      <c r="N25" s="44"/>
      <c r="O25" s="120"/>
      <c r="P25" s="27"/>
    </row>
    <row r="26" spans="1:16" ht="53.25" customHeight="1" x14ac:dyDescent="0.25">
      <c r="A26" s="105">
        <v>12</v>
      </c>
      <c r="B26" s="107" t="s">
        <v>109</v>
      </c>
      <c r="C26" s="109" t="s">
        <v>110</v>
      </c>
      <c r="D26" s="109"/>
      <c r="E26" s="111" t="s">
        <v>111</v>
      </c>
      <c r="F26" s="109"/>
      <c r="G26" s="109"/>
      <c r="H26" s="109" t="s">
        <v>112</v>
      </c>
      <c r="I26" s="45"/>
      <c r="J26" s="123"/>
      <c r="K26" s="45"/>
      <c r="L26" s="123" t="s">
        <v>115</v>
      </c>
      <c r="M26" s="123" t="s">
        <v>114</v>
      </c>
      <c r="N26" s="45"/>
      <c r="O26" s="123"/>
      <c r="P26" s="26">
        <v>12000000</v>
      </c>
    </row>
    <row r="27" spans="1:16" ht="53.25" customHeight="1" thickBot="1" x14ac:dyDescent="0.3">
      <c r="A27" s="106"/>
      <c r="B27" s="108"/>
      <c r="C27" s="110"/>
      <c r="D27" s="110"/>
      <c r="E27" s="112"/>
      <c r="F27" s="110"/>
      <c r="G27" s="110"/>
      <c r="H27" s="110"/>
      <c r="I27" s="44" t="s">
        <v>113</v>
      </c>
      <c r="J27" s="120"/>
      <c r="K27" s="44"/>
      <c r="L27" s="120"/>
      <c r="M27" s="120"/>
      <c r="N27" s="44"/>
      <c r="O27" s="120"/>
      <c r="P27" s="27"/>
    </row>
    <row r="28" spans="1:16" ht="48" customHeight="1" x14ac:dyDescent="0.25">
      <c r="A28" s="105">
        <v>13</v>
      </c>
      <c r="B28" s="107" t="s">
        <v>102</v>
      </c>
      <c r="C28" s="109"/>
      <c r="D28" s="109"/>
      <c r="E28" s="111">
        <v>1</v>
      </c>
      <c r="F28" s="130"/>
      <c r="G28" s="109"/>
      <c r="H28" s="126" t="s">
        <v>105</v>
      </c>
      <c r="I28" s="123" t="s">
        <v>116</v>
      </c>
      <c r="J28" s="123" t="s">
        <v>52</v>
      </c>
      <c r="K28" s="45"/>
      <c r="L28" s="123" t="s">
        <v>60</v>
      </c>
      <c r="M28" s="123"/>
      <c r="N28" s="45"/>
      <c r="O28" s="123" t="s">
        <v>106</v>
      </c>
      <c r="P28" s="26"/>
    </row>
    <row r="29" spans="1:16" ht="48" customHeight="1" thickBot="1" x14ac:dyDescent="0.3">
      <c r="A29" s="106"/>
      <c r="B29" s="108"/>
      <c r="C29" s="110"/>
      <c r="D29" s="110"/>
      <c r="E29" s="112"/>
      <c r="F29" s="130"/>
      <c r="G29" s="110"/>
      <c r="H29" s="144"/>
      <c r="I29" s="120"/>
      <c r="J29" s="120"/>
      <c r="K29" s="44"/>
      <c r="L29" s="120"/>
      <c r="M29" s="120"/>
      <c r="N29" s="44"/>
      <c r="O29" s="120"/>
      <c r="P29" s="27"/>
    </row>
    <row r="30" spans="1:16" ht="25.5" customHeight="1" x14ac:dyDescent="0.25">
      <c r="A30" s="12"/>
      <c r="B30" s="136" t="s">
        <v>18</v>
      </c>
      <c r="C30" s="136"/>
      <c r="D30" s="13"/>
      <c r="E30" s="13"/>
      <c r="F30" s="13"/>
      <c r="G30" s="13"/>
      <c r="H30" s="13"/>
      <c r="I30" s="14"/>
      <c r="J30" s="13"/>
      <c r="K30" s="13"/>
      <c r="L30" s="13"/>
      <c r="M30" s="13"/>
      <c r="N30" s="13"/>
      <c r="O30" s="13"/>
      <c r="P30" s="138">
        <f>SUM(P4:P29)</f>
        <v>1167000000</v>
      </c>
    </row>
    <row r="31" spans="1:16" ht="25.5" customHeight="1" thickBot="1" x14ac:dyDescent="0.3">
      <c r="A31" s="10"/>
      <c r="B31" s="137"/>
      <c r="C31" s="137"/>
      <c r="D31" s="11"/>
      <c r="E31" s="11"/>
      <c r="F31" s="11"/>
      <c r="G31" s="11"/>
      <c r="H31" s="11"/>
      <c r="I31" s="15"/>
      <c r="J31" s="11"/>
      <c r="K31" s="11"/>
      <c r="L31" s="11"/>
      <c r="M31" s="11"/>
      <c r="N31" s="11"/>
      <c r="O31" s="11"/>
      <c r="P31" s="139"/>
    </row>
  </sheetData>
  <mergeCells count="161"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M6:M7"/>
    <mergeCell ref="O6:O7"/>
    <mergeCell ref="A8:A9"/>
    <mergeCell ref="B8:B9"/>
    <mergeCell ref="C8:C9"/>
    <mergeCell ref="D8:D9"/>
    <mergeCell ref="E8:E9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F8:F9"/>
    <mergeCell ref="G8:G9"/>
    <mergeCell ref="H8:H9"/>
    <mergeCell ref="J8:J9"/>
    <mergeCell ref="L8:L9"/>
    <mergeCell ref="M8:M9"/>
    <mergeCell ref="H12:H13"/>
    <mergeCell ref="J12:J13"/>
    <mergeCell ref="L12:L13"/>
    <mergeCell ref="M12:M13"/>
    <mergeCell ref="O12:O13"/>
    <mergeCell ref="L10:L11"/>
    <mergeCell ref="M10:M11"/>
    <mergeCell ref="O10:O11"/>
    <mergeCell ref="A12:A13"/>
    <mergeCell ref="B12:B13"/>
    <mergeCell ref="C12:C13"/>
    <mergeCell ref="D12:D13"/>
    <mergeCell ref="E12:E13"/>
    <mergeCell ref="F12:F13"/>
    <mergeCell ref="G12:G13"/>
    <mergeCell ref="A18:A19"/>
    <mergeCell ref="B18:B19"/>
    <mergeCell ref="C18:C19"/>
    <mergeCell ref="D18:D19"/>
    <mergeCell ref="E18:E19"/>
    <mergeCell ref="L14:L15"/>
    <mergeCell ref="M14:M15"/>
    <mergeCell ref="O14:O15"/>
    <mergeCell ref="A16:A17"/>
    <mergeCell ref="B16:B17"/>
    <mergeCell ref="C16:C17"/>
    <mergeCell ref="D16:D17"/>
    <mergeCell ref="E16:E17"/>
    <mergeCell ref="F16:F17"/>
    <mergeCell ref="G16:G17"/>
    <mergeCell ref="A14:A15"/>
    <mergeCell ref="B14:B15"/>
    <mergeCell ref="C14:C15"/>
    <mergeCell ref="D14:D15"/>
    <mergeCell ref="E14:E15"/>
    <mergeCell ref="F14:F15"/>
    <mergeCell ref="G14:G15"/>
    <mergeCell ref="I14:I15"/>
    <mergeCell ref="J14:J15"/>
    <mergeCell ref="L22:L23"/>
    <mergeCell ref="O18:O19"/>
    <mergeCell ref="F18:F19"/>
    <mergeCell ref="G18:G19"/>
    <mergeCell ref="H18:H19"/>
    <mergeCell ref="J18:J19"/>
    <mergeCell ref="L18:L19"/>
    <mergeCell ref="M18:M19"/>
    <mergeCell ref="I16:I17"/>
    <mergeCell ref="J16:J17"/>
    <mergeCell ref="L16:L17"/>
    <mergeCell ref="M16:M17"/>
    <mergeCell ref="O16:O17"/>
    <mergeCell ref="F22:F23"/>
    <mergeCell ref="G22:G23"/>
    <mergeCell ref="H22:H23"/>
    <mergeCell ref="H20:H21"/>
    <mergeCell ref="J20:J21"/>
    <mergeCell ref="L20:L21"/>
    <mergeCell ref="M20:M21"/>
    <mergeCell ref="O20:O21"/>
    <mergeCell ref="F20:F21"/>
    <mergeCell ref="G20:G21"/>
    <mergeCell ref="M22:M23"/>
    <mergeCell ref="A22:A23"/>
    <mergeCell ref="B22:B23"/>
    <mergeCell ref="C22:C23"/>
    <mergeCell ref="D22:D23"/>
    <mergeCell ref="E22:E23"/>
    <mergeCell ref="A20:A21"/>
    <mergeCell ref="B20:B21"/>
    <mergeCell ref="C20:C21"/>
    <mergeCell ref="D20:D21"/>
    <mergeCell ref="E20:E21"/>
    <mergeCell ref="O22:O23"/>
    <mergeCell ref="I22:I23"/>
    <mergeCell ref="J22:J23"/>
    <mergeCell ref="J24:J25"/>
    <mergeCell ref="L24:L25"/>
    <mergeCell ref="M24:M25"/>
    <mergeCell ref="O24:O25"/>
    <mergeCell ref="A28:A29"/>
    <mergeCell ref="B28:B29"/>
    <mergeCell ref="C28:C29"/>
    <mergeCell ref="D28:D29"/>
    <mergeCell ref="E28:E29"/>
    <mergeCell ref="F28:F29"/>
    <mergeCell ref="H26:H27"/>
    <mergeCell ref="J26:J27"/>
    <mergeCell ref="L26:L27"/>
    <mergeCell ref="M26:M27"/>
    <mergeCell ref="O26:O27"/>
    <mergeCell ref="O28:O29"/>
    <mergeCell ref="A24:A25"/>
    <mergeCell ref="B24:B25"/>
    <mergeCell ref="C24:C25"/>
    <mergeCell ref="D24:D25"/>
    <mergeCell ref="E24:E25"/>
    <mergeCell ref="F24:F25"/>
    <mergeCell ref="G24:G25"/>
    <mergeCell ref="H24:H25"/>
    <mergeCell ref="B30:C31"/>
    <mergeCell ref="P30:P31"/>
    <mergeCell ref="A26:A27"/>
    <mergeCell ref="B26:B27"/>
    <mergeCell ref="C26:C27"/>
    <mergeCell ref="D26:D27"/>
    <mergeCell ref="E26:E27"/>
    <mergeCell ref="F26:F27"/>
    <mergeCell ref="G26:G27"/>
    <mergeCell ref="G28:G29"/>
    <mergeCell ref="H28:H29"/>
    <mergeCell ref="I28:I29"/>
    <mergeCell ref="J28:J29"/>
    <mergeCell ref="L28:L29"/>
    <mergeCell ref="M28:M29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E235C-EB08-4860-855D-D5040AD06440}">
  <sheetPr>
    <pageSetUpPr fitToPage="1"/>
  </sheetPr>
  <dimension ref="A1:P27"/>
  <sheetViews>
    <sheetView rightToLeft="1" view="pageLayout" topLeftCell="A10" zoomScale="85" zoomScaleNormal="100" zoomScalePageLayoutView="85" workbookViewId="0">
      <selection activeCell="B14" sqref="B14:P15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14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1.2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48" t="s">
        <v>107</v>
      </c>
      <c r="J4" s="123"/>
      <c r="K4" s="48"/>
      <c r="L4" s="123" t="s">
        <v>60</v>
      </c>
      <c r="M4" s="123" t="s">
        <v>27</v>
      </c>
      <c r="N4" s="48" t="s">
        <v>16</v>
      </c>
      <c r="O4" s="123" t="s">
        <v>27</v>
      </c>
      <c r="P4" s="26">
        <v>95000000</v>
      </c>
    </row>
    <row r="5" spans="1:16" ht="41.2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49"/>
      <c r="J5" s="120"/>
      <c r="K5" s="49"/>
      <c r="L5" s="120"/>
      <c r="M5" s="120"/>
      <c r="N5" s="49"/>
      <c r="O5" s="120"/>
      <c r="P5" s="27">
        <v>25000000</v>
      </c>
    </row>
    <row r="6" spans="1:16" ht="39" customHeight="1" x14ac:dyDescent="0.25">
      <c r="A6" s="105">
        <v>2</v>
      </c>
      <c r="B6" s="107" t="s">
        <v>25</v>
      </c>
      <c r="C6" s="109" t="s">
        <v>33</v>
      </c>
      <c r="D6" s="109"/>
      <c r="E6" s="111"/>
      <c r="F6" s="109">
        <v>2040</v>
      </c>
      <c r="G6" s="109">
        <v>780</v>
      </c>
      <c r="H6" s="109" t="s">
        <v>32</v>
      </c>
      <c r="I6" s="124" t="s">
        <v>108</v>
      </c>
      <c r="J6" s="123" t="s">
        <v>52</v>
      </c>
      <c r="K6" s="48"/>
      <c r="L6" s="48" t="s">
        <v>34</v>
      </c>
      <c r="M6" s="123" t="s">
        <v>35</v>
      </c>
      <c r="N6" s="48"/>
      <c r="O6" s="123" t="s">
        <v>36</v>
      </c>
      <c r="P6" s="26">
        <v>50000000</v>
      </c>
    </row>
    <row r="7" spans="1:16" ht="39" customHeight="1" thickBot="1" x14ac:dyDescent="0.3">
      <c r="A7" s="106"/>
      <c r="B7" s="108"/>
      <c r="C7" s="110"/>
      <c r="D7" s="110"/>
      <c r="E7" s="112"/>
      <c r="F7" s="110"/>
      <c r="G7" s="110"/>
      <c r="H7" s="110"/>
      <c r="I7" s="120"/>
      <c r="J7" s="120"/>
      <c r="K7" s="49"/>
      <c r="L7" s="49" t="s">
        <v>15</v>
      </c>
      <c r="M7" s="120"/>
      <c r="N7" s="49"/>
      <c r="O7" s="120"/>
      <c r="P7" s="27">
        <v>25000000</v>
      </c>
    </row>
    <row r="8" spans="1:16" ht="45.75" customHeight="1" x14ac:dyDescent="0.25">
      <c r="A8" s="105">
        <v>3</v>
      </c>
      <c r="B8" s="107" t="s">
        <v>46</v>
      </c>
      <c r="C8" s="109"/>
      <c r="D8" s="109"/>
      <c r="E8" s="111" t="s">
        <v>70</v>
      </c>
      <c r="F8" s="109"/>
      <c r="G8" s="109">
        <v>691</v>
      </c>
      <c r="H8" s="109"/>
      <c r="I8" s="48" t="s">
        <v>100</v>
      </c>
      <c r="J8" s="123"/>
      <c r="K8" s="48"/>
      <c r="L8" s="123" t="s">
        <v>60</v>
      </c>
      <c r="M8" s="123" t="s">
        <v>27</v>
      </c>
      <c r="N8" s="48" t="s">
        <v>16</v>
      </c>
      <c r="O8" s="123" t="s">
        <v>27</v>
      </c>
      <c r="P8" s="26">
        <v>95000000</v>
      </c>
    </row>
    <row r="9" spans="1:16" ht="45.75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49"/>
      <c r="J9" s="120"/>
      <c r="K9" s="49"/>
      <c r="L9" s="120"/>
      <c r="M9" s="120"/>
      <c r="N9" s="49"/>
      <c r="O9" s="120"/>
      <c r="P9" s="27">
        <v>25000000</v>
      </c>
    </row>
    <row r="10" spans="1:16" ht="43.5" customHeight="1" x14ac:dyDescent="0.25">
      <c r="A10" s="105">
        <v>4</v>
      </c>
      <c r="B10" s="107" t="s">
        <v>46</v>
      </c>
      <c r="C10" s="109"/>
      <c r="D10" s="109"/>
      <c r="E10" s="111" t="s">
        <v>61</v>
      </c>
      <c r="F10" s="109"/>
      <c r="G10" s="109" t="s">
        <v>71</v>
      </c>
      <c r="H10" s="109"/>
      <c r="I10" s="48" t="s">
        <v>100</v>
      </c>
      <c r="J10" s="123"/>
      <c r="K10" s="48"/>
      <c r="L10" s="123" t="s">
        <v>60</v>
      </c>
      <c r="M10" s="123" t="s">
        <v>27</v>
      </c>
      <c r="N10" s="48" t="s">
        <v>16</v>
      </c>
      <c r="O10" s="123" t="s">
        <v>27</v>
      </c>
      <c r="P10" s="26">
        <v>95000000</v>
      </c>
    </row>
    <row r="11" spans="1:16" ht="43.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49"/>
      <c r="J11" s="120"/>
      <c r="K11" s="49"/>
      <c r="L11" s="120"/>
      <c r="M11" s="120"/>
      <c r="N11" s="49"/>
      <c r="O11" s="120"/>
      <c r="P11" s="27">
        <v>25000000</v>
      </c>
    </row>
    <row r="12" spans="1:16" ht="43.5" customHeight="1" x14ac:dyDescent="0.25">
      <c r="A12" s="105">
        <v>5</v>
      </c>
      <c r="B12" s="117" t="s">
        <v>26</v>
      </c>
      <c r="C12" s="109"/>
      <c r="D12" s="109"/>
      <c r="E12" s="111" t="s">
        <v>64</v>
      </c>
      <c r="F12" s="109"/>
      <c r="G12" s="109">
        <v>738</v>
      </c>
      <c r="H12" s="50"/>
      <c r="I12" s="119" t="s">
        <v>100</v>
      </c>
      <c r="J12" s="123"/>
      <c r="K12" s="48"/>
      <c r="L12" s="123" t="s">
        <v>60</v>
      </c>
      <c r="M12" s="123" t="s">
        <v>27</v>
      </c>
      <c r="N12" s="48" t="s">
        <v>16</v>
      </c>
      <c r="O12" s="123" t="s">
        <v>27</v>
      </c>
      <c r="P12" s="26">
        <v>95000000</v>
      </c>
    </row>
    <row r="13" spans="1:16" ht="43.5" customHeight="1" thickBot="1" x14ac:dyDescent="0.3">
      <c r="A13" s="106"/>
      <c r="B13" s="118"/>
      <c r="C13" s="110"/>
      <c r="D13" s="110"/>
      <c r="E13" s="112"/>
      <c r="F13" s="110"/>
      <c r="G13" s="110"/>
      <c r="H13" s="51"/>
      <c r="I13" s="120"/>
      <c r="J13" s="120"/>
      <c r="K13" s="49"/>
      <c r="L13" s="120"/>
      <c r="M13" s="120"/>
      <c r="N13" s="49"/>
      <c r="O13" s="120"/>
      <c r="P13" s="27">
        <v>25000000</v>
      </c>
    </row>
    <row r="14" spans="1:16" ht="48" customHeight="1" x14ac:dyDescent="0.25">
      <c r="A14" s="105">
        <v>6</v>
      </c>
      <c r="B14" s="117" t="s">
        <v>26</v>
      </c>
      <c r="C14" s="109"/>
      <c r="D14" s="109"/>
      <c r="E14" s="111" t="s">
        <v>31</v>
      </c>
      <c r="F14" s="109"/>
      <c r="G14" s="109">
        <v>692</v>
      </c>
      <c r="H14" s="50"/>
      <c r="I14" s="124" t="s">
        <v>100</v>
      </c>
      <c r="J14" s="123"/>
      <c r="K14" s="48"/>
      <c r="L14" s="132" t="s">
        <v>60</v>
      </c>
      <c r="M14" s="123" t="s">
        <v>27</v>
      </c>
      <c r="N14" s="48" t="s">
        <v>16</v>
      </c>
      <c r="O14" s="123" t="s">
        <v>27</v>
      </c>
      <c r="P14" s="26">
        <v>95000000</v>
      </c>
    </row>
    <row r="15" spans="1:16" ht="48" customHeight="1" thickBot="1" x14ac:dyDescent="0.3">
      <c r="A15" s="106"/>
      <c r="B15" s="118"/>
      <c r="C15" s="110"/>
      <c r="D15" s="110"/>
      <c r="E15" s="112"/>
      <c r="F15" s="110"/>
      <c r="G15" s="110"/>
      <c r="H15" s="51"/>
      <c r="I15" s="120"/>
      <c r="J15" s="120"/>
      <c r="K15" s="49"/>
      <c r="L15" s="133"/>
      <c r="M15" s="120"/>
      <c r="N15" s="49"/>
      <c r="O15" s="120"/>
      <c r="P15" s="27">
        <v>25000000</v>
      </c>
    </row>
    <row r="16" spans="1:16" ht="48" customHeight="1" x14ac:dyDescent="0.25">
      <c r="A16" s="105">
        <v>7</v>
      </c>
      <c r="B16" s="107" t="s">
        <v>28</v>
      </c>
      <c r="C16" s="109"/>
      <c r="D16" s="109"/>
      <c r="E16" s="111" t="s">
        <v>66</v>
      </c>
      <c r="F16" s="109"/>
      <c r="G16" s="109">
        <v>745</v>
      </c>
      <c r="H16" s="109"/>
      <c r="I16" s="48" t="s">
        <v>100</v>
      </c>
      <c r="J16" s="123"/>
      <c r="K16" s="48"/>
      <c r="L16" s="132" t="s">
        <v>60</v>
      </c>
      <c r="M16" s="123" t="s">
        <v>27</v>
      </c>
      <c r="N16" s="48" t="s">
        <v>16</v>
      </c>
      <c r="O16" s="123" t="s">
        <v>27</v>
      </c>
      <c r="P16" s="26">
        <v>95000000</v>
      </c>
    </row>
    <row r="17" spans="1:16" ht="48" customHeight="1" thickBot="1" x14ac:dyDescent="0.3">
      <c r="A17" s="106"/>
      <c r="B17" s="108"/>
      <c r="C17" s="110"/>
      <c r="D17" s="110"/>
      <c r="E17" s="112"/>
      <c r="F17" s="110"/>
      <c r="G17" s="110"/>
      <c r="H17" s="110"/>
      <c r="I17" s="48"/>
      <c r="J17" s="120"/>
      <c r="K17" s="49"/>
      <c r="L17" s="133"/>
      <c r="M17" s="120"/>
      <c r="N17" s="49"/>
      <c r="O17" s="120"/>
      <c r="P17" s="27">
        <v>25000000</v>
      </c>
    </row>
    <row r="18" spans="1:16" ht="62.25" customHeight="1" x14ac:dyDescent="0.25">
      <c r="A18" s="105">
        <v>8</v>
      </c>
      <c r="B18" s="107" t="s">
        <v>28</v>
      </c>
      <c r="C18" s="109"/>
      <c r="D18" s="109"/>
      <c r="E18" s="111" t="s">
        <v>68</v>
      </c>
      <c r="F18" s="109"/>
      <c r="G18" s="109">
        <v>734</v>
      </c>
      <c r="H18" s="109"/>
      <c r="I18" s="48" t="s">
        <v>100</v>
      </c>
      <c r="J18" s="123"/>
      <c r="K18" s="48"/>
      <c r="L18" s="123" t="s">
        <v>60</v>
      </c>
      <c r="M18" s="123" t="s">
        <v>27</v>
      </c>
      <c r="N18" s="48" t="s">
        <v>16</v>
      </c>
      <c r="O18" s="123" t="s">
        <v>27</v>
      </c>
      <c r="P18" s="26">
        <v>95000000</v>
      </c>
    </row>
    <row r="19" spans="1:16" ht="78" customHeight="1" thickBot="1" x14ac:dyDescent="0.3">
      <c r="A19" s="106"/>
      <c r="B19" s="108"/>
      <c r="C19" s="110"/>
      <c r="D19" s="110"/>
      <c r="E19" s="112"/>
      <c r="F19" s="110"/>
      <c r="G19" s="110"/>
      <c r="H19" s="110"/>
      <c r="I19" s="49"/>
      <c r="J19" s="120"/>
      <c r="K19" s="49"/>
      <c r="L19" s="120"/>
      <c r="M19" s="120"/>
      <c r="N19" s="49"/>
      <c r="O19" s="120"/>
      <c r="P19" s="27">
        <v>25000000</v>
      </c>
    </row>
    <row r="20" spans="1:16" ht="60" customHeight="1" x14ac:dyDescent="0.25">
      <c r="A20" s="105">
        <v>9</v>
      </c>
      <c r="B20" s="107" t="s">
        <v>28</v>
      </c>
      <c r="C20" s="109"/>
      <c r="D20" s="109"/>
      <c r="E20" s="111" t="s">
        <v>67</v>
      </c>
      <c r="F20" s="130"/>
      <c r="G20" s="109">
        <v>679</v>
      </c>
      <c r="H20" s="126"/>
      <c r="I20" s="123" t="s">
        <v>100</v>
      </c>
      <c r="J20" s="123"/>
      <c r="K20" s="48"/>
      <c r="L20" s="123" t="s">
        <v>60</v>
      </c>
      <c r="M20" s="123" t="s">
        <v>27</v>
      </c>
      <c r="N20" s="48" t="s">
        <v>16</v>
      </c>
      <c r="O20" s="123" t="s">
        <v>27</v>
      </c>
      <c r="P20" s="26">
        <v>95000000</v>
      </c>
    </row>
    <row r="21" spans="1:16" ht="60" customHeight="1" thickBot="1" x14ac:dyDescent="0.3">
      <c r="A21" s="106"/>
      <c r="B21" s="108"/>
      <c r="C21" s="110"/>
      <c r="D21" s="110"/>
      <c r="E21" s="112"/>
      <c r="F21" s="130"/>
      <c r="G21" s="110"/>
      <c r="H21" s="144"/>
      <c r="I21" s="120"/>
      <c r="J21" s="120"/>
      <c r="K21" s="49"/>
      <c r="L21" s="120"/>
      <c r="M21" s="120"/>
      <c r="N21" s="49"/>
      <c r="O21" s="120"/>
      <c r="P21" s="27">
        <v>25000000</v>
      </c>
    </row>
    <row r="22" spans="1:16" ht="60" customHeight="1" x14ac:dyDescent="0.25">
      <c r="A22" s="105">
        <v>10</v>
      </c>
      <c r="B22" s="107" t="s">
        <v>101</v>
      </c>
      <c r="C22" s="109"/>
      <c r="D22" s="109"/>
      <c r="E22" s="111" t="s">
        <v>43</v>
      </c>
      <c r="F22" s="109"/>
      <c r="G22" s="109">
        <v>747</v>
      </c>
      <c r="H22" s="109" t="s">
        <v>42</v>
      </c>
      <c r="I22" s="48" t="s">
        <v>117</v>
      </c>
      <c r="J22" s="123" t="s">
        <v>52</v>
      </c>
      <c r="K22" s="48"/>
      <c r="L22" s="123"/>
      <c r="M22" s="123" t="s">
        <v>103</v>
      </c>
      <c r="N22" s="48"/>
      <c r="O22" s="123" t="s">
        <v>104</v>
      </c>
      <c r="P22" s="26"/>
    </row>
    <row r="23" spans="1:16" ht="60" customHeight="1" thickBot="1" x14ac:dyDescent="0.3">
      <c r="A23" s="106"/>
      <c r="B23" s="108"/>
      <c r="C23" s="110"/>
      <c r="D23" s="110"/>
      <c r="E23" s="112"/>
      <c r="F23" s="110"/>
      <c r="G23" s="110"/>
      <c r="H23" s="110"/>
      <c r="I23" s="49"/>
      <c r="J23" s="120"/>
      <c r="K23" s="49"/>
      <c r="L23" s="120"/>
      <c r="M23" s="120"/>
      <c r="N23" s="49"/>
      <c r="O23" s="120"/>
      <c r="P23" s="27"/>
    </row>
    <row r="24" spans="1:16" ht="48" customHeight="1" x14ac:dyDescent="0.25">
      <c r="A24" s="105">
        <v>11</v>
      </c>
      <c r="B24" s="107" t="s">
        <v>102</v>
      </c>
      <c r="C24" s="109"/>
      <c r="D24" s="109"/>
      <c r="E24" s="111">
        <v>1</v>
      </c>
      <c r="F24" s="130"/>
      <c r="G24" s="109"/>
      <c r="H24" s="126" t="s">
        <v>105</v>
      </c>
      <c r="I24" s="123" t="s">
        <v>116</v>
      </c>
      <c r="J24" s="123" t="s">
        <v>52</v>
      </c>
      <c r="K24" s="48"/>
      <c r="L24" s="123" t="s">
        <v>60</v>
      </c>
      <c r="M24" s="123"/>
      <c r="N24" s="48"/>
      <c r="O24" s="123" t="s">
        <v>106</v>
      </c>
      <c r="P24" s="26"/>
    </row>
    <row r="25" spans="1:16" ht="48" customHeight="1" thickBot="1" x14ac:dyDescent="0.3">
      <c r="A25" s="106"/>
      <c r="B25" s="108"/>
      <c r="C25" s="110"/>
      <c r="D25" s="110"/>
      <c r="E25" s="112"/>
      <c r="F25" s="130"/>
      <c r="G25" s="110"/>
      <c r="H25" s="144"/>
      <c r="I25" s="120"/>
      <c r="J25" s="120"/>
      <c r="K25" s="49"/>
      <c r="L25" s="120"/>
      <c r="M25" s="120"/>
      <c r="N25" s="49"/>
      <c r="O25" s="120"/>
      <c r="P25" s="27"/>
    </row>
    <row r="26" spans="1:16" ht="25.5" customHeight="1" x14ac:dyDescent="0.25">
      <c r="A26" s="12"/>
      <c r="B26" s="136" t="s">
        <v>18</v>
      </c>
      <c r="C26" s="136"/>
      <c r="D26" s="13"/>
      <c r="E26" s="13"/>
      <c r="F26" s="13"/>
      <c r="G26" s="13"/>
      <c r="H26" s="13"/>
      <c r="I26" s="14"/>
      <c r="J26" s="13"/>
      <c r="K26" s="13"/>
      <c r="L26" s="13"/>
      <c r="M26" s="13"/>
      <c r="N26" s="13"/>
      <c r="O26" s="13"/>
      <c r="P26" s="138">
        <f>SUM(P4:P25)</f>
        <v>1035000000</v>
      </c>
    </row>
    <row r="27" spans="1:16" ht="25.5" customHeight="1" thickBot="1" x14ac:dyDescent="0.3">
      <c r="A27" s="10"/>
      <c r="B27" s="137"/>
      <c r="C27" s="137"/>
      <c r="D27" s="11"/>
      <c r="E27" s="11"/>
      <c r="F27" s="11"/>
      <c r="G27" s="11"/>
      <c r="H27" s="11"/>
      <c r="I27" s="15"/>
      <c r="J27" s="11"/>
      <c r="K27" s="11"/>
      <c r="L27" s="11"/>
      <c r="M27" s="11"/>
      <c r="N27" s="11"/>
      <c r="O27" s="11"/>
      <c r="P27" s="139"/>
    </row>
  </sheetData>
  <mergeCells count="137">
    <mergeCell ref="O24:O25"/>
    <mergeCell ref="B26:C27"/>
    <mergeCell ref="P26:P27"/>
    <mergeCell ref="G24:G25"/>
    <mergeCell ref="H24:H25"/>
    <mergeCell ref="I24:I25"/>
    <mergeCell ref="J24:J25"/>
    <mergeCell ref="L24:L25"/>
    <mergeCell ref="M24:M25"/>
    <mergeCell ref="A24:A25"/>
    <mergeCell ref="B24:B25"/>
    <mergeCell ref="C24:C25"/>
    <mergeCell ref="D24:D25"/>
    <mergeCell ref="E24:E25"/>
    <mergeCell ref="F24:F25"/>
    <mergeCell ref="G22:G23"/>
    <mergeCell ref="H22:H23"/>
    <mergeCell ref="J22:J23"/>
    <mergeCell ref="L22:L23"/>
    <mergeCell ref="M22:M23"/>
    <mergeCell ref="O22:O23"/>
    <mergeCell ref="J20:J21"/>
    <mergeCell ref="L20:L21"/>
    <mergeCell ref="M20:M21"/>
    <mergeCell ref="O20:O21"/>
    <mergeCell ref="A22:A23"/>
    <mergeCell ref="B22:B23"/>
    <mergeCell ref="C22:C23"/>
    <mergeCell ref="D22:D23"/>
    <mergeCell ref="E22:E23"/>
    <mergeCell ref="F22:F23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L16:L17"/>
    <mergeCell ref="M16:M17"/>
    <mergeCell ref="O16:O17"/>
    <mergeCell ref="A18:A19"/>
    <mergeCell ref="B18:B19"/>
    <mergeCell ref="C18:C19"/>
    <mergeCell ref="D18:D19"/>
    <mergeCell ref="E18:E19"/>
    <mergeCell ref="O18:O19"/>
    <mergeCell ref="F18:F19"/>
    <mergeCell ref="G18:G19"/>
    <mergeCell ref="H18:H19"/>
    <mergeCell ref="J18:J19"/>
    <mergeCell ref="L18:L19"/>
    <mergeCell ref="M18:M19"/>
    <mergeCell ref="A16:A17"/>
    <mergeCell ref="B16:B17"/>
    <mergeCell ref="C16:C17"/>
    <mergeCell ref="D16:D17"/>
    <mergeCell ref="E16:E17"/>
    <mergeCell ref="F16:F17"/>
    <mergeCell ref="G16:G17"/>
    <mergeCell ref="H16:H17"/>
    <mergeCell ref="J16:J17"/>
    <mergeCell ref="O12:O13"/>
    <mergeCell ref="A14:A15"/>
    <mergeCell ref="B14:B15"/>
    <mergeCell ref="C14:C15"/>
    <mergeCell ref="D14:D15"/>
    <mergeCell ref="E14:E15"/>
    <mergeCell ref="F14:F15"/>
    <mergeCell ref="G14:G15"/>
    <mergeCell ref="I14:I15"/>
    <mergeCell ref="J14:J15"/>
    <mergeCell ref="F12:F13"/>
    <mergeCell ref="G12:G13"/>
    <mergeCell ref="I12:I13"/>
    <mergeCell ref="J12:J13"/>
    <mergeCell ref="L12:L13"/>
    <mergeCell ref="M12:M13"/>
    <mergeCell ref="A12:A13"/>
    <mergeCell ref="B12:B13"/>
    <mergeCell ref="C12:C13"/>
    <mergeCell ref="D12:D13"/>
    <mergeCell ref="E12:E13"/>
    <mergeCell ref="L14:L15"/>
    <mergeCell ref="M14:M15"/>
    <mergeCell ref="O14:O15"/>
    <mergeCell ref="A8:A9"/>
    <mergeCell ref="B8:B9"/>
    <mergeCell ref="C8:C9"/>
    <mergeCell ref="D8:D9"/>
    <mergeCell ref="E8:E9"/>
    <mergeCell ref="L10:L11"/>
    <mergeCell ref="M10:M11"/>
    <mergeCell ref="O10:O11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F8:F9"/>
    <mergeCell ref="G8:G9"/>
    <mergeCell ref="H8:H9"/>
    <mergeCell ref="J8:J9"/>
    <mergeCell ref="L8:L9"/>
    <mergeCell ref="M8:M9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M6:M7"/>
    <mergeCell ref="O6:O7"/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25A6-DE12-4E55-8101-11A52F02C5C3}">
  <sheetPr>
    <pageSetUpPr fitToPage="1"/>
  </sheetPr>
  <dimension ref="A1:P25"/>
  <sheetViews>
    <sheetView rightToLeft="1" view="pageLayout" zoomScale="85" zoomScaleNormal="100" zoomScalePageLayoutView="85" workbookViewId="0">
      <selection activeCell="B12" sqref="B12:B13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15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1.25" customHeight="1" x14ac:dyDescent="0.25">
      <c r="A4" s="105">
        <v>1</v>
      </c>
      <c r="B4" s="107" t="s">
        <v>46</v>
      </c>
      <c r="C4" s="109"/>
      <c r="D4" s="109"/>
      <c r="E4" s="111" t="s">
        <v>47</v>
      </c>
      <c r="F4" s="109"/>
      <c r="G4" s="109">
        <v>739</v>
      </c>
      <c r="H4" s="109" t="s">
        <v>48</v>
      </c>
      <c r="I4" s="53" t="s">
        <v>107</v>
      </c>
      <c r="J4" s="123"/>
      <c r="K4" s="53"/>
      <c r="L4" s="123" t="s">
        <v>60</v>
      </c>
      <c r="M4" s="123" t="s">
        <v>27</v>
      </c>
      <c r="N4" s="53" t="s">
        <v>16</v>
      </c>
      <c r="O4" s="123" t="s">
        <v>27</v>
      </c>
      <c r="P4" s="26">
        <v>95000000</v>
      </c>
    </row>
    <row r="5" spans="1:16" ht="41.2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52"/>
      <c r="J5" s="120"/>
      <c r="K5" s="52"/>
      <c r="L5" s="120"/>
      <c r="M5" s="120"/>
      <c r="N5" s="52"/>
      <c r="O5" s="120"/>
      <c r="P5" s="27">
        <v>25000000</v>
      </c>
    </row>
    <row r="6" spans="1:16" ht="39" customHeight="1" x14ac:dyDescent="0.25">
      <c r="A6" s="105">
        <v>2</v>
      </c>
      <c r="B6" s="107" t="s">
        <v>25</v>
      </c>
      <c r="C6" s="109" t="s">
        <v>33</v>
      </c>
      <c r="D6" s="109"/>
      <c r="E6" s="111"/>
      <c r="F6" s="109">
        <v>2040</v>
      </c>
      <c r="G6" s="109">
        <v>780</v>
      </c>
      <c r="H6" s="109" t="s">
        <v>32</v>
      </c>
      <c r="I6" s="124" t="s">
        <v>108</v>
      </c>
      <c r="J6" s="123" t="s">
        <v>52</v>
      </c>
      <c r="K6" s="53"/>
      <c r="L6" s="53" t="s">
        <v>34</v>
      </c>
      <c r="M6" s="123" t="s">
        <v>35</v>
      </c>
      <c r="N6" s="53"/>
      <c r="O6" s="123" t="s">
        <v>36</v>
      </c>
      <c r="P6" s="26">
        <v>50000000</v>
      </c>
    </row>
    <row r="7" spans="1:16" ht="39" customHeight="1" thickBot="1" x14ac:dyDescent="0.3">
      <c r="A7" s="106"/>
      <c r="B7" s="108"/>
      <c r="C7" s="110"/>
      <c r="D7" s="110"/>
      <c r="E7" s="112"/>
      <c r="F7" s="110"/>
      <c r="G7" s="110"/>
      <c r="H7" s="110"/>
      <c r="I7" s="120"/>
      <c r="J7" s="120"/>
      <c r="K7" s="52"/>
      <c r="L7" s="52" t="s">
        <v>15</v>
      </c>
      <c r="M7" s="120"/>
      <c r="N7" s="52"/>
      <c r="O7" s="120"/>
      <c r="P7" s="27">
        <v>25000000</v>
      </c>
    </row>
    <row r="8" spans="1:16" ht="45.75" customHeight="1" x14ac:dyDescent="0.25">
      <c r="A8" s="105">
        <v>3</v>
      </c>
      <c r="B8" s="107" t="s">
        <v>46</v>
      </c>
      <c r="C8" s="109"/>
      <c r="D8" s="109"/>
      <c r="E8" s="111" t="s">
        <v>70</v>
      </c>
      <c r="F8" s="109"/>
      <c r="G8" s="109">
        <v>691</v>
      </c>
      <c r="H8" s="109"/>
      <c r="I8" s="53" t="s">
        <v>100</v>
      </c>
      <c r="J8" s="123"/>
      <c r="K8" s="53"/>
      <c r="L8" s="123" t="s">
        <v>60</v>
      </c>
      <c r="M8" s="123" t="s">
        <v>27</v>
      </c>
      <c r="N8" s="53" t="s">
        <v>16</v>
      </c>
      <c r="O8" s="123" t="s">
        <v>27</v>
      </c>
      <c r="P8" s="26">
        <v>95000000</v>
      </c>
    </row>
    <row r="9" spans="1:16" ht="45.75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52"/>
      <c r="J9" s="120"/>
      <c r="K9" s="52"/>
      <c r="L9" s="120"/>
      <c r="M9" s="120"/>
      <c r="N9" s="52"/>
      <c r="O9" s="120"/>
      <c r="P9" s="27">
        <v>25000000</v>
      </c>
    </row>
    <row r="10" spans="1:16" ht="43.5" customHeight="1" x14ac:dyDescent="0.25">
      <c r="A10" s="105">
        <v>4</v>
      </c>
      <c r="B10" s="107" t="s">
        <v>46</v>
      </c>
      <c r="C10" s="109"/>
      <c r="D10" s="109"/>
      <c r="E10" s="111" t="s">
        <v>61</v>
      </c>
      <c r="F10" s="109"/>
      <c r="G10" s="109" t="s">
        <v>71</v>
      </c>
      <c r="H10" s="109"/>
      <c r="I10" s="53" t="s">
        <v>100</v>
      </c>
      <c r="J10" s="123"/>
      <c r="K10" s="53"/>
      <c r="L10" s="123" t="s">
        <v>60</v>
      </c>
      <c r="M10" s="123" t="s">
        <v>27</v>
      </c>
      <c r="N10" s="53" t="s">
        <v>16</v>
      </c>
      <c r="O10" s="123" t="s">
        <v>27</v>
      </c>
      <c r="P10" s="26">
        <v>95000000</v>
      </c>
    </row>
    <row r="11" spans="1:16" ht="43.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52"/>
      <c r="J11" s="120"/>
      <c r="K11" s="52"/>
      <c r="L11" s="120"/>
      <c r="M11" s="120"/>
      <c r="N11" s="52"/>
      <c r="O11" s="120"/>
      <c r="P11" s="27">
        <v>25000000</v>
      </c>
    </row>
    <row r="12" spans="1:16" ht="66.75" customHeight="1" x14ac:dyDescent="0.25">
      <c r="A12" s="105">
        <v>5</v>
      </c>
      <c r="B12" s="117" t="s">
        <v>26</v>
      </c>
      <c r="C12" s="109"/>
      <c r="D12" s="109"/>
      <c r="E12" s="111" t="s">
        <v>64</v>
      </c>
      <c r="F12" s="109"/>
      <c r="G12" s="109">
        <v>738</v>
      </c>
      <c r="H12" s="54"/>
      <c r="I12" s="119" t="s">
        <v>100</v>
      </c>
      <c r="J12" s="123"/>
      <c r="K12" s="53"/>
      <c r="L12" s="123" t="s">
        <v>60</v>
      </c>
      <c r="M12" s="123" t="s">
        <v>27</v>
      </c>
      <c r="N12" s="53" t="s">
        <v>16</v>
      </c>
      <c r="O12" s="123" t="s">
        <v>27</v>
      </c>
      <c r="P12" s="26">
        <v>95000000</v>
      </c>
    </row>
    <row r="13" spans="1:16" ht="66.75" customHeight="1" thickBot="1" x14ac:dyDescent="0.3">
      <c r="A13" s="106"/>
      <c r="B13" s="118"/>
      <c r="C13" s="110"/>
      <c r="D13" s="110"/>
      <c r="E13" s="112"/>
      <c r="F13" s="110"/>
      <c r="G13" s="110"/>
      <c r="H13" s="56"/>
      <c r="I13" s="120"/>
      <c r="J13" s="120"/>
      <c r="K13" s="52"/>
      <c r="L13" s="120"/>
      <c r="M13" s="120"/>
      <c r="N13" s="52"/>
      <c r="O13" s="120"/>
      <c r="P13" s="27">
        <v>25000000</v>
      </c>
    </row>
    <row r="14" spans="1:16" ht="66.75" customHeight="1" x14ac:dyDescent="0.25">
      <c r="A14" s="105">
        <v>6</v>
      </c>
      <c r="B14" s="107" t="s">
        <v>28</v>
      </c>
      <c r="C14" s="109"/>
      <c r="D14" s="109"/>
      <c r="E14" s="111" t="s">
        <v>66</v>
      </c>
      <c r="F14" s="109"/>
      <c r="G14" s="109">
        <v>745</v>
      </c>
      <c r="H14" s="109"/>
      <c r="I14" s="53" t="s">
        <v>100</v>
      </c>
      <c r="J14" s="123"/>
      <c r="K14" s="53"/>
      <c r="L14" s="132" t="s">
        <v>60</v>
      </c>
      <c r="M14" s="123" t="s">
        <v>27</v>
      </c>
      <c r="N14" s="53" t="s">
        <v>16</v>
      </c>
      <c r="O14" s="123" t="s">
        <v>27</v>
      </c>
      <c r="P14" s="26">
        <v>95000000</v>
      </c>
    </row>
    <row r="15" spans="1:16" ht="66.75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55"/>
      <c r="J15" s="120"/>
      <c r="K15" s="52"/>
      <c r="L15" s="133"/>
      <c r="M15" s="120"/>
      <c r="N15" s="52"/>
      <c r="O15" s="120"/>
      <c r="P15" s="27">
        <v>25000000</v>
      </c>
    </row>
    <row r="16" spans="1:16" ht="60" customHeight="1" x14ac:dyDescent="0.25">
      <c r="A16" s="105">
        <v>7</v>
      </c>
      <c r="B16" s="107" t="s">
        <v>28</v>
      </c>
      <c r="C16" s="109"/>
      <c r="D16" s="109"/>
      <c r="E16" s="111" t="s">
        <v>67</v>
      </c>
      <c r="F16" s="130"/>
      <c r="G16" s="109">
        <v>679</v>
      </c>
      <c r="H16" s="126"/>
      <c r="I16" s="123" t="s">
        <v>100</v>
      </c>
      <c r="J16" s="123"/>
      <c r="K16" s="53"/>
      <c r="L16" s="123" t="s">
        <v>60</v>
      </c>
      <c r="M16" s="123" t="s">
        <v>27</v>
      </c>
      <c r="N16" s="53" t="s">
        <v>16</v>
      </c>
      <c r="O16" s="123" t="s">
        <v>27</v>
      </c>
      <c r="P16" s="26">
        <v>95000000</v>
      </c>
    </row>
    <row r="17" spans="1:16" ht="60" customHeight="1" thickBot="1" x14ac:dyDescent="0.3">
      <c r="A17" s="106"/>
      <c r="B17" s="108"/>
      <c r="C17" s="110"/>
      <c r="D17" s="110"/>
      <c r="E17" s="112"/>
      <c r="F17" s="130"/>
      <c r="G17" s="110"/>
      <c r="H17" s="144"/>
      <c r="I17" s="120"/>
      <c r="J17" s="120"/>
      <c r="K17" s="52"/>
      <c r="L17" s="120"/>
      <c r="M17" s="120"/>
      <c r="N17" s="52"/>
      <c r="O17" s="120"/>
      <c r="P17" s="27">
        <v>25000000</v>
      </c>
    </row>
    <row r="18" spans="1:16" ht="60" customHeight="1" x14ac:dyDescent="0.25">
      <c r="A18" s="105">
        <v>8</v>
      </c>
      <c r="B18" s="107" t="s">
        <v>101</v>
      </c>
      <c r="C18" s="109"/>
      <c r="D18" s="109"/>
      <c r="E18" s="111" t="s">
        <v>43</v>
      </c>
      <c r="F18" s="109"/>
      <c r="G18" s="109">
        <v>747</v>
      </c>
      <c r="H18" s="109" t="s">
        <v>42</v>
      </c>
      <c r="I18" s="53" t="s">
        <v>117</v>
      </c>
      <c r="J18" s="123" t="s">
        <v>52</v>
      </c>
      <c r="K18" s="53"/>
      <c r="L18" s="123"/>
      <c r="M18" s="123" t="s">
        <v>103</v>
      </c>
      <c r="N18" s="53"/>
      <c r="O18" s="123" t="s">
        <v>104</v>
      </c>
      <c r="P18" s="26">
        <v>125000000</v>
      </c>
    </row>
    <row r="19" spans="1:16" ht="60" customHeight="1" thickBot="1" x14ac:dyDescent="0.3">
      <c r="A19" s="106"/>
      <c r="B19" s="108"/>
      <c r="C19" s="110"/>
      <c r="D19" s="110"/>
      <c r="E19" s="112"/>
      <c r="F19" s="110"/>
      <c r="G19" s="110"/>
      <c r="H19" s="110"/>
      <c r="I19" s="52"/>
      <c r="J19" s="120"/>
      <c r="K19" s="52"/>
      <c r="L19" s="120"/>
      <c r="M19" s="120"/>
      <c r="N19" s="52"/>
      <c r="O19" s="120"/>
      <c r="P19" s="27"/>
    </row>
    <row r="20" spans="1:16" ht="60" customHeight="1" x14ac:dyDescent="0.25">
      <c r="A20" s="105">
        <v>8</v>
      </c>
      <c r="B20" s="107" t="s">
        <v>102</v>
      </c>
      <c r="C20" s="109"/>
      <c r="D20" s="109"/>
      <c r="E20" s="111">
        <v>1</v>
      </c>
      <c r="F20" s="130"/>
      <c r="G20" s="109"/>
      <c r="H20" s="126" t="s">
        <v>105</v>
      </c>
      <c r="I20" s="123" t="s">
        <v>116</v>
      </c>
      <c r="J20" s="123" t="s">
        <v>52</v>
      </c>
      <c r="K20" s="53"/>
      <c r="L20" s="123" t="s">
        <v>60</v>
      </c>
      <c r="M20" s="123"/>
      <c r="N20" s="53"/>
      <c r="O20" s="123" t="s">
        <v>106</v>
      </c>
      <c r="P20" s="26">
        <v>12500000</v>
      </c>
    </row>
    <row r="21" spans="1:16" ht="60" customHeight="1" thickBot="1" x14ac:dyDescent="0.3">
      <c r="A21" s="106"/>
      <c r="B21" s="108"/>
      <c r="C21" s="110"/>
      <c r="D21" s="110"/>
      <c r="E21" s="112"/>
      <c r="F21" s="130"/>
      <c r="G21" s="110"/>
      <c r="H21" s="144"/>
      <c r="I21" s="120"/>
      <c r="J21" s="120"/>
      <c r="K21" s="52"/>
      <c r="L21" s="120"/>
      <c r="M21" s="120"/>
      <c r="N21" s="52"/>
      <c r="O21" s="120"/>
      <c r="P21" s="27">
        <v>75000000</v>
      </c>
    </row>
    <row r="22" spans="1:16" ht="48" customHeight="1" x14ac:dyDescent="0.25">
      <c r="A22" s="105">
        <v>9</v>
      </c>
      <c r="B22" s="107" t="s">
        <v>118</v>
      </c>
      <c r="C22" s="109"/>
      <c r="D22" s="109"/>
      <c r="E22" s="111" t="s">
        <v>124</v>
      </c>
      <c r="F22" s="130"/>
      <c r="G22" s="109"/>
      <c r="H22" s="126" t="s">
        <v>119</v>
      </c>
      <c r="I22" s="123" t="s">
        <v>120</v>
      </c>
      <c r="J22" s="123"/>
      <c r="K22" s="53"/>
      <c r="L22" s="123" t="s">
        <v>121</v>
      </c>
      <c r="M22" s="123" t="s">
        <v>122</v>
      </c>
      <c r="N22" s="53"/>
      <c r="O22" s="123" t="s">
        <v>123</v>
      </c>
      <c r="P22" s="26">
        <v>25000000</v>
      </c>
    </row>
    <row r="23" spans="1:16" ht="48" customHeight="1" thickBot="1" x14ac:dyDescent="0.3">
      <c r="A23" s="106"/>
      <c r="B23" s="108"/>
      <c r="C23" s="110"/>
      <c r="D23" s="110"/>
      <c r="E23" s="112"/>
      <c r="F23" s="130"/>
      <c r="G23" s="110"/>
      <c r="H23" s="144"/>
      <c r="I23" s="120"/>
      <c r="J23" s="120"/>
      <c r="K23" s="52"/>
      <c r="L23" s="120"/>
      <c r="M23" s="120"/>
      <c r="N23" s="52"/>
      <c r="O23" s="120"/>
      <c r="P23" s="27"/>
    </row>
    <row r="24" spans="1:16" ht="25.5" customHeight="1" x14ac:dyDescent="0.25">
      <c r="A24" s="12"/>
      <c r="B24" s="136" t="s">
        <v>18</v>
      </c>
      <c r="C24" s="136"/>
      <c r="D24" s="13"/>
      <c r="E24" s="13"/>
      <c r="F24" s="13"/>
      <c r="G24" s="13"/>
      <c r="H24" s="13"/>
      <c r="I24" s="14"/>
      <c r="J24" s="13"/>
      <c r="K24" s="13"/>
      <c r="L24" s="13"/>
      <c r="M24" s="13"/>
      <c r="N24" s="13"/>
      <c r="O24" s="13"/>
      <c r="P24" s="138">
        <f>SUM(P4:P23)</f>
        <v>1032500000</v>
      </c>
    </row>
    <row r="25" spans="1:16" ht="25.5" customHeight="1" thickBot="1" x14ac:dyDescent="0.3">
      <c r="A25" s="10"/>
      <c r="B25" s="137"/>
      <c r="C25" s="137"/>
      <c r="D25" s="11"/>
      <c r="E25" s="11"/>
      <c r="F25" s="11"/>
      <c r="G25" s="11"/>
      <c r="H25" s="11"/>
      <c r="I25" s="15"/>
      <c r="J25" s="11"/>
      <c r="K25" s="11"/>
      <c r="L25" s="11"/>
      <c r="M25" s="11"/>
      <c r="N25" s="11"/>
      <c r="O25" s="11"/>
      <c r="P25" s="139"/>
    </row>
  </sheetData>
  <mergeCells count="126">
    <mergeCell ref="A1:N2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M6:M7"/>
    <mergeCell ref="O6:O7"/>
    <mergeCell ref="A8:A9"/>
    <mergeCell ref="B8:B9"/>
    <mergeCell ref="C8:C9"/>
    <mergeCell ref="D8:D9"/>
    <mergeCell ref="E8:E9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F8:F9"/>
    <mergeCell ref="G8:G9"/>
    <mergeCell ref="H8:H9"/>
    <mergeCell ref="J8:J9"/>
    <mergeCell ref="L8:L9"/>
    <mergeCell ref="M8:M9"/>
    <mergeCell ref="I12:I13"/>
    <mergeCell ref="J12:J13"/>
    <mergeCell ref="L12:L13"/>
    <mergeCell ref="M12:M13"/>
    <mergeCell ref="O12:O13"/>
    <mergeCell ref="L10:L11"/>
    <mergeCell ref="M10:M11"/>
    <mergeCell ref="O10:O11"/>
    <mergeCell ref="A12:A13"/>
    <mergeCell ref="B12:B13"/>
    <mergeCell ref="C12:C13"/>
    <mergeCell ref="D12:D13"/>
    <mergeCell ref="E12:E13"/>
    <mergeCell ref="F12:F13"/>
    <mergeCell ref="G12:G13"/>
    <mergeCell ref="D16:D17"/>
    <mergeCell ref="E16:E17"/>
    <mergeCell ref="J18:J19"/>
    <mergeCell ref="L18:L19"/>
    <mergeCell ref="M18:M19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G14:G15"/>
    <mergeCell ref="H14:H15"/>
    <mergeCell ref="J14:J15"/>
    <mergeCell ref="J20:J21"/>
    <mergeCell ref="L20:L21"/>
    <mergeCell ref="M20:M21"/>
    <mergeCell ref="O20:O21"/>
    <mergeCell ref="O22:O23"/>
    <mergeCell ref="M16:M17"/>
    <mergeCell ref="O16:O17"/>
    <mergeCell ref="A18:A19"/>
    <mergeCell ref="B18:B19"/>
    <mergeCell ref="C18:C19"/>
    <mergeCell ref="D18:D19"/>
    <mergeCell ref="E18:E19"/>
    <mergeCell ref="F18:F19"/>
    <mergeCell ref="G18:G19"/>
    <mergeCell ref="H18:H19"/>
    <mergeCell ref="F16:F17"/>
    <mergeCell ref="G16:G17"/>
    <mergeCell ref="H16:H17"/>
    <mergeCell ref="I16:I17"/>
    <mergeCell ref="J16:J17"/>
    <mergeCell ref="L16:L17"/>
    <mergeCell ref="A16:A17"/>
    <mergeCell ref="B16:B17"/>
    <mergeCell ref="C16:C17"/>
    <mergeCell ref="B24:C25"/>
    <mergeCell ref="P24:P25"/>
    <mergeCell ref="I22:I23"/>
    <mergeCell ref="J22:J23"/>
    <mergeCell ref="L22:L23"/>
    <mergeCell ref="M22:M23"/>
    <mergeCell ref="O18:O19"/>
    <mergeCell ref="A22:A23"/>
    <mergeCell ref="B22:B23"/>
    <mergeCell ref="C22:C23"/>
    <mergeCell ref="D22:D23"/>
    <mergeCell ref="E22:E23"/>
    <mergeCell ref="F22:F23"/>
    <mergeCell ref="A20:A21"/>
    <mergeCell ref="B20:B21"/>
    <mergeCell ref="C20:C21"/>
    <mergeCell ref="D20:D21"/>
    <mergeCell ref="E20:E21"/>
    <mergeCell ref="F20:F21"/>
    <mergeCell ref="G20:G21"/>
    <mergeCell ref="G22:G23"/>
    <mergeCell ref="H22:H23"/>
    <mergeCell ref="H20:H21"/>
    <mergeCell ref="I20:I21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E7A19-7321-4728-8B4D-DC4331A0447C}">
  <sheetPr>
    <pageSetUpPr fitToPage="1"/>
  </sheetPr>
  <dimension ref="A1:P23"/>
  <sheetViews>
    <sheetView rightToLeft="1" view="pageLayout" zoomScale="85" zoomScaleNormal="100" zoomScalePageLayoutView="85" workbookViewId="0">
      <selection activeCell="B4" sqref="B4:P5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16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5.75" customHeight="1" x14ac:dyDescent="0.25">
      <c r="A4" s="105">
        <v>1</v>
      </c>
      <c r="B4" s="107" t="s">
        <v>46</v>
      </c>
      <c r="C4" s="109"/>
      <c r="D4" s="109"/>
      <c r="E4" s="111" t="s">
        <v>70</v>
      </c>
      <c r="F4" s="109"/>
      <c r="G4" s="109">
        <v>691</v>
      </c>
      <c r="H4" s="109"/>
      <c r="I4" s="57" t="s">
        <v>100</v>
      </c>
      <c r="J4" s="123"/>
      <c r="K4" s="57"/>
      <c r="L4" s="123" t="s">
        <v>60</v>
      </c>
      <c r="M4" s="123" t="s">
        <v>27</v>
      </c>
      <c r="N4" s="57" t="s">
        <v>16</v>
      </c>
      <c r="O4" s="123" t="s">
        <v>27</v>
      </c>
      <c r="P4" s="26">
        <v>95000000</v>
      </c>
    </row>
    <row r="5" spans="1:16" ht="45.7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58"/>
      <c r="J5" s="120"/>
      <c r="K5" s="58"/>
      <c r="L5" s="120"/>
      <c r="M5" s="120"/>
      <c r="N5" s="58"/>
      <c r="O5" s="120"/>
      <c r="P5" s="27">
        <v>25000000</v>
      </c>
    </row>
    <row r="6" spans="1:16" ht="43.5" customHeight="1" x14ac:dyDescent="0.25">
      <c r="A6" s="105">
        <v>2</v>
      </c>
      <c r="B6" s="107" t="s">
        <v>46</v>
      </c>
      <c r="C6" s="109"/>
      <c r="D6" s="109"/>
      <c r="E6" s="111" t="s">
        <v>61</v>
      </c>
      <c r="F6" s="109"/>
      <c r="G6" s="109" t="s">
        <v>71</v>
      </c>
      <c r="H6" s="109"/>
      <c r="I6" s="57" t="s">
        <v>100</v>
      </c>
      <c r="J6" s="123"/>
      <c r="K6" s="57"/>
      <c r="L6" s="123" t="s">
        <v>60</v>
      </c>
      <c r="M6" s="123" t="s">
        <v>27</v>
      </c>
      <c r="N6" s="57" t="s">
        <v>16</v>
      </c>
      <c r="O6" s="123" t="s">
        <v>27</v>
      </c>
      <c r="P6" s="26">
        <v>95000000</v>
      </c>
    </row>
    <row r="7" spans="1:16" ht="43.5" customHeight="1" thickBot="1" x14ac:dyDescent="0.3">
      <c r="A7" s="106"/>
      <c r="B7" s="108"/>
      <c r="C7" s="110"/>
      <c r="D7" s="110"/>
      <c r="E7" s="112"/>
      <c r="F7" s="110"/>
      <c r="G7" s="110"/>
      <c r="H7" s="110"/>
      <c r="I7" s="58"/>
      <c r="J7" s="120"/>
      <c r="K7" s="58"/>
      <c r="L7" s="120"/>
      <c r="M7" s="120"/>
      <c r="N7" s="58"/>
      <c r="O7" s="120"/>
      <c r="P7" s="27">
        <v>25000000</v>
      </c>
    </row>
    <row r="8" spans="1:16" ht="50.25" customHeight="1" x14ac:dyDescent="0.25">
      <c r="A8" s="105">
        <v>3</v>
      </c>
      <c r="B8" s="107" t="s">
        <v>26</v>
      </c>
      <c r="C8" s="109"/>
      <c r="D8" s="109"/>
      <c r="E8" s="111" t="s">
        <v>64</v>
      </c>
      <c r="F8" s="109"/>
      <c r="G8" s="109">
        <v>738</v>
      </c>
      <c r="H8" s="59"/>
      <c r="I8" s="119" t="s">
        <v>100</v>
      </c>
      <c r="J8" s="123"/>
      <c r="K8" s="57"/>
      <c r="L8" s="121" t="s">
        <v>60</v>
      </c>
      <c r="M8" s="123" t="s">
        <v>27</v>
      </c>
      <c r="N8" s="57" t="s">
        <v>16</v>
      </c>
      <c r="O8" s="123" t="s">
        <v>27</v>
      </c>
      <c r="P8" s="26">
        <v>95000000</v>
      </c>
    </row>
    <row r="9" spans="1:16" ht="50.25" customHeight="1" thickBot="1" x14ac:dyDescent="0.3">
      <c r="A9" s="106"/>
      <c r="B9" s="108"/>
      <c r="C9" s="110"/>
      <c r="D9" s="110"/>
      <c r="E9" s="112"/>
      <c r="F9" s="110"/>
      <c r="G9" s="110"/>
      <c r="H9" s="61"/>
      <c r="I9" s="120"/>
      <c r="J9" s="120"/>
      <c r="K9" s="58"/>
      <c r="L9" s="122"/>
      <c r="M9" s="120"/>
      <c r="N9" s="58"/>
      <c r="O9" s="120"/>
      <c r="P9" s="27">
        <v>25000000</v>
      </c>
    </row>
    <row r="10" spans="1:16" ht="50.25" customHeight="1" x14ac:dyDescent="0.25">
      <c r="A10" s="105">
        <v>4</v>
      </c>
      <c r="B10" s="107" t="s">
        <v>28</v>
      </c>
      <c r="C10" s="109"/>
      <c r="D10" s="109"/>
      <c r="E10" s="111" t="s">
        <v>66</v>
      </c>
      <c r="F10" s="109"/>
      <c r="G10" s="109">
        <v>745</v>
      </c>
      <c r="H10" s="109"/>
      <c r="I10" s="57" t="s">
        <v>100</v>
      </c>
      <c r="J10" s="123"/>
      <c r="K10" s="57"/>
      <c r="L10" s="132" t="s">
        <v>60</v>
      </c>
      <c r="M10" s="123" t="s">
        <v>27</v>
      </c>
      <c r="N10" s="57" t="s">
        <v>16</v>
      </c>
      <c r="O10" s="123" t="s">
        <v>27</v>
      </c>
      <c r="P10" s="26">
        <v>95000000</v>
      </c>
    </row>
    <row r="11" spans="1:16" ht="50.2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60"/>
      <c r="J11" s="120"/>
      <c r="K11" s="58"/>
      <c r="L11" s="133"/>
      <c r="M11" s="120"/>
      <c r="N11" s="58"/>
      <c r="O11" s="120"/>
      <c r="P11" s="27">
        <v>25000000</v>
      </c>
    </row>
    <row r="12" spans="1:16" ht="50.25" customHeight="1" x14ac:dyDescent="0.25">
      <c r="A12" s="105">
        <v>5</v>
      </c>
      <c r="B12" s="107" t="s">
        <v>28</v>
      </c>
      <c r="C12" s="109"/>
      <c r="D12" s="109"/>
      <c r="E12" s="111" t="s">
        <v>67</v>
      </c>
      <c r="F12" s="109"/>
      <c r="G12" s="109">
        <v>679</v>
      </c>
      <c r="H12" s="109"/>
      <c r="I12" s="123" t="s">
        <v>100</v>
      </c>
      <c r="J12" s="123"/>
      <c r="K12" s="57"/>
      <c r="L12" s="121" t="s">
        <v>60</v>
      </c>
      <c r="M12" s="123" t="s">
        <v>27</v>
      </c>
      <c r="N12" s="57" t="s">
        <v>16</v>
      </c>
      <c r="O12" s="123" t="s">
        <v>27</v>
      </c>
      <c r="P12" s="26">
        <v>95000000</v>
      </c>
    </row>
    <row r="13" spans="1:16" ht="50.25" customHeight="1" thickBot="1" x14ac:dyDescent="0.3">
      <c r="A13" s="106"/>
      <c r="B13" s="108"/>
      <c r="C13" s="110"/>
      <c r="D13" s="110"/>
      <c r="E13" s="112"/>
      <c r="F13" s="110"/>
      <c r="G13" s="110"/>
      <c r="H13" s="110"/>
      <c r="I13" s="120"/>
      <c r="J13" s="120"/>
      <c r="K13" s="58"/>
      <c r="L13" s="122"/>
      <c r="M13" s="120"/>
      <c r="N13" s="58"/>
      <c r="O13" s="120"/>
      <c r="P13" s="27">
        <v>25000000</v>
      </c>
    </row>
    <row r="14" spans="1:16" ht="60" customHeight="1" x14ac:dyDescent="0.25">
      <c r="A14" s="105">
        <v>6</v>
      </c>
      <c r="B14" s="107" t="s">
        <v>101</v>
      </c>
      <c r="C14" s="109"/>
      <c r="D14" s="109"/>
      <c r="E14" s="111" t="s">
        <v>43</v>
      </c>
      <c r="F14" s="109"/>
      <c r="G14" s="109">
        <v>747</v>
      </c>
      <c r="H14" s="109" t="s">
        <v>42</v>
      </c>
      <c r="I14" s="57" t="s">
        <v>117</v>
      </c>
      <c r="J14" s="123" t="s">
        <v>52</v>
      </c>
      <c r="K14" s="57"/>
      <c r="L14" s="123"/>
      <c r="M14" s="123" t="s">
        <v>103</v>
      </c>
      <c r="N14" s="57"/>
      <c r="O14" s="123" t="s">
        <v>104</v>
      </c>
      <c r="P14" s="26">
        <v>125000000</v>
      </c>
    </row>
    <row r="15" spans="1:16" ht="60" customHeight="1" thickBot="1" x14ac:dyDescent="0.3">
      <c r="A15" s="106"/>
      <c r="B15" s="108"/>
      <c r="C15" s="110"/>
      <c r="D15" s="110"/>
      <c r="E15" s="112"/>
      <c r="F15" s="110"/>
      <c r="G15" s="110"/>
      <c r="H15" s="110"/>
      <c r="I15" s="58"/>
      <c r="J15" s="120"/>
      <c r="K15" s="58"/>
      <c r="L15" s="120"/>
      <c r="M15" s="120"/>
      <c r="N15" s="58"/>
      <c r="O15" s="120"/>
      <c r="P15" s="27"/>
    </row>
    <row r="16" spans="1:16" ht="60" customHeight="1" x14ac:dyDescent="0.25">
      <c r="A16" s="105">
        <v>7</v>
      </c>
      <c r="B16" s="107" t="s">
        <v>102</v>
      </c>
      <c r="C16" s="109"/>
      <c r="D16" s="109"/>
      <c r="E16" s="111">
        <v>1</v>
      </c>
      <c r="F16" s="130"/>
      <c r="G16" s="109"/>
      <c r="H16" s="126" t="s">
        <v>105</v>
      </c>
      <c r="I16" s="123" t="s">
        <v>116</v>
      </c>
      <c r="J16" s="123" t="s">
        <v>52</v>
      </c>
      <c r="K16" s="57"/>
      <c r="L16" s="123" t="s">
        <v>60</v>
      </c>
      <c r="M16" s="123"/>
      <c r="N16" s="57"/>
      <c r="O16" s="123" t="s">
        <v>106</v>
      </c>
      <c r="P16" s="26">
        <v>12500000</v>
      </c>
    </row>
    <row r="17" spans="1:16" ht="60" customHeight="1" thickBot="1" x14ac:dyDescent="0.3">
      <c r="A17" s="106"/>
      <c r="B17" s="108"/>
      <c r="C17" s="110"/>
      <c r="D17" s="110"/>
      <c r="E17" s="112"/>
      <c r="F17" s="130"/>
      <c r="G17" s="110"/>
      <c r="H17" s="144"/>
      <c r="I17" s="120"/>
      <c r="J17" s="120"/>
      <c r="K17" s="58"/>
      <c r="L17" s="120"/>
      <c r="M17" s="120"/>
      <c r="N17" s="58"/>
      <c r="O17" s="120"/>
      <c r="P17" s="27">
        <v>75000000</v>
      </c>
    </row>
    <row r="18" spans="1:16" ht="60" customHeight="1" x14ac:dyDescent="0.25">
      <c r="A18" s="105">
        <v>8</v>
      </c>
      <c r="B18" s="107" t="s">
        <v>118</v>
      </c>
      <c r="C18" s="109"/>
      <c r="D18" s="109"/>
      <c r="E18" s="111" t="s">
        <v>124</v>
      </c>
      <c r="F18" s="130"/>
      <c r="G18" s="109"/>
      <c r="H18" s="126" t="s">
        <v>119</v>
      </c>
      <c r="I18" s="123" t="s">
        <v>120</v>
      </c>
      <c r="J18" s="123"/>
      <c r="K18" s="57"/>
      <c r="L18" s="123" t="s">
        <v>121</v>
      </c>
      <c r="M18" s="123" t="s">
        <v>122</v>
      </c>
      <c r="N18" s="57"/>
      <c r="O18" s="123" t="s">
        <v>123</v>
      </c>
      <c r="P18" s="26">
        <v>25000000</v>
      </c>
    </row>
    <row r="19" spans="1:16" ht="60" customHeight="1" thickBot="1" x14ac:dyDescent="0.3">
      <c r="A19" s="106"/>
      <c r="B19" s="108"/>
      <c r="C19" s="110"/>
      <c r="D19" s="110"/>
      <c r="E19" s="112"/>
      <c r="F19" s="130"/>
      <c r="G19" s="110"/>
      <c r="H19" s="144"/>
      <c r="I19" s="120"/>
      <c r="J19" s="120"/>
      <c r="K19" s="58"/>
      <c r="L19" s="120"/>
      <c r="M19" s="120"/>
      <c r="N19" s="58"/>
      <c r="O19" s="120"/>
      <c r="P19" s="27"/>
    </row>
    <row r="20" spans="1:16" ht="60" customHeight="1" x14ac:dyDescent="0.25">
      <c r="A20" s="105">
        <v>9</v>
      </c>
      <c r="B20" s="107"/>
      <c r="C20" s="109"/>
      <c r="D20" s="109"/>
      <c r="E20" s="111"/>
      <c r="F20" s="130"/>
      <c r="G20" s="109"/>
      <c r="H20" s="126"/>
      <c r="I20" s="123"/>
      <c r="J20" s="123"/>
      <c r="K20" s="57"/>
      <c r="L20" s="123"/>
      <c r="M20" s="123"/>
      <c r="N20" s="57"/>
      <c r="O20" s="123"/>
      <c r="P20" s="26"/>
    </row>
    <row r="21" spans="1:16" ht="60" customHeight="1" thickBot="1" x14ac:dyDescent="0.3">
      <c r="A21" s="106"/>
      <c r="B21" s="108"/>
      <c r="C21" s="110"/>
      <c r="D21" s="110"/>
      <c r="E21" s="112"/>
      <c r="F21" s="130"/>
      <c r="G21" s="110"/>
      <c r="H21" s="144"/>
      <c r="I21" s="120"/>
      <c r="J21" s="120"/>
      <c r="K21" s="58"/>
      <c r="L21" s="120"/>
      <c r="M21" s="120"/>
      <c r="N21" s="58"/>
      <c r="O21" s="120"/>
      <c r="P21" s="27"/>
    </row>
    <row r="22" spans="1:16" ht="25.5" customHeight="1" x14ac:dyDescent="0.25">
      <c r="A22" s="12"/>
      <c r="B22" s="136" t="s">
        <v>18</v>
      </c>
      <c r="C22" s="136"/>
      <c r="D22" s="13"/>
      <c r="E22" s="13"/>
      <c r="F22" s="13"/>
      <c r="G22" s="13"/>
      <c r="H22" s="13"/>
      <c r="I22" s="14"/>
      <c r="J22" s="13"/>
      <c r="K22" s="13"/>
      <c r="L22" s="13"/>
      <c r="M22" s="13"/>
      <c r="N22" s="13"/>
      <c r="O22" s="13"/>
      <c r="P22" s="138">
        <f>SUM(P4:P21)</f>
        <v>837500000</v>
      </c>
    </row>
    <row r="23" spans="1:16" ht="25.5" customHeight="1" thickBot="1" x14ac:dyDescent="0.3">
      <c r="A23" s="10"/>
      <c r="B23" s="137"/>
      <c r="C23" s="137"/>
      <c r="D23" s="11"/>
      <c r="E23" s="11"/>
      <c r="F23" s="11"/>
      <c r="G23" s="11"/>
      <c r="H23" s="11"/>
      <c r="I23" s="15"/>
      <c r="J23" s="11"/>
      <c r="K23" s="11"/>
      <c r="L23" s="11"/>
      <c r="M23" s="11"/>
      <c r="N23" s="11"/>
      <c r="O23" s="11"/>
      <c r="P23" s="139"/>
    </row>
  </sheetData>
  <mergeCells count="115">
    <mergeCell ref="A18:A19"/>
    <mergeCell ref="B18:B19"/>
    <mergeCell ref="C18:C19"/>
    <mergeCell ref="D18:D19"/>
    <mergeCell ref="E18:E19"/>
    <mergeCell ref="F18:F19"/>
    <mergeCell ref="G18:G19"/>
    <mergeCell ref="O20:O21"/>
    <mergeCell ref="G20:G21"/>
    <mergeCell ref="H20:H21"/>
    <mergeCell ref="I20:I21"/>
    <mergeCell ref="J20:J21"/>
    <mergeCell ref="L20:L21"/>
    <mergeCell ref="M20:M21"/>
    <mergeCell ref="A20:A21"/>
    <mergeCell ref="B20:B21"/>
    <mergeCell ref="C20:C21"/>
    <mergeCell ref="D20:D21"/>
    <mergeCell ref="E20:E21"/>
    <mergeCell ref="F20:F21"/>
    <mergeCell ref="B22:C23"/>
    <mergeCell ref="P22:P23"/>
    <mergeCell ref="O16:O17"/>
    <mergeCell ref="G16:G17"/>
    <mergeCell ref="H16:H17"/>
    <mergeCell ref="I16:I17"/>
    <mergeCell ref="J16:J17"/>
    <mergeCell ref="L16:L17"/>
    <mergeCell ref="M16:M17"/>
    <mergeCell ref="H18:H19"/>
    <mergeCell ref="I18:I19"/>
    <mergeCell ref="J18:J19"/>
    <mergeCell ref="L18:L19"/>
    <mergeCell ref="M18:M19"/>
    <mergeCell ref="O18:O19"/>
    <mergeCell ref="A16:A17"/>
    <mergeCell ref="B16:B17"/>
    <mergeCell ref="C16:C17"/>
    <mergeCell ref="D16:D17"/>
    <mergeCell ref="E16:E17"/>
    <mergeCell ref="F16:F17"/>
    <mergeCell ref="G14:G15"/>
    <mergeCell ref="H14:H15"/>
    <mergeCell ref="J14:J15"/>
    <mergeCell ref="L14:L15"/>
    <mergeCell ref="M14:M15"/>
    <mergeCell ref="O14:O15"/>
    <mergeCell ref="J12:J13"/>
    <mergeCell ref="L12:L13"/>
    <mergeCell ref="M12:M13"/>
    <mergeCell ref="O12:O13"/>
    <mergeCell ref="A14:A15"/>
    <mergeCell ref="B14:B15"/>
    <mergeCell ref="C14:C15"/>
    <mergeCell ref="D14:D15"/>
    <mergeCell ref="E14:E15"/>
    <mergeCell ref="F14:F15"/>
    <mergeCell ref="A10:A11"/>
    <mergeCell ref="B10:B11"/>
    <mergeCell ref="C10:C11"/>
    <mergeCell ref="D10:D11"/>
    <mergeCell ref="E10:E11"/>
    <mergeCell ref="O10:O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F10:F11"/>
    <mergeCell ref="G10:G11"/>
    <mergeCell ref="H10:H11"/>
    <mergeCell ref="J10:J11"/>
    <mergeCell ref="L10:L11"/>
    <mergeCell ref="M10:M11"/>
    <mergeCell ref="O6:O7"/>
    <mergeCell ref="A8:A9"/>
    <mergeCell ref="B8:B9"/>
    <mergeCell ref="C8:C9"/>
    <mergeCell ref="D8:D9"/>
    <mergeCell ref="E8:E9"/>
    <mergeCell ref="F8:F9"/>
    <mergeCell ref="G8:G9"/>
    <mergeCell ref="I8:I9"/>
    <mergeCell ref="J8:J9"/>
    <mergeCell ref="L8:L9"/>
    <mergeCell ref="M8:M9"/>
    <mergeCell ref="O8:O9"/>
    <mergeCell ref="A1:N2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J6:J7"/>
    <mergeCell ref="F4:F5"/>
    <mergeCell ref="G4:G5"/>
    <mergeCell ref="H4:H5"/>
    <mergeCell ref="J4:J5"/>
    <mergeCell ref="L4:L5"/>
    <mergeCell ref="M4:M5"/>
    <mergeCell ref="A4:A5"/>
    <mergeCell ref="B4:B5"/>
    <mergeCell ref="C4:C5"/>
    <mergeCell ref="D4:D5"/>
    <mergeCell ref="E4:E5"/>
    <mergeCell ref="L6:L7"/>
    <mergeCell ref="M6:M7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186DA-ABD1-4E16-8F3E-0FBF5CE3E388}">
  <sheetPr>
    <pageSetUpPr fitToPage="1"/>
  </sheetPr>
  <dimension ref="A1:P21"/>
  <sheetViews>
    <sheetView rightToLeft="1" view="pageLayout" zoomScale="85" zoomScaleNormal="100" zoomScalePageLayoutView="85" workbookViewId="0">
      <selection activeCell="B4" sqref="B4:P5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17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43.5" customHeight="1" x14ac:dyDescent="0.25">
      <c r="A4" s="105">
        <v>1</v>
      </c>
      <c r="B4" s="107" t="s">
        <v>46</v>
      </c>
      <c r="C4" s="109"/>
      <c r="D4" s="109"/>
      <c r="E4" s="111" t="s">
        <v>61</v>
      </c>
      <c r="F4" s="109"/>
      <c r="G4" s="109" t="s">
        <v>71</v>
      </c>
      <c r="H4" s="109"/>
      <c r="I4" s="63" t="s">
        <v>100</v>
      </c>
      <c r="J4" s="123"/>
      <c r="K4" s="63"/>
      <c r="L4" s="123" t="s">
        <v>60</v>
      </c>
      <c r="M4" s="123" t="s">
        <v>27</v>
      </c>
      <c r="N4" s="63" t="s">
        <v>16</v>
      </c>
      <c r="O4" s="123" t="s">
        <v>27</v>
      </c>
      <c r="P4" s="26">
        <v>95000000</v>
      </c>
    </row>
    <row r="5" spans="1:16" ht="43.5" customHeight="1" thickBot="1" x14ac:dyDescent="0.3">
      <c r="A5" s="106"/>
      <c r="B5" s="108"/>
      <c r="C5" s="110"/>
      <c r="D5" s="110"/>
      <c r="E5" s="112"/>
      <c r="F5" s="110"/>
      <c r="G5" s="110"/>
      <c r="H5" s="110"/>
      <c r="I5" s="62"/>
      <c r="J5" s="120"/>
      <c r="K5" s="62"/>
      <c r="L5" s="120"/>
      <c r="M5" s="120"/>
      <c r="N5" s="62"/>
      <c r="O5" s="120"/>
      <c r="P5" s="27">
        <v>25000000</v>
      </c>
    </row>
    <row r="6" spans="1:16" ht="50.25" customHeight="1" x14ac:dyDescent="0.25">
      <c r="A6" s="105">
        <v>2</v>
      </c>
      <c r="B6" s="107" t="s">
        <v>26</v>
      </c>
      <c r="C6" s="109"/>
      <c r="D6" s="109"/>
      <c r="E6" s="111" t="s">
        <v>64</v>
      </c>
      <c r="F6" s="109"/>
      <c r="G6" s="109">
        <v>738</v>
      </c>
      <c r="H6" s="64"/>
      <c r="I6" s="124" t="s">
        <v>100</v>
      </c>
      <c r="J6" s="123"/>
      <c r="K6" s="63"/>
      <c r="L6" s="121" t="s">
        <v>60</v>
      </c>
      <c r="M6" s="123" t="s">
        <v>27</v>
      </c>
      <c r="N6" s="63" t="s">
        <v>16</v>
      </c>
      <c r="O6" s="123" t="s">
        <v>27</v>
      </c>
      <c r="P6" s="26">
        <v>95000000</v>
      </c>
    </row>
    <row r="7" spans="1:16" ht="50.25" customHeight="1" thickBot="1" x14ac:dyDescent="0.3">
      <c r="A7" s="106"/>
      <c r="B7" s="108"/>
      <c r="C7" s="110"/>
      <c r="D7" s="110"/>
      <c r="E7" s="112"/>
      <c r="F7" s="110"/>
      <c r="G7" s="110"/>
      <c r="H7" s="66"/>
      <c r="I7" s="120"/>
      <c r="J7" s="120"/>
      <c r="K7" s="62"/>
      <c r="L7" s="122"/>
      <c r="M7" s="120"/>
      <c r="N7" s="62"/>
      <c r="O7" s="120"/>
      <c r="P7" s="27">
        <v>25000000</v>
      </c>
    </row>
    <row r="8" spans="1:16" ht="50.25" customHeight="1" x14ac:dyDescent="0.25">
      <c r="A8" s="105">
        <v>3</v>
      </c>
      <c r="B8" s="107" t="s">
        <v>28</v>
      </c>
      <c r="C8" s="109"/>
      <c r="D8" s="109"/>
      <c r="E8" s="111" t="s">
        <v>66</v>
      </c>
      <c r="F8" s="109"/>
      <c r="G8" s="109">
        <v>745</v>
      </c>
      <c r="H8" s="109"/>
      <c r="I8" s="63" t="s">
        <v>100</v>
      </c>
      <c r="J8" s="123"/>
      <c r="K8" s="63"/>
      <c r="L8" s="132" t="s">
        <v>60</v>
      </c>
      <c r="M8" s="123" t="s">
        <v>27</v>
      </c>
      <c r="N8" s="63" t="s">
        <v>16</v>
      </c>
      <c r="O8" s="123" t="s">
        <v>27</v>
      </c>
      <c r="P8" s="26">
        <v>95000000</v>
      </c>
    </row>
    <row r="9" spans="1:16" ht="50.25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65"/>
      <c r="J9" s="120"/>
      <c r="K9" s="62"/>
      <c r="L9" s="133"/>
      <c r="M9" s="120"/>
      <c r="N9" s="62"/>
      <c r="O9" s="120"/>
      <c r="P9" s="27">
        <v>25000000</v>
      </c>
    </row>
    <row r="10" spans="1:16" ht="50.25" customHeight="1" x14ac:dyDescent="0.25">
      <c r="A10" s="105">
        <v>4</v>
      </c>
      <c r="B10" s="107" t="s">
        <v>101</v>
      </c>
      <c r="C10" s="109"/>
      <c r="D10" s="109"/>
      <c r="E10" s="111" t="s">
        <v>43</v>
      </c>
      <c r="F10" s="109"/>
      <c r="G10" s="109">
        <v>747</v>
      </c>
      <c r="H10" s="109" t="s">
        <v>42</v>
      </c>
      <c r="I10" s="63" t="s">
        <v>117</v>
      </c>
      <c r="J10" s="123" t="s">
        <v>52</v>
      </c>
      <c r="K10" s="63"/>
      <c r="L10" s="123"/>
      <c r="M10" s="123" t="s">
        <v>103</v>
      </c>
      <c r="N10" s="63"/>
      <c r="O10" s="123" t="s">
        <v>104</v>
      </c>
      <c r="P10" s="26">
        <v>125000000</v>
      </c>
    </row>
    <row r="11" spans="1:16" ht="50.25" customHeight="1" thickBot="1" x14ac:dyDescent="0.3">
      <c r="A11" s="106"/>
      <c r="B11" s="108"/>
      <c r="C11" s="110"/>
      <c r="D11" s="110"/>
      <c r="E11" s="112"/>
      <c r="F11" s="110"/>
      <c r="G11" s="110"/>
      <c r="H11" s="110"/>
      <c r="I11" s="62"/>
      <c r="J11" s="120"/>
      <c r="K11" s="62"/>
      <c r="L11" s="120"/>
      <c r="M11" s="120"/>
      <c r="N11" s="62"/>
      <c r="O11" s="120"/>
      <c r="P11" s="27"/>
    </row>
    <row r="12" spans="1:16" ht="60" customHeight="1" x14ac:dyDescent="0.25">
      <c r="A12" s="105">
        <v>5</v>
      </c>
      <c r="B12" s="107" t="s">
        <v>102</v>
      </c>
      <c r="C12" s="109"/>
      <c r="D12" s="109"/>
      <c r="E12" s="111">
        <v>1</v>
      </c>
      <c r="F12" s="130"/>
      <c r="G12" s="109"/>
      <c r="H12" s="126" t="s">
        <v>105</v>
      </c>
      <c r="I12" s="123" t="s">
        <v>116</v>
      </c>
      <c r="J12" s="123" t="s">
        <v>52</v>
      </c>
      <c r="K12" s="63"/>
      <c r="L12" s="123" t="s">
        <v>60</v>
      </c>
      <c r="M12" s="123"/>
      <c r="N12" s="63"/>
      <c r="O12" s="123" t="s">
        <v>106</v>
      </c>
      <c r="P12" s="26">
        <v>12500000</v>
      </c>
    </row>
    <row r="13" spans="1:16" ht="60" customHeight="1" thickBot="1" x14ac:dyDescent="0.3">
      <c r="A13" s="106"/>
      <c r="B13" s="108"/>
      <c r="C13" s="110"/>
      <c r="D13" s="110"/>
      <c r="E13" s="112"/>
      <c r="F13" s="130"/>
      <c r="G13" s="110"/>
      <c r="H13" s="144"/>
      <c r="I13" s="120"/>
      <c r="J13" s="120"/>
      <c r="K13" s="62"/>
      <c r="L13" s="120"/>
      <c r="M13" s="120"/>
      <c r="N13" s="62"/>
      <c r="O13" s="120"/>
      <c r="P13" s="27">
        <v>75000000</v>
      </c>
    </row>
    <row r="14" spans="1:16" ht="60" customHeight="1" x14ac:dyDescent="0.25">
      <c r="A14" s="105">
        <v>6</v>
      </c>
      <c r="B14" s="117" t="s">
        <v>26</v>
      </c>
      <c r="C14" s="109"/>
      <c r="D14" s="109"/>
      <c r="E14" s="111" t="s">
        <v>31</v>
      </c>
      <c r="F14" s="109"/>
      <c r="G14" s="109">
        <v>692</v>
      </c>
      <c r="H14" s="64"/>
      <c r="I14" s="124" t="s">
        <v>100</v>
      </c>
      <c r="J14" s="123"/>
      <c r="K14" s="63"/>
      <c r="L14" s="132" t="s">
        <v>60</v>
      </c>
      <c r="M14" s="123" t="s">
        <v>27</v>
      </c>
      <c r="N14" s="63" t="s">
        <v>16</v>
      </c>
      <c r="O14" s="123" t="s">
        <v>27</v>
      </c>
      <c r="P14" s="26">
        <v>95000000</v>
      </c>
    </row>
    <row r="15" spans="1:16" ht="60" customHeight="1" thickBot="1" x14ac:dyDescent="0.3">
      <c r="A15" s="106"/>
      <c r="B15" s="118"/>
      <c r="C15" s="110"/>
      <c r="D15" s="110"/>
      <c r="E15" s="112"/>
      <c r="F15" s="110"/>
      <c r="G15" s="110"/>
      <c r="H15" s="66"/>
      <c r="I15" s="120"/>
      <c r="J15" s="120"/>
      <c r="K15" s="62"/>
      <c r="L15" s="133"/>
      <c r="M15" s="120"/>
      <c r="N15" s="62"/>
      <c r="O15" s="120"/>
      <c r="P15" s="27">
        <v>25000000</v>
      </c>
    </row>
    <row r="16" spans="1:16" ht="60" customHeight="1" x14ac:dyDescent="0.25">
      <c r="A16" s="105">
        <v>7</v>
      </c>
      <c r="B16" s="117" t="s">
        <v>129</v>
      </c>
      <c r="C16" s="109"/>
      <c r="D16" s="109"/>
      <c r="E16" s="111">
        <v>30256</v>
      </c>
      <c r="F16" s="109"/>
      <c r="G16" s="109">
        <v>1005</v>
      </c>
      <c r="H16" s="64" t="s">
        <v>120</v>
      </c>
      <c r="I16" s="124" t="s">
        <v>126</v>
      </c>
      <c r="J16" s="123"/>
      <c r="K16" s="63"/>
      <c r="L16" s="132"/>
      <c r="M16" s="123" t="s">
        <v>27</v>
      </c>
      <c r="N16" s="63" t="s">
        <v>127</v>
      </c>
      <c r="O16" s="123" t="s">
        <v>130</v>
      </c>
      <c r="P16" s="26">
        <v>18000000</v>
      </c>
    </row>
    <row r="17" spans="1:16" ht="60" customHeight="1" thickBot="1" x14ac:dyDescent="0.3">
      <c r="A17" s="106"/>
      <c r="B17" s="118"/>
      <c r="C17" s="110"/>
      <c r="D17" s="110"/>
      <c r="E17" s="112"/>
      <c r="F17" s="110"/>
      <c r="G17" s="110"/>
      <c r="H17" s="66"/>
      <c r="I17" s="120"/>
      <c r="J17" s="120"/>
      <c r="K17" s="62"/>
      <c r="L17" s="133"/>
      <c r="M17" s="120"/>
      <c r="N17" s="62"/>
      <c r="O17" s="120"/>
      <c r="P17" s="27">
        <v>48000000</v>
      </c>
    </row>
    <row r="18" spans="1:16" ht="60" customHeight="1" x14ac:dyDescent="0.25">
      <c r="A18" s="105">
        <v>8</v>
      </c>
      <c r="B18" s="117" t="s">
        <v>125</v>
      </c>
      <c r="C18" s="109"/>
      <c r="D18" s="109"/>
      <c r="E18" s="111">
        <v>29087</v>
      </c>
      <c r="F18" s="109"/>
      <c r="G18" s="109">
        <v>1005</v>
      </c>
      <c r="H18" s="64" t="s">
        <v>120</v>
      </c>
      <c r="I18" s="124" t="s">
        <v>126</v>
      </c>
      <c r="J18" s="123"/>
      <c r="K18" s="63"/>
      <c r="L18" s="132"/>
      <c r="M18" s="123" t="s">
        <v>27</v>
      </c>
      <c r="N18" s="63" t="s">
        <v>127</v>
      </c>
      <c r="O18" s="123" t="s">
        <v>128</v>
      </c>
      <c r="P18" s="26">
        <v>12000000</v>
      </c>
    </row>
    <row r="19" spans="1:16" ht="60" customHeight="1" thickBot="1" x14ac:dyDescent="0.3">
      <c r="A19" s="106"/>
      <c r="B19" s="118"/>
      <c r="C19" s="110"/>
      <c r="D19" s="110"/>
      <c r="E19" s="112"/>
      <c r="F19" s="110"/>
      <c r="G19" s="110"/>
      <c r="H19" s="66"/>
      <c r="I19" s="120"/>
      <c r="J19" s="120"/>
      <c r="K19" s="62"/>
      <c r="L19" s="133"/>
      <c r="M19" s="120"/>
      <c r="N19" s="62"/>
      <c r="O19" s="120"/>
      <c r="P19" s="27">
        <v>42000000</v>
      </c>
    </row>
    <row r="20" spans="1:16" ht="25.5" customHeight="1" x14ac:dyDescent="0.25">
      <c r="A20" s="12"/>
      <c r="B20" s="136" t="s">
        <v>18</v>
      </c>
      <c r="C20" s="136"/>
      <c r="D20" s="13"/>
      <c r="E20" s="13"/>
      <c r="F20" s="13"/>
      <c r="G20" s="13"/>
      <c r="H20" s="13"/>
      <c r="I20" s="14"/>
      <c r="J20" s="13"/>
      <c r="K20" s="13"/>
      <c r="L20" s="13"/>
      <c r="M20" s="13"/>
      <c r="N20" s="13"/>
      <c r="O20" s="13"/>
      <c r="P20" s="138">
        <f>SUM(P4:P19)</f>
        <v>812500000</v>
      </c>
    </row>
    <row r="21" spans="1:16" ht="25.5" customHeight="1" thickBot="1" x14ac:dyDescent="0.3">
      <c r="A21" s="10"/>
      <c r="B21" s="137"/>
      <c r="C21" s="137"/>
      <c r="D21" s="11"/>
      <c r="E21" s="11"/>
      <c r="F21" s="11"/>
      <c r="G21" s="11"/>
      <c r="H21" s="11"/>
      <c r="I21" s="15"/>
      <c r="J21" s="11"/>
      <c r="K21" s="11"/>
      <c r="L21" s="11"/>
      <c r="M21" s="11"/>
      <c r="N21" s="11"/>
      <c r="O21" s="11"/>
      <c r="P21" s="139"/>
    </row>
  </sheetData>
  <mergeCells count="100">
    <mergeCell ref="F4:F5"/>
    <mergeCell ref="G4:G5"/>
    <mergeCell ref="A1:N2"/>
    <mergeCell ref="A4:A5"/>
    <mergeCell ref="B4:B5"/>
    <mergeCell ref="C4:C5"/>
    <mergeCell ref="D4:D5"/>
    <mergeCell ref="E4:E5"/>
    <mergeCell ref="H4:H5"/>
    <mergeCell ref="J4:J5"/>
    <mergeCell ref="L4:L5"/>
    <mergeCell ref="M4:M5"/>
    <mergeCell ref="A6:A7"/>
    <mergeCell ref="B6:B7"/>
    <mergeCell ref="C6:C7"/>
    <mergeCell ref="D6:D7"/>
    <mergeCell ref="E6:E7"/>
    <mergeCell ref="O4:O5"/>
    <mergeCell ref="O6:O7"/>
    <mergeCell ref="A8:A9"/>
    <mergeCell ref="B8:B9"/>
    <mergeCell ref="C8:C9"/>
    <mergeCell ref="D8:D9"/>
    <mergeCell ref="E8:E9"/>
    <mergeCell ref="F8:F9"/>
    <mergeCell ref="G8:G9"/>
    <mergeCell ref="H8:H9"/>
    <mergeCell ref="J8:J9"/>
    <mergeCell ref="F6:F7"/>
    <mergeCell ref="G6:G7"/>
    <mergeCell ref="I6:I7"/>
    <mergeCell ref="J6:J7"/>
    <mergeCell ref="L6:L7"/>
    <mergeCell ref="M6:M7"/>
    <mergeCell ref="L8:L9"/>
    <mergeCell ref="M8:M9"/>
    <mergeCell ref="O8:O9"/>
    <mergeCell ref="A10:A11"/>
    <mergeCell ref="B10:B11"/>
    <mergeCell ref="C10:C11"/>
    <mergeCell ref="D10:D11"/>
    <mergeCell ref="E10:E11"/>
    <mergeCell ref="F10:F11"/>
    <mergeCell ref="G10:G11"/>
    <mergeCell ref="H10:H11"/>
    <mergeCell ref="J10:J11"/>
    <mergeCell ref="L10:L11"/>
    <mergeCell ref="M10:M11"/>
    <mergeCell ref="O10:O11"/>
    <mergeCell ref="B12:B13"/>
    <mergeCell ref="C12:C13"/>
    <mergeCell ref="D12:D13"/>
    <mergeCell ref="E12:E13"/>
    <mergeCell ref="F12:F13"/>
    <mergeCell ref="O12:O13"/>
    <mergeCell ref="A14:A15"/>
    <mergeCell ref="B14:B15"/>
    <mergeCell ref="C14:C15"/>
    <mergeCell ref="D14:D15"/>
    <mergeCell ref="E14:E15"/>
    <mergeCell ref="F14:F15"/>
    <mergeCell ref="G14:G15"/>
    <mergeCell ref="I14:I15"/>
    <mergeCell ref="G12:G13"/>
    <mergeCell ref="H12:H13"/>
    <mergeCell ref="I12:I13"/>
    <mergeCell ref="J12:J13"/>
    <mergeCell ref="L12:L13"/>
    <mergeCell ref="M12:M13"/>
    <mergeCell ref="A12:A13"/>
    <mergeCell ref="J14:J15"/>
    <mergeCell ref="L14:L15"/>
    <mergeCell ref="M14:M15"/>
    <mergeCell ref="O14:O15"/>
    <mergeCell ref="A18:A19"/>
    <mergeCell ref="B18:B19"/>
    <mergeCell ref="C18:C19"/>
    <mergeCell ref="D18:D19"/>
    <mergeCell ref="E18:E19"/>
    <mergeCell ref="F18:F19"/>
    <mergeCell ref="O18:O19"/>
    <mergeCell ref="L16:L17"/>
    <mergeCell ref="M16:M17"/>
    <mergeCell ref="O16:O17"/>
    <mergeCell ref="B20:C21"/>
    <mergeCell ref="P20:P21"/>
    <mergeCell ref="A16:A17"/>
    <mergeCell ref="B16:B17"/>
    <mergeCell ref="C16:C17"/>
    <mergeCell ref="D16:D17"/>
    <mergeCell ref="E16:E17"/>
    <mergeCell ref="F16:F17"/>
    <mergeCell ref="G16:G17"/>
    <mergeCell ref="G18:G19"/>
    <mergeCell ref="I18:I19"/>
    <mergeCell ref="J18:J19"/>
    <mergeCell ref="L18:L19"/>
    <mergeCell ref="M18:M19"/>
    <mergeCell ref="I16:I17"/>
    <mergeCell ref="J16:J17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572B-B286-43D2-8A1A-54BA6B833C23}">
  <sheetPr>
    <pageSetUpPr fitToPage="1"/>
  </sheetPr>
  <dimension ref="A1:P21"/>
  <sheetViews>
    <sheetView rightToLeft="1" view="pageLayout" topLeftCell="A15" zoomScale="85" zoomScaleNormal="100" zoomScalePageLayoutView="85" workbookViewId="0">
      <selection activeCell="M20" sqref="M20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18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0.25" customHeight="1" x14ac:dyDescent="0.25">
      <c r="A4" s="105">
        <v>1</v>
      </c>
      <c r="B4" s="107" t="s">
        <v>26</v>
      </c>
      <c r="C4" s="109"/>
      <c r="D4" s="109"/>
      <c r="E4" s="111" t="s">
        <v>64</v>
      </c>
      <c r="F4" s="109"/>
      <c r="G4" s="109">
        <v>738</v>
      </c>
      <c r="H4" s="69"/>
      <c r="I4" s="124" t="s">
        <v>100</v>
      </c>
      <c r="J4" s="123"/>
      <c r="K4" s="68"/>
      <c r="L4" s="121" t="s">
        <v>60</v>
      </c>
      <c r="M4" s="123" t="s">
        <v>27</v>
      </c>
      <c r="N4" s="68" t="s">
        <v>16</v>
      </c>
      <c r="O4" s="123" t="s">
        <v>27</v>
      </c>
      <c r="P4" s="26">
        <v>95000000</v>
      </c>
    </row>
    <row r="5" spans="1:16" ht="50.25" customHeight="1" thickBot="1" x14ac:dyDescent="0.3">
      <c r="A5" s="106"/>
      <c r="B5" s="108"/>
      <c r="C5" s="110"/>
      <c r="D5" s="110"/>
      <c r="E5" s="112"/>
      <c r="F5" s="110"/>
      <c r="G5" s="110"/>
      <c r="H5" s="71"/>
      <c r="I5" s="120"/>
      <c r="J5" s="120"/>
      <c r="K5" s="67"/>
      <c r="L5" s="122"/>
      <c r="M5" s="120"/>
      <c r="N5" s="67"/>
      <c r="O5" s="120"/>
      <c r="P5" s="27">
        <v>25000000</v>
      </c>
    </row>
    <row r="6" spans="1:16" ht="50.25" customHeight="1" x14ac:dyDescent="0.25">
      <c r="A6" s="105">
        <v>2</v>
      </c>
      <c r="B6" s="107" t="s">
        <v>28</v>
      </c>
      <c r="C6" s="109"/>
      <c r="D6" s="109"/>
      <c r="E6" s="111" t="s">
        <v>66</v>
      </c>
      <c r="F6" s="109"/>
      <c r="G6" s="109">
        <v>745</v>
      </c>
      <c r="H6" s="109"/>
      <c r="I6" s="68" t="s">
        <v>100</v>
      </c>
      <c r="J6" s="123"/>
      <c r="K6" s="68"/>
      <c r="L6" s="132" t="s">
        <v>60</v>
      </c>
      <c r="M6" s="123" t="s">
        <v>27</v>
      </c>
      <c r="N6" s="68" t="s">
        <v>16</v>
      </c>
      <c r="O6" s="123" t="s">
        <v>27</v>
      </c>
      <c r="P6" s="26">
        <v>95000000</v>
      </c>
    </row>
    <row r="7" spans="1:16" ht="50.25" customHeight="1" thickBot="1" x14ac:dyDescent="0.3">
      <c r="A7" s="106"/>
      <c r="B7" s="108"/>
      <c r="C7" s="110"/>
      <c r="D7" s="110"/>
      <c r="E7" s="112"/>
      <c r="F7" s="110"/>
      <c r="G7" s="110"/>
      <c r="H7" s="110"/>
      <c r="I7" s="70"/>
      <c r="J7" s="120"/>
      <c r="K7" s="67"/>
      <c r="L7" s="133"/>
      <c r="M7" s="120"/>
      <c r="N7" s="67"/>
      <c r="O7" s="120"/>
      <c r="P7" s="27">
        <v>25000000</v>
      </c>
    </row>
    <row r="8" spans="1:16" ht="50.25" customHeight="1" x14ac:dyDescent="0.25">
      <c r="A8" s="105">
        <v>3</v>
      </c>
      <c r="B8" s="107" t="s">
        <v>101</v>
      </c>
      <c r="C8" s="109"/>
      <c r="D8" s="109"/>
      <c r="E8" s="111" t="s">
        <v>43</v>
      </c>
      <c r="F8" s="109"/>
      <c r="G8" s="109">
        <v>747</v>
      </c>
      <c r="H8" s="109" t="s">
        <v>42</v>
      </c>
      <c r="I8" s="68" t="s">
        <v>117</v>
      </c>
      <c r="J8" s="123" t="s">
        <v>52</v>
      </c>
      <c r="K8" s="68"/>
      <c r="L8" s="123"/>
      <c r="M8" s="123" t="s">
        <v>103</v>
      </c>
      <c r="N8" s="68"/>
      <c r="O8" s="123" t="s">
        <v>104</v>
      </c>
      <c r="P8" s="26">
        <v>125000000</v>
      </c>
    </row>
    <row r="9" spans="1:16" ht="50.25" customHeight="1" thickBot="1" x14ac:dyDescent="0.3">
      <c r="A9" s="106"/>
      <c r="B9" s="108"/>
      <c r="C9" s="110"/>
      <c r="D9" s="110"/>
      <c r="E9" s="112"/>
      <c r="F9" s="110"/>
      <c r="G9" s="110"/>
      <c r="H9" s="110"/>
      <c r="I9" s="67"/>
      <c r="J9" s="120"/>
      <c r="K9" s="67"/>
      <c r="L9" s="120"/>
      <c r="M9" s="120"/>
      <c r="N9" s="67"/>
      <c r="O9" s="120"/>
      <c r="P9" s="27"/>
    </row>
    <row r="10" spans="1:16" ht="60" customHeight="1" x14ac:dyDescent="0.25">
      <c r="A10" s="105">
        <v>4</v>
      </c>
      <c r="B10" s="107" t="s">
        <v>102</v>
      </c>
      <c r="C10" s="109"/>
      <c r="D10" s="109"/>
      <c r="E10" s="111">
        <v>1</v>
      </c>
      <c r="F10" s="130"/>
      <c r="G10" s="109"/>
      <c r="H10" s="126" t="s">
        <v>105</v>
      </c>
      <c r="I10" s="123" t="s">
        <v>116</v>
      </c>
      <c r="J10" s="123" t="s">
        <v>52</v>
      </c>
      <c r="K10" s="68"/>
      <c r="L10" s="123" t="s">
        <v>60</v>
      </c>
      <c r="M10" s="123"/>
      <c r="N10" s="68"/>
      <c r="O10" s="123" t="s">
        <v>106</v>
      </c>
      <c r="P10" s="26">
        <v>12500000</v>
      </c>
    </row>
    <row r="11" spans="1:16" ht="60" customHeight="1" thickBot="1" x14ac:dyDescent="0.3">
      <c r="A11" s="106"/>
      <c r="B11" s="108"/>
      <c r="C11" s="110"/>
      <c r="D11" s="110"/>
      <c r="E11" s="112"/>
      <c r="F11" s="130"/>
      <c r="G11" s="110"/>
      <c r="H11" s="144"/>
      <c r="I11" s="120"/>
      <c r="J11" s="120"/>
      <c r="K11" s="67"/>
      <c r="L11" s="120"/>
      <c r="M11" s="120"/>
      <c r="N11" s="67"/>
      <c r="O11" s="120"/>
      <c r="P11" s="27">
        <v>75000000</v>
      </c>
    </row>
    <row r="12" spans="1:16" ht="76.5" customHeight="1" x14ac:dyDescent="0.25">
      <c r="A12" s="105">
        <v>5</v>
      </c>
      <c r="B12" s="117" t="s">
        <v>26</v>
      </c>
      <c r="C12" s="109"/>
      <c r="D12" s="109"/>
      <c r="E12" s="111" t="s">
        <v>31</v>
      </c>
      <c r="F12" s="109"/>
      <c r="G12" s="109">
        <v>692</v>
      </c>
      <c r="H12" s="69"/>
      <c r="I12" s="124" t="s">
        <v>100</v>
      </c>
      <c r="J12" s="123"/>
      <c r="K12" s="68"/>
      <c r="L12" s="132" t="s">
        <v>60</v>
      </c>
      <c r="M12" s="123" t="s">
        <v>27</v>
      </c>
      <c r="N12" s="68" t="s">
        <v>16</v>
      </c>
      <c r="O12" s="123" t="s">
        <v>27</v>
      </c>
      <c r="P12" s="26">
        <v>95000000</v>
      </c>
    </row>
    <row r="13" spans="1:16" ht="76.5" customHeight="1" thickBot="1" x14ac:dyDescent="0.3">
      <c r="A13" s="106"/>
      <c r="B13" s="118"/>
      <c r="C13" s="110"/>
      <c r="D13" s="110"/>
      <c r="E13" s="112"/>
      <c r="F13" s="110"/>
      <c r="G13" s="110"/>
      <c r="H13" s="71"/>
      <c r="I13" s="120"/>
      <c r="J13" s="120"/>
      <c r="K13" s="67"/>
      <c r="L13" s="133"/>
      <c r="M13" s="120"/>
      <c r="N13" s="67"/>
      <c r="O13" s="120"/>
      <c r="P13" s="27">
        <v>25000000</v>
      </c>
    </row>
    <row r="14" spans="1:16" ht="60" customHeight="1" x14ac:dyDescent="0.25">
      <c r="A14" s="105">
        <v>6</v>
      </c>
      <c r="B14" s="117" t="s">
        <v>129</v>
      </c>
      <c r="C14" s="109"/>
      <c r="D14" s="109"/>
      <c r="E14" s="111">
        <v>30256</v>
      </c>
      <c r="F14" s="109"/>
      <c r="G14" s="109">
        <v>1005</v>
      </c>
      <c r="H14" s="69" t="s">
        <v>120</v>
      </c>
      <c r="I14" s="124" t="s">
        <v>126</v>
      </c>
      <c r="J14" s="123"/>
      <c r="K14" s="68"/>
      <c r="L14" s="132"/>
      <c r="M14" s="123" t="s">
        <v>27</v>
      </c>
      <c r="N14" s="68" t="s">
        <v>127</v>
      </c>
      <c r="O14" s="123" t="s">
        <v>130</v>
      </c>
      <c r="P14" s="26">
        <v>18000000</v>
      </c>
    </row>
    <row r="15" spans="1:16" ht="60" customHeight="1" thickBot="1" x14ac:dyDescent="0.3">
      <c r="A15" s="106"/>
      <c r="B15" s="118"/>
      <c r="C15" s="110"/>
      <c r="D15" s="110"/>
      <c r="E15" s="112"/>
      <c r="F15" s="110"/>
      <c r="G15" s="110"/>
      <c r="H15" s="71"/>
      <c r="I15" s="120"/>
      <c r="J15" s="120"/>
      <c r="K15" s="67"/>
      <c r="L15" s="133"/>
      <c r="M15" s="120"/>
      <c r="N15" s="67"/>
      <c r="O15" s="120"/>
      <c r="P15" s="27">
        <v>48000000</v>
      </c>
    </row>
    <row r="16" spans="1:16" ht="60" customHeight="1" x14ac:dyDescent="0.25">
      <c r="A16" s="105">
        <v>7</v>
      </c>
      <c r="B16" s="117" t="s">
        <v>125</v>
      </c>
      <c r="C16" s="109"/>
      <c r="D16" s="109"/>
      <c r="E16" s="111">
        <v>29087</v>
      </c>
      <c r="F16" s="109"/>
      <c r="G16" s="109">
        <v>1005</v>
      </c>
      <c r="H16" s="74" t="s">
        <v>120</v>
      </c>
      <c r="I16" s="124" t="s">
        <v>126</v>
      </c>
      <c r="J16" s="123"/>
      <c r="K16" s="72"/>
      <c r="L16" s="132"/>
      <c r="M16" s="123" t="s">
        <v>27</v>
      </c>
      <c r="N16" s="72" t="s">
        <v>127</v>
      </c>
      <c r="O16" s="123" t="s">
        <v>128</v>
      </c>
      <c r="P16" s="26">
        <v>12000000</v>
      </c>
    </row>
    <row r="17" spans="1:16" ht="60" customHeight="1" thickBot="1" x14ac:dyDescent="0.3">
      <c r="A17" s="106"/>
      <c r="B17" s="118"/>
      <c r="C17" s="110"/>
      <c r="D17" s="110"/>
      <c r="E17" s="112"/>
      <c r="F17" s="110"/>
      <c r="G17" s="110"/>
      <c r="H17" s="75"/>
      <c r="I17" s="120"/>
      <c r="J17" s="120"/>
      <c r="K17" s="73"/>
      <c r="L17" s="133"/>
      <c r="M17" s="120"/>
      <c r="N17" s="73"/>
      <c r="O17" s="120"/>
      <c r="P17" s="27">
        <v>42000000</v>
      </c>
    </row>
    <row r="18" spans="1:16" ht="60" customHeight="1" x14ac:dyDescent="0.25">
      <c r="A18" s="105">
        <v>8</v>
      </c>
      <c r="B18" s="117" t="s">
        <v>131</v>
      </c>
      <c r="C18" s="109"/>
      <c r="D18" s="109"/>
      <c r="E18" s="111" t="s">
        <v>132</v>
      </c>
      <c r="F18" s="109"/>
      <c r="G18" s="109"/>
      <c r="H18" s="69" t="s">
        <v>133</v>
      </c>
      <c r="I18" s="124" t="s">
        <v>134</v>
      </c>
      <c r="J18" s="123"/>
      <c r="K18" s="68"/>
      <c r="L18" s="132"/>
      <c r="M18" s="123" t="s">
        <v>135</v>
      </c>
      <c r="N18" s="68" t="s">
        <v>127</v>
      </c>
      <c r="O18" s="123" t="s">
        <v>136</v>
      </c>
      <c r="P18" s="26">
        <v>12000000</v>
      </c>
    </row>
    <row r="19" spans="1:16" ht="60" customHeight="1" thickBot="1" x14ac:dyDescent="0.3">
      <c r="A19" s="106"/>
      <c r="B19" s="118"/>
      <c r="C19" s="110"/>
      <c r="D19" s="110"/>
      <c r="E19" s="112"/>
      <c r="F19" s="110"/>
      <c r="G19" s="110"/>
      <c r="H19" s="71"/>
      <c r="I19" s="120"/>
      <c r="J19" s="120"/>
      <c r="K19" s="67"/>
      <c r="L19" s="133"/>
      <c r="M19" s="120"/>
      <c r="N19" s="67"/>
      <c r="O19" s="120"/>
      <c r="P19" s="27"/>
    </row>
    <row r="20" spans="1:16" ht="25.5" customHeight="1" x14ac:dyDescent="0.25">
      <c r="A20" s="12"/>
      <c r="B20" s="136" t="s">
        <v>18</v>
      </c>
      <c r="C20" s="136"/>
      <c r="D20" s="13"/>
      <c r="E20" s="13"/>
      <c r="F20" s="13"/>
      <c r="G20" s="13"/>
      <c r="H20" s="13"/>
      <c r="I20" s="14"/>
      <c r="J20" s="13"/>
      <c r="K20" s="13"/>
      <c r="L20" s="13"/>
      <c r="M20" s="13"/>
      <c r="N20" s="13"/>
      <c r="O20" s="13"/>
      <c r="P20" s="138">
        <f>SUM(P4:P19)</f>
        <v>704500000</v>
      </c>
    </row>
    <row r="21" spans="1:16" ht="25.5" customHeight="1" thickBot="1" x14ac:dyDescent="0.3">
      <c r="A21" s="10"/>
      <c r="B21" s="137"/>
      <c r="C21" s="137"/>
      <c r="D21" s="11"/>
      <c r="E21" s="11"/>
      <c r="F21" s="11"/>
      <c r="G21" s="11"/>
      <c r="H21" s="11"/>
      <c r="I21" s="15"/>
      <c r="J21" s="11"/>
      <c r="K21" s="11"/>
      <c r="L21" s="11"/>
      <c r="M21" s="11"/>
      <c r="N21" s="11"/>
      <c r="O21" s="11"/>
      <c r="P21" s="139"/>
    </row>
  </sheetData>
  <mergeCells count="100">
    <mergeCell ref="O16:O17"/>
    <mergeCell ref="A16:A17"/>
    <mergeCell ref="G16:G17"/>
    <mergeCell ref="I16:I17"/>
    <mergeCell ref="J16:J17"/>
    <mergeCell ref="L16:L17"/>
    <mergeCell ref="M16:M17"/>
    <mergeCell ref="B16:B17"/>
    <mergeCell ref="C16:C17"/>
    <mergeCell ref="D16:D17"/>
    <mergeCell ref="E16:E17"/>
    <mergeCell ref="F16:F17"/>
    <mergeCell ref="A1:N2"/>
    <mergeCell ref="A4:A5"/>
    <mergeCell ref="B4:B5"/>
    <mergeCell ref="C4:C5"/>
    <mergeCell ref="D4:D5"/>
    <mergeCell ref="E4:E5"/>
    <mergeCell ref="F4:F5"/>
    <mergeCell ref="G4:G5"/>
    <mergeCell ref="I4:I5"/>
    <mergeCell ref="J4:J5"/>
    <mergeCell ref="L4:L5"/>
    <mergeCell ref="M4:M5"/>
    <mergeCell ref="A6:A7"/>
    <mergeCell ref="B6:B7"/>
    <mergeCell ref="C6:C7"/>
    <mergeCell ref="D6:D7"/>
    <mergeCell ref="E6:E7"/>
    <mergeCell ref="O4:O5"/>
    <mergeCell ref="O6:O7"/>
    <mergeCell ref="A8:A9"/>
    <mergeCell ref="B8:B9"/>
    <mergeCell ref="C8:C9"/>
    <mergeCell ref="D8:D9"/>
    <mergeCell ref="E8:E9"/>
    <mergeCell ref="F8:F9"/>
    <mergeCell ref="G8:G9"/>
    <mergeCell ref="H8:H9"/>
    <mergeCell ref="J8:J9"/>
    <mergeCell ref="F6:F7"/>
    <mergeCell ref="G6:G7"/>
    <mergeCell ref="H6:H7"/>
    <mergeCell ref="J6:J7"/>
    <mergeCell ref="L6:L7"/>
    <mergeCell ref="M6:M7"/>
    <mergeCell ref="O10:O11"/>
    <mergeCell ref="L8:L9"/>
    <mergeCell ref="M8:M9"/>
    <mergeCell ref="O8:O9"/>
    <mergeCell ref="L10:L11"/>
    <mergeCell ref="M10:M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O12:O13"/>
    <mergeCell ref="A12:A13"/>
    <mergeCell ref="B12:B13"/>
    <mergeCell ref="C12:C13"/>
    <mergeCell ref="D12:D13"/>
    <mergeCell ref="E12:E13"/>
    <mergeCell ref="F12:F13"/>
    <mergeCell ref="G12:G13"/>
    <mergeCell ref="I12:I13"/>
    <mergeCell ref="J12:J13"/>
    <mergeCell ref="L12:L13"/>
    <mergeCell ref="M12:M13"/>
    <mergeCell ref="O14:O15"/>
    <mergeCell ref="A14:A15"/>
    <mergeCell ref="B14:B15"/>
    <mergeCell ref="C14:C15"/>
    <mergeCell ref="D14:D15"/>
    <mergeCell ref="E14:E15"/>
    <mergeCell ref="F14:F15"/>
    <mergeCell ref="G14:G15"/>
    <mergeCell ref="I14:I15"/>
    <mergeCell ref="J14:J15"/>
    <mergeCell ref="L14:L15"/>
    <mergeCell ref="M14:M15"/>
    <mergeCell ref="A18:A19"/>
    <mergeCell ref="B18:B19"/>
    <mergeCell ref="C18:C19"/>
    <mergeCell ref="D18:D19"/>
    <mergeCell ref="E18:E19"/>
    <mergeCell ref="B20:C21"/>
    <mergeCell ref="P20:P21"/>
    <mergeCell ref="G18:G19"/>
    <mergeCell ref="I18:I19"/>
    <mergeCell ref="J18:J19"/>
    <mergeCell ref="L18:L19"/>
    <mergeCell ref="M18:M19"/>
    <mergeCell ref="O18:O19"/>
    <mergeCell ref="F18:F19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1F5C-B5C9-4D03-9D5B-C2AA9E6E72C6}">
  <sheetPr>
    <pageSetUpPr fitToPage="1"/>
  </sheetPr>
  <dimension ref="A1:P23"/>
  <sheetViews>
    <sheetView rightToLeft="1" view="pageLayout" topLeftCell="B19" zoomScale="115" zoomScaleNormal="100" zoomScalePageLayoutView="115" workbookViewId="0">
      <selection activeCell="B20" sqref="B20:B21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19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0.25" customHeight="1" x14ac:dyDescent="0.25">
      <c r="A4" s="105">
        <v>1</v>
      </c>
      <c r="B4" s="107" t="s">
        <v>26</v>
      </c>
      <c r="C4" s="109"/>
      <c r="D4" s="109"/>
      <c r="E4" s="111" t="s">
        <v>64</v>
      </c>
      <c r="F4" s="109"/>
      <c r="G4" s="109">
        <v>738</v>
      </c>
      <c r="H4" s="78"/>
      <c r="I4" s="124" t="s">
        <v>100</v>
      </c>
      <c r="J4" s="123"/>
      <c r="K4" s="77"/>
      <c r="L4" s="121" t="s">
        <v>60</v>
      </c>
      <c r="M4" s="123" t="s">
        <v>27</v>
      </c>
      <c r="N4" s="77" t="s">
        <v>16</v>
      </c>
      <c r="O4" s="123" t="s">
        <v>27</v>
      </c>
      <c r="P4" s="26">
        <v>95000000</v>
      </c>
    </row>
    <row r="5" spans="1:16" ht="50.25" customHeight="1" thickBot="1" x14ac:dyDescent="0.3">
      <c r="A5" s="106"/>
      <c r="B5" s="108"/>
      <c r="C5" s="110"/>
      <c r="D5" s="110"/>
      <c r="E5" s="112"/>
      <c r="F5" s="110"/>
      <c r="G5" s="110"/>
      <c r="H5" s="79"/>
      <c r="I5" s="120"/>
      <c r="J5" s="120"/>
      <c r="K5" s="76"/>
      <c r="L5" s="122"/>
      <c r="M5" s="120"/>
      <c r="N5" s="76"/>
      <c r="O5" s="120"/>
      <c r="P5" s="27">
        <v>25000000</v>
      </c>
    </row>
    <row r="6" spans="1:16" ht="50.25" customHeight="1" x14ac:dyDescent="0.25">
      <c r="A6" s="105">
        <v>2</v>
      </c>
      <c r="B6" s="107" t="s">
        <v>102</v>
      </c>
      <c r="C6" s="109"/>
      <c r="D6" s="109"/>
      <c r="E6" s="111">
        <v>1</v>
      </c>
      <c r="F6" s="130"/>
      <c r="G6" s="109"/>
      <c r="H6" s="126" t="s">
        <v>105</v>
      </c>
      <c r="I6" s="123" t="s">
        <v>116</v>
      </c>
      <c r="J6" s="123" t="s">
        <v>52</v>
      </c>
      <c r="K6" s="80"/>
      <c r="L6" s="123" t="s">
        <v>60</v>
      </c>
      <c r="M6" s="123"/>
      <c r="N6" s="80"/>
      <c r="O6" s="123" t="s">
        <v>106</v>
      </c>
      <c r="P6" s="26">
        <v>12500000</v>
      </c>
    </row>
    <row r="7" spans="1:16" ht="50.25" customHeight="1" thickBot="1" x14ac:dyDescent="0.3">
      <c r="A7" s="106"/>
      <c r="B7" s="108"/>
      <c r="C7" s="110"/>
      <c r="D7" s="110"/>
      <c r="E7" s="112"/>
      <c r="F7" s="130"/>
      <c r="G7" s="110"/>
      <c r="H7" s="144"/>
      <c r="I7" s="120"/>
      <c r="J7" s="120"/>
      <c r="K7" s="81"/>
      <c r="L7" s="120"/>
      <c r="M7" s="120"/>
      <c r="N7" s="81"/>
      <c r="O7" s="120"/>
      <c r="P7" s="27">
        <v>75000000</v>
      </c>
    </row>
    <row r="8" spans="1:16" ht="50.25" customHeight="1" x14ac:dyDescent="0.25">
      <c r="A8" s="105">
        <v>3</v>
      </c>
      <c r="B8" s="117" t="s">
        <v>26</v>
      </c>
      <c r="C8" s="109"/>
      <c r="D8" s="109"/>
      <c r="E8" s="111" t="s">
        <v>31</v>
      </c>
      <c r="F8" s="109"/>
      <c r="G8" s="109">
        <v>692</v>
      </c>
      <c r="H8" s="82"/>
      <c r="I8" s="124" t="s">
        <v>100</v>
      </c>
      <c r="J8" s="123"/>
      <c r="K8" s="80"/>
      <c r="L8" s="132" t="s">
        <v>60</v>
      </c>
      <c r="M8" s="123" t="s">
        <v>27</v>
      </c>
      <c r="N8" s="80" t="s">
        <v>16</v>
      </c>
      <c r="O8" s="123" t="s">
        <v>27</v>
      </c>
      <c r="P8" s="26">
        <v>95000000</v>
      </c>
    </row>
    <row r="9" spans="1:16" ht="50.25" customHeight="1" thickBot="1" x14ac:dyDescent="0.3">
      <c r="A9" s="106"/>
      <c r="B9" s="118"/>
      <c r="C9" s="110"/>
      <c r="D9" s="110"/>
      <c r="E9" s="112"/>
      <c r="F9" s="110"/>
      <c r="G9" s="110"/>
      <c r="H9" s="83"/>
      <c r="I9" s="120"/>
      <c r="J9" s="120"/>
      <c r="K9" s="81"/>
      <c r="L9" s="133"/>
      <c r="M9" s="120"/>
      <c r="N9" s="81"/>
      <c r="O9" s="120"/>
      <c r="P9" s="27">
        <v>25000000</v>
      </c>
    </row>
    <row r="10" spans="1:16" ht="60" customHeight="1" x14ac:dyDescent="0.25">
      <c r="A10" s="105">
        <v>4</v>
      </c>
      <c r="B10" s="117" t="s">
        <v>129</v>
      </c>
      <c r="C10" s="109"/>
      <c r="D10" s="109"/>
      <c r="E10" s="111">
        <v>30256</v>
      </c>
      <c r="F10" s="109"/>
      <c r="G10" s="109">
        <v>1005</v>
      </c>
      <c r="H10" s="82" t="s">
        <v>120</v>
      </c>
      <c r="I10" s="124" t="s">
        <v>126</v>
      </c>
      <c r="J10" s="123"/>
      <c r="K10" s="80"/>
      <c r="L10" s="132"/>
      <c r="M10" s="123" t="s">
        <v>27</v>
      </c>
      <c r="N10" s="80" t="s">
        <v>127</v>
      </c>
      <c r="O10" s="123" t="s">
        <v>130</v>
      </c>
      <c r="P10" s="26">
        <v>18000000</v>
      </c>
    </row>
    <row r="11" spans="1:16" ht="60" customHeight="1" thickBot="1" x14ac:dyDescent="0.3">
      <c r="A11" s="106"/>
      <c r="B11" s="118"/>
      <c r="C11" s="110"/>
      <c r="D11" s="110"/>
      <c r="E11" s="112"/>
      <c r="F11" s="110"/>
      <c r="G11" s="110"/>
      <c r="H11" s="83"/>
      <c r="I11" s="120"/>
      <c r="J11" s="120"/>
      <c r="K11" s="81"/>
      <c r="L11" s="133"/>
      <c r="M11" s="120"/>
      <c r="N11" s="81"/>
      <c r="O11" s="120"/>
      <c r="P11" s="27">
        <v>48000000</v>
      </c>
    </row>
    <row r="12" spans="1:16" ht="76.5" customHeight="1" x14ac:dyDescent="0.25">
      <c r="A12" s="105">
        <v>5</v>
      </c>
      <c r="B12" s="117" t="s">
        <v>125</v>
      </c>
      <c r="C12" s="109"/>
      <c r="D12" s="109"/>
      <c r="E12" s="111">
        <v>29087</v>
      </c>
      <c r="F12" s="109"/>
      <c r="G12" s="109">
        <v>1005</v>
      </c>
      <c r="H12" s="82" t="s">
        <v>120</v>
      </c>
      <c r="I12" s="124" t="s">
        <v>126</v>
      </c>
      <c r="J12" s="123"/>
      <c r="K12" s="80"/>
      <c r="L12" s="132"/>
      <c r="M12" s="123" t="s">
        <v>27</v>
      </c>
      <c r="N12" s="80" t="s">
        <v>127</v>
      </c>
      <c r="O12" s="123" t="s">
        <v>128</v>
      </c>
      <c r="P12" s="26">
        <v>12000000</v>
      </c>
    </row>
    <row r="13" spans="1:16" ht="76.5" customHeight="1" thickBot="1" x14ac:dyDescent="0.3">
      <c r="A13" s="106"/>
      <c r="B13" s="118"/>
      <c r="C13" s="110"/>
      <c r="D13" s="110"/>
      <c r="E13" s="112"/>
      <c r="F13" s="110"/>
      <c r="G13" s="110"/>
      <c r="H13" s="83"/>
      <c r="I13" s="120"/>
      <c r="J13" s="120"/>
      <c r="K13" s="81"/>
      <c r="L13" s="133"/>
      <c r="M13" s="120"/>
      <c r="N13" s="81"/>
      <c r="O13" s="120"/>
      <c r="P13" s="27">
        <v>42000000</v>
      </c>
    </row>
    <row r="14" spans="1:16" ht="60" customHeight="1" x14ac:dyDescent="0.25">
      <c r="A14" s="105">
        <v>6</v>
      </c>
      <c r="B14" s="117" t="s">
        <v>24</v>
      </c>
      <c r="C14" s="109"/>
      <c r="D14" s="109"/>
      <c r="E14" s="111" t="s">
        <v>137</v>
      </c>
      <c r="F14" s="109"/>
      <c r="G14" s="109"/>
      <c r="H14" s="82"/>
      <c r="I14" s="124" t="s">
        <v>139</v>
      </c>
      <c r="J14" s="123"/>
      <c r="K14" s="80"/>
      <c r="L14" s="132" t="s">
        <v>140</v>
      </c>
      <c r="M14" s="123" t="s">
        <v>27</v>
      </c>
      <c r="N14" s="80"/>
      <c r="O14" s="123" t="s">
        <v>128</v>
      </c>
      <c r="P14" s="26">
        <v>12000000</v>
      </c>
    </row>
    <row r="15" spans="1:16" ht="60" customHeight="1" thickBot="1" x14ac:dyDescent="0.3">
      <c r="A15" s="106"/>
      <c r="B15" s="118"/>
      <c r="C15" s="110"/>
      <c r="D15" s="110"/>
      <c r="E15" s="112"/>
      <c r="F15" s="110"/>
      <c r="G15" s="110"/>
      <c r="H15" s="83" t="s">
        <v>138</v>
      </c>
      <c r="I15" s="120"/>
      <c r="J15" s="120"/>
      <c r="K15" s="81"/>
      <c r="L15" s="133"/>
      <c r="M15" s="120"/>
      <c r="N15" s="81"/>
      <c r="O15" s="120"/>
      <c r="P15" s="27">
        <v>45000000</v>
      </c>
    </row>
    <row r="16" spans="1:16" ht="60" customHeight="1" x14ac:dyDescent="0.25">
      <c r="A16" s="105">
        <v>7</v>
      </c>
      <c r="B16" s="117" t="s">
        <v>141</v>
      </c>
      <c r="C16" s="109"/>
      <c r="D16" s="109"/>
      <c r="E16" s="111" t="s">
        <v>142</v>
      </c>
      <c r="F16" s="109"/>
      <c r="G16" s="109"/>
      <c r="H16" s="109" t="s">
        <v>138</v>
      </c>
      <c r="I16" s="124" t="s">
        <v>143</v>
      </c>
      <c r="J16" s="123"/>
      <c r="K16" s="80"/>
      <c r="L16" s="132" t="s">
        <v>140</v>
      </c>
      <c r="M16" s="123" t="s">
        <v>27</v>
      </c>
      <c r="N16" s="80"/>
      <c r="O16" s="123" t="s">
        <v>128</v>
      </c>
      <c r="P16" s="26">
        <v>12000000</v>
      </c>
    </row>
    <row r="17" spans="1:16" ht="60" customHeight="1" thickBot="1" x14ac:dyDescent="0.3">
      <c r="A17" s="106"/>
      <c r="B17" s="118"/>
      <c r="C17" s="110"/>
      <c r="D17" s="110"/>
      <c r="E17" s="112"/>
      <c r="F17" s="110"/>
      <c r="G17" s="110"/>
      <c r="H17" s="110"/>
      <c r="I17" s="120"/>
      <c r="J17" s="120"/>
      <c r="K17" s="81"/>
      <c r="L17" s="133"/>
      <c r="M17" s="120"/>
      <c r="N17" s="81"/>
      <c r="O17" s="120"/>
      <c r="P17" s="27">
        <v>45000000</v>
      </c>
    </row>
    <row r="18" spans="1:16" ht="60" customHeight="1" x14ac:dyDescent="0.25">
      <c r="A18" s="105">
        <v>8</v>
      </c>
      <c r="B18" s="117" t="s">
        <v>144</v>
      </c>
      <c r="C18" s="109"/>
      <c r="D18" s="109"/>
      <c r="E18" s="111" t="s">
        <v>145</v>
      </c>
      <c r="F18" s="109"/>
      <c r="G18" s="109"/>
      <c r="H18" s="109" t="s">
        <v>146</v>
      </c>
      <c r="I18" s="124" t="s">
        <v>147</v>
      </c>
      <c r="J18" s="123"/>
      <c r="K18" s="77"/>
      <c r="L18" s="132"/>
      <c r="M18" s="123" t="s">
        <v>148</v>
      </c>
      <c r="N18" s="77"/>
      <c r="O18" s="123" t="s">
        <v>149</v>
      </c>
      <c r="P18" s="26">
        <v>24000000</v>
      </c>
    </row>
    <row r="19" spans="1:16" ht="60" customHeight="1" thickBot="1" x14ac:dyDescent="0.3">
      <c r="A19" s="106"/>
      <c r="B19" s="118"/>
      <c r="C19" s="110"/>
      <c r="D19" s="110"/>
      <c r="E19" s="112"/>
      <c r="F19" s="110"/>
      <c r="G19" s="110"/>
      <c r="H19" s="110"/>
      <c r="I19" s="120"/>
      <c r="J19" s="120"/>
      <c r="K19" s="76"/>
      <c r="L19" s="133"/>
      <c r="M19" s="120"/>
      <c r="N19" s="76"/>
      <c r="O19" s="120"/>
      <c r="P19" s="27">
        <v>180000000</v>
      </c>
    </row>
    <row r="20" spans="1:16" ht="60" customHeight="1" x14ac:dyDescent="0.25">
      <c r="A20" s="105">
        <v>9</v>
      </c>
      <c r="B20" s="107" t="s">
        <v>46</v>
      </c>
      <c r="C20" s="109"/>
      <c r="D20" s="109"/>
      <c r="E20" s="111" t="s">
        <v>70</v>
      </c>
      <c r="F20" s="109"/>
      <c r="G20" s="109"/>
      <c r="H20" s="109" t="s">
        <v>146</v>
      </c>
      <c r="I20" s="80"/>
      <c r="J20" s="123"/>
      <c r="K20" s="80"/>
      <c r="L20" s="123" t="s">
        <v>60</v>
      </c>
      <c r="M20" s="123" t="s">
        <v>150</v>
      </c>
      <c r="N20" s="80" t="s">
        <v>16</v>
      </c>
      <c r="O20" s="123" t="s">
        <v>27</v>
      </c>
      <c r="P20" s="26">
        <v>95000000</v>
      </c>
    </row>
    <row r="21" spans="1:16" ht="60" customHeight="1" thickBot="1" x14ac:dyDescent="0.3">
      <c r="A21" s="106"/>
      <c r="B21" s="108"/>
      <c r="C21" s="110"/>
      <c r="D21" s="110"/>
      <c r="E21" s="112"/>
      <c r="F21" s="110"/>
      <c r="G21" s="110"/>
      <c r="H21" s="110"/>
      <c r="I21" s="81"/>
      <c r="J21" s="120"/>
      <c r="K21" s="81"/>
      <c r="L21" s="120"/>
      <c r="M21" s="120"/>
      <c r="N21" s="81"/>
      <c r="O21" s="120"/>
      <c r="P21" s="27">
        <v>25000000</v>
      </c>
    </row>
    <row r="22" spans="1:16" ht="25.5" customHeight="1" x14ac:dyDescent="0.25">
      <c r="A22" s="12"/>
      <c r="B22" s="136" t="s">
        <v>18</v>
      </c>
      <c r="C22" s="136"/>
      <c r="D22" s="13"/>
      <c r="E22" s="13"/>
      <c r="F22" s="13"/>
      <c r="G22" s="13"/>
      <c r="H22" s="13"/>
      <c r="I22" s="14"/>
      <c r="J22" s="13"/>
      <c r="K22" s="13"/>
      <c r="L22" s="13"/>
      <c r="M22" s="13"/>
      <c r="N22" s="13"/>
      <c r="O22" s="13"/>
      <c r="P22" s="138">
        <f>SUM(P4:P21)</f>
        <v>885500000</v>
      </c>
    </row>
    <row r="23" spans="1:16" ht="25.5" customHeight="1" thickBot="1" x14ac:dyDescent="0.3">
      <c r="A23" s="10"/>
      <c r="B23" s="137"/>
      <c r="C23" s="137"/>
      <c r="D23" s="11"/>
      <c r="E23" s="11"/>
      <c r="F23" s="11"/>
      <c r="G23" s="11"/>
      <c r="H23" s="11"/>
      <c r="I23" s="15"/>
      <c r="J23" s="11"/>
      <c r="K23" s="11"/>
      <c r="L23" s="11"/>
      <c r="M23" s="11"/>
      <c r="N23" s="11"/>
      <c r="O23" s="11"/>
      <c r="P23" s="139"/>
    </row>
  </sheetData>
  <mergeCells count="114">
    <mergeCell ref="A1:N2"/>
    <mergeCell ref="A4:A5"/>
    <mergeCell ref="B4:B5"/>
    <mergeCell ref="C4:C5"/>
    <mergeCell ref="D4:D5"/>
    <mergeCell ref="E4:E5"/>
    <mergeCell ref="F4:F5"/>
    <mergeCell ref="G4:G5"/>
    <mergeCell ref="I4:I5"/>
    <mergeCell ref="J4:J5"/>
    <mergeCell ref="L4:L5"/>
    <mergeCell ref="M4:M5"/>
    <mergeCell ref="A12:A13"/>
    <mergeCell ref="B12:B13"/>
    <mergeCell ref="C12:C13"/>
    <mergeCell ref="D12:D13"/>
    <mergeCell ref="E12:E13"/>
    <mergeCell ref="F12:F13"/>
    <mergeCell ref="G12:G13"/>
    <mergeCell ref="I12:I13"/>
    <mergeCell ref="O4:O5"/>
    <mergeCell ref="A6:A7"/>
    <mergeCell ref="B6:B7"/>
    <mergeCell ref="C6:C7"/>
    <mergeCell ref="D6:D7"/>
    <mergeCell ref="E6:E7"/>
    <mergeCell ref="F6:F7"/>
    <mergeCell ref="G6:G7"/>
    <mergeCell ref="I6:I7"/>
    <mergeCell ref="H6:H7"/>
    <mergeCell ref="J6:J7"/>
    <mergeCell ref="L6:L7"/>
    <mergeCell ref="M6:M7"/>
    <mergeCell ref="O6:O7"/>
    <mergeCell ref="O8:O9"/>
    <mergeCell ref="A10:A11"/>
    <mergeCell ref="B10:B11"/>
    <mergeCell ref="C10:C11"/>
    <mergeCell ref="D10:D11"/>
    <mergeCell ref="E10:E11"/>
    <mergeCell ref="F10:F11"/>
    <mergeCell ref="G10:G11"/>
    <mergeCell ref="I10:I11"/>
    <mergeCell ref="F8:F9"/>
    <mergeCell ref="G8:G9"/>
    <mergeCell ref="J8:J9"/>
    <mergeCell ref="L8:L9"/>
    <mergeCell ref="M8:M9"/>
    <mergeCell ref="A8:A9"/>
    <mergeCell ref="B8:B9"/>
    <mergeCell ref="C8:C9"/>
    <mergeCell ref="D8:D9"/>
    <mergeCell ref="E8:E9"/>
    <mergeCell ref="I8:I9"/>
    <mergeCell ref="J12:J13"/>
    <mergeCell ref="L12:L13"/>
    <mergeCell ref="M12:M13"/>
    <mergeCell ref="O12:O13"/>
    <mergeCell ref="J10:J11"/>
    <mergeCell ref="L10:L11"/>
    <mergeCell ref="M10:M11"/>
    <mergeCell ref="O10:O11"/>
    <mergeCell ref="G14:G15"/>
    <mergeCell ref="I14:I15"/>
    <mergeCell ref="J14:J15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E20:E21"/>
    <mergeCell ref="F20:F21"/>
    <mergeCell ref="G16:G17"/>
    <mergeCell ref="D20:D21"/>
    <mergeCell ref="I16:I17"/>
    <mergeCell ref="J16:J17"/>
    <mergeCell ref="L16:L17"/>
    <mergeCell ref="M16:M17"/>
    <mergeCell ref="O16:O17"/>
    <mergeCell ref="A16:A17"/>
    <mergeCell ref="B16:B17"/>
    <mergeCell ref="C16:C17"/>
    <mergeCell ref="D16:D17"/>
    <mergeCell ref="E16:E17"/>
    <mergeCell ref="F16:F17"/>
    <mergeCell ref="H16:H17"/>
    <mergeCell ref="H18:H19"/>
    <mergeCell ref="H20:H21"/>
    <mergeCell ref="J18:J19"/>
    <mergeCell ref="L18:L19"/>
    <mergeCell ref="M18:M19"/>
    <mergeCell ref="O18:O19"/>
    <mergeCell ref="B22:C23"/>
    <mergeCell ref="P22:P23"/>
    <mergeCell ref="A18:A19"/>
    <mergeCell ref="B18:B19"/>
    <mergeCell ref="C18:C19"/>
    <mergeCell ref="D18:D19"/>
    <mergeCell ref="E18:E19"/>
    <mergeCell ref="F18:F19"/>
    <mergeCell ref="G18:G19"/>
    <mergeCell ref="I18:I19"/>
    <mergeCell ref="G20:G21"/>
    <mergeCell ref="J20:J21"/>
    <mergeCell ref="L20:L21"/>
    <mergeCell ref="M20:M21"/>
    <mergeCell ref="O20:O21"/>
    <mergeCell ref="A20:A21"/>
    <mergeCell ref="B20:B21"/>
    <mergeCell ref="C20:C21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F0F9-87EC-456F-A045-A5437A12DAF6}">
  <sheetPr>
    <pageSetUpPr fitToPage="1"/>
  </sheetPr>
  <dimension ref="A1:P23"/>
  <sheetViews>
    <sheetView rightToLeft="1" view="pageLayout" zoomScale="70" zoomScaleNormal="100" zoomScalePageLayoutView="70" workbookViewId="0">
      <selection activeCell="P3" sqref="P3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20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0.25" customHeight="1" x14ac:dyDescent="0.25">
      <c r="A4" s="105">
        <v>1</v>
      </c>
      <c r="B4" s="107" t="s">
        <v>26</v>
      </c>
      <c r="C4" s="109"/>
      <c r="D4" s="109"/>
      <c r="E4" s="111" t="s">
        <v>64</v>
      </c>
      <c r="F4" s="109"/>
      <c r="G4" s="109">
        <v>738</v>
      </c>
      <c r="H4" s="82"/>
      <c r="I4" s="124" t="s">
        <v>100</v>
      </c>
      <c r="J4" s="123"/>
      <c r="K4" s="80"/>
      <c r="L4" s="121" t="s">
        <v>60</v>
      </c>
      <c r="M4" s="123" t="s">
        <v>27</v>
      </c>
      <c r="N4" s="80" t="s">
        <v>16</v>
      </c>
      <c r="O4" s="123" t="s">
        <v>27</v>
      </c>
      <c r="P4" s="26">
        <v>95000000</v>
      </c>
    </row>
    <row r="5" spans="1:16" ht="50.25" customHeight="1" thickBot="1" x14ac:dyDescent="0.3">
      <c r="A5" s="106"/>
      <c r="B5" s="108"/>
      <c r="C5" s="110"/>
      <c r="D5" s="110"/>
      <c r="E5" s="112"/>
      <c r="F5" s="110"/>
      <c r="G5" s="110"/>
      <c r="H5" s="83"/>
      <c r="I5" s="120"/>
      <c r="J5" s="120"/>
      <c r="K5" s="81"/>
      <c r="L5" s="122"/>
      <c r="M5" s="120"/>
      <c r="N5" s="81"/>
      <c r="O5" s="120"/>
      <c r="P5" s="27">
        <v>25000000</v>
      </c>
    </row>
    <row r="6" spans="1:16" ht="50.25" customHeight="1" x14ac:dyDescent="0.25">
      <c r="A6" s="105">
        <v>2</v>
      </c>
      <c r="B6" s="107" t="s">
        <v>102</v>
      </c>
      <c r="C6" s="109"/>
      <c r="D6" s="109"/>
      <c r="E6" s="111">
        <v>1</v>
      </c>
      <c r="F6" s="130"/>
      <c r="G6" s="109"/>
      <c r="H6" s="126" t="s">
        <v>105</v>
      </c>
      <c r="I6" s="123" t="s">
        <v>116</v>
      </c>
      <c r="J6" s="123" t="s">
        <v>52</v>
      </c>
      <c r="K6" s="80"/>
      <c r="L6" s="123" t="s">
        <v>60</v>
      </c>
      <c r="M6" s="123"/>
      <c r="N6" s="80"/>
      <c r="O6" s="123" t="s">
        <v>106</v>
      </c>
      <c r="P6" s="26">
        <v>12500000</v>
      </c>
    </row>
    <row r="7" spans="1:16" ht="50.25" customHeight="1" thickBot="1" x14ac:dyDescent="0.3">
      <c r="A7" s="106"/>
      <c r="B7" s="108"/>
      <c r="C7" s="110"/>
      <c r="D7" s="110"/>
      <c r="E7" s="112"/>
      <c r="F7" s="130"/>
      <c r="G7" s="110"/>
      <c r="H7" s="144"/>
      <c r="I7" s="120"/>
      <c r="J7" s="120"/>
      <c r="K7" s="81"/>
      <c r="L7" s="120"/>
      <c r="M7" s="120"/>
      <c r="N7" s="81"/>
      <c r="O7" s="120"/>
      <c r="P7" s="27">
        <v>75000000</v>
      </c>
    </row>
    <row r="8" spans="1:16" ht="50.25" customHeight="1" x14ac:dyDescent="0.25">
      <c r="A8" s="105">
        <v>3</v>
      </c>
      <c r="B8" s="117" t="s">
        <v>26</v>
      </c>
      <c r="C8" s="109"/>
      <c r="D8" s="109"/>
      <c r="E8" s="111" t="s">
        <v>31</v>
      </c>
      <c r="F8" s="109"/>
      <c r="G8" s="109">
        <v>692</v>
      </c>
      <c r="H8" s="82"/>
      <c r="I8" s="124" t="s">
        <v>100</v>
      </c>
      <c r="J8" s="123"/>
      <c r="K8" s="80"/>
      <c r="L8" s="132" t="s">
        <v>60</v>
      </c>
      <c r="M8" s="123" t="s">
        <v>27</v>
      </c>
      <c r="N8" s="80" t="s">
        <v>16</v>
      </c>
      <c r="O8" s="123" t="s">
        <v>27</v>
      </c>
      <c r="P8" s="26">
        <v>95000000</v>
      </c>
    </row>
    <row r="9" spans="1:16" ht="50.25" customHeight="1" thickBot="1" x14ac:dyDescent="0.3">
      <c r="A9" s="106"/>
      <c r="B9" s="118"/>
      <c r="C9" s="110"/>
      <c r="D9" s="110"/>
      <c r="E9" s="112"/>
      <c r="F9" s="110"/>
      <c r="G9" s="110"/>
      <c r="H9" s="83"/>
      <c r="I9" s="120"/>
      <c r="J9" s="120"/>
      <c r="K9" s="81"/>
      <c r="L9" s="133"/>
      <c r="M9" s="120"/>
      <c r="N9" s="81"/>
      <c r="O9" s="120"/>
      <c r="P9" s="27">
        <v>25000000</v>
      </c>
    </row>
    <row r="10" spans="1:16" ht="60" customHeight="1" x14ac:dyDescent="0.25">
      <c r="A10" s="105">
        <v>4</v>
      </c>
      <c r="B10" s="117" t="s">
        <v>129</v>
      </c>
      <c r="C10" s="109"/>
      <c r="D10" s="109"/>
      <c r="E10" s="111">
        <v>30256</v>
      </c>
      <c r="F10" s="109"/>
      <c r="G10" s="109">
        <v>1005</v>
      </c>
      <c r="H10" s="82" t="s">
        <v>120</v>
      </c>
      <c r="I10" s="124" t="s">
        <v>126</v>
      </c>
      <c r="J10" s="123"/>
      <c r="K10" s="80"/>
      <c r="L10" s="132"/>
      <c r="M10" s="123" t="s">
        <v>27</v>
      </c>
      <c r="N10" s="80" t="s">
        <v>127</v>
      </c>
      <c r="O10" s="123" t="s">
        <v>130</v>
      </c>
      <c r="P10" s="26">
        <v>18000000</v>
      </c>
    </row>
    <row r="11" spans="1:16" ht="60" customHeight="1" thickBot="1" x14ac:dyDescent="0.3">
      <c r="A11" s="106"/>
      <c r="B11" s="118"/>
      <c r="C11" s="110"/>
      <c r="D11" s="110"/>
      <c r="E11" s="112"/>
      <c r="F11" s="110"/>
      <c r="G11" s="110"/>
      <c r="H11" s="83"/>
      <c r="I11" s="120"/>
      <c r="J11" s="120"/>
      <c r="K11" s="81"/>
      <c r="L11" s="133"/>
      <c r="M11" s="120"/>
      <c r="N11" s="81"/>
      <c r="O11" s="120"/>
      <c r="P11" s="27">
        <v>48000000</v>
      </c>
    </row>
    <row r="12" spans="1:16" ht="76.5" customHeight="1" x14ac:dyDescent="0.25">
      <c r="A12" s="105">
        <v>5</v>
      </c>
      <c r="B12" s="117" t="s">
        <v>125</v>
      </c>
      <c r="C12" s="109"/>
      <c r="D12" s="109"/>
      <c r="E12" s="111">
        <v>29087</v>
      </c>
      <c r="F12" s="109"/>
      <c r="G12" s="109">
        <v>1005</v>
      </c>
      <c r="H12" s="82" t="s">
        <v>120</v>
      </c>
      <c r="I12" s="124" t="s">
        <v>126</v>
      </c>
      <c r="J12" s="123"/>
      <c r="K12" s="80"/>
      <c r="L12" s="132"/>
      <c r="M12" s="123" t="s">
        <v>27</v>
      </c>
      <c r="N12" s="80" t="s">
        <v>127</v>
      </c>
      <c r="O12" s="123" t="s">
        <v>128</v>
      </c>
      <c r="P12" s="26">
        <v>12000000</v>
      </c>
    </row>
    <row r="13" spans="1:16" ht="76.5" customHeight="1" thickBot="1" x14ac:dyDescent="0.3">
      <c r="A13" s="106"/>
      <c r="B13" s="118"/>
      <c r="C13" s="110"/>
      <c r="D13" s="110"/>
      <c r="E13" s="112"/>
      <c r="F13" s="110"/>
      <c r="G13" s="110"/>
      <c r="H13" s="83"/>
      <c r="I13" s="120"/>
      <c r="J13" s="120"/>
      <c r="K13" s="81"/>
      <c r="L13" s="133"/>
      <c r="M13" s="120"/>
      <c r="N13" s="81"/>
      <c r="O13" s="120"/>
      <c r="P13" s="27">
        <v>42000000</v>
      </c>
    </row>
    <row r="14" spans="1:16" ht="60" customHeight="1" x14ac:dyDescent="0.25">
      <c r="A14" s="105">
        <v>6</v>
      </c>
      <c r="B14" s="117" t="s">
        <v>24</v>
      </c>
      <c r="C14" s="109"/>
      <c r="D14" s="109"/>
      <c r="E14" s="111" t="s">
        <v>137</v>
      </c>
      <c r="F14" s="109"/>
      <c r="G14" s="109"/>
      <c r="H14" s="82"/>
      <c r="I14" s="124" t="s">
        <v>139</v>
      </c>
      <c r="J14" s="123"/>
      <c r="K14" s="80"/>
      <c r="L14" s="132" t="s">
        <v>140</v>
      </c>
      <c r="M14" s="123" t="s">
        <v>27</v>
      </c>
      <c r="N14" s="80"/>
      <c r="O14" s="123" t="s">
        <v>128</v>
      </c>
      <c r="P14" s="26">
        <v>12000000</v>
      </c>
    </row>
    <row r="15" spans="1:16" ht="60" customHeight="1" thickBot="1" x14ac:dyDescent="0.3">
      <c r="A15" s="106"/>
      <c r="B15" s="118"/>
      <c r="C15" s="110"/>
      <c r="D15" s="110"/>
      <c r="E15" s="112"/>
      <c r="F15" s="110"/>
      <c r="G15" s="110"/>
      <c r="H15" s="83" t="s">
        <v>138</v>
      </c>
      <c r="I15" s="120"/>
      <c r="J15" s="120"/>
      <c r="K15" s="81"/>
      <c r="L15" s="133"/>
      <c r="M15" s="120"/>
      <c r="N15" s="81"/>
      <c r="O15" s="120"/>
      <c r="P15" s="27">
        <v>45000000</v>
      </c>
    </row>
    <row r="16" spans="1:16" ht="60" customHeight="1" x14ac:dyDescent="0.25">
      <c r="A16" s="105">
        <v>7</v>
      </c>
      <c r="B16" s="117" t="s">
        <v>141</v>
      </c>
      <c r="C16" s="109"/>
      <c r="D16" s="109"/>
      <c r="E16" s="111" t="s">
        <v>142</v>
      </c>
      <c r="F16" s="109"/>
      <c r="G16" s="109"/>
      <c r="H16" s="109" t="s">
        <v>138</v>
      </c>
      <c r="I16" s="124" t="s">
        <v>143</v>
      </c>
      <c r="J16" s="123"/>
      <c r="K16" s="80"/>
      <c r="L16" s="132" t="s">
        <v>140</v>
      </c>
      <c r="M16" s="123" t="s">
        <v>27</v>
      </c>
      <c r="N16" s="80"/>
      <c r="O16" s="123" t="s">
        <v>128</v>
      </c>
      <c r="P16" s="26">
        <v>12000000</v>
      </c>
    </row>
    <row r="17" spans="1:16" ht="60" customHeight="1" thickBot="1" x14ac:dyDescent="0.3">
      <c r="A17" s="106"/>
      <c r="B17" s="118"/>
      <c r="C17" s="110"/>
      <c r="D17" s="110"/>
      <c r="E17" s="112"/>
      <c r="F17" s="110"/>
      <c r="G17" s="110"/>
      <c r="H17" s="110"/>
      <c r="I17" s="120"/>
      <c r="J17" s="120"/>
      <c r="K17" s="81"/>
      <c r="L17" s="133"/>
      <c r="M17" s="120"/>
      <c r="N17" s="81"/>
      <c r="O17" s="120"/>
      <c r="P17" s="27">
        <v>45000000</v>
      </c>
    </row>
    <row r="18" spans="1:16" ht="60" customHeight="1" x14ac:dyDescent="0.25">
      <c r="A18" s="105">
        <v>8</v>
      </c>
      <c r="B18" s="117" t="s">
        <v>144</v>
      </c>
      <c r="C18" s="109"/>
      <c r="D18" s="109"/>
      <c r="E18" s="111" t="s">
        <v>145</v>
      </c>
      <c r="F18" s="109"/>
      <c r="G18" s="109"/>
      <c r="H18" s="109" t="s">
        <v>146</v>
      </c>
      <c r="I18" s="124" t="s">
        <v>147</v>
      </c>
      <c r="J18" s="123"/>
      <c r="K18" s="80"/>
      <c r="L18" s="132"/>
      <c r="M18" s="123" t="s">
        <v>148</v>
      </c>
      <c r="N18" s="80"/>
      <c r="O18" s="123" t="s">
        <v>149</v>
      </c>
      <c r="P18" s="26">
        <v>24000000</v>
      </c>
    </row>
    <row r="19" spans="1:16" ht="60" customHeight="1" thickBot="1" x14ac:dyDescent="0.3">
      <c r="A19" s="106"/>
      <c r="B19" s="118"/>
      <c r="C19" s="110"/>
      <c r="D19" s="110"/>
      <c r="E19" s="112"/>
      <c r="F19" s="110"/>
      <c r="G19" s="110"/>
      <c r="H19" s="110"/>
      <c r="I19" s="120"/>
      <c r="J19" s="120"/>
      <c r="K19" s="81"/>
      <c r="L19" s="133"/>
      <c r="M19" s="120"/>
      <c r="N19" s="81"/>
      <c r="O19" s="120"/>
      <c r="P19" s="27">
        <v>180000000</v>
      </c>
    </row>
    <row r="20" spans="1:16" ht="60" customHeight="1" x14ac:dyDescent="0.25">
      <c r="A20" s="105">
        <v>9</v>
      </c>
      <c r="B20" s="117"/>
      <c r="C20" s="109"/>
      <c r="D20" s="109"/>
      <c r="E20" s="111"/>
      <c r="F20" s="109"/>
      <c r="G20" s="109"/>
      <c r="H20" s="82"/>
      <c r="I20" s="124"/>
      <c r="J20" s="123"/>
      <c r="K20" s="80"/>
      <c r="L20" s="132"/>
      <c r="M20" s="123"/>
      <c r="N20" s="80"/>
      <c r="O20" s="123"/>
      <c r="P20" s="26"/>
    </row>
    <row r="21" spans="1:16" ht="60" customHeight="1" thickBot="1" x14ac:dyDescent="0.3">
      <c r="A21" s="106"/>
      <c r="B21" s="118"/>
      <c r="C21" s="110"/>
      <c r="D21" s="110"/>
      <c r="E21" s="112"/>
      <c r="F21" s="110"/>
      <c r="G21" s="110"/>
      <c r="H21" s="83"/>
      <c r="I21" s="120"/>
      <c r="J21" s="120"/>
      <c r="K21" s="81"/>
      <c r="L21" s="133"/>
      <c r="M21" s="120"/>
      <c r="N21" s="81"/>
      <c r="O21" s="120"/>
      <c r="P21" s="27"/>
    </row>
    <row r="22" spans="1:16" ht="25.5" customHeight="1" x14ac:dyDescent="0.25">
      <c r="A22" s="12"/>
      <c r="B22" s="136" t="s">
        <v>18</v>
      </c>
      <c r="C22" s="136"/>
      <c r="D22" s="13"/>
      <c r="E22" s="13"/>
      <c r="F22" s="13"/>
      <c r="G22" s="13"/>
      <c r="H22" s="13"/>
      <c r="I22" s="14"/>
      <c r="J22" s="13"/>
      <c r="K22" s="13"/>
      <c r="L22" s="13"/>
      <c r="M22" s="13"/>
      <c r="N22" s="13"/>
      <c r="O22" s="13"/>
      <c r="P22" s="138">
        <f>SUM(P4:P21)</f>
        <v>765500000</v>
      </c>
    </row>
    <row r="23" spans="1:16" ht="25.5" customHeight="1" thickBot="1" x14ac:dyDescent="0.3">
      <c r="A23" s="10"/>
      <c r="B23" s="137"/>
      <c r="C23" s="137"/>
      <c r="D23" s="11"/>
      <c r="E23" s="11"/>
      <c r="F23" s="11"/>
      <c r="G23" s="11"/>
      <c r="H23" s="11"/>
      <c r="I23" s="15"/>
      <c r="J23" s="11"/>
      <c r="K23" s="11"/>
      <c r="L23" s="11"/>
      <c r="M23" s="11"/>
      <c r="N23" s="11"/>
      <c r="O23" s="11"/>
      <c r="P23" s="139"/>
    </row>
  </sheetData>
  <mergeCells count="114">
    <mergeCell ref="B22:C23"/>
    <mergeCell ref="P22:P23"/>
    <mergeCell ref="G20:G21"/>
    <mergeCell ref="I20:I21"/>
    <mergeCell ref="J20:J21"/>
    <mergeCell ref="L20:L21"/>
    <mergeCell ref="M20:M21"/>
    <mergeCell ref="O20:O21"/>
    <mergeCell ref="J18:J19"/>
    <mergeCell ref="L18:L19"/>
    <mergeCell ref="M18:M19"/>
    <mergeCell ref="O18:O19"/>
    <mergeCell ref="A20:A21"/>
    <mergeCell ref="B20:B21"/>
    <mergeCell ref="C20:C21"/>
    <mergeCell ref="D20:D21"/>
    <mergeCell ref="E20:E21"/>
    <mergeCell ref="F20:F21"/>
    <mergeCell ref="O16:O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G16:G17"/>
    <mergeCell ref="H16:H17"/>
    <mergeCell ref="I16:I17"/>
    <mergeCell ref="J16:J17"/>
    <mergeCell ref="L16:L17"/>
    <mergeCell ref="M16:M17"/>
    <mergeCell ref="A16:A17"/>
    <mergeCell ref="B16:B17"/>
    <mergeCell ref="C16:C17"/>
    <mergeCell ref="D16:D17"/>
    <mergeCell ref="E16:E17"/>
    <mergeCell ref="F16:F17"/>
    <mergeCell ref="G14:G15"/>
    <mergeCell ref="I14:I15"/>
    <mergeCell ref="J14:J15"/>
    <mergeCell ref="L14:L15"/>
    <mergeCell ref="M14:M15"/>
    <mergeCell ref="O14:O15"/>
    <mergeCell ref="A14:A15"/>
    <mergeCell ref="B14:B15"/>
    <mergeCell ref="C14:C15"/>
    <mergeCell ref="D14:D15"/>
    <mergeCell ref="E14:E15"/>
    <mergeCell ref="F14:F15"/>
    <mergeCell ref="G12:G13"/>
    <mergeCell ref="I12:I13"/>
    <mergeCell ref="J12:J13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L10:L11"/>
    <mergeCell ref="M10:M11"/>
    <mergeCell ref="O10:O11"/>
    <mergeCell ref="A10:A11"/>
    <mergeCell ref="B10:B11"/>
    <mergeCell ref="C10:C11"/>
    <mergeCell ref="D10:D11"/>
    <mergeCell ref="E10:E11"/>
    <mergeCell ref="F10:F11"/>
    <mergeCell ref="A8:A9"/>
    <mergeCell ref="B8:B9"/>
    <mergeCell ref="C8:C9"/>
    <mergeCell ref="D8:D9"/>
    <mergeCell ref="E8:E9"/>
    <mergeCell ref="F8:F9"/>
    <mergeCell ref="G10:G11"/>
    <mergeCell ref="I10:I11"/>
    <mergeCell ref="J10:J11"/>
    <mergeCell ref="O6:O7"/>
    <mergeCell ref="L4:L5"/>
    <mergeCell ref="M4:M5"/>
    <mergeCell ref="O4:O5"/>
    <mergeCell ref="G8:G9"/>
    <mergeCell ref="I8:I9"/>
    <mergeCell ref="J8:J9"/>
    <mergeCell ref="L8:L9"/>
    <mergeCell ref="M8:M9"/>
    <mergeCell ref="O8:O9"/>
    <mergeCell ref="A6:A7"/>
    <mergeCell ref="B6:B7"/>
    <mergeCell ref="C6:C7"/>
    <mergeCell ref="D6:D7"/>
    <mergeCell ref="E6:E7"/>
    <mergeCell ref="F6:F7"/>
    <mergeCell ref="G6:G7"/>
    <mergeCell ref="A1:N2"/>
    <mergeCell ref="A4:A5"/>
    <mergeCell ref="B4:B5"/>
    <mergeCell ref="C4:C5"/>
    <mergeCell ref="D4:D5"/>
    <mergeCell ref="E4:E5"/>
    <mergeCell ref="F4:F5"/>
    <mergeCell ref="G4:G5"/>
    <mergeCell ref="I4:I5"/>
    <mergeCell ref="J4:J5"/>
    <mergeCell ref="H6:H7"/>
    <mergeCell ref="I6:I7"/>
    <mergeCell ref="J6:J7"/>
    <mergeCell ref="L6:L7"/>
    <mergeCell ref="M6:M7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4EB0-33AB-4749-9D83-E20DA0E399DE}">
  <sheetPr>
    <pageSetUpPr fitToPage="1"/>
  </sheetPr>
  <dimension ref="A1:P23"/>
  <sheetViews>
    <sheetView rightToLeft="1" view="pageLayout" topLeftCell="A16" zoomScale="70" zoomScaleNormal="100" zoomScalePageLayoutView="70" workbookViewId="0">
      <selection activeCell="B20" sqref="B20:B21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21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0.25" customHeight="1" x14ac:dyDescent="0.25">
      <c r="A4" s="105">
        <v>1</v>
      </c>
      <c r="B4" s="107" t="s">
        <v>26</v>
      </c>
      <c r="C4" s="109"/>
      <c r="D4" s="109"/>
      <c r="E4" s="111" t="s">
        <v>64</v>
      </c>
      <c r="F4" s="109"/>
      <c r="G4" s="109">
        <v>738</v>
      </c>
      <c r="H4" s="86"/>
      <c r="I4" s="124" t="s">
        <v>100</v>
      </c>
      <c r="J4" s="123"/>
      <c r="K4" s="85"/>
      <c r="L4" s="121" t="s">
        <v>60</v>
      </c>
      <c r="M4" s="123" t="s">
        <v>27</v>
      </c>
      <c r="N4" s="85" t="s">
        <v>16</v>
      </c>
      <c r="O4" s="123" t="s">
        <v>27</v>
      </c>
      <c r="P4" s="26">
        <v>95000000</v>
      </c>
    </row>
    <row r="5" spans="1:16" ht="50.25" customHeight="1" thickBot="1" x14ac:dyDescent="0.3">
      <c r="A5" s="106"/>
      <c r="B5" s="108"/>
      <c r="C5" s="110"/>
      <c r="D5" s="110"/>
      <c r="E5" s="112"/>
      <c r="F5" s="110"/>
      <c r="G5" s="110"/>
      <c r="H5" s="87"/>
      <c r="I5" s="120"/>
      <c r="J5" s="120"/>
      <c r="K5" s="84"/>
      <c r="L5" s="122"/>
      <c r="M5" s="120"/>
      <c r="N5" s="84"/>
      <c r="O5" s="120"/>
      <c r="P5" s="27">
        <v>25000000</v>
      </c>
    </row>
    <row r="6" spans="1:16" ht="50.25" customHeight="1" x14ac:dyDescent="0.25">
      <c r="A6" s="105">
        <v>2</v>
      </c>
      <c r="B6" s="107" t="s">
        <v>102</v>
      </c>
      <c r="C6" s="109"/>
      <c r="D6" s="109"/>
      <c r="E6" s="111">
        <v>1</v>
      </c>
      <c r="F6" s="130"/>
      <c r="G6" s="109"/>
      <c r="H6" s="126" t="s">
        <v>105</v>
      </c>
      <c r="I6" s="123" t="s">
        <v>116</v>
      </c>
      <c r="J6" s="123" t="s">
        <v>52</v>
      </c>
      <c r="K6" s="85"/>
      <c r="L6" s="123" t="s">
        <v>60</v>
      </c>
      <c r="M6" s="123"/>
      <c r="N6" s="85"/>
      <c r="O6" s="123" t="s">
        <v>106</v>
      </c>
      <c r="P6" s="26">
        <v>12500000</v>
      </c>
    </row>
    <row r="7" spans="1:16" ht="50.25" customHeight="1" thickBot="1" x14ac:dyDescent="0.3">
      <c r="A7" s="106"/>
      <c r="B7" s="108"/>
      <c r="C7" s="110"/>
      <c r="D7" s="110"/>
      <c r="E7" s="112"/>
      <c r="F7" s="130"/>
      <c r="G7" s="110"/>
      <c r="H7" s="144"/>
      <c r="I7" s="120"/>
      <c r="J7" s="120"/>
      <c r="K7" s="84"/>
      <c r="L7" s="120"/>
      <c r="M7" s="120"/>
      <c r="N7" s="84"/>
      <c r="O7" s="120"/>
      <c r="P7" s="27">
        <v>75000000</v>
      </c>
    </row>
    <row r="8" spans="1:16" ht="50.25" customHeight="1" x14ac:dyDescent="0.25">
      <c r="A8" s="105">
        <v>3</v>
      </c>
      <c r="B8" s="117" t="s">
        <v>26</v>
      </c>
      <c r="C8" s="109"/>
      <c r="D8" s="109"/>
      <c r="E8" s="111" t="s">
        <v>31</v>
      </c>
      <c r="F8" s="109"/>
      <c r="G8" s="109">
        <v>692</v>
      </c>
      <c r="H8" s="86"/>
      <c r="I8" s="124" t="s">
        <v>100</v>
      </c>
      <c r="J8" s="123"/>
      <c r="K8" s="85"/>
      <c r="L8" s="132" t="s">
        <v>60</v>
      </c>
      <c r="M8" s="123" t="s">
        <v>27</v>
      </c>
      <c r="N8" s="85" t="s">
        <v>16</v>
      </c>
      <c r="O8" s="123" t="s">
        <v>27</v>
      </c>
      <c r="P8" s="26">
        <v>95000000</v>
      </c>
    </row>
    <row r="9" spans="1:16" ht="50.25" customHeight="1" thickBot="1" x14ac:dyDescent="0.3">
      <c r="A9" s="106"/>
      <c r="B9" s="118"/>
      <c r="C9" s="110"/>
      <c r="D9" s="110"/>
      <c r="E9" s="112"/>
      <c r="F9" s="110"/>
      <c r="G9" s="110"/>
      <c r="H9" s="87"/>
      <c r="I9" s="120"/>
      <c r="J9" s="120"/>
      <c r="K9" s="84"/>
      <c r="L9" s="133"/>
      <c r="M9" s="120"/>
      <c r="N9" s="84"/>
      <c r="O9" s="120"/>
      <c r="P9" s="27">
        <v>25000000</v>
      </c>
    </row>
    <row r="10" spans="1:16" ht="60" customHeight="1" x14ac:dyDescent="0.25">
      <c r="A10" s="105">
        <v>4</v>
      </c>
      <c r="B10" s="117" t="s">
        <v>129</v>
      </c>
      <c r="C10" s="109"/>
      <c r="D10" s="109"/>
      <c r="E10" s="111">
        <v>30256</v>
      </c>
      <c r="F10" s="109"/>
      <c r="G10" s="109">
        <v>1005</v>
      </c>
      <c r="H10" s="86" t="s">
        <v>120</v>
      </c>
      <c r="I10" s="124" t="s">
        <v>126</v>
      </c>
      <c r="J10" s="123"/>
      <c r="K10" s="85"/>
      <c r="L10" s="132"/>
      <c r="M10" s="123" t="s">
        <v>27</v>
      </c>
      <c r="N10" s="85" t="s">
        <v>127</v>
      </c>
      <c r="O10" s="123" t="s">
        <v>130</v>
      </c>
      <c r="P10" s="26">
        <v>18000000</v>
      </c>
    </row>
    <row r="11" spans="1:16" ht="60" customHeight="1" thickBot="1" x14ac:dyDescent="0.3">
      <c r="A11" s="106"/>
      <c r="B11" s="118"/>
      <c r="C11" s="110"/>
      <c r="D11" s="110"/>
      <c r="E11" s="112"/>
      <c r="F11" s="110"/>
      <c r="G11" s="110"/>
      <c r="H11" s="87"/>
      <c r="I11" s="120"/>
      <c r="J11" s="120"/>
      <c r="K11" s="84"/>
      <c r="L11" s="133"/>
      <c r="M11" s="120"/>
      <c r="N11" s="84"/>
      <c r="O11" s="120"/>
      <c r="P11" s="27">
        <v>48000000</v>
      </c>
    </row>
    <row r="12" spans="1:16" ht="76.5" customHeight="1" x14ac:dyDescent="0.25">
      <c r="A12" s="105">
        <v>5</v>
      </c>
      <c r="B12" s="117" t="s">
        <v>125</v>
      </c>
      <c r="C12" s="109"/>
      <c r="D12" s="109"/>
      <c r="E12" s="111">
        <v>29087</v>
      </c>
      <c r="F12" s="109"/>
      <c r="G12" s="109">
        <v>1005</v>
      </c>
      <c r="H12" s="86" t="s">
        <v>120</v>
      </c>
      <c r="I12" s="124" t="s">
        <v>126</v>
      </c>
      <c r="J12" s="123"/>
      <c r="K12" s="85"/>
      <c r="L12" s="132"/>
      <c r="M12" s="123" t="s">
        <v>27</v>
      </c>
      <c r="N12" s="85" t="s">
        <v>127</v>
      </c>
      <c r="O12" s="123" t="s">
        <v>128</v>
      </c>
      <c r="P12" s="26">
        <v>12000000</v>
      </c>
    </row>
    <row r="13" spans="1:16" ht="76.5" customHeight="1" thickBot="1" x14ac:dyDescent="0.3">
      <c r="A13" s="106"/>
      <c r="B13" s="118"/>
      <c r="C13" s="110"/>
      <c r="D13" s="110"/>
      <c r="E13" s="112"/>
      <c r="F13" s="110"/>
      <c r="G13" s="110"/>
      <c r="H13" s="87"/>
      <c r="I13" s="120"/>
      <c r="J13" s="120"/>
      <c r="K13" s="84"/>
      <c r="L13" s="133"/>
      <c r="M13" s="120"/>
      <c r="N13" s="84"/>
      <c r="O13" s="120"/>
      <c r="P13" s="27">
        <v>42000000</v>
      </c>
    </row>
    <row r="14" spans="1:16" ht="60" customHeight="1" x14ac:dyDescent="0.25">
      <c r="A14" s="105">
        <v>6</v>
      </c>
      <c r="B14" s="117" t="s">
        <v>24</v>
      </c>
      <c r="C14" s="109"/>
      <c r="D14" s="109"/>
      <c r="E14" s="111" t="s">
        <v>137</v>
      </c>
      <c r="F14" s="109"/>
      <c r="G14" s="109"/>
      <c r="H14" s="86"/>
      <c r="I14" s="124" t="s">
        <v>139</v>
      </c>
      <c r="J14" s="123"/>
      <c r="K14" s="85"/>
      <c r="L14" s="132" t="s">
        <v>140</v>
      </c>
      <c r="M14" s="123" t="s">
        <v>27</v>
      </c>
      <c r="N14" s="85"/>
      <c r="O14" s="123" t="s">
        <v>128</v>
      </c>
      <c r="P14" s="26">
        <v>12000000</v>
      </c>
    </row>
    <row r="15" spans="1:16" ht="60" customHeight="1" thickBot="1" x14ac:dyDescent="0.3">
      <c r="A15" s="106"/>
      <c r="B15" s="118"/>
      <c r="C15" s="110"/>
      <c r="D15" s="110"/>
      <c r="E15" s="112"/>
      <c r="F15" s="110"/>
      <c r="G15" s="110"/>
      <c r="H15" s="87" t="s">
        <v>138</v>
      </c>
      <c r="I15" s="120"/>
      <c r="J15" s="120"/>
      <c r="K15" s="84"/>
      <c r="L15" s="133"/>
      <c r="M15" s="120"/>
      <c r="N15" s="84"/>
      <c r="O15" s="120"/>
      <c r="P15" s="27">
        <v>45000000</v>
      </c>
    </row>
    <row r="16" spans="1:16" ht="60" customHeight="1" x14ac:dyDescent="0.25">
      <c r="A16" s="105">
        <v>7</v>
      </c>
      <c r="B16" s="117" t="s">
        <v>141</v>
      </c>
      <c r="C16" s="109"/>
      <c r="D16" s="109"/>
      <c r="E16" s="111" t="s">
        <v>142</v>
      </c>
      <c r="F16" s="109"/>
      <c r="G16" s="109"/>
      <c r="H16" s="109" t="s">
        <v>138</v>
      </c>
      <c r="I16" s="124" t="s">
        <v>143</v>
      </c>
      <c r="J16" s="123"/>
      <c r="K16" s="85"/>
      <c r="L16" s="132" t="s">
        <v>140</v>
      </c>
      <c r="M16" s="123" t="s">
        <v>27</v>
      </c>
      <c r="N16" s="85"/>
      <c r="O16" s="123" t="s">
        <v>128</v>
      </c>
      <c r="P16" s="26">
        <v>12000000</v>
      </c>
    </row>
    <row r="17" spans="1:16" ht="60" customHeight="1" thickBot="1" x14ac:dyDescent="0.3">
      <c r="A17" s="106"/>
      <c r="B17" s="118"/>
      <c r="C17" s="110"/>
      <c r="D17" s="110"/>
      <c r="E17" s="112"/>
      <c r="F17" s="110"/>
      <c r="G17" s="110"/>
      <c r="H17" s="110"/>
      <c r="I17" s="120"/>
      <c r="J17" s="120"/>
      <c r="K17" s="84"/>
      <c r="L17" s="133"/>
      <c r="M17" s="120"/>
      <c r="N17" s="84"/>
      <c r="O17" s="120"/>
      <c r="P17" s="27">
        <v>45000000</v>
      </c>
    </row>
    <row r="18" spans="1:16" ht="60" customHeight="1" x14ac:dyDescent="0.25">
      <c r="A18" s="105">
        <v>8</v>
      </c>
      <c r="B18" s="117" t="s">
        <v>144</v>
      </c>
      <c r="C18" s="109"/>
      <c r="D18" s="109"/>
      <c r="E18" s="111" t="s">
        <v>145</v>
      </c>
      <c r="F18" s="109"/>
      <c r="G18" s="109"/>
      <c r="H18" s="109" t="s">
        <v>146</v>
      </c>
      <c r="I18" s="124" t="s">
        <v>147</v>
      </c>
      <c r="J18" s="123"/>
      <c r="K18" s="85"/>
      <c r="L18" s="132"/>
      <c r="M18" s="123" t="s">
        <v>148</v>
      </c>
      <c r="N18" s="85"/>
      <c r="O18" s="123" t="s">
        <v>149</v>
      </c>
      <c r="P18" s="26">
        <v>24000000</v>
      </c>
    </row>
    <row r="19" spans="1:16" ht="60" customHeight="1" thickBot="1" x14ac:dyDescent="0.3">
      <c r="A19" s="106"/>
      <c r="B19" s="118"/>
      <c r="C19" s="110"/>
      <c r="D19" s="110"/>
      <c r="E19" s="112"/>
      <c r="F19" s="110"/>
      <c r="G19" s="110"/>
      <c r="H19" s="110"/>
      <c r="I19" s="120"/>
      <c r="J19" s="120"/>
      <c r="K19" s="84"/>
      <c r="L19" s="133"/>
      <c r="M19" s="120"/>
      <c r="N19" s="84"/>
      <c r="O19" s="120"/>
      <c r="P19" s="27">
        <v>180000000</v>
      </c>
    </row>
    <row r="20" spans="1:16" ht="60" customHeight="1" x14ac:dyDescent="0.25">
      <c r="A20" s="105">
        <v>9</v>
      </c>
      <c r="B20" s="117"/>
      <c r="C20" s="109"/>
      <c r="D20" s="109"/>
      <c r="E20" s="111"/>
      <c r="F20" s="109"/>
      <c r="G20" s="109"/>
      <c r="H20" s="86"/>
      <c r="I20" s="124"/>
      <c r="J20" s="123"/>
      <c r="K20" s="85"/>
      <c r="L20" s="132"/>
      <c r="M20" s="123"/>
      <c r="N20" s="85"/>
      <c r="O20" s="123"/>
      <c r="P20" s="26"/>
    </row>
    <row r="21" spans="1:16" ht="60" customHeight="1" thickBot="1" x14ac:dyDescent="0.3">
      <c r="A21" s="106"/>
      <c r="B21" s="118"/>
      <c r="C21" s="110"/>
      <c r="D21" s="110"/>
      <c r="E21" s="112"/>
      <c r="F21" s="110"/>
      <c r="G21" s="110"/>
      <c r="H21" s="87"/>
      <c r="I21" s="120"/>
      <c r="J21" s="120"/>
      <c r="K21" s="84"/>
      <c r="L21" s="133"/>
      <c r="M21" s="120"/>
      <c r="N21" s="84"/>
      <c r="O21" s="120"/>
      <c r="P21" s="27"/>
    </row>
    <row r="22" spans="1:16" ht="25.5" customHeight="1" x14ac:dyDescent="0.25">
      <c r="A22" s="12"/>
      <c r="B22" s="136" t="s">
        <v>18</v>
      </c>
      <c r="C22" s="136"/>
      <c r="D22" s="13"/>
      <c r="E22" s="13"/>
      <c r="F22" s="13"/>
      <c r="G22" s="13"/>
      <c r="H22" s="13"/>
      <c r="I22" s="14"/>
      <c r="J22" s="13"/>
      <c r="K22" s="13"/>
      <c r="L22" s="13"/>
      <c r="M22" s="13"/>
      <c r="N22" s="13"/>
      <c r="O22" s="13"/>
      <c r="P22" s="138">
        <f>SUM(P4:P21)</f>
        <v>765500000</v>
      </c>
    </row>
    <row r="23" spans="1:16" ht="25.5" customHeight="1" thickBot="1" x14ac:dyDescent="0.3">
      <c r="A23" s="10"/>
      <c r="B23" s="137"/>
      <c r="C23" s="137"/>
      <c r="D23" s="11"/>
      <c r="E23" s="11"/>
      <c r="F23" s="11"/>
      <c r="G23" s="11"/>
      <c r="H23" s="11"/>
      <c r="I23" s="15"/>
      <c r="J23" s="11"/>
      <c r="K23" s="11"/>
      <c r="L23" s="11"/>
      <c r="M23" s="11"/>
      <c r="N23" s="11"/>
      <c r="O23" s="11"/>
      <c r="P23" s="139"/>
    </row>
  </sheetData>
  <mergeCells count="114">
    <mergeCell ref="A6:A7"/>
    <mergeCell ref="B6:B7"/>
    <mergeCell ref="C6:C7"/>
    <mergeCell ref="D6:D7"/>
    <mergeCell ref="E6:E7"/>
    <mergeCell ref="F6:F7"/>
    <mergeCell ref="G6:G7"/>
    <mergeCell ref="A1:N2"/>
    <mergeCell ref="A4:A5"/>
    <mergeCell ref="B4:B5"/>
    <mergeCell ref="C4:C5"/>
    <mergeCell ref="D4:D5"/>
    <mergeCell ref="E4:E5"/>
    <mergeCell ref="F4:F5"/>
    <mergeCell ref="G4:G5"/>
    <mergeCell ref="I4:I5"/>
    <mergeCell ref="J4:J5"/>
    <mergeCell ref="H6:H7"/>
    <mergeCell ref="I6:I7"/>
    <mergeCell ref="J6:J7"/>
    <mergeCell ref="L6:L7"/>
    <mergeCell ref="M6:M7"/>
    <mergeCell ref="O6:O7"/>
    <mergeCell ref="L4:L5"/>
    <mergeCell ref="M4:M5"/>
    <mergeCell ref="O4:O5"/>
    <mergeCell ref="G8:G9"/>
    <mergeCell ref="I8:I9"/>
    <mergeCell ref="J8:J9"/>
    <mergeCell ref="L8:L9"/>
    <mergeCell ref="M8:M9"/>
    <mergeCell ref="O8:O9"/>
    <mergeCell ref="A8:A9"/>
    <mergeCell ref="B8:B9"/>
    <mergeCell ref="C8:C9"/>
    <mergeCell ref="D8:D9"/>
    <mergeCell ref="E8:E9"/>
    <mergeCell ref="F8:F9"/>
    <mergeCell ref="G10:G11"/>
    <mergeCell ref="I10:I11"/>
    <mergeCell ref="J10:J11"/>
    <mergeCell ref="L10:L11"/>
    <mergeCell ref="M10:M11"/>
    <mergeCell ref="O10:O11"/>
    <mergeCell ref="A10:A11"/>
    <mergeCell ref="B10:B11"/>
    <mergeCell ref="C10:C11"/>
    <mergeCell ref="D10:D11"/>
    <mergeCell ref="E10:E11"/>
    <mergeCell ref="F10:F11"/>
    <mergeCell ref="O14:O15"/>
    <mergeCell ref="A14:A15"/>
    <mergeCell ref="B14:B15"/>
    <mergeCell ref="C14:C15"/>
    <mergeCell ref="D14:D15"/>
    <mergeCell ref="E14:E15"/>
    <mergeCell ref="F14:F15"/>
    <mergeCell ref="G12:G13"/>
    <mergeCell ref="I12:I13"/>
    <mergeCell ref="J12:J13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C16:C17"/>
    <mergeCell ref="D16:D17"/>
    <mergeCell ref="E16:E17"/>
    <mergeCell ref="F16:F17"/>
    <mergeCell ref="G14:G15"/>
    <mergeCell ref="I14:I15"/>
    <mergeCell ref="J14:J15"/>
    <mergeCell ref="L14:L15"/>
    <mergeCell ref="M14:M15"/>
    <mergeCell ref="A20:A21"/>
    <mergeCell ref="B20:B21"/>
    <mergeCell ref="C20:C21"/>
    <mergeCell ref="D20:D21"/>
    <mergeCell ref="E20:E21"/>
    <mergeCell ref="F20:F21"/>
    <mergeCell ref="O16:O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G16:G17"/>
    <mergeCell ref="H16:H17"/>
    <mergeCell ref="I16:I17"/>
    <mergeCell ref="J16:J17"/>
    <mergeCell ref="L16:L17"/>
    <mergeCell ref="M16:M17"/>
    <mergeCell ref="A16:A17"/>
    <mergeCell ref="B16:B17"/>
    <mergeCell ref="B22:C23"/>
    <mergeCell ref="P22:P23"/>
    <mergeCell ref="G20:G21"/>
    <mergeCell ref="I20:I21"/>
    <mergeCell ref="J20:J21"/>
    <mergeCell ref="L20:L21"/>
    <mergeCell ref="M20:M21"/>
    <mergeCell ref="O20:O21"/>
    <mergeCell ref="J18:J19"/>
    <mergeCell ref="L18:L19"/>
    <mergeCell ref="M18:M19"/>
    <mergeCell ref="O18:O19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06B40-5EBB-4EBD-BA3D-40B15843A2DD}">
  <sheetPr>
    <pageSetUpPr fitToPage="1"/>
  </sheetPr>
  <dimension ref="A1:P27"/>
  <sheetViews>
    <sheetView rightToLeft="1" view="pageLayout" topLeftCell="A22" zoomScale="70" zoomScaleNormal="100" zoomScalePageLayoutView="70" workbookViewId="0">
      <selection activeCell="A3" sqref="A3:P27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8" width="11.28515625" customWidth="1"/>
    <col min="9" max="9" width="11.28515625" style="104" customWidth="1"/>
    <col min="10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22</v>
      </c>
    </row>
    <row r="3" spans="1:16" ht="73.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6.25" customHeight="1" x14ac:dyDescent="0.25">
      <c r="A4" s="105">
        <v>1</v>
      </c>
      <c r="B4" s="150" t="s">
        <v>26</v>
      </c>
      <c r="C4" s="109"/>
      <c r="D4" s="109"/>
      <c r="E4" s="111" t="s">
        <v>64</v>
      </c>
      <c r="F4" s="109"/>
      <c r="G4" s="109">
        <v>738</v>
      </c>
      <c r="H4" s="86" t="s">
        <v>157</v>
      </c>
      <c r="I4" s="95" t="s">
        <v>100</v>
      </c>
      <c r="J4" s="123" t="s">
        <v>156</v>
      </c>
      <c r="K4" s="85"/>
      <c r="L4" s="121" t="s">
        <v>60</v>
      </c>
      <c r="M4" s="123" t="s">
        <v>27</v>
      </c>
      <c r="N4" s="85" t="s">
        <v>16</v>
      </c>
      <c r="O4" s="123" t="s">
        <v>27</v>
      </c>
      <c r="P4" s="26">
        <v>95000000</v>
      </c>
    </row>
    <row r="5" spans="1:16" ht="56.25" customHeight="1" thickBot="1" x14ac:dyDescent="0.3">
      <c r="A5" s="106"/>
      <c r="B5" s="151"/>
      <c r="C5" s="110"/>
      <c r="D5" s="110"/>
      <c r="E5" s="112"/>
      <c r="F5" s="110"/>
      <c r="G5" s="110"/>
      <c r="H5" s="87"/>
      <c r="I5" s="91" t="s">
        <v>143</v>
      </c>
      <c r="J5" s="120"/>
      <c r="K5" s="84"/>
      <c r="L5" s="122"/>
      <c r="M5" s="120"/>
      <c r="N5" s="84"/>
      <c r="O5" s="120"/>
      <c r="P5" s="27">
        <v>25000000</v>
      </c>
    </row>
    <row r="6" spans="1:16" ht="56.25" customHeight="1" x14ac:dyDescent="0.25">
      <c r="A6" s="105">
        <v>2</v>
      </c>
      <c r="B6" s="150" t="s">
        <v>102</v>
      </c>
      <c r="C6" s="109"/>
      <c r="D6" s="109"/>
      <c r="E6" s="111">
        <v>1</v>
      </c>
      <c r="F6" s="130"/>
      <c r="G6" s="109"/>
      <c r="H6" s="126" t="s">
        <v>105</v>
      </c>
      <c r="I6" s="90" t="s">
        <v>116</v>
      </c>
      <c r="J6" s="123" t="s">
        <v>52</v>
      </c>
      <c r="K6" s="88"/>
      <c r="L6" s="123" t="s">
        <v>60</v>
      </c>
      <c r="M6" s="123"/>
      <c r="N6" s="88"/>
      <c r="O6" s="123" t="s">
        <v>106</v>
      </c>
      <c r="P6" s="26">
        <v>12500000</v>
      </c>
    </row>
    <row r="7" spans="1:16" ht="56.25" customHeight="1" thickBot="1" x14ac:dyDescent="0.3">
      <c r="A7" s="106"/>
      <c r="B7" s="151"/>
      <c r="C7" s="110"/>
      <c r="D7" s="110"/>
      <c r="E7" s="112"/>
      <c r="F7" s="130"/>
      <c r="G7" s="110"/>
      <c r="H7" s="144"/>
      <c r="I7" s="91" t="s">
        <v>143</v>
      </c>
      <c r="J7" s="120"/>
      <c r="K7" s="89"/>
      <c r="L7" s="120"/>
      <c r="M7" s="120"/>
      <c r="N7" s="89"/>
      <c r="O7" s="120"/>
      <c r="P7" s="27">
        <v>75000000</v>
      </c>
    </row>
    <row r="8" spans="1:16" ht="56.25" customHeight="1" x14ac:dyDescent="0.25">
      <c r="A8" s="105">
        <v>3</v>
      </c>
      <c r="B8" s="148" t="s">
        <v>26</v>
      </c>
      <c r="C8" s="109"/>
      <c r="D8" s="109"/>
      <c r="E8" s="111" t="s">
        <v>31</v>
      </c>
      <c r="F8" s="109"/>
      <c r="G8" s="109">
        <v>692</v>
      </c>
      <c r="H8" s="94" t="s">
        <v>157</v>
      </c>
      <c r="I8" s="95" t="s">
        <v>100</v>
      </c>
      <c r="J8" s="123" t="s">
        <v>156</v>
      </c>
      <c r="K8" s="85"/>
      <c r="L8" s="132" t="s">
        <v>60</v>
      </c>
      <c r="M8" s="123" t="s">
        <v>27</v>
      </c>
      <c r="N8" s="85" t="s">
        <v>16</v>
      </c>
      <c r="O8" s="123" t="s">
        <v>27</v>
      </c>
      <c r="P8" s="26">
        <v>95000000</v>
      </c>
    </row>
    <row r="9" spans="1:16" ht="56.25" customHeight="1" thickBot="1" x14ac:dyDescent="0.3">
      <c r="A9" s="106"/>
      <c r="B9" s="149"/>
      <c r="C9" s="110"/>
      <c r="D9" s="110"/>
      <c r="E9" s="112"/>
      <c r="F9" s="110"/>
      <c r="G9" s="110"/>
      <c r="H9" s="87"/>
      <c r="I9" s="91" t="s">
        <v>143</v>
      </c>
      <c r="J9" s="120"/>
      <c r="K9" s="84"/>
      <c r="L9" s="133"/>
      <c r="M9" s="120"/>
      <c r="N9" s="84"/>
      <c r="O9" s="120"/>
      <c r="P9" s="27">
        <v>25000000</v>
      </c>
    </row>
    <row r="10" spans="1:16" ht="63.75" customHeight="1" x14ac:dyDescent="0.25">
      <c r="A10" s="105">
        <v>4</v>
      </c>
      <c r="B10" s="148" t="s">
        <v>129</v>
      </c>
      <c r="C10" s="109"/>
      <c r="D10" s="109"/>
      <c r="E10" s="111">
        <v>30256</v>
      </c>
      <c r="F10" s="109"/>
      <c r="G10" s="109">
        <v>1005</v>
      </c>
      <c r="H10" s="86" t="s">
        <v>120</v>
      </c>
      <c r="I10" s="95" t="s">
        <v>126</v>
      </c>
      <c r="J10" s="123"/>
      <c r="K10" s="85"/>
      <c r="L10" s="132"/>
      <c r="M10" s="123" t="s">
        <v>27</v>
      </c>
      <c r="N10" s="85" t="s">
        <v>127</v>
      </c>
      <c r="O10" s="123" t="s">
        <v>130</v>
      </c>
      <c r="P10" s="26">
        <v>18000000</v>
      </c>
    </row>
    <row r="11" spans="1:16" ht="63.75" customHeight="1" thickBot="1" x14ac:dyDescent="0.3">
      <c r="A11" s="106"/>
      <c r="B11" s="149"/>
      <c r="C11" s="110"/>
      <c r="D11" s="110"/>
      <c r="E11" s="112"/>
      <c r="F11" s="110"/>
      <c r="G11" s="110"/>
      <c r="H11" s="87"/>
      <c r="I11" s="91"/>
      <c r="J11" s="120"/>
      <c r="K11" s="84"/>
      <c r="L11" s="133"/>
      <c r="M11" s="120"/>
      <c r="N11" s="84"/>
      <c r="O11" s="120"/>
      <c r="P11" s="27">
        <v>48000000</v>
      </c>
    </row>
    <row r="12" spans="1:16" ht="61.5" customHeight="1" x14ac:dyDescent="0.25">
      <c r="A12" s="105">
        <v>5</v>
      </c>
      <c r="B12" s="148" t="s">
        <v>125</v>
      </c>
      <c r="C12" s="109"/>
      <c r="D12" s="109"/>
      <c r="E12" s="111">
        <v>29087</v>
      </c>
      <c r="F12" s="109"/>
      <c r="G12" s="109">
        <v>1005</v>
      </c>
      <c r="H12" s="86" t="s">
        <v>120</v>
      </c>
      <c r="I12" s="95" t="s">
        <v>126</v>
      </c>
      <c r="J12" s="123"/>
      <c r="K12" s="85"/>
      <c r="L12" s="132"/>
      <c r="M12" s="123" t="s">
        <v>27</v>
      </c>
      <c r="N12" s="85" t="s">
        <v>127</v>
      </c>
      <c r="O12" s="123" t="s">
        <v>128</v>
      </c>
      <c r="P12" s="26">
        <v>12000000</v>
      </c>
    </row>
    <row r="13" spans="1:16" ht="61.5" customHeight="1" thickBot="1" x14ac:dyDescent="0.3">
      <c r="A13" s="106"/>
      <c r="B13" s="149"/>
      <c r="C13" s="110"/>
      <c r="D13" s="110"/>
      <c r="E13" s="112"/>
      <c r="F13" s="110"/>
      <c r="G13" s="110"/>
      <c r="H13" s="87"/>
      <c r="I13" s="91"/>
      <c r="J13" s="120"/>
      <c r="K13" s="84"/>
      <c r="L13" s="133"/>
      <c r="M13" s="120"/>
      <c r="N13" s="84"/>
      <c r="O13" s="120"/>
      <c r="P13" s="27">
        <v>42000000</v>
      </c>
    </row>
    <row r="14" spans="1:16" ht="56.25" customHeight="1" x14ac:dyDescent="0.25">
      <c r="A14" s="105">
        <v>6</v>
      </c>
      <c r="B14" s="148" t="s">
        <v>24</v>
      </c>
      <c r="C14" s="109"/>
      <c r="D14" s="109"/>
      <c r="E14" s="111" t="s">
        <v>137</v>
      </c>
      <c r="F14" s="109"/>
      <c r="G14" s="109"/>
      <c r="H14" s="86"/>
      <c r="I14" s="124" t="s">
        <v>139</v>
      </c>
      <c r="J14" s="123"/>
      <c r="K14" s="85"/>
      <c r="L14" s="132" t="s">
        <v>140</v>
      </c>
      <c r="M14" s="123" t="s">
        <v>27</v>
      </c>
      <c r="N14" s="85"/>
      <c r="O14" s="123" t="s">
        <v>128</v>
      </c>
      <c r="P14" s="26">
        <v>12000000</v>
      </c>
    </row>
    <row r="15" spans="1:16" ht="56.25" customHeight="1" thickBot="1" x14ac:dyDescent="0.3">
      <c r="A15" s="106"/>
      <c r="B15" s="149"/>
      <c r="C15" s="110"/>
      <c r="D15" s="110"/>
      <c r="E15" s="112"/>
      <c r="F15" s="110"/>
      <c r="G15" s="110"/>
      <c r="H15" s="87" t="s">
        <v>138</v>
      </c>
      <c r="I15" s="120"/>
      <c r="J15" s="120"/>
      <c r="K15" s="84"/>
      <c r="L15" s="133"/>
      <c r="M15" s="120"/>
      <c r="N15" s="84"/>
      <c r="O15" s="120"/>
      <c r="P15" s="27">
        <v>45000000</v>
      </c>
    </row>
    <row r="16" spans="1:16" ht="56.25" customHeight="1" x14ac:dyDescent="0.25">
      <c r="A16" s="105">
        <v>7</v>
      </c>
      <c r="B16" s="148" t="s">
        <v>141</v>
      </c>
      <c r="C16" s="109"/>
      <c r="D16" s="109"/>
      <c r="E16" s="111" t="s">
        <v>142</v>
      </c>
      <c r="F16" s="109"/>
      <c r="G16" s="109"/>
      <c r="H16" s="109" t="s">
        <v>138</v>
      </c>
      <c r="I16" s="124" t="s">
        <v>143</v>
      </c>
      <c r="J16" s="123"/>
      <c r="K16" s="85"/>
      <c r="L16" s="132" t="s">
        <v>140</v>
      </c>
      <c r="M16" s="123" t="s">
        <v>27</v>
      </c>
      <c r="N16" s="85"/>
      <c r="O16" s="123" t="s">
        <v>128</v>
      </c>
      <c r="P16" s="26">
        <v>12000000</v>
      </c>
    </row>
    <row r="17" spans="1:16" ht="56.25" customHeight="1" thickBot="1" x14ac:dyDescent="0.3">
      <c r="A17" s="106"/>
      <c r="B17" s="149"/>
      <c r="C17" s="110"/>
      <c r="D17" s="110"/>
      <c r="E17" s="112"/>
      <c r="F17" s="110"/>
      <c r="G17" s="110"/>
      <c r="H17" s="110"/>
      <c r="I17" s="120"/>
      <c r="J17" s="120"/>
      <c r="K17" s="84"/>
      <c r="L17" s="133"/>
      <c r="M17" s="120"/>
      <c r="N17" s="84"/>
      <c r="O17" s="120"/>
      <c r="P17" s="27">
        <v>45000000</v>
      </c>
    </row>
    <row r="18" spans="1:16" ht="56.25" customHeight="1" x14ac:dyDescent="0.25">
      <c r="A18" s="105">
        <v>8</v>
      </c>
      <c r="B18" s="148" t="s">
        <v>144</v>
      </c>
      <c r="C18" s="109"/>
      <c r="D18" s="109"/>
      <c r="E18" s="111" t="s">
        <v>145</v>
      </c>
      <c r="F18" s="109"/>
      <c r="G18" s="109"/>
      <c r="H18" s="109" t="s">
        <v>146</v>
      </c>
      <c r="I18" s="124" t="s">
        <v>147</v>
      </c>
      <c r="J18" s="123"/>
      <c r="K18" s="85"/>
      <c r="L18" s="132"/>
      <c r="M18" s="123" t="s">
        <v>148</v>
      </c>
      <c r="N18" s="85"/>
      <c r="O18" s="123" t="s">
        <v>149</v>
      </c>
      <c r="P18" s="26">
        <v>24000000</v>
      </c>
    </row>
    <row r="19" spans="1:16" ht="56.25" customHeight="1" thickBot="1" x14ac:dyDescent="0.3">
      <c r="A19" s="106"/>
      <c r="B19" s="149"/>
      <c r="C19" s="110"/>
      <c r="D19" s="110"/>
      <c r="E19" s="112"/>
      <c r="F19" s="110"/>
      <c r="G19" s="110"/>
      <c r="H19" s="110"/>
      <c r="I19" s="120"/>
      <c r="J19" s="120"/>
      <c r="K19" s="84"/>
      <c r="L19" s="133"/>
      <c r="M19" s="120"/>
      <c r="N19" s="84"/>
      <c r="O19" s="120"/>
      <c r="P19" s="27">
        <v>180000000</v>
      </c>
    </row>
    <row r="20" spans="1:16" ht="68.25" customHeight="1" x14ac:dyDescent="0.25">
      <c r="A20" s="105">
        <v>9</v>
      </c>
      <c r="B20" s="148" t="s">
        <v>151</v>
      </c>
      <c r="C20" s="109"/>
      <c r="D20" s="109"/>
      <c r="E20" s="111" t="s">
        <v>152</v>
      </c>
      <c r="F20" s="109"/>
      <c r="G20" s="109"/>
      <c r="H20" s="94" t="s">
        <v>153</v>
      </c>
      <c r="I20" s="124" t="s">
        <v>154</v>
      </c>
      <c r="J20" s="123"/>
      <c r="K20" s="90"/>
      <c r="L20" s="132" t="s">
        <v>140</v>
      </c>
      <c r="M20" s="123" t="s">
        <v>27</v>
      </c>
      <c r="N20" s="90"/>
      <c r="O20" s="123" t="s">
        <v>128</v>
      </c>
      <c r="P20" s="26"/>
    </row>
    <row r="21" spans="1:16" ht="68.25" customHeight="1" thickBot="1" x14ac:dyDescent="0.3">
      <c r="A21" s="106"/>
      <c r="B21" s="149"/>
      <c r="C21" s="110"/>
      <c r="D21" s="110"/>
      <c r="E21" s="112"/>
      <c r="F21" s="110"/>
      <c r="G21" s="110"/>
      <c r="H21" s="96"/>
      <c r="I21" s="120"/>
      <c r="J21" s="120"/>
      <c r="K21" s="91"/>
      <c r="L21" s="133"/>
      <c r="M21" s="120"/>
      <c r="N21" s="91"/>
      <c r="O21" s="120"/>
      <c r="P21" s="27"/>
    </row>
    <row r="22" spans="1:16" ht="68.25" customHeight="1" x14ac:dyDescent="0.25">
      <c r="A22" s="105">
        <v>10</v>
      </c>
      <c r="B22" s="148" t="s">
        <v>158</v>
      </c>
      <c r="C22" s="109"/>
      <c r="D22" s="109"/>
      <c r="E22" s="111">
        <v>1</v>
      </c>
      <c r="F22" s="109"/>
      <c r="G22" s="109">
        <v>1722</v>
      </c>
      <c r="H22" s="94" t="s">
        <v>159</v>
      </c>
      <c r="I22" s="124" t="s">
        <v>160</v>
      </c>
      <c r="J22" s="123"/>
      <c r="K22" s="90"/>
      <c r="L22" s="132" t="s">
        <v>161</v>
      </c>
      <c r="M22" s="123" t="s">
        <v>162</v>
      </c>
      <c r="N22" s="90"/>
      <c r="O22" s="123" t="s">
        <v>163</v>
      </c>
      <c r="P22" s="26">
        <v>95000000</v>
      </c>
    </row>
    <row r="23" spans="1:16" ht="68.25" customHeight="1" thickBot="1" x14ac:dyDescent="0.3">
      <c r="A23" s="106"/>
      <c r="B23" s="149"/>
      <c r="C23" s="110"/>
      <c r="D23" s="110"/>
      <c r="E23" s="112"/>
      <c r="F23" s="110"/>
      <c r="G23" s="110"/>
      <c r="H23" s="96"/>
      <c r="I23" s="120"/>
      <c r="J23" s="120"/>
      <c r="K23" s="91"/>
      <c r="L23" s="133"/>
      <c r="M23" s="120"/>
      <c r="N23" s="91"/>
      <c r="O23" s="120"/>
      <c r="P23" s="27"/>
    </row>
    <row r="24" spans="1:16" ht="56.25" customHeight="1" x14ac:dyDescent="0.25">
      <c r="A24" s="105">
        <v>11</v>
      </c>
      <c r="B24" s="148" t="s">
        <v>155</v>
      </c>
      <c r="C24" s="109"/>
      <c r="D24" s="109"/>
      <c r="E24" s="111" t="s">
        <v>152</v>
      </c>
      <c r="F24" s="109"/>
      <c r="G24" s="109"/>
      <c r="H24" s="86" t="s">
        <v>153</v>
      </c>
      <c r="I24" s="124" t="s">
        <v>154</v>
      </c>
      <c r="J24" s="123"/>
      <c r="K24" s="85"/>
      <c r="L24" s="132" t="s">
        <v>140</v>
      </c>
      <c r="M24" s="123" t="s">
        <v>27</v>
      </c>
      <c r="N24" s="85"/>
      <c r="O24" s="123" t="s">
        <v>128</v>
      </c>
      <c r="P24" s="26">
        <v>95000000</v>
      </c>
    </row>
    <row r="25" spans="1:16" ht="56.25" customHeight="1" thickBot="1" x14ac:dyDescent="0.3">
      <c r="A25" s="106"/>
      <c r="B25" s="149"/>
      <c r="C25" s="110"/>
      <c r="D25" s="110"/>
      <c r="E25" s="112"/>
      <c r="F25" s="110"/>
      <c r="G25" s="110"/>
      <c r="H25" s="87"/>
      <c r="I25" s="120"/>
      <c r="J25" s="120"/>
      <c r="K25" s="84"/>
      <c r="L25" s="133"/>
      <c r="M25" s="120"/>
      <c r="N25" s="84"/>
      <c r="O25" s="120"/>
      <c r="P25" s="27">
        <v>25000000</v>
      </c>
    </row>
    <row r="26" spans="1:16" ht="25.5" customHeight="1" x14ac:dyDescent="0.25">
      <c r="A26" s="12"/>
      <c r="B26" s="136" t="s">
        <v>18</v>
      </c>
      <c r="C26" s="136"/>
      <c r="D26" s="13"/>
      <c r="E26" s="13"/>
      <c r="F26" s="13"/>
      <c r="G26" s="13"/>
      <c r="H26" s="13"/>
      <c r="I26" s="92"/>
      <c r="J26" s="13"/>
      <c r="K26" s="13"/>
      <c r="L26" s="13"/>
      <c r="M26" s="13"/>
      <c r="N26" s="13"/>
      <c r="O26" s="13"/>
      <c r="P26" s="138">
        <f>SUM(P4:P25)</f>
        <v>980500000</v>
      </c>
    </row>
    <row r="27" spans="1:16" ht="25.5" customHeight="1" thickBot="1" x14ac:dyDescent="0.3">
      <c r="A27" s="10"/>
      <c r="B27" s="137"/>
      <c r="C27" s="137"/>
      <c r="D27" s="11"/>
      <c r="E27" s="11"/>
      <c r="F27" s="11"/>
      <c r="G27" s="11"/>
      <c r="H27" s="11"/>
      <c r="I27" s="93"/>
      <c r="J27" s="11"/>
      <c r="K27" s="11"/>
      <c r="L27" s="11"/>
      <c r="M27" s="11"/>
      <c r="N27" s="11"/>
      <c r="O27" s="11"/>
      <c r="P27" s="139"/>
    </row>
  </sheetData>
  <mergeCells count="133">
    <mergeCell ref="A6:A7"/>
    <mergeCell ref="B6:B7"/>
    <mergeCell ref="C6:C7"/>
    <mergeCell ref="D6:D7"/>
    <mergeCell ref="E6:E7"/>
    <mergeCell ref="F6:F7"/>
    <mergeCell ref="G6:G7"/>
    <mergeCell ref="H6:H7"/>
    <mergeCell ref="A8:A9"/>
    <mergeCell ref="B8:B9"/>
    <mergeCell ref="C8:C9"/>
    <mergeCell ref="D8:D9"/>
    <mergeCell ref="E8:E9"/>
    <mergeCell ref="F8:F9"/>
    <mergeCell ref="A1:N2"/>
    <mergeCell ref="A4:A5"/>
    <mergeCell ref="B4:B5"/>
    <mergeCell ref="C4:C5"/>
    <mergeCell ref="D4:D5"/>
    <mergeCell ref="E4:E5"/>
    <mergeCell ref="F4:F5"/>
    <mergeCell ref="G4:G5"/>
    <mergeCell ref="J4:J5"/>
    <mergeCell ref="J6:J7"/>
    <mergeCell ref="L6:L7"/>
    <mergeCell ref="M6:M7"/>
    <mergeCell ref="O6:O7"/>
    <mergeCell ref="L4:L5"/>
    <mergeCell ref="M4:M5"/>
    <mergeCell ref="O4:O5"/>
    <mergeCell ref="G8:G9"/>
    <mergeCell ref="J8:J9"/>
    <mergeCell ref="L8:L9"/>
    <mergeCell ref="M8:M9"/>
    <mergeCell ref="O8:O9"/>
    <mergeCell ref="J10:J11"/>
    <mergeCell ref="L10:L11"/>
    <mergeCell ref="M10:M11"/>
    <mergeCell ref="O10:O11"/>
    <mergeCell ref="A10:A11"/>
    <mergeCell ref="B10:B11"/>
    <mergeCell ref="C10:C11"/>
    <mergeCell ref="D10:D11"/>
    <mergeCell ref="E10:E11"/>
    <mergeCell ref="F10:F11"/>
    <mergeCell ref="G10:G11"/>
    <mergeCell ref="O14:O15"/>
    <mergeCell ref="A14:A15"/>
    <mergeCell ref="B14:B15"/>
    <mergeCell ref="C14:C15"/>
    <mergeCell ref="D14:D15"/>
    <mergeCell ref="E14:E15"/>
    <mergeCell ref="F14:F15"/>
    <mergeCell ref="G12:G13"/>
    <mergeCell ref="J12:J13"/>
    <mergeCell ref="L12:L13"/>
    <mergeCell ref="M12:M13"/>
    <mergeCell ref="O12:O13"/>
    <mergeCell ref="A12:A13"/>
    <mergeCell ref="B12:B13"/>
    <mergeCell ref="C12:C13"/>
    <mergeCell ref="D12:D13"/>
    <mergeCell ref="E12:E13"/>
    <mergeCell ref="F12:F13"/>
    <mergeCell ref="G14:G15"/>
    <mergeCell ref="I14:I15"/>
    <mergeCell ref="J14:J15"/>
    <mergeCell ref="L14:L15"/>
    <mergeCell ref="M14:M15"/>
    <mergeCell ref="A24:A25"/>
    <mergeCell ref="B24:B25"/>
    <mergeCell ref="C24:C25"/>
    <mergeCell ref="D24:D25"/>
    <mergeCell ref="E24:E25"/>
    <mergeCell ref="F24:F25"/>
    <mergeCell ref="A20:A21"/>
    <mergeCell ref="B20:B21"/>
    <mergeCell ref="C20:C21"/>
    <mergeCell ref="D20:D21"/>
    <mergeCell ref="E20:E21"/>
    <mergeCell ref="F20:F21"/>
    <mergeCell ref="G20:G21"/>
    <mergeCell ref="I20:I21"/>
    <mergeCell ref="C16:C17"/>
    <mergeCell ref="A22:A23"/>
    <mergeCell ref="B22:B23"/>
    <mergeCell ref="C22:C23"/>
    <mergeCell ref="D22:D23"/>
    <mergeCell ref="O16:O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G16:G17"/>
    <mergeCell ref="H16:H17"/>
    <mergeCell ref="I16:I17"/>
    <mergeCell ref="J16:J17"/>
    <mergeCell ref="L16:L17"/>
    <mergeCell ref="M16:M17"/>
    <mergeCell ref="A16:A17"/>
    <mergeCell ref="B16:B17"/>
    <mergeCell ref="D16:D17"/>
    <mergeCell ref="E16:E17"/>
    <mergeCell ref="F16:F17"/>
    <mergeCell ref="B26:C27"/>
    <mergeCell ref="P26:P27"/>
    <mergeCell ref="G24:G25"/>
    <mergeCell ref="I24:I25"/>
    <mergeCell ref="J24:J25"/>
    <mergeCell ref="L24:L25"/>
    <mergeCell ref="M24:M25"/>
    <mergeCell ref="O24:O25"/>
    <mergeCell ref="J18:J19"/>
    <mergeCell ref="L18:L19"/>
    <mergeCell ref="M18:M19"/>
    <mergeCell ref="O18:O19"/>
    <mergeCell ref="J20:J21"/>
    <mergeCell ref="L20:L21"/>
    <mergeCell ref="M20:M21"/>
    <mergeCell ref="O20:O21"/>
    <mergeCell ref="L22:L23"/>
    <mergeCell ref="M22:M23"/>
    <mergeCell ref="O22:O23"/>
    <mergeCell ref="E22:E23"/>
    <mergeCell ref="F22:F23"/>
    <mergeCell ref="G22:G23"/>
    <mergeCell ref="I22:I23"/>
    <mergeCell ref="J22:J23"/>
  </mergeCells>
  <phoneticPr fontId="8" type="noConversion"/>
  <printOptions horizontalCentered="1" verticalCentered="1"/>
  <pageMargins left="0" right="0" top="0" bottom="0" header="0" footer="0"/>
  <pageSetup scale="78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C66D-1A63-4DA3-9342-8F1459762714}">
  <sheetPr>
    <pageSetUpPr fitToPage="1"/>
  </sheetPr>
  <dimension ref="A1:P27"/>
  <sheetViews>
    <sheetView rightToLeft="1" view="pageLayout" topLeftCell="A22" zoomScale="70" zoomScaleNormal="100" zoomScalePageLayoutView="70" workbookViewId="0">
      <selection activeCell="J18" sqref="J18:J19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23</v>
      </c>
    </row>
    <row r="3" spans="1:16" ht="81.7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0.25" customHeight="1" x14ac:dyDescent="0.25">
      <c r="A4" s="105">
        <v>1</v>
      </c>
      <c r="B4" s="150" t="s">
        <v>26</v>
      </c>
      <c r="C4" s="109"/>
      <c r="D4" s="109"/>
      <c r="E4" s="111" t="s">
        <v>64</v>
      </c>
      <c r="F4" s="109"/>
      <c r="G4" s="109">
        <v>738</v>
      </c>
      <c r="H4" s="94" t="s">
        <v>157</v>
      </c>
      <c r="I4" s="95" t="s">
        <v>100</v>
      </c>
      <c r="J4" s="123" t="s">
        <v>156</v>
      </c>
      <c r="K4" s="90"/>
      <c r="L4" s="121" t="s">
        <v>60</v>
      </c>
      <c r="M4" s="123" t="s">
        <v>27</v>
      </c>
      <c r="N4" s="90" t="s">
        <v>16</v>
      </c>
      <c r="O4" s="123" t="s">
        <v>27</v>
      </c>
      <c r="P4" s="26">
        <v>95000000</v>
      </c>
    </row>
    <row r="5" spans="1:16" ht="50.25" customHeight="1" thickBot="1" x14ac:dyDescent="0.3">
      <c r="A5" s="106"/>
      <c r="B5" s="151"/>
      <c r="C5" s="110"/>
      <c r="D5" s="110"/>
      <c r="E5" s="112"/>
      <c r="F5" s="110"/>
      <c r="G5" s="110"/>
      <c r="H5" s="96"/>
      <c r="I5" s="91" t="s">
        <v>143</v>
      </c>
      <c r="J5" s="120"/>
      <c r="K5" s="91"/>
      <c r="L5" s="122"/>
      <c r="M5" s="120"/>
      <c r="N5" s="91"/>
      <c r="O5" s="120"/>
      <c r="P5" s="27">
        <v>25000000</v>
      </c>
    </row>
    <row r="6" spans="1:16" ht="58.5" customHeight="1" x14ac:dyDescent="0.25">
      <c r="A6" s="105">
        <v>2</v>
      </c>
      <c r="B6" s="150" t="s">
        <v>102</v>
      </c>
      <c r="C6" s="109"/>
      <c r="D6" s="109"/>
      <c r="E6" s="111">
        <v>1</v>
      </c>
      <c r="F6" s="130"/>
      <c r="G6" s="109"/>
      <c r="H6" s="126" t="s">
        <v>105</v>
      </c>
      <c r="I6" s="90" t="s">
        <v>116</v>
      </c>
      <c r="J6" s="123" t="s">
        <v>52</v>
      </c>
      <c r="K6" s="90"/>
      <c r="L6" s="123" t="s">
        <v>60</v>
      </c>
      <c r="M6" s="123"/>
      <c r="N6" s="90"/>
      <c r="O6" s="123" t="s">
        <v>106</v>
      </c>
      <c r="P6" s="26">
        <v>12500000</v>
      </c>
    </row>
    <row r="7" spans="1:16" ht="58.5" customHeight="1" thickBot="1" x14ac:dyDescent="0.3">
      <c r="A7" s="106"/>
      <c r="B7" s="151"/>
      <c r="C7" s="110"/>
      <c r="D7" s="110"/>
      <c r="E7" s="112"/>
      <c r="F7" s="130"/>
      <c r="G7" s="110"/>
      <c r="H7" s="144"/>
      <c r="I7" s="91" t="s">
        <v>143</v>
      </c>
      <c r="J7" s="120"/>
      <c r="K7" s="91"/>
      <c r="L7" s="120"/>
      <c r="M7" s="120"/>
      <c r="N7" s="91"/>
      <c r="O7" s="120"/>
      <c r="P7" s="27">
        <v>75000000</v>
      </c>
    </row>
    <row r="8" spans="1:16" ht="50.25" customHeight="1" x14ac:dyDescent="0.25">
      <c r="A8" s="105">
        <v>3</v>
      </c>
      <c r="B8" s="148" t="s">
        <v>26</v>
      </c>
      <c r="C8" s="109"/>
      <c r="D8" s="109"/>
      <c r="E8" s="111" t="s">
        <v>31</v>
      </c>
      <c r="F8" s="109"/>
      <c r="G8" s="109">
        <v>692</v>
      </c>
      <c r="H8" s="94" t="s">
        <v>157</v>
      </c>
      <c r="I8" s="95" t="s">
        <v>100</v>
      </c>
      <c r="J8" s="123" t="s">
        <v>156</v>
      </c>
      <c r="K8" s="90"/>
      <c r="L8" s="132" t="s">
        <v>60</v>
      </c>
      <c r="M8" s="123" t="s">
        <v>27</v>
      </c>
      <c r="N8" s="90" t="s">
        <v>16</v>
      </c>
      <c r="O8" s="123" t="s">
        <v>27</v>
      </c>
      <c r="P8" s="26">
        <v>95000000</v>
      </c>
    </row>
    <row r="9" spans="1:16" ht="50.25" customHeight="1" thickBot="1" x14ac:dyDescent="0.3">
      <c r="A9" s="106"/>
      <c r="B9" s="149"/>
      <c r="C9" s="110"/>
      <c r="D9" s="110"/>
      <c r="E9" s="112"/>
      <c r="F9" s="110"/>
      <c r="G9" s="110"/>
      <c r="H9" s="96"/>
      <c r="I9" s="91" t="s">
        <v>143</v>
      </c>
      <c r="J9" s="120"/>
      <c r="K9" s="91"/>
      <c r="L9" s="133"/>
      <c r="M9" s="120"/>
      <c r="N9" s="91"/>
      <c r="O9" s="120"/>
      <c r="P9" s="27">
        <v>25000000</v>
      </c>
    </row>
    <row r="10" spans="1:16" ht="60" customHeight="1" x14ac:dyDescent="0.25">
      <c r="A10" s="105">
        <v>4</v>
      </c>
      <c r="B10" s="148" t="s">
        <v>129</v>
      </c>
      <c r="C10" s="109"/>
      <c r="D10" s="109"/>
      <c r="E10" s="111">
        <v>30256</v>
      </c>
      <c r="F10" s="109"/>
      <c r="G10" s="109">
        <v>1005</v>
      </c>
      <c r="H10" s="94" t="s">
        <v>120</v>
      </c>
      <c r="I10" s="95" t="s">
        <v>126</v>
      </c>
      <c r="J10" s="123"/>
      <c r="K10" s="90"/>
      <c r="L10" s="132"/>
      <c r="M10" s="123" t="s">
        <v>27</v>
      </c>
      <c r="N10" s="90" t="s">
        <v>127</v>
      </c>
      <c r="O10" s="123" t="s">
        <v>130</v>
      </c>
      <c r="P10" s="26">
        <v>18000000</v>
      </c>
    </row>
    <row r="11" spans="1:16" ht="60" customHeight="1" thickBot="1" x14ac:dyDescent="0.3">
      <c r="A11" s="106"/>
      <c r="B11" s="149"/>
      <c r="C11" s="110"/>
      <c r="D11" s="110"/>
      <c r="E11" s="112"/>
      <c r="F11" s="110"/>
      <c r="G11" s="110"/>
      <c r="H11" s="96"/>
      <c r="I11" s="91"/>
      <c r="J11" s="120"/>
      <c r="K11" s="91"/>
      <c r="L11" s="133"/>
      <c r="M11" s="120"/>
      <c r="N11" s="91"/>
      <c r="O11" s="120"/>
      <c r="P11" s="27">
        <v>48000000</v>
      </c>
    </row>
    <row r="12" spans="1:16" ht="76.5" customHeight="1" x14ac:dyDescent="0.25">
      <c r="A12" s="105">
        <v>5</v>
      </c>
      <c r="B12" s="148" t="s">
        <v>125</v>
      </c>
      <c r="C12" s="109"/>
      <c r="D12" s="109"/>
      <c r="E12" s="111">
        <v>29087</v>
      </c>
      <c r="F12" s="109"/>
      <c r="G12" s="109">
        <v>1005</v>
      </c>
      <c r="H12" s="94" t="s">
        <v>120</v>
      </c>
      <c r="I12" s="95" t="s">
        <v>126</v>
      </c>
      <c r="J12" s="123"/>
      <c r="K12" s="90"/>
      <c r="L12" s="132"/>
      <c r="M12" s="123" t="s">
        <v>27</v>
      </c>
      <c r="N12" s="90" t="s">
        <v>127</v>
      </c>
      <c r="O12" s="123" t="s">
        <v>128</v>
      </c>
      <c r="P12" s="26">
        <v>12000000</v>
      </c>
    </row>
    <row r="13" spans="1:16" ht="76.5" customHeight="1" thickBot="1" x14ac:dyDescent="0.3">
      <c r="A13" s="106"/>
      <c r="B13" s="149"/>
      <c r="C13" s="110"/>
      <c r="D13" s="110"/>
      <c r="E13" s="112"/>
      <c r="F13" s="110"/>
      <c r="G13" s="110"/>
      <c r="H13" s="96"/>
      <c r="I13" s="91"/>
      <c r="J13" s="120"/>
      <c r="K13" s="91"/>
      <c r="L13" s="133"/>
      <c r="M13" s="120"/>
      <c r="N13" s="91"/>
      <c r="O13" s="120"/>
      <c r="P13" s="27">
        <v>42000000</v>
      </c>
    </row>
    <row r="14" spans="1:16" ht="60" customHeight="1" x14ac:dyDescent="0.25">
      <c r="A14" s="105">
        <v>6</v>
      </c>
      <c r="B14" s="148" t="s">
        <v>24</v>
      </c>
      <c r="C14" s="109"/>
      <c r="D14" s="109"/>
      <c r="E14" s="111" t="s">
        <v>137</v>
      </c>
      <c r="F14" s="109"/>
      <c r="G14" s="109"/>
      <c r="H14" s="94"/>
      <c r="I14" s="124" t="s">
        <v>139</v>
      </c>
      <c r="J14" s="123"/>
      <c r="K14" s="90"/>
      <c r="L14" s="132" t="s">
        <v>140</v>
      </c>
      <c r="M14" s="123" t="s">
        <v>27</v>
      </c>
      <c r="N14" s="90"/>
      <c r="O14" s="123" t="s">
        <v>128</v>
      </c>
      <c r="P14" s="26">
        <v>12000000</v>
      </c>
    </row>
    <row r="15" spans="1:16" ht="60" customHeight="1" thickBot="1" x14ac:dyDescent="0.3">
      <c r="A15" s="106"/>
      <c r="B15" s="149"/>
      <c r="C15" s="110"/>
      <c r="D15" s="110"/>
      <c r="E15" s="112"/>
      <c r="F15" s="110"/>
      <c r="G15" s="110"/>
      <c r="H15" s="96" t="s">
        <v>138</v>
      </c>
      <c r="I15" s="120"/>
      <c r="J15" s="120"/>
      <c r="K15" s="91"/>
      <c r="L15" s="133"/>
      <c r="M15" s="120"/>
      <c r="N15" s="91"/>
      <c r="O15" s="120"/>
      <c r="P15" s="27">
        <v>45000000</v>
      </c>
    </row>
    <row r="16" spans="1:16" ht="60" customHeight="1" x14ac:dyDescent="0.25">
      <c r="A16" s="105">
        <v>7</v>
      </c>
      <c r="B16" s="148" t="s">
        <v>141</v>
      </c>
      <c r="C16" s="109"/>
      <c r="D16" s="109"/>
      <c r="E16" s="111" t="s">
        <v>142</v>
      </c>
      <c r="F16" s="109"/>
      <c r="G16" s="109"/>
      <c r="H16" s="109" t="s">
        <v>138</v>
      </c>
      <c r="I16" s="124" t="s">
        <v>143</v>
      </c>
      <c r="J16" s="123"/>
      <c r="K16" s="90"/>
      <c r="L16" s="132" t="s">
        <v>140</v>
      </c>
      <c r="M16" s="123" t="s">
        <v>27</v>
      </c>
      <c r="N16" s="90"/>
      <c r="O16" s="123" t="s">
        <v>128</v>
      </c>
      <c r="P16" s="26">
        <v>12000000</v>
      </c>
    </row>
    <row r="17" spans="1:16" ht="60" customHeight="1" thickBot="1" x14ac:dyDescent="0.3">
      <c r="A17" s="106"/>
      <c r="B17" s="149"/>
      <c r="C17" s="110"/>
      <c r="D17" s="110"/>
      <c r="E17" s="112"/>
      <c r="F17" s="110"/>
      <c r="G17" s="110"/>
      <c r="H17" s="110"/>
      <c r="I17" s="120"/>
      <c r="J17" s="120"/>
      <c r="K17" s="91"/>
      <c r="L17" s="133"/>
      <c r="M17" s="120"/>
      <c r="N17" s="91"/>
      <c r="O17" s="120"/>
      <c r="P17" s="27">
        <v>45000000</v>
      </c>
    </row>
    <row r="18" spans="1:16" ht="60" customHeight="1" x14ac:dyDescent="0.25">
      <c r="A18" s="105">
        <v>8</v>
      </c>
      <c r="B18" s="148" t="s">
        <v>144</v>
      </c>
      <c r="C18" s="109"/>
      <c r="D18" s="109"/>
      <c r="E18" s="111" t="s">
        <v>145</v>
      </c>
      <c r="F18" s="109"/>
      <c r="G18" s="109"/>
      <c r="H18" s="109" t="s">
        <v>146</v>
      </c>
      <c r="I18" s="124" t="s">
        <v>147</v>
      </c>
      <c r="J18" s="123"/>
      <c r="K18" s="90"/>
      <c r="L18" s="132"/>
      <c r="M18" s="123" t="s">
        <v>148</v>
      </c>
      <c r="N18" s="90"/>
      <c r="O18" s="123" t="s">
        <v>149</v>
      </c>
      <c r="P18" s="26">
        <v>24000000</v>
      </c>
    </row>
    <row r="19" spans="1:16" ht="60" customHeight="1" thickBot="1" x14ac:dyDescent="0.3">
      <c r="A19" s="106"/>
      <c r="B19" s="149"/>
      <c r="C19" s="110"/>
      <c r="D19" s="110"/>
      <c r="E19" s="112"/>
      <c r="F19" s="110"/>
      <c r="G19" s="110"/>
      <c r="H19" s="110"/>
      <c r="I19" s="120"/>
      <c r="J19" s="120"/>
      <c r="K19" s="91"/>
      <c r="L19" s="133"/>
      <c r="M19" s="120"/>
      <c r="N19" s="91"/>
      <c r="O19" s="120"/>
      <c r="P19" s="27">
        <v>180000000</v>
      </c>
    </row>
    <row r="20" spans="1:16" ht="60" customHeight="1" x14ac:dyDescent="0.25">
      <c r="A20" s="105">
        <v>9</v>
      </c>
      <c r="B20" s="148" t="s">
        <v>151</v>
      </c>
      <c r="C20" s="109"/>
      <c r="D20" s="109"/>
      <c r="E20" s="111" t="s">
        <v>152</v>
      </c>
      <c r="F20" s="109"/>
      <c r="G20" s="109"/>
      <c r="H20" s="94" t="s">
        <v>153</v>
      </c>
      <c r="I20" s="124" t="s">
        <v>154</v>
      </c>
      <c r="J20" s="123"/>
      <c r="K20" s="90"/>
      <c r="L20" s="132" t="s">
        <v>140</v>
      </c>
      <c r="M20" s="123" t="s">
        <v>27</v>
      </c>
      <c r="N20" s="90"/>
      <c r="O20" s="123" t="s">
        <v>128</v>
      </c>
      <c r="P20" s="26"/>
    </row>
    <row r="21" spans="1:16" ht="60" customHeight="1" thickBot="1" x14ac:dyDescent="0.3">
      <c r="A21" s="106"/>
      <c r="B21" s="149"/>
      <c r="C21" s="110"/>
      <c r="D21" s="110"/>
      <c r="E21" s="112"/>
      <c r="F21" s="110"/>
      <c r="G21" s="110"/>
      <c r="H21" s="96"/>
      <c r="I21" s="120"/>
      <c r="J21" s="120"/>
      <c r="K21" s="91"/>
      <c r="L21" s="133"/>
      <c r="M21" s="120"/>
      <c r="N21" s="91"/>
      <c r="O21" s="120"/>
      <c r="P21" s="27"/>
    </row>
    <row r="22" spans="1:16" ht="60.75" customHeight="1" x14ac:dyDescent="0.25">
      <c r="A22" s="105">
        <v>10</v>
      </c>
      <c r="B22" s="148" t="s">
        <v>158</v>
      </c>
      <c r="C22" s="109"/>
      <c r="D22" s="109"/>
      <c r="E22" s="111">
        <v>1</v>
      </c>
      <c r="F22" s="109"/>
      <c r="G22" s="109">
        <v>1722</v>
      </c>
      <c r="H22" s="94" t="s">
        <v>159</v>
      </c>
      <c r="I22" s="124" t="s">
        <v>160</v>
      </c>
      <c r="J22" s="123"/>
      <c r="K22" s="90"/>
      <c r="L22" s="132" t="s">
        <v>161</v>
      </c>
      <c r="M22" s="123" t="s">
        <v>162</v>
      </c>
      <c r="N22" s="90"/>
      <c r="O22" s="123" t="s">
        <v>163</v>
      </c>
      <c r="P22" s="26">
        <v>95000000</v>
      </c>
    </row>
    <row r="23" spans="1:16" ht="60.75" customHeight="1" thickBot="1" x14ac:dyDescent="0.3">
      <c r="A23" s="106"/>
      <c r="B23" s="149"/>
      <c r="C23" s="110"/>
      <c r="D23" s="110"/>
      <c r="E23" s="112"/>
      <c r="F23" s="110"/>
      <c r="G23" s="110"/>
      <c r="H23" s="96"/>
      <c r="I23" s="120"/>
      <c r="J23" s="120"/>
      <c r="K23" s="91"/>
      <c r="L23" s="133"/>
      <c r="M23" s="120"/>
      <c r="N23" s="91"/>
      <c r="O23" s="120"/>
      <c r="P23" s="27"/>
    </row>
    <row r="24" spans="1:16" ht="54.75" customHeight="1" x14ac:dyDescent="0.25">
      <c r="A24" s="105">
        <v>11</v>
      </c>
      <c r="B24" s="148" t="s">
        <v>155</v>
      </c>
      <c r="C24" s="109"/>
      <c r="D24" s="109"/>
      <c r="E24" s="111" t="s">
        <v>152</v>
      </c>
      <c r="F24" s="109"/>
      <c r="G24" s="109"/>
      <c r="H24" s="94" t="s">
        <v>153</v>
      </c>
      <c r="I24" s="124" t="s">
        <v>154</v>
      </c>
      <c r="J24" s="123"/>
      <c r="K24" s="90"/>
      <c r="L24" s="132" t="s">
        <v>140</v>
      </c>
      <c r="M24" s="123" t="s">
        <v>27</v>
      </c>
      <c r="N24" s="90"/>
      <c r="O24" s="123" t="s">
        <v>128</v>
      </c>
      <c r="P24" s="26">
        <v>95000000</v>
      </c>
    </row>
    <row r="25" spans="1:16" ht="54.75" customHeight="1" thickBot="1" x14ac:dyDescent="0.3">
      <c r="A25" s="106"/>
      <c r="B25" s="149"/>
      <c r="C25" s="110"/>
      <c r="D25" s="110"/>
      <c r="E25" s="112"/>
      <c r="F25" s="110"/>
      <c r="G25" s="110"/>
      <c r="H25" s="96"/>
      <c r="I25" s="120"/>
      <c r="J25" s="120"/>
      <c r="K25" s="91"/>
      <c r="L25" s="133"/>
      <c r="M25" s="120"/>
      <c r="N25" s="91"/>
      <c r="O25" s="120"/>
      <c r="P25" s="27">
        <v>25000000</v>
      </c>
    </row>
    <row r="26" spans="1:16" ht="35.25" customHeight="1" x14ac:dyDescent="0.25">
      <c r="A26" s="12"/>
      <c r="B26" s="136" t="s">
        <v>18</v>
      </c>
      <c r="C26" s="136"/>
      <c r="D26" s="13"/>
      <c r="E26" s="13"/>
      <c r="F26" s="13"/>
      <c r="G26" s="13"/>
      <c r="H26" s="13"/>
      <c r="I26" s="92"/>
      <c r="J26" s="13"/>
      <c r="K26" s="13"/>
      <c r="L26" s="13"/>
      <c r="M26" s="13"/>
      <c r="N26" s="13"/>
      <c r="O26" s="13"/>
      <c r="P26" s="138">
        <f>SUM(P4:P25)</f>
        <v>980500000</v>
      </c>
    </row>
    <row r="27" spans="1:16" ht="35.25" customHeight="1" thickBot="1" x14ac:dyDescent="0.3">
      <c r="A27" s="10"/>
      <c r="B27" s="137"/>
      <c r="C27" s="137"/>
      <c r="D27" s="11"/>
      <c r="E27" s="11"/>
      <c r="F27" s="11"/>
      <c r="G27" s="11"/>
      <c r="H27" s="11"/>
      <c r="I27" s="93"/>
      <c r="J27" s="11"/>
      <c r="K27" s="11"/>
      <c r="L27" s="11"/>
      <c r="M27" s="11"/>
      <c r="N27" s="11"/>
      <c r="O27" s="11"/>
      <c r="P27" s="139"/>
    </row>
  </sheetData>
  <mergeCells count="133">
    <mergeCell ref="A24:A25"/>
    <mergeCell ref="B24:B25"/>
    <mergeCell ref="C24:C25"/>
    <mergeCell ref="D24:D25"/>
    <mergeCell ref="E24:E25"/>
    <mergeCell ref="F24:F25"/>
    <mergeCell ref="G24:G25"/>
    <mergeCell ref="I24:I25"/>
    <mergeCell ref="J24:J25"/>
    <mergeCell ref="F22:F23"/>
    <mergeCell ref="G22:G23"/>
    <mergeCell ref="I22:I23"/>
    <mergeCell ref="J22:J23"/>
    <mergeCell ref="L22:L23"/>
    <mergeCell ref="M22:M23"/>
    <mergeCell ref="O22:O23"/>
    <mergeCell ref="B26:C27"/>
    <mergeCell ref="P26:P27"/>
    <mergeCell ref="L24:L25"/>
    <mergeCell ref="M24:M25"/>
    <mergeCell ref="O24:O25"/>
    <mergeCell ref="A1:N2"/>
    <mergeCell ref="A4:A5"/>
    <mergeCell ref="B4:B5"/>
    <mergeCell ref="C4:C5"/>
    <mergeCell ref="D4:D5"/>
    <mergeCell ref="E4:E5"/>
    <mergeCell ref="F4:F5"/>
    <mergeCell ref="G4:G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J6:J7"/>
    <mergeCell ref="L6:L7"/>
    <mergeCell ref="M6:M7"/>
    <mergeCell ref="O6:O7"/>
    <mergeCell ref="A8:A9"/>
    <mergeCell ref="B8:B9"/>
    <mergeCell ref="C8:C9"/>
    <mergeCell ref="D8:D9"/>
    <mergeCell ref="E8:E9"/>
    <mergeCell ref="O8:O9"/>
    <mergeCell ref="A10:A11"/>
    <mergeCell ref="B10:B11"/>
    <mergeCell ref="C10:C11"/>
    <mergeCell ref="D10:D11"/>
    <mergeCell ref="E10:E11"/>
    <mergeCell ref="F10:F11"/>
    <mergeCell ref="G10:G11"/>
    <mergeCell ref="J10:J11"/>
    <mergeCell ref="F8:F9"/>
    <mergeCell ref="G8:G9"/>
    <mergeCell ref="J8:J9"/>
    <mergeCell ref="L8:L9"/>
    <mergeCell ref="M8:M9"/>
    <mergeCell ref="L10:L11"/>
    <mergeCell ref="M10:M11"/>
    <mergeCell ref="O10:O11"/>
    <mergeCell ref="A12:A13"/>
    <mergeCell ref="B12:B13"/>
    <mergeCell ref="C12:C13"/>
    <mergeCell ref="D12:D13"/>
    <mergeCell ref="E12:E13"/>
    <mergeCell ref="F12:F13"/>
    <mergeCell ref="G12:G13"/>
    <mergeCell ref="J12:J13"/>
    <mergeCell ref="L12:L13"/>
    <mergeCell ref="M12:M13"/>
    <mergeCell ref="O12:O13"/>
    <mergeCell ref="A14:A15"/>
    <mergeCell ref="B14:B15"/>
    <mergeCell ref="C14:C15"/>
    <mergeCell ref="D14:D15"/>
    <mergeCell ref="E14:E15"/>
    <mergeCell ref="O14:O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F14:F15"/>
    <mergeCell ref="G14:G15"/>
    <mergeCell ref="I14:I15"/>
    <mergeCell ref="J14:J15"/>
    <mergeCell ref="L14:L15"/>
    <mergeCell ref="M14:M15"/>
    <mergeCell ref="J16:J17"/>
    <mergeCell ref="L16:L17"/>
    <mergeCell ref="M16:M17"/>
    <mergeCell ref="O16:O17"/>
    <mergeCell ref="A18:A19"/>
    <mergeCell ref="B18:B19"/>
    <mergeCell ref="C18:C19"/>
    <mergeCell ref="D18:D19"/>
    <mergeCell ref="E18:E19"/>
    <mergeCell ref="F18:F19"/>
    <mergeCell ref="A22:A23"/>
    <mergeCell ref="B22:B23"/>
    <mergeCell ref="C22:C23"/>
    <mergeCell ref="L20:L21"/>
    <mergeCell ref="M20:M21"/>
    <mergeCell ref="O20:O21"/>
    <mergeCell ref="O18:O19"/>
    <mergeCell ref="A20:A21"/>
    <mergeCell ref="B20:B21"/>
    <mergeCell ref="C20:C21"/>
    <mergeCell ref="D20:D21"/>
    <mergeCell ref="E20:E21"/>
    <mergeCell ref="F20:F21"/>
    <mergeCell ref="G20:G21"/>
    <mergeCell ref="I20:I21"/>
    <mergeCell ref="J20:J21"/>
    <mergeCell ref="G18:G19"/>
    <mergeCell ref="H18:H19"/>
    <mergeCell ref="I18:I19"/>
    <mergeCell ref="J18:J19"/>
    <mergeCell ref="L18:L19"/>
    <mergeCell ref="M18:M19"/>
    <mergeCell ref="D22:D23"/>
    <mergeCell ref="E22:E23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3AA3-CF80-4C68-9CF5-DDF62BA4796C}">
  <sheetPr>
    <pageSetUpPr fitToPage="1"/>
  </sheetPr>
  <dimension ref="A1:P27"/>
  <sheetViews>
    <sheetView rightToLeft="1" view="pageLayout" topLeftCell="A16" zoomScale="70" zoomScaleNormal="100" zoomScalePageLayoutView="70" workbookViewId="0">
      <selection activeCell="B18" sqref="B18:B19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24</v>
      </c>
    </row>
    <row r="3" spans="1:16" ht="81.7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0.25" customHeight="1" x14ac:dyDescent="0.25">
      <c r="A4" s="105">
        <v>1</v>
      </c>
      <c r="B4" s="150" t="s">
        <v>26</v>
      </c>
      <c r="C4" s="109"/>
      <c r="D4" s="109"/>
      <c r="E4" s="111" t="s">
        <v>64</v>
      </c>
      <c r="F4" s="109"/>
      <c r="G4" s="109">
        <v>738</v>
      </c>
      <c r="H4" s="94" t="s">
        <v>157</v>
      </c>
      <c r="I4" s="95" t="s">
        <v>100</v>
      </c>
      <c r="J4" s="123" t="s">
        <v>156</v>
      </c>
      <c r="K4" s="90"/>
      <c r="L4" s="121" t="s">
        <v>60</v>
      </c>
      <c r="M4" s="123" t="s">
        <v>27</v>
      </c>
      <c r="N4" s="90" t="s">
        <v>16</v>
      </c>
      <c r="O4" s="123" t="s">
        <v>27</v>
      </c>
      <c r="P4" s="26">
        <v>95000000</v>
      </c>
    </row>
    <row r="5" spans="1:16" ht="50.25" customHeight="1" thickBot="1" x14ac:dyDescent="0.3">
      <c r="A5" s="106"/>
      <c r="B5" s="151"/>
      <c r="C5" s="110"/>
      <c r="D5" s="110"/>
      <c r="E5" s="112"/>
      <c r="F5" s="110"/>
      <c r="G5" s="110"/>
      <c r="H5" s="96"/>
      <c r="I5" s="91" t="s">
        <v>143</v>
      </c>
      <c r="J5" s="120"/>
      <c r="K5" s="91"/>
      <c r="L5" s="122"/>
      <c r="M5" s="120"/>
      <c r="N5" s="91"/>
      <c r="O5" s="120"/>
      <c r="P5" s="27">
        <v>25000000</v>
      </c>
    </row>
    <row r="6" spans="1:16" ht="58.5" customHeight="1" x14ac:dyDescent="0.25">
      <c r="A6" s="105">
        <v>2</v>
      </c>
      <c r="B6" s="150" t="s">
        <v>102</v>
      </c>
      <c r="C6" s="109"/>
      <c r="D6" s="109"/>
      <c r="E6" s="111">
        <v>1</v>
      </c>
      <c r="F6" s="130"/>
      <c r="G6" s="109"/>
      <c r="H6" s="126" t="s">
        <v>105</v>
      </c>
      <c r="I6" s="90" t="s">
        <v>116</v>
      </c>
      <c r="J6" s="123" t="s">
        <v>52</v>
      </c>
      <c r="K6" s="90"/>
      <c r="L6" s="123" t="s">
        <v>60</v>
      </c>
      <c r="M6" s="123"/>
      <c r="N6" s="90"/>
      <c r="O6" s="123" t="s">
        <v>106</v>
      </c>
      <c r="P6" s="26">
        <v>12500000</v>
      </c>
    </row>
    <row r="7" spans="1:16" ht="58.5" customHeight="1" thickBot="1" x14ac:dyDescent="0.3">
      <c r="A7" s="106"/>
      <c r="B7" s="151"/>
      <c r="C7" s="110"/>
      <c r="D7" s="110"/>
      <c r="E7" s="112"/>
      <c r="F7" s="130"/>
      <c r="G7" s="110"/>
      <c r="H7" s="144"/>
      <c r="I7" s="91" t="s">
        <v>143</v>
      </c>
      <c r="J7" s="120"/>
      <c r="K7" s="91"/>
      <c r="L7" s="120"/>
      <c r="M7" s="120"/>
      <c r="N7" s="91"/>
      <c r="O7" s="120"/>
      <c r="P7" s="27">
        <v>75000000</v>
      </c>
    </row>
    <row r="8" spans="1:16" ht="50.25" customHeight="1" x14ac:dyDescent="0.25">
      <c r="A8" s="105">
        <v>3</v>
      </c>
      <c r="B8" s="148" t="s">
        <v>26</v>
      </c>
      <c r="C8" s="109"/>
      <c r="D8" s="109"/>
      <c r="E8" s="111" t="s">
        <v>31</v>
      </c>
      <c r="F8" s="109"/>
      <c r="G8" s="109">
        <v>692</v>
      </c>
      <c r="H8" s="94" t="s">
        <v>157</v>
      </c>
      <c r="I8" s="95" t="s">
        <v>100</v>
      </c>
      <c r="J8" s="123" t="s">
        <v>156</v>
      </c>
      <c r="K8" s="90"/>
      <c r="L8" s="132" t="s">
        <v>60</v>
      </c>
      <c r="M8" s="123" t="s">
        <v>27</v>
      </c>
      <c r="N8" s="90" t="s">
        <v>16</v>
      </c>
      <c r="O8" s="123" t="s">
        <v>27</v>
      </c>
      <c r="P8" s="26">
        <v>95000000</v>
      </c>
    </row>
    <row r="9" spans="1:16" ht="50.25" customHeight="1" thickBot="1" x14ac:dyDescent="0.3">
      <c r="A9" s="106"/>
      <c r="B9" s="149"/>
      <c r="C9" s="110"/>
      <c r="D9" s="110"/>
      <c r="E9" s="112"/>
      <c r="F9" s="110"/>
      <c r="G9" s="110"/>
      <c r="H9" s="96"/>
      <c r="I9" s="91" t="s">
        <v>143</v>
      </c>
      <c r="J9" s="120"/>
      <c r="K9" s="91"/>
      <c r="L9" s="133"/>
      <c r="M9" s="120"/>
      <c r="N9" s="91"/>
      <c r="O9" s="120"/>
      <c r="P9" s="27">
        <v>25000000</v>
      </c>
    </row>
    <row r="10" spans="1:16" ht="60" customHeight="1" x14ac:dyDescent="0.25">
      <c r="A10" s="105">
        <v>4</v>
      </c>
      <c r="B10" s="148" t="s">
        <v>129</v>
      </c>
      <c r="C10" s="109"/>
      <c r="D10" s="109"/>
      <c r="E10" s="111">
        <v>30256</v>
      </c>
      <c r="F10" s="109"/>
      <c r="G10" s="109">
        <v>1005</v>
      </c>
      <c r="H10" s="94" t="s">
        <v>120</v>
      </c>
      <c r="I10" s="95" t="s">
        <v>126</v>
      </c>
      <c r="J10" s="123"/>
      <c r="K10" s="90"/>
      <c r="L10" s="132"/>
      <c r="M10" s="123" t="s">
        <v>27</v>
      </c>
      <c r="N10" s="90" t="s">
        <v>127</v>
      </c>
      <c r="O10" s="123" t="s">
        <v>130</v>
      </c>
      <c r="P10" s="26">
        <v>18000000</v>
      </c>
    </row>
    <row r="11" spans="1:16" ht="60" customHeight="1" thickBot="1" x14ac:dyDescent="0.3">
      <c r="A11" s="106"/>
      <c r="B11" s="149"/>
      <c r="C11" s="110"/>
      <c r="D11" s="110"/>
      <c r="E11" s="112"/>
      <c r="F11" s="110"/>
      <c r="G11" s="110"/>
      <c r="H11" s="96"/>
      <c r="I11" s="91"/>
      <c r="J11" s="120"/>
      <c r="K11" s="91"/>
      <c r="L11" s="133"/>
      <c r="M11" s="120"/>
      <c r="N11" s="91"/>
      <c r="O11" s="120"/>
      <c r="P11" s="27">
        <v>48000000</v>
      </c>
    </row>
    <row r="12" spans="1:16" ht="76.5" customHeight="1" x14ac:dyDescent="0.25">
      <c r="A12" s="105">
        <v>5</v>
      </c>
      <c r="B12" s="148" t="s">
        <v>125</v>
      </c>
      <c r="C12" s="109"/>
      <c r="D12" s="109"/>
      <c r="E12" s="111">
        <v>29087</v>
      </c>
      <c r="F12" s="109"/>
      <c r="G12" s="109">
        <v>1005</v>
      </c>
      <c r="H12" s="94" t="s">
        <v>120</v>
      </c>
      <c r="I12" s="95" t="s">
        <v>126</v>
      </c>
      <c r="J12" s="123"/>
      <c r="K12" s="90"/>
      <c r="L12" s="132"/>
      <c r="M12" s="123" t="s">
        <v>27</v>
      </c>
      <c r="N12" s="90" t="s">
        <v>127</v>
      </c>
      <c r="O12" s="123" t="s">
        <v>128</v>
      </c>
      <c r="P12" s="26">
        <v>12000000</v>
      </c>
    </row>
    <row r="13" spans="1:16" ht="76.5" customHeight="1" thickBot="1" x14ac:dyDescent="0.3">
      <c r="A13" s="106"/>
      <c r="B13" s="149"/>
      <c r="C13" s="110"/>
      <c r="D13" s="110"/>
      <c r="E13" s="112"/>
      <c r="F13" s="110"/>
      <c r="G13" s="110"/>
      <c r="H13" s="96"/>
      <c r="I13" s="91"/>
      <c r="J13" s="120"/>
      <c r="K13" s="91"/>
      <c r="L13" s="133"/>
      <c r="M13" s="120"/>
      <c r="N13" s="91"/>
      <c r="O13" s="120"/>
      <c r="P13" s="27">
        <v>42000000</v>
      </c>
    </row>
    <row r="14" spans="1:16" ht="60" customHeight="1" x14ac:dyDescent="0.25">
      <c r="A14" s="105">
        <v>6</v>
      </c>
      <c r="B14" s="148" t="s">
        <v>24</v>
      </c>
      <c r="C14" s="109"/>
      <c r="D14" s="109"/>
      <c r="E14" s="111" t="s">
        <v>137</v>
      </c>
      <c r="F14" s="109"/>
      <c r="G14" s="109"/>
      <c r="H14" s="94"/>
      <c r="I14" s="124" t="s">
        <v>139</v>
      </c>
      <c r="J14" s="123"/>
      <c r="K14" s="90"/>
      <c r="L14" s="132" t="s">
        <v>140</v>
      </c>
      <c r="M14" s="123" t="s">
        <v>27</v>
      </c>
      <c r="N14" s="90"/>
      <c r="O14" s="123" t="s">
        <v>128</v>
      </c>
      <c r="P14" s="26">
        <v>12000000</v>
      </c>
    </row>
    <row r="15" spans="1:16" ht="60" customHeight="1" thickBot="1" x14ac:dyDescent="0.3">
      <c r="A15" s="106"/>
      <c r="B15" s="149"/>
      <c r="C15" s="110"/>
      <c r="D15" s="110"/>
      <c r="E15" s="112"/>
      <c r="F15" s="110"/>
      <c r="G15" s="110"/>
      <c r="H15" s="96" t="s">
        <v>138</v>
      </c>
      <c r="I15" s="120"/>
      <c r="J15" s="120"/>
      <c r="K15" s="91"/>
      <c r="L15" s="133"/>
      <c r="M15" s="120"/>
      <c r="N15" s="91"/>
      <c r="O15" s="120"/>
      <c r="P15" s="27">
        <v>45000000</v>
      </c>
    </row>
    <row r="16" spans="1:16" ht="60" customHeight="1" x14ac:dyDescent="0.25">
      <c r="A16" s="105">
        <v>7</v>
      </c>
      <c r="B16" s="148" t="s">
        <v>141</v>
      </c>
      <c r="C16" s="109"/>
      <c r="D16" s="109"/>
      <c r="E16" s="111" t="s">
        <v>142</v>
      </c>
      <c r="F16" s="109"/>
      <c r="G16" s="109"/>
      <c r="H16" s="109" t="s">
        <v>138</v>
      </c>
      <c r="I16" s="124" t="s">
        <v>143</v>
      </c>
      <c r="J16" s="123"/>
      <c r="K16" s="90"/>
      <c r="L16" s="132" t="s">
        <v>140</v>
      </c>
      <c r="M16" s="123" t="s">
        <v>27</v>
      </c>
      <c r="N16" s="90"/>
      <c r="O16" s="123" t="s">
        <v>128</v>
      </c>
      <c r="P16" s="26">
        <v>12000000</v>
      </c>
    </row>
    <row r="17" spans="1:16" ht="60" customHeight="1" thickBot="1" x14ac:dyDescent="0.3">
      <c r="A17" s="106"/>
      <c r="B17" s="149"/>
      <c r="C17" s="110"/>
      <c r="D17" s="110"/>
      <c r="E17" s="112"/>
      <c r="F17" s="110"/>
      <c r="G17" s="110"/>
      <c r="H17" s="110"/>
      <c r="I17" s="120"/>
      <c r="J17" s="120"/>
      <c r="K17" s="91"/>
      <c r="L17" s="133"/>
      <c r="M17" s="120"/>
      <c r="N17" s="91"/>
      <c r="O17" s="120"/>
      <c r="P17" s="27">
        <v>45000000</v>
      </c>
    </row>
    <row r="18" spans="1:16" ht="60" customHeight="1" x14ac:dyDescent="0.25">
      <c r="A18" s="105">
        <v>8</v>
      </c>
      <c r="B18" s="148" t="s">
        <v>144</v>
      </c>
      <c r="C18" s="109"/>
      <c r="D18" s="109"/>
      <c r="E18" s="111" t="s">
        <v>145</v>
      </c>
      <c r="F18" s="109"/>
      <c r="G18" s="109"/>
      <c r="H18" s="109" t="s">
        <v>146</v>
      </c>
      <c r="I18" s="124" t="s">
        <v>147</v>
      </c>
      <c r="J18" s="123"/>
      <c r="K18" s="90"/>
      <c r="L18" s="132"/>
      <c r="M18" s="123" t="s">
        <v>148</v>
      </c>
      <c r="N18" s="90"/>
      <c r="O18" s="123" t="s">
        <v>149</v>
      </c>
      <c r="P18" s="26">
        <v>24000000</v>
      </c>
    </row>
    <row r="19" spans="1:16" ht="60" customHeight="1" thickBot="1" x14ac:dyDescent="0.3">
      <c r="A19" s="106"/>
      <c r="B19" s="149"/>
      <c r="C19" s="110"/>
      <c r="D19" s="110"/>
      <c r="E19" s="112"/>
      <c r="F19" s="110"/>
      <c r="G19" s="110"/>
      <c r="H19" s="110"/>
      <c r="I19" s="120"/>
      <c r="J19" s="120"/>
      <c r="K19" s="91"/>
      <c r="L19" s="133"/>
      <c r="M19" s="120"/>
      <c r="N19" s="91"/>
      <c r="O19" s="120"/>
      <c r="P19" s="27">
        <v>180000000</v>
      </c>
    </row>
    <row r="20" spans="1:16" ht="60" customHeight="1" x14ac:dyDescent="0.25">
      <c r="A20" s="105">
        <v>9</v>
      </c>
      <c r="B20" s="148" t="s">
        <v>151</v>
      </c>
      <c r="C20" s="109"/>
      <c r="D20" s="109"/>
      <c r="E20" s="111" t="s">
        <v>152</v>
      </c>
      <c r="F20" s="109"/>
      <c r="G20" s="109"/>
      <c r="H20" s="94" t="s">
        <v>153</v>
      </c>
      <c r="I20" s="124" t="s">
        <v>154</v>
      </c>
      <c r="J20" s="123"/>
      <c r="K20" s="90"/>
      <c r="L20" s="132" t="s">
        <v>140</v>
      </c>
      <c r="M20" s="123" t="s">
        <v>27</v>
      </c>
      <c r="N20" s="90"/>
      <c r="O20" s="123" t="s">
        <v>128</v>
      </c>
      <c r="P20" s="26"/>
    </row>
    <row r="21" spans="1:16" ht="60" customHeight="1" thickBot="1" x14ac:dyDescent="0.3">
      <c r="A21" s="106"/>
      <c r="B21" s="149"/>
      <c r="C21" s="110"/>
      <c r="D21" s="110"/>
      <c r="E21" s="112"/>
      <c r="F21" s="110"/>
      <c r="G21" s="110"/>
      <c r="H21" s="96"/>
      <c r="I21" s="120"/>
      <c r="J21" s="120"/>
      <c r="K21" s="91"/>
      <c r="L21" s="133"/>
      <c r="M21" s="120"/>
      <c r="N21" s="91"/>
      <c r="O21" s="120"/>
      <c r="P21" s="27"/>
    </row>
    <row r="22" spans="1:16" ht="60.75" customHeight="1" x14ac:dyDescent="0.25">
      <c r="A22" s="105">
        <v>10</v>
      </c>
      <c r="B22" s="148" t="s">
        <v>158</v>
      </c>
      <c r="C22" s="109"/>
      <c r="D22" s="109"/>
      <c r="E22" s="111">
        <v>1</v>
      </c>
      <c r="F22" s="109"/>
      <c r="G22" s="109">
        <v>1722</v>
      </c>
      <c r="H22" s="94" t="s">
        <v>159</v>
      </c>
      <c r="I22" s="124" t="s">
        <v>160</v>
      </c>
      <c r="J22" s="123"/>
      <c r="K22" s="90"/>
      <c r="L22" s="132" t="s">
        <v>161</v>
      </c>
      <c r="M22" s="123" t="s">
        <v>162</v>
      </c>
      <c r="N22" s="90"/>
      <c r="O22" s="123" t="s">
        <v>163</v>
      </c>
      <c r="P22" s="26">
        <v>95000000</v>
      </c>
    </row>
    <row r="23" spans="1:16" ht="60.75" customHeight="1" thickBot="1" x14ac:dyDescent="0.3">
      <c r="A23" s="106"/>
      <c r="B23" s="149"/>
      <c r="C23" s="110"/>
      <c r="D23" s="110"/>
      <c r="E23" s="112"/>
      <c r="F23" s="110"/>
      <c r="G23" s="110"/>
      <c r="H23" s="96"/>
      <c r="I23" s="120"/>
      <c r="J23" s="120"/>
      <c r="K23" s="91"/>
      <c r="L23" s="133"/>
      <c r="M23" s="120"/>
      <c r="N23" s="91"/>
      <c r="O23" s="120"/>
      <c r="P23" s="27"/>
    </row>
    <row r="24" spans="1:16" ht="54.75" customHeight="1" x14ac:dyDescent="0.25">
      <c r="A24" s="105">
        <v>11</v>
      </c>
      <c r="B24" s="148" t="s">
        <v>155</v>
      </c>
      <c r="C24" s="109"/>
      <c r="D24" s="109"/>
      <c r="E24" s="111" t="s">
        <v>152</v>
      </c>
      <c r="F24" s="109"/>
      <c r="G24" s="109"/>
      <c r="H24" s="94" t="s">
        <v>153</v>
      </c>
      <c r="I24" s="124" t="s">
        <v>154</v>
      </c>
      <c r="J24" s="123"/>
      <c r="K24" s="90"/>
      <c r="L24" s="132" t="s">
        <v>140</v>
      </c>
      <c r="M24" s="123" t="s">
        <v>27</v>
      </c>
      <c r="N24" s="90"/>
      <c r="O24" s="123" t="s">
        <v>128</v>
      </c>
      <c r="P24" s="26">
        <v>95000000</v>
      </c>
    </row>
    <row r="25" spans="1:16" ht="54.75" customHeight="1" thickBot="1" x14ac:dyDescent="0.3">
      <c r="A25" s="106"/>
      <c r="B25" s="149"/>
      <c r="C25" s="110"/>
      <c r="D25" s="110"/>
      <c r="E25" s="112"/>
      <c r="F25" s="110"/>
      <c r="G25" s="110"/>
      <c r="H25" s="96"/>
      <c r="I25" s="120"/>
      <c r="J25" s="120"/>
      <c r="K25" s="91"/>
      <c r="L25" s="133"/>
      <c r="M25" s="120"/>
      <c r="N25" s="91"/>
      <c r="O25" s="120"/>
      <c r="P25" s="27">
        <v>25000000</v>
      </c>
    </row>
    <row r="26" spans="1:16" ht="35.25" customHeight="1" x14ac:dyDescent="0.25">
      <c r="A26" s="12"/>
      <c r="B26" s="136" t="s">
        <v>18</v>
      </c>
      <c r="C26" s="136"/>
      <c r="D26" s="13"/>
      <c r="E26" s="13"/>
      <c r="F26" s="13"/>
      <c r="G26" s="13"/>
      <c r="H26" s="13"/>
      <c r="I26" s="92"/>
      <c r="J26" s="13"/>
      <c r="K26" s="13"/>
      <c r="L26" s="13"/>
      <c r="M26" s="13"/>
      <c r="N26" s="13"/>
      <c r="O26" s="13"/>
      <c r="P26" s="138">
        <f>SUM(P4:P25)</f>
        <v>980500000</v>
      </c>
    </row>
    <row r="27" spans="1:16" ht="35.25" customHeight="1" thickBot="1" x14ac:dyDescent="0.3">
      <c r="A27" s="10"/>
      <c r="B27" s="137"/>
      <c r="C27" s="137"/>
      <c r="D27" s="11"/>
      <c r="E27" s="11"/>
      <c r="F27" s="11"/>
      <c r="G27" s="11"/>
      <c r="H27" s="11"/>
      <c r="I27" s="93"/>
      <c r="J27" s="11"/>
      <c r="K27" s="11"/>
      <c r="L27" s="11"/>
      <c r="M27" s="11"/>
      <c r="N27" s="11"/>
      <c r="O27" s="11"/>
      <c r="P27" s="139"/>
    </row>
  </sheetData>
  <mergeCells count="133">
    <mergeCell ref="A24:A25"/>
    <mergeCell ref="B24:B25"/>
    <mergeCell ref="C24:C25"/>
    <mergeCell ref="D24:D25"/>
    <mergeCell ref="E24:E25"/>
    <mergeCell ref="O24:O25"/>
    <mergeCell ref="B26:C27"/>
    <mergeCell ref="P26:P27"/>
    <mergeCell ref="F24:F25"/>
    <mergeCell ref="G24:G25"/>
    <mergeCell ref="I24:I25"/>
    <mergeCell ref="J24:J25"/>
    <mergeCell ref="L24:L25"/>
    <mergeCell ref="M24:M25"/>
    <mergeCell ref="L20:L21"/>
    <mergeCell ref="M20:M21"/>
    <mergeCell ref="O20:O21"/>
    <mergeCell ref="A22:A23"/>
    <mergeCell ref="B22:B23"/>
    <mergeCell ref="C22:C23"/>
    <mergeCell ref="D22:D23"/>
    <mergeCell ref="E22:E23"/>
    <mergeCell ref="F22:F23"/>
    <mergeCell ref="G22:G23"/>
    <mergeCell ref="I22:I23"/>
    <mergeCell ref="J22:J23"/>
    <mergeCell ref="L22:L23"/>
    <mergeCell ref="M22:M23"/>
    <mergeCell ref="O22:O23"/>
    <mergeCell ref="A20:A21"/>
    <mergeCell ref="B20:B21"/>
    <mergeCell ref="C20:C21"/>
    <mergeCell ref="D20:D21"/>
    <mergeCell ref="E20:E21"/>
    <mergeCell ref="F20:F21"/>
    <mergeCell ref="G20:G21"/>
    <mergeCell ref="I20:I21"/>
    <mergeCell ref="J20:J21"/>
    <mergeCell ref="M14:M15"/>
    <mergeCell ref="J16:J17"/>
    <mergeCell ref="L16:L17"/>
    <mergeCell ref="M16:M17"/>
    <mergeCell ref="O16:O17"/>
    <mergeCell ref="A18:A19"/>
    <mergeCell ref="B18:B19"/>
    <mergeCell ref="C18:C19"/>
    <mergeCell ref="D18:D19"/>
    <mergeCell ref="E18:E19"/>
    <mergeCell ref="F18:F19"/>
    <mergeCell ref="O18:O19"/>
    <mergeCell ref="G18:G19"/>
    <mergeCell ref="H18:H19"/>
    <mergeCell ref="I18:I19"/>
    <mergeCell ref="J18:J19"/>
    <mergeCell ref="L18:L19"/>
    <mergeCell ref="M18:M19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M8:M9"/>
    <mergeCell ref="O8:O9"/>
    <mergeCell ref="G12:G13"/>
    <mergeCell ref="J12:J13"/>
    <mergeCell ref="L12:L13"/>
    <mergeCell ref="M12:M13"/>
    <mergeCell ref="O12:O13"/>
    <mergeCell ref="A14:A15"/>
    <mergeCell ref="B14:B15"/>
    <mergeCell ref="C14:C15"/>
    <mergeCell ref="D14:D15"/>
    <mergeCell ref="E14:E15"/>
    <mergeCell ref="A12:A13"/>
    <mergeCell ref="B12:B13"/>
    <mergeCell ref="C12:C13"/>
    <mergeCell ref="D12:D13"/>
    <mergeCell ref="E12:E13"/>
    <mergeCell ref="F12:F13"/>
    <mergeCell ref="O14:O15"/>
    <mergeCell ref="F14:F15"/>
    <mergeCell ref="G14:G15"/>
    <mergeCell ref="I14:I15"/>
    <mergeCell ref="J14:J15"/>
    <mergeCell ref="L14:L15"/>
    <mergeCell ref="A10:A11"/>
    <mergeCell ref="B10:B11"/>
    <mergeCell ref="C10:C11"/>
    <mergeCell ref="D10:D11"/>
    <mergeCell ref="E10:E11"/>
    <mergeCell ref="J6:J7"/>
    <mergeCell ref="L6:L7"/>
    <mergeCell ref="M6:M7"/>
    <mergeCell ref="O6:O7"/>
    <mergeCell ref="A8:A9"/>
    <mergeCell ref="B8:B9"/>
    <mergeCell ref="C8:C9"/>
    <mergeCell ref="D8:D9"/>
    <mergeCell ref="E8:E9"/>
    <mergeCell ref="F8:F9"/>
    <mergeCell ref="F10:F11"/>
    <mergeCell ref="G10:G11"/>
    <mergeCell ref="J10:J11"/>
    <mergeCell ref="L10:L11"/>
    <mergeCell ref="M10:M11"/>
    <mergeCell ref="O10:O11"/>
    <mergeCell ref="G8:G9"/>
    <mergeCell ref="J8:J9"/>
    <mergeCell ref="L8:L9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A1:N2"/>
    <mergeCell ref="A4:A5"/>
    <mergeCell ref="B4:B5"/>
    <mergeCell ref="C4:C5"/>
    <mergeCell ref="D4:D5"/>
    <mergeCell ref="E4:E5"/>
    <mergeCell ref="F4:F5"/>
    <mergeCell ref="G4:G5"/>
    <mergeCell ref="J4:J5"/>
    <mergeCell ref="L4:L5"/>
    <mergeCell ref="M4:M5"/>
  </mergeCells>
  <printOptions horizontalCentered="1" verticalCentered="1"/>
  <pageMargins left="0" right="0" top="0" bottom="0" header="0" footer="0"/>
  <pageSetup scale="78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868F-B695-4112-8858-2DAC223D0000}">
  <sheetPr>
    <pageSetUpPr fitToPage="1"/>
  </sheetPr>
  <dimension ref="A1:P27"/>
  <sheetViews>
    <sheetView rightToLeft="1" tabSelected="1" view="pageLayout" topLeftCell="A22" zoomScale="70" zoomScaleNormal="100" zoomScalePageLayoutView="70" workbookViewId="0">
      <selection activeCell="B20" sqref="B20:B21"/>
    </sheetView>
  </sheetViews>
  <sheetFormatPr defaultRowHeight="15" x14ac:dyDescent="0.25"/>
  <cols>
    <col min="1" max="1" width="5.7109375" bestFit="1" customWidth="1"/>
    <col min="2" max="2" width="15.42578125" customWidth="1"/>
    <col min="3" max="3" width="10.5703125" customWidth="1"/>
    <col min="8" max="10" width="11.28515625" customWidth="1"/>
    <col min="11" max="13" width="10.85546875" customWidth="1"/>
    <col min="14" max="16" width="12.7109375" customWidth="1"/>
  </cols>
  <sheetData>
    <row r="1" spans="1:16" ht="36.75" customHeight="1" x14ac:dyDescent="0.25">
      <c r="A1" s="113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8" t="s">
        <v>19</v>
      </c>
      <c r="P1" s="28">
        <v>1405</v>
      </c>
    </row>
    <row r="2" spans="1:16" ht="36.75" customHeight="1" thickBot="1" x14ac:dyDescent="0.3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9" t="s">
        <v>20</v>
      </c>
      <c r="P2" s="29">
        <v>25</v>
      </c>
    </row>
    <row r="3" spans="1:16" ht="81.75" customHeight="1" thickBot="1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7" t="s">
        <v>17</v>
      </c>
    </row>
    <row r="4" spans="1:16" ht="50.25" customHeight="1" x14ac:dyDescent="0.25">
      <c r="A4" s="105">
        <v>1</v>
      </c>
      <c r="B4" s="150" t="s">
        <v>26</v>
      </c>
      <c r="C4" s="109"/>
      <c r="D4" s="109"/>
      <c r="E4" s="111" t="s">
        <v>64</v>
      </c>
      <c r="F4" s="109"/>
      <c r="G4" s="109">
        <v>738</v>
      </c>
      <c r="H4" s="100" t="s">
        <v>157</v>
      </c>
      <c r="I4" s="99" t="s">
        <v>100</v>
      </c>
      <c r="J4" s="123" t="s">
        <v>156</v>
      </c>
      <c r="K4" s="98"/>
      <c r="L4" s="121" t="s">
        <v>60</v>
      </c>
      <c r="M4" s="123" t="s">
        <v>27</v>
      </c>
      <c r="N4" s="98" t="s">
        <v>16</v>
      </c>
      <c r="O4" s="123" t="s">
        <v>27</v>
      </c>
      <c r="P4" s="26">
        <v>95000000</v>
      </c>
    </row>
    <row r="5" spans="1:16" ht="50.25" customHeight="1" thickBot="1" x14ac:dyDescent="0.3">
      <c r="A5" s="106"/>
      <c r="B5" s="151"/>
      <c r="C5" s="110"/>
      <c r="D5" s="110"/>
      <c r="E5" s="112"/>
      <c r="F5" s="110"/>
      <c r="G5" s="110"/>
      <c r="H5" s="103"/>
      <c r="I5" s="97" t="s">
        <v>143</v>
      </c>
      <c r="J5" s="120"/>
      <c r="K5" s="97"/>
      <c r="L5" s="122"/>
      <c r="M5" s="120"/>
      <c r="N5" s="97"/>
      <c r="O5" s="120"/>
      <c r="P5" s="27">
        <v>25000000</v>
      </c>
    </row>
    <row r="6" spans="1:16" ht="58.5" customHeight="1" x14ac:dyDescent="0.25">
      <c r="A6" s="105">
        <v>2</v>
      </c>
      <c r="B6" s="150" t="s">
        <v>102</v>
      </c>
      <c r="C6" s="109"/>
      <c r="D6" s="109"/>
      <c r="E6" s="111">
        <v>1</v>
      </c>
      <c r="F6" s="130"/>
      <c r="G6" s="109"/>
      <c r="H6" s="126" t="s">
        <v>105</v>
      </c>
      <c r="I6" s="98" t="s">
        <v>116</v>
      </c>
      <c r="J6" s="123" t="s">
        <v>52</v>
      </c>
      <c r="K6" s="98"/>
      <c r="L6" s="123" t="s">
        <v>60</v>
      </c>
      <c r="M6" s="123"/>
      <c r="N6" s="98"/>
      <c r="O6" s="123" t="s">
        <v>106</v>
      </c>
      <c r="P6" s="26">
        <v>12500000</v>
      </c>
    </row>
    <row r="7" spans="1:16" ht="58.5" customHeight="1" thickBot="1" x14ac:dyDescent="0.3">
      <c r="A7" s="106"/>
      <c r="B7" s="151"/>
      <c r="C7" s="110"/>
      <c r="D7" s="110"/>
      <c r="E7" s="112"/>
      <c r="F7" s="130"/>
      <c r="G7" s="110"/>
      <c r="H7" s="144"/>
      <c r="I7" s="97" t="s">
        <v>143</v>
      </c>
      <c r="J7" s="120"/>
      <c r="K7" s="97"/>
      <c r="L7" s="120"/>
      <c r="M7" s="120"/>
      <c r="N7" s="97"/>
      <c r="O7" s="120"/>
      <c r="P7" s="27">
        <v>75000000</v>
      </c>
    </row>
    <row r="8" spans="1:16" ht="50.25" customHeight="1" x14ac:dyDescent="0.25">
      <c r="A8" s="105">
        <v>3</v>
      </c>
      <c r="B8" s="148" t="s">
        <v>26</v>
      </c>
      <c r="C8" s="109"/>
      <c r="D8" s="109"/>
      <c r="E8" s="111" t="s">
        <v>31</v>
      </c>
      <c r="F8" s="109"/>
      <c r="G8" s="109">
        <v>692</v>
      </c>
      <c r="H8" s="100" t="s">
        <v>157</v>
      </c>
      <c r="I8" s="99" t="s">
        <v>100</v>
      </c>
      <c r="J8" s="123" t="s">
        <v>156</v>
      </c>
      <c r="K8" s="98"/>
      <c r="L8" s="132" t="s">
        <v>60</v>
      </c>
      <c r="M8" s="123" t="s">
        <v>27</v>
      </c>
      <c r="N8" s="98" t="s">
        <v>16</v>
      </c>
      <c r="O8" s="123" t="s">
        <v>27</v>
      </c>
      <c r="P8" s="26">
        <v>95000000</v>
      </c>
    </row>
    <row r="9" spans="1:16" ht="50.25" customHeight="1" thickBot="1" x14ac:dyDescent="0.3">
      <c r="A9" s="106"/>
      <c r="B9" s="149"/>
      <c r="C9" s="110"/>
      <c r="D9" s="110"/>
      <c r="E9" s="112"/>
      <c r="F9" s="110"/>
      <c r="G9" s="110"/>
      <c r="H9" s="103"/>
      <c r="I9" s="97" t="s">
        <v>143</v>
      </c>
      <c r="J9" s="120"/>
      <c r="K9" s="97"/>
      <c r="L9" s="133"/>
      <c r="M9" s="120"/>
      <c r="N9" s="97"/>
      <c r="O9" s="120"/>
      <c r="P9" s="27">
        <v>25000000</v>
      </c>
    </row>
    <row r="10" spans="1:16" ht="60" customHeight="1" x14ac:dyDescent="0.25">
      <c r="A10" s="105">
        <v>4</v>
      </c>
      <c r="B10" s="148" t="s">
        <v>129</v>
      </c>
      <c r="C10" s="109"/>
      <c r="D10" s="109"/>
      <c r="E10" s="111">
        <v>30256</v>
      </c>
      <c r="F10" s="109"/>
      <c r="G10" s="109">
        <v>1005</v>
      </c>
      <c r="H10" s="100" t="s">
        <v>120</v>
      </c>
      <c r="I10" s="99" t="s">
        <v>126</v>
      </c>
      <c r="J10" s="123"/>
      <c r="K10" s="98"/>
      <c r="L10" s="132"/>
      <c r="M10" s="123" t="s">
        <v>27</v>
      </c>
      <c r="N10" s="98" t="s">
        <v>127</v>
      </c>
      <c r="O10" s="123" t="s">
        <v>130</v>
      </c>
      <c r="P10" s="26">
        <v>18000000</v>
      </c>
    </row>
    <row r="11" spans="1:16" ht="60" customHeight="1" thickBot="1" x14ac:dyDescent="0.3">
      <c r="A11" s="106"/>
      <c r="B11" s="149"/>
      <c r="C11" s="110"/>
      <c r="D11" s="110"/>
      <c r="E11" s="112"/>
      <c r="F11" s="110"/>
      <c r="G11" s="110"/>
      <c r="H11" s="103"/>
      <c r="I11" s="97"/>
      <c r="J11" s="120"/>
      <c r="K11" s="97"/>
      <c r="L11" s="133"/>
      <c r="M11" s="120"/>
      <c r="N11" s="97"/>
      <c r="O11" s="120"/>
      <c r="P11" s="27">
        <v>48000000</v>
      </c>
    </row>
    <row r="12" spans="1:16" ht="76.5" customHeight="1" x14ac:dyDescent="0.25">
      <c r="A12" s="105">
        <v>5</v>
      </c>
      <c r="B12" s="148" t="s">
        <v>125</v>
      </c>
      <c r="C12" s="109"/>
      <c r="D12" s="109"/>
      <c r="E12" s="111">
        <v>29087</v>
      </c>
      <c r="F12" s="109"/>
      <c r="G12" s="109">
        <v>1005</v>
      </c>
      <c r="H12" s="100" t="s">
        <v>120</v>
      </c>
      <c r="I12" s="99" t="s">
        <v>126</v>
      </c>
      <c r="J12" s="123"/>
      <c r="K12" s="98"/>
      <c r="L12" s="132"/>
      <c r="M12" s="123" t="s">
        <v>27</v>
      </c>
      <c r="N12" s="98" t="s">
        <v>127</v>
      </c>
      <c r="O12" s="123" t="s">
        <v>128</v>
      </c>
      <c r="P12" s="26">
        <v>12000000</v>
      </c>
    </row>
    <row r="13" spans="1:16" ht="76.5" customHeight="1" thickBot="1" x14ac:dyDescent="0.3">
      <c r="A13" s="106"/>
      <c r="B13" s="149"/>
      <c r="C13" s="110"/>
      <c r="D13" s="110"/>
      <c r="E13" s="112"/>
      <c r="F13" s="110"/>
      <c r="G13" s="110"/>
      <c r="H13" s="103"/>
      <c r="I13" s="97"/>
      <c r="J13" s="120"/>
      <c r="K13" s="97"/>
      <c r="L13" s="133"/>
      <c r="M13" s="120"/>
      <c r="N13" s="97"/>
      <c r="O13" s="120"/>
      <c r="P13" s="27">
        <v>42000000</v>
      </c>
    </row>
    <row r="14" spans="1:16" ht="60" customHeight="1" x14ac:dyDescent="0.25">
      <c r="A14" s="105">
        <v>6</v>
      </c>
      <c r="B14" s="148" t="s">
        <v>24</v>
      </c>
      <c r="C14" s="109"/>
      <c r="D14" s="109"/>
      <c r="E14" s="111" t="s">
        <v>137</v>
      </c>
      <c r="F14" s="109"/>
      <c r="G14" s="109"/>
      <c r="H14" s="100"/>
      <c r="I14" s="124" t="s">
        <v>139</v>
      </c>
      <c r="J14" s="123"/>
      <c r="K14" s="98"/>
      <c r="L14" s="132" t="s">
        <v>140</v>
      </c>
      <c r="M14" s="123" t="s">
        <v>27</v>
      </c>
      <c r="N14" s="98"/>
      <c r="O14" s="123" t="s">
        <v>128</v>
      </c>
      <c r="P14" s="26">
        <v>12000000</v>
      </c>
    </row>
    <row r="15" spans="1:16" ht="60" customHeight="1" thickBot="1" x14ac:dyDescent="0.3">
      <c r="A15" s="106"/>
      <c r="B15" s="149"/>
      <c r="C15" s="110"/>
      <c r="D15" s="110"/>
      <c r="E15" s="112"/>
      <c r="F15" s="110"/>
      <c r="G15" s="110"/>
      <c r="H15" s="103" t="s">
        <v>138</v>
      </c>
      <c r="I15" s="120"/>
      <c r="J15" s="120"/>
      <c r="K15" s="97"/>
      <c r="L15" s="133"/>
      <c r="M15" s="120"/>
      <c r="N15" s="97"/>
      <c r="O15" s="120"/>
      <c r="P15" s="27">
        <v>45000000</v>
      </c>
    </row>
    <row r="16" spans="1:16" ht="60" customHeight="1" x14ac:dyDescent="0.25">
      <c r="A16" s="105">
        <v>7</v>
      </c>
      <c r="B16" s="148" t="s">
        <v>141</v>
      </c>
      <c r="C16" s="109"/>
      <c r="D16" s="109"/>
      <c r="E16" s="111" t="s">
        <v>142</v>
      </c>
      <c r="F16" s="109"/>
      <c r="G16" s="109"/>
      <c r="H16" s="109" t="s">
        <v>138</v>
      </c>
      <c r="I16" s="124" t="s">
        <v>143</v>
      </c>
      <c r="J16" s="123"/>
      <c r="K16" s="98"/>
      <c r="L16" s="132" t="s">
        <v>140</v>
      </c>
      <c r="M16" s="123" t="s">
        <v>27</v>
      </c>
      <c r="N16" s="98"/>
      <c r="O16" s="123" t="s">
        <v>128</v>
      </c>
      <c r="P16" s="26">
        <v>12000000</v>
      </c>
    </row>
    <row r="17" spans="1:16" ht="60" customHeight="1" thickBot="1" x14ac:dyDescent="0.3">
      <c r="A17" s="106"/>
      <c r="B17" s="149"/>
      <c r="C17" s="110"/>
      <c r="D17" s="110"/>
      <c r="E17" s="112"/>
      <c r="F17" s="110"/>
      <c r="G17" s="110"/>
      <c r="H17" s="110"/>
      <c r="I17" s="120"/>
      <c r="J17" s="120"/>
      <c r="K17" s="97"/>
      <c r="L17" s="133"/>
      <c r="M17" s="120"/>
      <c r="N17" s="97"/>
      <c r="O17" s="120"/>
      <c r="P17" s="27">
        <v>45000000</v>
      </c>
    </row>
    <row r="18" spans="1:16" ht="60" customHeight="1" x14ac:dyDescent="0.25">
      <c r="A18" s="105">
        <v>8</v>
      </c>
      <c r="B18" s="148" t="s">
        <v>144</v>
      </c>
      <c r="C18" s="109"/>
      <c r="D18" s="109"/>
      <c r="E18" s="111" t="s">
        <v>145</v>
      </c>
      <c r="F18" s="109"/>
      <c r="G18" s="109"/>
      <c r="H18" s="109" t="s">
        <v>146</v>
      </c>
      <c r="I18" s="124" t="s">
        <v>147</v>
      </c>
      <c r="J18" s="123"/>
      <c r="K18" s="98"/>
      <c r="L18" s="132"/>
      <c r="M18" s="123" t="s">
        <v>148</v>
      </c>
      <c r="N18" s="98"/>
      <c r="O18" s="123" t="s">
        <v>149</v>
      </c>
      <c r="P18" s="26">
        <v>24000000</v>
      </c>
    </row>
    <row r="19" spans="1:16" ht="60" customHeight="1" thickBot="1" x14ac:dyDescent="0.3">
      <c r="A19" s="106"/>
      <c r="B19" s="149"/>
      <c r="C19" s="110"/>
      <c r="D19" s="110"/>
      <c r="E19" s="112"/>
      <c r="F19" s="110"/>
      <c r="G19" s="110"/>
      <c r="H19" s="110"/>
      <c r="I19" s="120"/>
      <c r="J19" s="120"/>
      <c r="K19" s="97"/>
      <c r="L19" s="133"/>
      <c r="M19" s="120"/>
      <c r="N19" s="97"/>
      <c r="O19" s="120"/>
      <c r="P19" s="27">
        <v>180000000</v>
      </c>
    </row>
    <row r="20" spans="1:16" ht="60" customHeight="1" x14ac:dyDescent="0.25">
      <c r="A20" s="105">
        <v>9</v>
      </c>
      <c r="B20" s="148" t="s">
        <v>151</v>
      </c>
      <c r="C20" s="109"/>
      <c r="D20" s="109"/>
      <c r="E20" s="111" t="s">
        <v>152</v>
      </c>
      <c r="F20" s="109"/>
      <c r="G20" s="109"/>
      <c r="H20" s="100" t="s">
        <v>153</v>
      </c>
      <c r="I20" s="124" t="s">
        <v>154</v>
      </c>
      <c r="J20" s="123"/>
      <c r="K20" s="98"/>
      <c r="L20" s="132" t="s">
        <v>140</v>
      </c>
      <c r="M20" s="123" t="s">
        <v>27</v>
      </c>
      <c r="N20" s="98"/>
      <c r="O20" s="123" t="s">
        <v>128</v>
      </c>
      <c r="P20" s="26">
        <v>12000000</v>
      </c>
    </row>
    <row r="21" spans="1:16" ht="60" customHeight="1" thickBot="1" x14ac:dyDescent="0.3">
      <c r="A21" s="106"/>
      <c r="B21" s="149"/>
      <c r="C21" s="110"/>
      <c r="D21" s="110"/>
      <c r="E21" s="112"/>
      <c r="F21" s="110"/>
      <c r="G21" s="110"/>
      <c r="H21" s="103"/>
      <c r="I21" s="120"/>
      <c r="J21" s="120"/>
      <c r="K21" s="97"/>
      <c r="L21" s="133"/>
      <c r="M21" s="120"/>
      <c r="N21" s="97"/>
      <c r="O21" s="120"/>
      <c r="P21" s="27">
        <v>75000000</v>
      </c>
    </row>
    <row r="22" spans="1:16" ht="60.75" customHeight="1" x14ac:dyDescent="0.25">
      <c r="A22" s="134">
        <v>10</v>
      </c>
      <c r="B22" s="150" t="s">
        <v>165</v>
      </c>
      <c r="C22" s="109"/>
      <c r="D22" s="109"/>
      <c r="E22" s="111" t="s">
        <v>164</v>
      </c>
      <c r="F22" s="109"/>
      <c r="G22" s="109"/>
      <c r="H22" s="100" t="s">
        <v>159</v>
      </c>
      <c r="I22" s="123" t="s">
        <v>160</v>
      </c>
      <c r="J22" s="123"/>
      <c r="K22" s="98"/>
      <c r="L22" s="132" t="s">
        <v>161</v>
      </c>
      <c r="M22" s="123" t="s">
        <v>162</v>
      </c>
      <c r="N22" s="98"/>
      <c r="O22" s="123" t="s">
        <v>163</v>
      </c>
      <c r="P22" s="26">
        <v>12000000</v>
      </c>
    </row>
    <row r="23" spans="1:16" ht="60.75" customHeight="1" thickBot="1" x14ac:dyDescent="0.3">
      <c r="A23" s="135"/>
      <c r="B23" s="151"/>
      <c r="C23" s="110"/>
      <c r="D23" s="110"/>
      <c r="E23" s="112"/>
      <c r="F23" s="110"/>
      <c r="G23" s="110"/>
      <c r="H23" s="103"/>
      <c r="I23" s="120"/>
      <c r="J23" s="120"/>
      <c r="K23" s="97"/>
      <c r="L23" s="133"/>
      <c r="M23" s="120"/>
      <c r="N23" s="97"/>
      <c r="O23" s="120"/>
      <c r="P23" s="27">
        <v>95000000</v>
      </c>
    </row>
    <row r="24" spans="1:16" ht="54.75" customHeight="1" x14ac:dyDescent="0.25">
      <c r="A24" s="105">
        <v>11</v>
      </c>
      <c r="B24" s="148" t="s">
        <v>155</v>
      </c>
      <c r="C24" s="109"/>
      <c r="D24" s="109"/>
      <c r="E24" s="111" t="s">
        <v>152</v>
      </c>
      <c r="F24" s="109"/>
      <c r="G24" s="109"/>
      <c r="H24" s="100" t="s">
        <v>153</v>
      </c>
      <c r="I24" s="124" t="s">
        <v>154</v>
      </c>
      <c r="J24" s="123"/>
      <c r="K24" s="98"/>
      <c r="L24" s="132" t="s">
        <v>140</v>
      </c>
      <c r="M24" s="123" t="s">
        <v>27</v>
      </c>
      <c r="N24" s="98"/>
      <c r="O24" s="123" t="s">
        <v>128</v>
      </c>
      <c r="P24" s="26">
        <v>25000000</v>
      </c>
    </row>
    <row r="25" spans="1:16" ht="54.75" customHeight="1" thickBot="1" x14ac:dyDescent="0.3">
      <c r="A25" s="106"/>
      <c r="B25" s="149"/>
      <c r="C25" s="110"/>
      <c r="D25" s="110"/>
      <c r="E25" s="112"/>
      <c r="F25" s="110"/>
      <c r="G25" s="110"/>
      <c r="H25" s="103"/>
      <c r="I25" s="120"/>
      <c r="J25" s="120"/>
      <c r="K25" s="97"/>
      <c r="L25" s="133"/>
      <c r="M25" s="120"/>
      <c r="N25" s="97"/>
      <c r="O25" s="120"/>
      <c r="P25" s="27">
        <v>95000000</v>
      </c>
    </row>
    <row r="26" spans="1:16" ht="35.25" customHeight="1" x14ac:dyDescent="0.25">
      <c r="A26" s="12"/>
      <c r="B26" s="136" t="s">
        <v>18</v>
      </c>
      <c r="C26" s="136"/>
      <c r="D26" s="13"/>
      <c r="E26" s="13"/>
      <c r="F26" s="13"/>
      <c r="G26" s="13"/>
      <c r="H26" s="13"/>
      <c r="I26" s="101"/>
      <c r="J26" s="13"/>
      <c r="K26" s="13"/>
      <c r="L26" s="13"/>
      <c r="M26" s="13"/>
      <c r="N26" s="13"/>
      <c r="O26" s="13"/>
      <c r="P26" s="138">
        <f>SUM(P4:P25)</f>
        <v>1079500000</v>
      </c>
    </row>
    <row r="27" spans="1:16" ht="35.25" customHeight="1" thickBot="1" x14ac:dyDescent="0.3">
      <c r="A27" s="10"/>
      <c r="B27" s="137"/>
      <c r="C27" s="137"/>
      <c r="D27" s="11"/>
      <c r="E27" s="11"/>
      <c r="F27" s="11"/>
      <c r="G27" s="11"/>
      <c r="H27" s="11"/>
      <c r="I27" s="102"/>
      <c r="J27" s="11"/>
      <c r="K27" s="11"/>
      <c r="L27" s="11"/>
      <c r="M27" s="11"/>
      <c r="N27" s="11"/>
      <c r="O27" s="11"/>
      <c r="P27" s="139"/>
    </row>
  </sheetData>
  <mergeCells count="133">
    <mergeCell ref="A1:N2"/>
    <mergeCell ref="A4:A5"/>
    <mergeCell ref="B4:B5"/>
    <mergeCell ref="C4:C5"/>
    <mergeCell ref="D4:D5"/>
    <mergeCell ref="E4:E5"/>
    <mergeCell ref="F4:F5"/>
    <mergeCell ref="G4:G5"/>
    <mergeCell ref="J4:J5"/>
    <mergeCell ref="L4:L5"/>
    <mergeCell ref="M4:M5"/>
    <mergeCell ref="O4:O5"/>
    <mergeCell ref="A6:A7"/>
    <mergeCell ref="B6:B7"/>
    <mergeCell ref="C6:C7"/>
    <mergeCell ref="D6:D7"/>
    <mergeCell ref="E6:E7"/>
    <mergeCell ref="F6:F7"/>
    <mergeCell ref="G6:G7"/>
    <mergeCell ref="H6:H7"/>
    <mergeCell ref="A10:A11"/>
    <mergeCell ref="B10:B11"/>
    <mergeCell ref="C10:C11"/>
    <mergeCell ref="D10:D11"/>
    <mergeCell ref="E10:E11"/>
    <mergeCell ref="J6:J7"/>
    <mergeCell ref="L6:L7"/>
    <mergeCell ref="M6:M7"/>
    <mergeCell ref="O6:O7"/>
    <mergeCell ref="A8:A9"/>
    <mergeCell ref="B8:B9"/>
    <mergeCell ref="C8:C9"/>
    <mergeCell ref="D8:D9"/>
    <mergeCell ref="E8:E9"/>
    <mergeCell ref="F8:F9"/>
    <mergeCell ref="F10:F11"/>
    <mergeCell ref="G10:G11"/>
    <mergeCell ref="J10:J11"/>
    <mergeCell ref="L10:L11"/>
    <mergeCell ref="M10:M11"/>
    <mergeCell ref="O10:O11"/>
    <mergeCell ref="G8:G9"/>
    <mergeCell ref="J8:J9"/>
    <mergeCell ref="L8:L9"/>
    <mergeCell ref="M8:M9"/>
    <mergeCell ref="O8:O9"/>
    <mergeCell ref="G12:G13"/>
    <mergeCell ref="J12:J13"/>
    <mergeCell ref="L12:L13"/>
    <mergeCell ref="M12:M13"/>
    <mergeCell ref="O12:O13"/>
    <mergeCell ref="A14:A15"/>
    <mergeCell ref="B14:B15"/>
    <mergeCell ref="C14:C15"/>
    <mergeCell ref="D14:D15"/>
    <mergeCell ref="E14:E15"/>
    <mergeCell ref="A12:A13"/>
    <mergeCell ref="B12:B13"/>
    <mergeCell ref="C12:C13"/>
    <mergeCell ref="D12:D13"/>
    <mergeCell ref="E12:E13"/>
    <mergeCell ref="F12:F13"/>
    <mergeCell ref="O14:O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F14:F15"/>
    <mergeCell ref="G14:G15"/>
    <mergeCell ref="I14:I15"/>
    <mergeCell ref="J14:J15"/>
    <mergeCell ref="L14:L15"/>
    <mergeCell ref="M14:M15"/>
    <mergeCell ref="J16:J17"/>
    <mergeCell ref="L16:L17"/>
    <mergeCell ref="M16:M17"/>
    <mergeCell ref="O16:O17"/>
    <mergeCell ref="A18:A19"/>
    <mergeCell ref="B18:B19"/>
    <mergeCell ref="C18:C19"/>
    <mergeCell ref="D18:D19"/>
    <mergeCell ref="E18:E19"/>
    <mergeCell ref="F18:F19"/>
    <mergeCell ref="O18:O19"/>
    <mergeCell ref="A20:A21"/>
    <mergeCell ref="B20:B21"/>
    <mergeCell ref="C20:C21"/>
    <mergeCell ref="D20:D21"/>
    <mergeCell ref="E20:E21"/>
    <mergeCell ref="F20:F21"/>
    <mergeCell ref="G20:G21"/>
    <mergeCell ref="I20:I21"/>
    <mergeCell ref="J20:J21"/>
    <mergeCell ref="G18:G19"/>
    <mergeCell ref="H18:H19"/>
    <mergeCell ref="I18:I19"/>
    <mergeCell ref="J18:J19"/>
    <mergeCell ref="L18:L19"/>
    <mergeCell ref="M18:M19"/>
    <mergeCell ref="L20:L21"/>
    <mergeCell ref="M20:M21"/>
    <mergeCell ref="O20:O21"/>
    <mergeCell ref="I22:I23"/>
    <mergeCell ref="J22:J23"/>
    <mergeCell ref="L22:L23"/>
    <mergeCell ref="M22:M23"/>
    <mergeCell ref="O22:O23"/>
    <mergeCell ref="A24:A25"/>
    <mergeCell ref="B24:B25"/>
    <mergeCell ref="C24:C25"/>
    <mergeCell ref="D24:D25"/>
    <mergeCell ref="E24:E25"/>
    <mergeCell ref="G22:G23"/>
    <mergeCell ref="F22:F23"/>
    <mergeCell ref="E22:E23"/>
    <mergeCell ref="D22:D23"/>
    <mergeCell ref="C22:C23"/>
    <mergeCell ref="B22:B23"/>
    <mergeCell ref="A22:A23"/>
    <mergeCell ref="O24:O25"/>
    <mergeCell ref="B26:C27"/>
    <mergeCell ref="P26:P27"/>
    <mergeCell ref="F24:F25"/>
    <mergeCell ref="G24:G25"/>
    <mergeCell ref="I24:I25"/>
    <mergeCell ref="J24:J25"/>
    <mergeCell ref="L24:L25"/>
    <mergeCell ref="M24:M25"/>
  </mergeCells>
  <printOptions horizontalCentered="1" verticalCentered="1"/>
  <pageMargins left="0" right="0" top="0" bottom="0" header="0" footer="0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cp:lastPrinted>2026-09-06T05:38:45Z</cp:lastPrinted>
  <dcterms:created xsi:type="dcterms:W3CDTF">2025-04-08T08:55:10Z</dcterms:created>
  <dcterms:modified xsi:type="dcterms:W3CDTF">2026-09-14T11:50:03Z</dcterms:modified>
</cp:coreProperties>
</file>