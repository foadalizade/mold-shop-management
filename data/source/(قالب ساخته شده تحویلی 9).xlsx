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TK-Files\قالب سازی\1405\گزارش هفتگی\"/>
    </mc:Choice>
  </mc:AlternateContent>
  <xr:revisionPtr revIDLastSave="0" documentId="13_ncr:1_{CE379256-AB16-442B-960B-B5FCB349D925}" xr6:coauthVersionLast="47" xr6:coauthVersionMax="47" xr10:uidLastSave="{00000000-0000-0000-0000-000000000000}"/>
  <bookViews>
    <workbookView xWindow="-120" yWindow="-120" windowWidth="24240" windowHeight="13020" activeTab="1" xr2:uid="{33EA6D1C-C96B-457F-B65E-FEC41934466B}"/>
  </bookViews>
  <sheets>
    <sheet name="1404" sheetId="1" r:id="rId1"/>
    <sheet name="1405" sheetId="3" r:id="rId2"/>
  </sheets>
  <definedNames>
    <definedName name="_xlnm._FilterDatabase" localSheetId="0" hidden="1">'1404'!$A$2:$G$23</definedName>
    <definedName name="_xlnm._FilterDatabase" localSheetId="1" hidden="1">'1405'!$A$2:$G$4</definedName>
    <definedName name="_xlnm.Print_Titles" localSheetId="0">'1404'!$1:$2</definedName>
    <definedName name="_xlnm.Print_Titles" localSheetId="1">'1405'!$1:$2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3" l="1" a="1"/>
  <c r="A3" i="3" s="1"/>
  <c r="G50" i="1"/>
  <c r="A3" i="1" l="1" a="1"/>
  <c r="A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<sst xmlns="http://schemas.openxmlformats.org/spreadsheetml/2006/main" count="188" uniqueCount="135">
  <si>
    <t>ردیف</t>
  </si>
  <si>
    <t>نام قالب</t>
  </si>
  <si>
    <t>تاریخ سفارش</t>
  </si>
  <si>
    <t>ثبت سفارش</t>
  </si>
  <si>
    <t>تاریخ تحویل</t>
  </si>
  <si>
    <t>کد قالب</t>
  </si>
  <si>
    <t>زمان بکار رفته جهت ساخت</t>
  </si>
  <si>
    <t>ساب آلبا</t>
  </si>
  <si>
    <t>1403/11/20</t>
  </si>
  <si>
    <t>1404/02/05</t>
  </si>
  <si>
    <t>دستگاه برش لنت صنعتی(الیافی)</t>
  </si>
  <si>
    <t>1403/05/20</t>
  </si>
  <si>
    <t>1403/12/20</t>
  </si>
  <si>
    <t>پخت ایسوزو 6 تن</t>
  </si>
  <si>
    <t>1403/07/30</t>
  </si>
  <si>
    <t>1404/02/10</t>
  </si>
  <si>
    <t>پرس تقویتی قطاری</t>
  </si>
  <si>
    <t>1403/10/20</t>
  </si>
  <si>
    <t>1404/01/20</t>
  </si>
  <si>
    <t>پرس شیم پژو 405</t>
  </si>
  <si>
    <t>1403/10/12</t>
  </si>
  <si>
    <t>لنت گرد 
103*50*48</t>
  </si>
  <si>
    <t>1403/12/22</t>
  </si>
  <si>
    <t>1404/02/01</t>
  </si>
  <si>
    <t>پخت نیوفیس C&amp;C</t>
  </si>
  <si>
    <t>1403/11/06</t>
  </si>
  <si>
    <t>1404/01/05</t>
  </si>
  <si>
    <t>پخت کلاچ پیکان انگلیسی</t>
  </si>
  <si>
    <t>1403/10/05</t>
  </si>
  <si>
    <t>1404/02/25</t>
  </si>
  <si>
    <t>FC30360-03s</t>
  </si>
  <si>
    <t>قالب مینی بوس مان</t>
  </si>
  <si>
    <t>1403/11/13</t>
  </si>
  <si>
    <t>1404/02/23</t>
  </si>
  <si>
    <t>نک آرایش نیو فیس C&amp;C</t>
  </si>
  <si>
    <t>فولاد زرند ایرانیان(ریلی)</t>
  </si>
  <si>
    <t>1404/01/24</t>
  </si>
  <si>
    <t>1404/02/27</t>
  </si>
  <si>
    <t>پخت لنت ریلی LL</t>
  </si>
  <si>
    <t>1404/02/20</t>
  </si>
  <si>
    <t>1404/03/23</t>
  </si>
  <si>
    <t>1404/02/21</t>
  </si>
  <si>
    <t>1404/03/24</t>
  </si>
  <si>
    <t>سوراخکاری دسته  LL</t>
  </si>
  <si>
    <t>پخت کلاچ Tu5
( 2کویته)</t>
  </si>
  <si>
    <t>1404/03/22</t>
  </si>
  <si>
    <t>1404/05/01</t>
  </si>
  <si>
    <t>پخت کلاچ شورلت</t>
  </si>
  <si>
    <t>1404/01/09</t>
  </si>
  <si>
    <t>1404/04/19</t>
  </si>
  <si>
    <t>پخت نیسان جونیور</t>
  </si>
  <si>
    <t>1404/05/16</t>
  </si>
  <si>
    <t>پخت کلاچ 911 دور متوسط</t>
  </si>
  <si>
    <t>1404/02/29</t>
  </si>
  <si>
    <t>1404/05/25</t>
  </si>
  <si>
    <t>پخت کلاچ پژو 206 TU5</t>
  </si>
  <si>
    <t xml:space="preserve">پخت هشت سیلندر </t>
  </si>
  <si>
    <t>1404/06/27</t>
  </si>
  <si>
    <t>پخت جلو مزدا 3</t>
  </si>
  <si>
    <t>1404/03/03</t>
  </si>
  <si>
    <t>1404/04/21</t>
  </si>
  <si>
    <t>فیکسچر سوراخکاری لنت کلاچ اسیاب اولیه</t>
  </si>
  <si>
    <t>1404/06/10</t>
  </si>
  <si>
    <t>4712/د/4</t>
  </si>
  <si>
    <t>1404/06/25</t>
  </si>
  <si>
    <t>صایعات جمع کن پشم فلز</t>
  </si>
  <si>
    <t>پخت عقب ماکسیما</t>
  </si>
  <si>
    <t>پخت عقب مزدا 3</t>
  </si>
  <si>
    <t>پخت جلو تویوتا هایس</t>
  </si>
  <si>
    <t>1404/07/03</t>
  </si>
  <si>
    <t>1404/05/30</t>
  </si>
  <si>
    <t>خم راه آهن LL رجا</t>
  </si>
  <si>
    <t>1404/07/01</t>
  </si>
  <si>
    <t>1404/07/13</t>
  </si>
  <si>
    <t>04/د/4305</t>
  </si>
  <si>
    <t>1404/07/12</t>
  </si>
  <si>
    <t>1404/07/19</t>
  </si>
  <si>
    <t>قالب کلاچ زغال(کلاچ بادسان)</t>
  </si>
  <si>
    <t>قالب خاور پرس</t>
  </si>
  <si>
    <t>1404/05/27</t>
  </si>
  <si>
    <t>1404/07/20</t>
  </si>
  <si>
    <t>فقط ماتریس(30500)</t>
  </si>
  <si>
    <t>پخت کلاچ پیکان آلمانی</t>
  </si>
  <si>
    <t>1404/07/15</t>
  </si>
  <si>
    <t>1404/07/24</t>
  </si>
  <si>
    <t>پخت قطاری آلستوم(LL)</t>
  </si>
  <si>
    <t>1404/07/23</t>
  </si>
  <si>
    <t>1404/08/15</t>
  </si>
  <si>
    <t>سیم جمع کن پشم فلز</t>
  </si>
  <si>
    <t>1404/05/20</t>
  </si>
  <si>
    <t>1404/09/10</t>
  </si>
  <si>
    <t>Manufactured and Delivered Molds and Equipment</t>
  </si>
  <si>
    <t>خار بک پلیت ماکسیما</t>
  </si>
  <si>
    <t>خار بک پلیت جلو مزدا 3</t>
  </si>
  <si>
    <t>خار بک پلیت عقب مزدا 3</t>
  </si>
  <si>
    <t>خار بک پلیت جلو تویوتا هایس</t>
  </si>
  <si>
    <t>ابرویی جلو مزدا 3</t>
  </si>
  <si>
    <t>ابرویی عقب مزدا 3</t>
  </si>
  <si>
    <t>نک کوبه عقب مزدا 3</t>
  </si>
  <si>
    <t>نک آرایش عقب مزدا 3</t>
  </si>
  <si>
    <t>برش شیم عقب ماکسیما</t>
  </si>
  <si>
    <t>برش شیم عقب مزدا 3</t>
  </si>
  <si>
    <t>خم شیم عقب ماکسیما</t>
  </si>
  <si>
    <t>خم شیم عقب مزدا 3</t>
  </si>
  <si>
    <t>کوبه نک و آرایش پگاسوز</t>
  </si>
  <si>
    <t>1404/09/24</t>
  </si>
  <si>
    <t>شیم ریو</t>
  </si>
  <si>
    <t>1404/09/29</t>
  </si>
  <si>
    <t>پخت دیسکی پراید خاردار</t>
  </si>
  <si>
    <t>پخت دیسکی پراید بی خار</t>
  </si>
  <si>
    <t>1404/11/20</t>
  </si>
  <si>
    <t>قالب شمشی پراید</t>
  </si>
  <si>
    <t>1404/09/08</t>
  </si>
  <si>
    <t>1404/12/23</t>
  </si>
  <si>
    <t>توری پگاسوز</t>
  </si>
  <si>
    <t>1404/10/23</t>
  </si>
  <si>
    <t>1405/01/29</t>
  </si>
  <si>
    <t>1405/02/05</t>
  </si>
  <si>
    <t>قالب اصلاح دسته کفشک مترو K</t>
  </si>
  <si>
    <t>1405/02/01</t>
  </si>
  <si>
    <t>پخت پژو 405 دیسکی</t>
  </si>
  <si>
    <t>1405/01/26</t>
  </si>
  <si>
    <t>1405/02/31</t>
  </si>
  <si>
    <t>پیمانکار خارجی(120 ساعت جهت راه اندازی)</t>
  </si>
  <si>
    <t>پخت جلو ریو دیسکی</t>
  </si>
  <si>
    <t>1405/03/18</t>
  </si>
  <si>
    <t>1405/02/20</t>
  </si>
  <si>
    <t>پیمانکار خارجی(57 ساعت جهت راه اندازی)</t>
  </si>
  <si>
    <t xml:space="preserve">پخت کلاچ پراید </t>
  </si>
  <si>
    <t>1405/04/01</t>
  </si>
  <si>
    <t>MC30246-09S</t>
  </si>
  <si>
    <t>1405/05/12</t>
  </si>
  <si>
    <t>لنت ترمز دیسكی جلو دیما(خم)</t>
  </si>
  <si>
    <t>1405/04/17</t>
  </si>
  <si>
    <t>1405/05/20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</si>
</sst>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20"/>
      <name val="B Nazanin"/>
      <charset val="178"/>
    </font>
    <font>
      <b/>
      <sz val="11"/>
      <color theme="1"/>
      <name val="Calibri"/>
      <family val="2"/>
      <scheme val="minor"/>
    </font>
    <font>
      <b/>
      <sz val="10"/>
      <name val="B Nazanin"/>
      <charset val="178"/>
    </font>
    <font>
      <sz val="8"/>
      <name val="Calibri"/>
      <family val="2"/>
      <scheme val="minor"/>
    </font>
    <font>
      <i/>
      <sz val="11"/>
      <color theme="1"/>
      <name val="B Badr"/>
      <charset val="178"/>
    </font>
    <font>
      <sz val="11"/>
      <color theme="1"/>
      <name val="Calibri "/>
    </font>
    <font>
      <sz val="8"/>
      <color theme="1"/>
      <name val="Tahoma"/>
      <family val="2"/>
    </font>
    <font>
      <sz val="22"/>
      <name val="Baskerville Old Face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 readingOrder="1"/>
    </xf>
    <xf numFmtId="0" fontId="5" fillId="0" borderId="1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Fill="1" applyBorder="1"/>
    <xf numFmtId="0" fontId="1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 textRotation="90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1" fontId="3" fillId="2" borderId="5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0" xfId="0" applyFill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readingOrder="2"/>
    </xf>
    <xf numFmtId="0" fontId="5" fillId="0" borderId="1" xfId="0" applyFont="1" applyFill="1" applyBorder="1" applyAlignment="1">
      <alignment horizontal="center" vertical="center" wrapText="1" readingOrder="2"/>
    </xf>
    <xf numFmtId="0" fontId="5" fillId="0" borderId="11" xfId="0" applyFont="1" applyBorder="1" applyAlignment="1">
      <alignment horizontal="center" vertical="center" wrapText="1" readingOrder="2"/>
    </xf>
    <xf numFmtId="0" fontId="0" fillId="0" borderId="12" xfId="0" applyBorder="1"/>
    <xf numFmtId="0" fontId="0" fillId="0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ED78-E282-4C08-9235-109B6555C0AE}">
  <dimension ref="A1:G50"/>
  <sheetViews>
    <sheetView rightToLeft="1" view="pageLayout" topLeftCell="A43" zoomScaleNormal="100" workbookViewId="0">
      <selection activeCell="B50" sqref="B50:G50"/>
    </sheetView>
  </sheetViews>
  <sheetFormatPr defaultRowHeight="15"/>
  <cols>
    <col min="1" max="1" width="4.85546875" customWidth="1"/>
    <col min="2" max="2" width="22.5703125" customWidth="1"/>
    <col min="3" max="3" width="12.7109375" customWidth="1"/>
    <col min="4" max="4" width="11.42578125" customWidth="1"/>
    <col min="5" max="5" width="13.5703125" customWidth="1"/>
    <col min="6" max="6" width="25.7109375" customWidth="1"/>
    <col min="7" max="7" width="11" customWidth="1"/>
  </cols>
  <sheetData>
    <row r="1" spans="1:7" ht="51.75" customHeight="1" thickBot="1">
      <c r="A1" s="34" t="s">
        <v>91</v>
      </c>
      <c r="B1" s="35"/>
      <c r="C1" s="35"/>
      <c r="D1" s="35"/>
      <c r="E1" s="35"/>
      <c r="F1" s="35"/>
      <c r="G1" s="18">
        <v>1404</v>
      </c>
    </row>
    <row r="2" spans="1:7" ht="40.5" customHeight="1" thickBot="1">
      <c r="A2" s="19" t="s">
        <v>0</v>
      </c>
      <c r="B2" s="20" t="s">
        <v>1</v>
      </c>
      <c r="C2" s="20" t="s">
        <v>2</v>
      </c>
      <c r="D2" s="21" t="s">
        <v>3</v>
      </c>
      <c r="E2" s="21" t="s">
        <v>4</v>
      </c>
      <c r="F2" s="20" t="s">
        <v>5</v>
      </c>
      <c r="G2" s="22" t="s">
        <v>6</v>
      </c>
    </row>
    <row r="3" spans="1:7" ht="36" customHeight="1">
      <c r="A3" s="23" cm="1">
        <f t="array" ref="A3:A50">_xlfn.SEQUENCE(COUNTA(B:B)-1)</f>
        <v>1</v>
      </c>
      <c r="B3" s="3" t="s">
        <v>7</v>
      </c>
      <c r="C3" s="3" t="s">
        <v>8</v>
      </c>
      <c r="D3" s="3"/>
      <c r="E3" s="3" t="s">
        <v>9</v>
      </c>
      <c r="F3" s="3"/>
      <c r="G3" s="3">
        <v>25</v>
      </c>
    </row>
    <row r="4" spans="1:7" ht="36" customHeight="1">
      <c r="A4" s="24">
        <v>2</v>
      </c>
      <c r="B4" s="2" t="s">
        <v>10</v>
      </c>
      <c r="C4" s="1" t="s">
        <v>11</v>
      </c>
      <c r="D4" s="1"/>
      <c r="E4" s="1" t="s">
        <v>12</v>
      </c>
      <c r="F4" s="1"/>
      <c r="G4" s="1">
        <v>52</v>
      </c>
    </row>
    <row r="5" spans="1:7" ht="36" customHeight="1">
      <c r="A5" s="24">
        <v>3</v>
      </c>
      <c r="B5" s="1" t="s">
        <v>13</v>
      </c>
      <c r="C5" s="1" t="s">
        <v>14</v>
      </c>
      <c r="D5" s="1"/>
      <c r="E5" s="1" t="s">
        <v>15</v>
      </c>
      <c r="F5" s="1"/>
      <c r="G5" s="1">
        <v>42</v>
      </c>
    </row>
    <row r="6" spans="1:7" ht="36" customHeight="1">
      <c r="A6" s="24">
        <v>4</v>
      </c>
      <c r="B6" s="1" t="s">
        <v>16</v>
      </c>
      <c r="C6" s="1" t="s">
        <v>17</v>
      </c>
      <c r="D6" s="1"/>
      <c r="E6" s="1" t="s">
        <v>18</v>
      </c>
      <c r="F6" s="1"/>
      <c r="G6" s="1">
        <v>42</v>
      </c>
    </row>
    <row r="7" spans="1:7" ht="36" customHeight="1">
      <c r="A7" s="24">
        <v>5</v>
      </c>
      <c r="B7" s="5" t="s">
        <v>19</v>
      </c>
      <c r="C7" s="5" t="s">
        <v>20</v>
      </c>
      <c r="D7" s="4"/>
      <c r="E7" s="5" t="s">
        <v>18</v>
      </c>
      <c r="F7" s="4"/>
      <c r="G7" s="5">
        <v>25</v>
      </c>
    </row>
    <row r="8" spans="1:7" ht="36" customHeight="1">
      <c r="A8" s="24">
        <v>6</v>
      </c>
      <c r="B8" s="2" t="s">
        <v>21</v>
      </c>
      <c r="C8" s="5" t="s">
        <v>22</v>
      </c>
      <c r="D8" s="4"/>
      <c r="E8" s="5" t="s">
        <v>23</v>
      </c>
      <c r="F8" s="4">
        <v>29934</v>
      </c>
      <c r="G8" s="5">
        <v>25</v>
      </c>
    </row>
    <row r="9" spans="1:7" ht="36" customHeight="1">
      <c r="A9" s="24">
        <v>7</v>
      </c>
      <c r="B9" s="9" t="s">
        <v>24</v>
      </c>
      <c r="C9" s="8" t="s">
        <v>25</v>
      </c>
      <c r="D9" s="6"/>
      <c r="E9" s="8" t="s">
        <v>26</v>
      </c>
      <c r="F9" s="6"/>
      <c r="G9" s="7">
        <v>45</v>
      </c>
    </row>
    <row r="10" spans="1:7" ht="36" customHeight="1">
      <c r="A10" s="24">
        <v>8</v>
      </c>
      <c r="B10" s="9" t="s">
        <v>27</v>
      </c>
      <c r="C10" s="8" t="s">
        <v>28</v>
      </c>
      <c r="D10" s="6"/>
      <c r="E10" s="8" t="s">
        <v>29</v>
      </c>
      <c r="F10" s="6" t="s">
        <v>30</v>
      </c>
      <c r="G10" s="7">
        <v>28</v>
      </c>
    </row>
    <row r="11" spans="1:7" ht="36" customHeight="1">
      <c r="A11" s="24">
        <v>9</v>
      </c>
      <c r="B11" s="10" t="s">
        <v>31</v>
      </c>
      <c r="C11" s="7" t="s">
        <v>32</v>
      </c>
      <c r="D11" s="4"/>
      <c r="E11" s="7" t="s">
        <v>33</v>
      </c>
      <c r="F11" s="4">
        <v>29113</v>
      </c>
      <c r="G11" s="7">
        <v>42</v>
      </c>
    </row>
    <row r="12" spans="1:7" ht="36" customHeight="1">
      <c r="A12" s="24">
        <v>10</v>
      </c>
      <c r="B12" s="10" t="s">
        <v>34</v>
      </c>
      <c r="C12" s="7" t="s">
        <v>25</v>
      </c>
      <c r="D12" s="4"/>
      <c r="E12" s="7" t="s">
        <v>33</v>
      </c>
      <c r="F12" s="4">
        <v>30486</v>
      </c>
      <c r="G12" s="7">
        <v>23</v>
      </c>
    </row>
    <row r="13" spans="1:7" ht="36" customHeight="1">
      <c r="A13" s="24">
        <v>11</v>
      </c>
      <c r="B13" s="10" t="s">
        <v>35</v>
      </c>
      <c r="C13" s="7" t="s">
        <v>36</v>
      </c>
      <c r="D13" s="4"/>
      <c r="E13" s="7" t="s">
        <v>37</v>
      </c>
      <c r="F13" s="4">
        <v>30488</v>
      </c>
      <c r="G13" s="7">
        <v>37</v>
      </c>
    </row>
    <row r="14" spans="1:7" ht="36" customHeight="1">
      <c r="A14" s="24">
        <v>12</v>
      </c>
      <c r="B14" s="10" t="s">
        <v>38</v>
      </c>
      <c r="C14" s="7" t="s">
        <v>39</v>
      </c>
      <c r="D14" s="4"/>
      <c r="E14" s="7" t="s">
        <v>40</v>
      </c>
      <c r="F14" s="4"/>
      <c r="G14" s="7">
        <v>37</v>
      </c>
    </row>
    <row r="15" spans="1:7" ht="36" customHeight="1">
      <c r="A15" s="24">
        <v>13</v>
      </c>
      <c r="B15" s="10" t="s">
        <v>43</v>
      </c>
      <c r="C15" s="7" t="s">
        <v>41</v>
      </c>
      <c r="D15" s="4"/>
      <c r="E15" s="7" t="s">
        <v>42</v>
      </c>
      <c r="F15" s="4"/>
      <c r="G15" s="7">
        <v>12</v>
      </c>
    </row>
    <row r="16" spans="1:7" ht="36" customHeight="1">
      <c r="A16" s="24">
        <v>14</v>
      </c>
      <c r="B16" s="11" t="s">
        <v>44</v>
      </c>
      <c r="C16" s="9" t="s">
        <v>45</v>
      </c>
      <c r="D16" s="1"/>
      <c r="E16" s="9" t="s">
        <v>46</v>
      </c>
      <c r="F16" s="1"/>
      <c r="G16" s="7">
        <v>24</v>
      </c>
    </row>
    <row r="17" spans="1:7" ht="36" customHeight="1">
      <c r="A17" s="24">
        <v>15</v>
      </c>
      <c r="B17" s="11" t="s">
        <v>47</v>
      </c>
      <c r="C17" s="13" t="s">
        <v>48</v>
      </c>
      <c r="D17" s="1"/>
      <c r="E17" s="9" t="s">
        <v>49</v>
      </c>
      <c r="F17" s="1"/>
      <c r="G17" s="7">
        <v>38</v>
      </c>
    </row>
    <row r="18" spans="1:7" ht="36" customHeight="1">
      <c r="A18" s="24">
        <v>16</v>
      </c>
      <c r="B18" s="11" t="s">
        <v>50</v>
      </c>
      <c r="C18" s="9" t="s">
        <v>39</v>
      </c>
      <c r="D18" s="1"/>
      <c r="E18" s="13" t="s">
        <v>51</v>
      </c>
      <c r="F18" s="1"/>
      <c r="G18" s="7">
        <v>42</v>
      </c>
    </row>
    <row r="19" spans="1:7" ht="36" customHeight="1">
      <c r="A19" s="24">
        <v>17</v>
      </c>
      <c r="B19" s="12" t="s">
        <v>52</v>
      </c>
      <c r="C19" s="10" t="s">
        <v>53</v>
      </c>
      <c r="D19" s="8"/>
      <c r="E19" s="10" t="s">
        <v>54</v>
      </c>
      <c r="F19" s="8">
        <v>30289</v>
      </c>
      <c r="G19" s="7">
        <v>18</v>
      </c>
    </row>
    <row r="20" spans="1:7" ht="36" customHeight="1">
      <c r="A20" s="25">
        <v>18</v>
      </c>
      <c r="B20" s="2" t="s">
        <v>55</v>
      </c>
      <c r="C20" s="10" t="s">
        <v>45</v>
      </c>
      <c r="D20" s="8"/>
      <c r="E20" s="10" t="s">
        <v>54</v>
      </c>
      <c r="F20" s="8"/>
      <c r="G20" s="7">
        <v>27</v>
      </c>
    </row>
    <row r="21" spans="1:7" ht="36" customHeight="1">
      <c r="A21" s="25">
        <v>19</v>
      </c>
      <c r="B21" s="12" t="s">
        <v>56</v>
      </c>
      <c r="C21" s="1" t="s">
        <v>59</v>
      </c>
      <c r="D21" s="1"/>
      <c r="E21" s="10" t="s">
        <v>57</v>
      </c>
      <c r="F21" s="1"/>
      <c r="G21" s="1">
        <v>75</v>
      </c>
    </row>
    <row r="22" spans="1:7" ht="36" customHeight="1">
      <c r="A22" s="25">
        <v>20</v>
      </c>
      <c r="B22" s="12" t="s">
        <v>58</v>
      </c>
      <c r="C22" s="1" t="s">
        <v>60</v>
      </c>
      <c r="D22" s="1"/>
      <c r="E22" s="10" t="s">
        <v>57</v>
      </c>
      <c r="F22" s="1">
        <v>23723</v>
      </c>
      <c r="G22" s="1">
        <v>25</v>
      </c>
    </row>
    <row r="23" spans="1:7" ht="36" customHeight="1">
      <c r="A23" s="25">
        <v>21</v>
      </c>
      <c r="B23" s="14" t="s">
        <v>61</v>
      </c>
      <c r="C23" s="10" t="s">
        <v>62</v>
      </c>
      <c r="D23" s="1" t="s">
        <v>63</v>
      </c>
      <c r="E23" s="10" t="s">
        <v>64</v>
      </c>
      <c r="F23" s="1"/>
      <c r="G23" s="5">
        <v>18</v>
      </c>
    </row>
    <row r="24" spans="1:7" ht="36" customHeight="1">
      <c r="A24" s="25">
        <v>22</v>
      </c>
      <c r="B24" s="12" t="s">
        <v>65</v>
      </c>
      <c r="C24" s="1" t="s">
        <v>70</v>
      </c>
      <c r="D24" s="1"/>
      <c r="E24" s="1" t="s">
        <v>69</v>
      </c>
      <c r="F24" s="1"/>
      <c r="G24" s="1">
        <v>20</v>
      </c>
    </row>
    <row r="25" spans="1:7" ht="36" customHeight="1">
      <c r="A25" s="25">
        <v>23</v>
      </c>
      <c r="B25" s="4" t="s">
        <v>66</v>
      </c>
      <c r="C25" s="1" t="s">
        <v>60</v>
      </c>
      <c r="D25" s="1">
        <v>24039</v>
      </c>
      <c r="E25" s="1" t="s">
        <v>69</v>
      </c>
      <c r="F25" s="1"/>
      <c r="G25" s="1">
        <v>25</v>
      </c>
    </row>
    <row r="26" spans="1:7" ht="36" customHeight="1">
      <c r="A26" s="25">
        <v>24</v>
      </c>
      <c r="B26" s="4" t="s">
        <v>67</v>
      </c>
      <c r="C26" s="1" t="s">
        <v>60</v>
      </c>
      <c r="D26" s="1">
        <v>25212</v>
      </c>
      <c r="E26" s="1" t="s">
        <v>69</v>
      </c>
      <c r="F26" s="1"/>
      <c r="G26" s="1">
        <v>25</v>
      </c>
    </row>
    <row r="27" spans="1:7" ht="36" customHeight="1">
      <c r="A27" s="25">
        <v>25</v>
      </c>
      <c r="B27" s="4" t="s">
        <v>68</v>
      </c>
      <c r="C27" s="1" t="s">
        <v>60</v>
      </c>
      <c r="D27" s="1">
        <v>21468</v>
      </c>
      <c r="E27" s="1" t="s">
        <v>69</v>
      </c>
      <c r="F27" s="1"/>
      <c r="G27" s="1">
        <v>25</v>
      </c>
    </row>
    <row r="28" spans="1:7" ht="36" customHeight="1">
      <c r="A28" s="25">
        <v>26</v>
      </c>
      <c r="B28" s="4" t="s">
        <v>71</v>
      </c>
      <c r="C28" s="1" t="s">
        <v>72</v>
      </c>
      <c r="D28" s="1"/>
      <c r="E28" s="1" t="s">
        <v>73</v>
      </c>
      <c r="F28" s="1"/>
      <c r="G28" s="1">
        <v>8</v>
      </c>
    </row>
    <row r="29" spans="1:7" ht="36" customHeight="1">
      <c r="A29" s="25">
        <v>27</v>
      </c>
      <c r="B29" s="15" t="s">
        <v>77</v>
      </c>
      <c r="C29" s="5" t="s">
        <v>75</v>
      </c>
      <c r="D29" s="16" t="s">
        <v>74</v>
      </c>
      <c r="E29" s="5" t="s">
        <v>76</v>
      </c>
      <c r="F29" s="1" t="s">
        <v>81</v>
      </c>
      <c r="G29" s="1">
        <v>3</v>
      </c>
    </row>
    <row r="30" spans="1:7" ht="36" customHeight="1">
      <c r="A30" s="25">
        <v>28</v>
      </c>
      <c r="B30" s="17" t="s">
        <v>78</v>
      </c>
      <c r="C30" s="5" t="s">
        <v>79</v>
      </c>
      <c r="D30" s="4"/>
      <c r="E30" s="5" t="s">
        <v>80</v>
      </c>
      <c r="F30" s="4"/>
      <c r="G30" s="5">
        <v>16</v>
      </c>
    </row>
    <row r="31" spans="1:7" ht="36" customHeight="1">
      <c r="A31" s="25">
        <v>29</v>
      </c>
      <c r="B31" s="17" t="s">
        <v>82</v>
      </c>
      <c r="C31" s="5" t="s">
        <v>83</v>
      </c>
      <c r="D31" s="4"/>
      <c r="E31" s="5" t="s">
        <v>84</v>
      </c>
      <c r="F31" s="4"/>
      <c r="G31" s="5">
        <v>23</v>
      </c>
    </row>
    <row r="32" spans="1:7" ht="36" customHeight="1">
      <c r="A32" s="25">
        <v>30</v>
      </c>
      <c r="B32" s="17" t="s">
        <v>85</v>
      </c>
      <c r="C32" s="5" t="s">
        <v>86</v>
      </c>
      <c r="D32" s="4">
        <v>30277</v>
      </c>
      <c r="E32" s="5" t="s">
        <v>87</v>
      </c>
      <c r="F32" s="4"/>
      <c r="G32" s="5">
        <v>63</v>
      </c>
    </row>
    <row r="33" spans="1:7" ht="38.25" customHeight="1">
      <c r="A33" s="26">
        <v>31</v>
      </c>
      <c r="B33" s="17" t="s">
        <v>88</v>
      </c>
      <c r="C33" s="5" t="s">
        <v>89</v>
      </c>
      <c r="D33" s="4"/>
      <c r="E33" s="5" t="s">
        <v>90</v>
      </c>
      <c r="F33" s="4"/>
      <c r="G33" s="5">
        <v>66</v>
      </c>
    </row>
    <row r="34" spans="1:7" ht="43.35" customHeight="1">
      <c r="A34" s="25">
        <v>32</v>
      </c>
      <c r="B34" s="27" t="s">
        <v>92</v>
      </c>
      <c r="C34" s="4" t="s">
        <v>86</v>
      </c>
      <c r="D34" s="4"/>
      <c r="E34" s="4" t="s">
        <v>105</v>
      </c>
      <c r="F34" s="4"/>
      <c r="G34" s="1">
        <v>23</v>
      </c>
    </row>
    <row r="35" spans="1:7" ht="43.35" customHeight="1">
      <c r="A35" s="25">
        <v>33</v>
      </c>
      <c r="B35" s="27" t="s">
        <v>93</v>
      </c>
      <c r="C35" s="4" t="s">
        <v>86</v>
      </c>
      <c r="D35" s="4"/>
      <c r="E35" s="4" t="s">
        <v>105</v>
      </c>
      <c r="F35" s="4"/>
      <c r="G35" s="1">
        <v>23</v>
      </c>
    </row>
    <row r="36" spans="1:7" ht="43.35" customHeight="1">
      <c r="A36" s="25">
        <v>34</v>
      </c>
      <c r="B36" s="27" t="s">
        <v>94</v>
      </c>
      <c r="C36" s="4" t="s">
        <v>86</v>
      </c>
      <c r="D36" s="4"/>
      <c r="E36" s="4" t="s">
        <v>105</v>
      </c>
      <c r="F36" s="4"/>
      <c r="G36" s="1">
        <v>23</v>
      </c>
    </row>
    <row r="37" spans="1:7" ht="43.35" customHeight="1">
      <c r="A37" s="25">
        <v>35</v>
      </c>
      <c r="B37" s="27" t="s">
        <v>95</v>
      </c>
      <c r="C37" s="4" t="s">
        <v>86</v>
      </c>
      <c r="D37" s="4"/>
      <c r="E37" s="4" t="s">
        <v>105</v>
      </c>
      <c r="F37" s="4"/>
      <c r="G37" s="1">
        <v>20</v>
      </c>
    </row>
    <row r="38" spans="1:7" ht="43.35" customHeight="1">
      <c r="A38" s="25">
        <v>36</v>
      </c>
      <c r="B38" s="27" t="s">
        <v>96</v>
      </c>
      <c r="C38" s="4" t="s">
        <v>86</v>
      </c>
      <c r="D38" s="4"/>
      <c r="E38" s="4" t="s">
        <v>105</v>
      </c>
      <c r="F38" s="4"/>
      <c r="G38" s="1">
        <v>24</v>
      </c>
    </row>
    <row r="39" spans="1:7" ht="43.35" customHeight="1">
      <c r="A39" s="25">
        <v>37</v>
      </c>
      <c r="B39" s="27" t="s">
        <v>97</v>
      </c>
      <c r="C39" s="4" t="s">
        <v>86</v>
      </c>
      <c r="D39" s="4"/>
      <c r="E39" s="4" t="s">
        <v>105</v>
      </c>
      <c r="F39" s="4"/>
      <c r="G39" s="1">
        <v>23</v>
      </c>
    </row>
    <row r="40" spans="1:7" ht="43.35" customHeight="1">
      <c r="A40" s="25">
        <v>38</v>
      </c>
      <c r="B40" s="27" t="s">
        <v>98</v>
      </c>
      <c r="C40" s="4" t="s">
        <v>86</v>
      </c>
      <c r="D40" s="4"/>
      <c r="E40" s="4" t="s">
        <v>105</v>
      </c>
      <c r="F40" s="4"/>
      <c r="G40" s="1">
        <v>23</v>
      </c>
    </row>
    <row r="41" spans="1:7" ht="43.35" customHeight="1">
      <c r="A41" s="25">
        <v>39</v>
      </c>
      <c r="B41" s="27" t="s">
        <v>99</v>
      </c>
      <c r="C41" s="4" t="s">
        <v>86</v>
      </c>
      <c r="D41" s="4"/>
      <c r="E41" s="4" t="s">
        <v>105</v>
      </c>
      <c r="F41" s="4"/>
      <c r="G41" s="1">
        <v>21</v>
      </c>
    </row>
    <row r="42" spans="1:7" ht="43.35" customHeight="1">
      <c r="A42" s="25">
        <v>40</v>
      </c>
      <c r="B42" s="27" t="s">
        <v>100</v>
      </c>
      <c r="C42" s="4" t="s">
        <v>86</v>
      </c>
      <c r="D42" s="4"/>
      <c r="E42" s="4" t="s">
        <v>105</v>
      </c>
      <c r="F42" s="4"/>
      <c r="G42" s="1">
        <v>20</v>
      </c>
    </row>
    <row r="43" spans="1:7" ht="43.35" customHeight="1">
      <c r="A43" s="25">
        <v>41</v>
      </c>
      <c r="B43" s="28" t="s">
        <v>101</v>
      </c>
      <c r="C43" s="4" t="s">
        <v>86</v>
      </c>
      <c r="D43" s="4"/>
      <c r="E43" s="4" t="s">
        <v>105</v>
      </c>
      <c r="F43" s="4"/>
      <c r="G43" s="1">
        <v>23</v>
      </c>
    </row>
    <row r="44" spans="1:7" ht="43.35" customHeight="1">
      <c r="A44" s="25">
        <v>42</v>
      </c>
      <c r="B44" s="28" t="s">
        <v>102</v>
      </c>
      <c r="C44" s="4" t="s">
        <v>86</v>
      </c>
      <c r="D44" s="4"/>
      <c r="E44" s="4" t="s">
        <v>105</v>
      </c>
      <c r="F44" s="4"/>
      <c r="G44" s="1">
        <v>24</v>
      </c>
    </row>
    <row r="45" spans="1:7" ht="43.35" customHeight="1">
      <c r="A45" s="25">
        <v>43</v>
      </c>
      <c r="B45" s="28" t="s">
        <v>103</v>
      </c>
      <c r="C45" s="4" t="s">
        <v>86</v>
      </c>
      <c r="D45" s="4"/>
      <c r="E45" s="4" t="s">
        <v>105</v>
      </c>
      <c r="F45" s="4"/>
      <c r="G45" s="1">
        <v>24</v>
      </c>
    </row>
    <row r="46" spans="1:7" ht="43.35" customHeight="1">
      <c r="A46" s="25">
        <v>44</v>
      </c>
      <c r="B46" s="28" t="s">
        <v>104</v>
      </c>
      <c r="C46" s="4" t="s">
        <v>86</v>
      </c>
      <c r="D46" s="4"/>
      <c r="E46" s="4" t="s">
        <v>105</v>
      </c>
      <c r="F46" s="4"/>
      <c r="G46" s="1">
        <v>24</v>
      </c>
    </row>
    <row r="47" spans="1:7" ht="34.5" customHeight="1">
      <c r="A47" s="25">
        <v>45</v>
      </c>
      <c r="B47" s="29" t="s">
        <v>106</v>
      </c>
      <c r="C47" s="17" t="s">
        <v>90</v>
      </c>
      <c r="D47" s="4"/>
      <c r="E47" s="17" t="s">
        <v>107</v>
      </c>
      <c r="F47" s="4"/>
      <c r="G47" s="5">
        <v>24</v>
      </c>
    </row>
    <row r="48" spans="1:7" ht="35.25" customHeight="1">
      <c r="A48" s="25">
        <v>46</v>
      </c>
      <c r="B48" s="30" t="s">
        <v>108</v>
      </c>
      <c r="C48" s="17" t="s">
        <v>75</v>
      </c>
      <c r="D48" s="4"/>
      <c r="E48" s="17" t="s">
        <v>110</v>
      </c>
      <c r="F48" s="4"/>
      <c r="G48" s="5">
        <v>42</v>
      </c>
    </row>
    <row r="49" spans="1:7" ht="35.25" customHeight="1">
      <c r="A49" s="25">
        <v>47</v>
      </c>
      <c r="B49" s="28" t="s">
        <v>109</v>
      </c>
      <c r="C49" s="17" t="s">
        <v>73</v>
      </c>
      <c r="D49" s="4"/>
      <c r="E49" s="17" t="s">
        <v>110</v>
      </c>
      <c r="F49" s="4"/>
      <c r="G49" s="5">
        <v>42</v>
      </c>
    </row>
    <row r="50" spans="1:7" ht="21.75">
      <c r="A50" s="25">
        <v>48</v>
      </c>
      <c r="B50" s="29" t="s">
        <v>111</v>
      </c>
      <c r="C50" s="17" t="s">
        <v>112</v>
      </c>
      <c r="D50" s="4"/>
      <c r="E50" s="17" t="s">
        <v>113</v>
      </c>
      <c r="F50" s="4"/>
      <c r="G50" s="1">
        <f>946/11</f>
        <v>86</v>
      </c>
    </row>
  </sheetData>
  <autoFilter ref="A2:G23" xr:uid="{630FED78-E282-4C08-9235-109B6555C0AE}"/>
  <mergeCells count="1">
    <mergeCell ref="A1:F1"/>
  </mergeCells>
  <phoneticPr fontId="4" type="noConversion"/>
  <printOptions horizontalCentered="1" verticalCentered="1"/>
  <pageMargins left="0" right="0" top="0" bottom="0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9C01-1649-4D23-920D-61ED72D5C715}">
  <sheetPr>
    <pageSetUpPr fitToPage="1"/>
  </sheetPr>
  <dimension ref="A1:G9"/>
  <sheetViews>
    <sheetView rightToLeft="1" tabSelected="1" view="pageLayout" topLeftCell="A4" zoomScaleNormal="100" workbookViewId="0">
      <selection activeCell="D12" sqref="D12"/>
    </sheetView>
  </sheetViews>
  <sheetFormatPr defaultRowHeight="15"/>
  <cols>
    <col min="1" max="1" width="4.85546875" customWidth="1"/>
    <col min="2" max="2" width="22.5703125" customWidth="1"/>
    <col min="3" max="3" width="12.7109375" customWidth="1"/>
    <col min="4" max="4" width="11.42578125" customWidth="1"/>
    <col min="5" max="5" width="13.5703125" customWidth="1"/>
    <col min="6" max="6" width="25.7109375" customWidth="1"/>
    <col min="7" max="7" width="11" customWidth="1"/>
  </cols>
  <sheetData>
    <row r="1" spans="1:7" ht="51.75" customHeight="1" thickBot="1">
      <c r="A1" s="34" t="s">
        <v>91</v>
      </c>
      <c r="B1" s="35"/>
      <c r="C1" s="35"/>
      <c r="D1" s="35"/>
      <c r="E1" s="35"/>
      <c r="F1" s="35"/>
      <c r="G1" s="18">
        <v>1405</v>
      </c>
    </row>
    <row r="2" spans="1:7" ht="40.5" customHeight="1" thickBot="1">
      <c r="A2" s="19" t="s">
        <v>0</v>
      </c>
      <c r="B2" s="20" t="s">
        <v>1</v>
      </c>
      <c r="C2" s="20" t="s">
        <v>2</v>
      </c>
      <c r="D2" s="21" t="s">
        <v>3</v>
      </c>
      <c r="E2" s="21" t="s">
        <v>4</v>
      </c>
      <c r="F2" s="20" t="s">
        <v>5</v>
      </c>
      <c r="G2" s="22" t="s">
        <v>6</v>
      </c>
    </row>
    <row r="3" spans="1:7" ht="36" customHeight="1">
      <c r="A3" s="23" cm="1">
        <f t="array" ref="A3:A9">_xlfn.SEQUENCE(COUNTA(B:B)-1)</f>
        <v>1</v>
      </c>
      <c r="B3" s="3" t="s">
        <v>114</v>
      </c>
      <c r="C3" s="3" t="s">
        <v>115</v>
      </c>
      <c r="D3" s="3"/>
      <c r="E3" s="3" t="s">
        <v>117</v>
      </c>
      <c r="F3" s="3"/>
      <c r="G3" s="3">
        <v>28</v>
      </c>
    </row>
    <row r="4" spans="1:7" ht="36" customHeight="1">
      <c r="A4" s="24">
        <v>2</v>
      </c>
      <c r="B4" s="2" t="s">
        <v>118</v>
      </c>
      <c r="C4" s="1" t="s">
        <v>116</v>
      </c>
      <c r="D4" s="1"/>
      <c r="E4" s="1" t="s">
        <v>119</v>
      </c>
      <c r="F4" s="1"/>
      <c r="G4" s="1">
        <v>4</v>
      </c>
    </row>
    <row r="5" spans="1:7" ht="36.75" customHeight="1">
      <c r="A5" s="24">
        <v>3</v>
      </c>
      <c r="B5" s="1" t="s">
        <v>120</v>
      </c>
      <c r="C5" s="1" t="s">
        <v>121</v>
      </c>
      <c r="D5" s="1"/>
      <c r="E5" s="1" t="s">
        <v>122</v>
      </c>
      <c r="F5" s="2" t="s">
        <v>123</v>
      </c>
      <c r="G5" s="1"/>
    </row>
    <row r="6" spans="1:7" ht="36.75" customHeight="1">
      <c r="A6" s="24">
        <v>4</v>
      </c>
      <c r="B6" s="1" t="s">
        <v>124</v>
      </c>
      <c r="C6" s="1" t="s">
        <v>126</v>
      </c>
      <c r="D6" s="1"/>
      <c r="E6" s="1" t="s">
        <v>125</v>
      </c>
      <c r="F6" s="2" t="s">
        <v>127</v>
      </c>
      <c r="G6" s="1"/>
    </row>
    <row r="7" spans="1:7" ht="30.75" customHeight="1">
      <c r="A7" s="24">
        <v>5</v>
      </c>
      <c r="B7" s="5" t="s">
        <v>128</v>
      </c>
      <c r="C7" s="5" t="s">
        <v>126</v>
      </c>
      <c r="D7" s="31"/>
      <c r="E7" s="5" t="s">
        <v>129</v>
      </c>
      <c r="F7" s="32" t="s">
        <v>130</v>
      </c>
      <c r="G7" s="4"/>
    </row>
    <row r="8" spans="1:7" ht="27.75" customHeight="1">
      <c r="A8" s="33">
        <v>6</v>
      </c>
      <c r="B8" s="29" t="s">
        <v>111</v>
      </c>
      <c r="C8" s="5" t="s">
        <v>112</v>
      </c>
      <c r="D8" s="1"/>
      <c r="E8" s="5" t="s">
        <v>131</v>
      </c>
      <c r="F8" s="1"/>
      <c r="G8" s="1">
        <v>92</v>
      </c>
    </row>
    <row r="9" spans="1:7" ht="32.25" customHeight="1">
      <c r="A9" s="33">
        <v>7</v>
      </c>
      <c r="B9" s="29" t="s">
        <v>132</v>
      </c>
      <c r="C9" s="5" t="s">
        <v>133</v>
      </c>
      <c r="D9" s="1"/>
      <c r="E9" s="5" t="s">
        <v>134</v>
      </c>
      <c r="F9" s="1"/>
      <c r="G9" s="1">
        <v>12</v>
      </c>
    </row>
  </sheetData>
  <autoFilter ref="A2:G4" xr:uid="{630FED78-E282-4C08-9235-109B6555C0AE}"/>
  <mergeCells count="1">
    <mergeCell ref="A1:F1"/>
  </mergeCells>
  <phoneticPr fontId="4" type="noConversion"/>
  <printOptions horizontalCentered="1" verticalCentered="1"/>
  <pageMargins left="0" right="0" top="0" bottom="0" header="0" footer="0"/>
  <pageSetup paperSize="11" scale="9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1404</vt:lpstr>
      <vt:lpstr>1405</vt:lpstr>
      <vt:lpstr>'1404'!Print_Titles</vt:lpstr>
      <vt:lpstr>'1405'!Print_Titles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 pc</dc:creator>
  <cp:lastModifiedBy>alizadeh pc</cp:lastModifiedBy>
  <cp:lastPrinted>2026-09-01T04:58:52Z</cp:lastPrinted>
  <dcterms:created xsi:type="dcterms:W3CDTF">2025-04-08T09:13:19Z</dcterms:created>
  <dcterms:modified xsi:type="dcterms:W3CDTF">2026-09-01T11:06:28Z</dcterms:modified>
</cp:coreProperties>
</file>