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گزارش هفتگی\"/>
    </mc:Choice>
  </mc:AlternateContent>
  <xr:revisionPtr revIDLastSave="0" documentId="13_ncr:1_{170CCDFC-361A-454C-8234-7A0AB60A2002}" xr6:coauthVersionLast="47" xr6:coauthVersionMax="47" xr10:uidLastSave="{00000000-0000-0000-0000-000000000000}"/>
  <bookViews>
    <workbookView xWindow="-120" yWindow="-120" windowWidth="24240" windowHeight="13020" tabRatio="601" firstSheet="3" activeTab="23" xr2:uid="{48FE7478-3ED0-4A2C-B695-6E1DAC38E8E0}"/>
  </bookViews>
  <sheets>
    <sheet name="2" sheetId="1" r:id="rId1"/>
    <sheet name="3" sheetId="2" r:id="rId2"/>
    <sheet name="4" sheetId="3" r:id="rId3"/>
    <sheet name="5" sheetId="4" r:id="rId4"/>
    <sheet name="6" sheetId="5" r:id="rId5"/>
    <sheet name="7" sheetId="6" r:id="rId6"/>
    <sheet name="8" sheetId="7" r:id="rId7"/>
    <sheet name="9" sheetId="8" r:id="rId8"/>
    <sheet name="10" sheetId="9" r:id="rId9"/>
    <sheet name="11" sheetId="10" r:id="rId10"/>
    <sheet name="12" sheetId="11" r:id="rId11"/>
    <sheet name="13" sheetId="12" r:id="rId12"/>
    <sheet name="14" sheetId="13" r:id="rId13"/>
    <sheet name="15" sheetId="14" r:id="rId14"/>
    <sheet name="16" sheetId="15" r:id="rId15"/>
    <sheet name="17" sheetId="16" r:id="rId16"/>
    <sheet name="18" sheetId="17" r:id="rId17"/>
    <sheet name="19" sheetId="18" r:id="rId18"/>
    <sheet name="20" sheetId="19" r:id="rId19"/>
    <sheet name="21" sheetId="20" r:id="rId20"/>
    <sheet name="22" sheetId="21" r:id="rId21"/>
    <sheet name="23" sheetId="22" r:id="rId22"/>
    <sheet name="24" sheetId="23" r:id="rId23"/>
    <sheet name="25" sheetId="24" r:id="rId24"/>
  </sheets>
  <externalReferences>
    <externalReference r:id="rId25"/>
  </externalReferences>
  <definedNames>
    <definedName name="_xlnm.Print_Titles" localSheetId="8">'10'!$1:$3</definedName>
    <definedName name="_xlnm.Print_Titles" localSheetId="9">'11'!$1:$3</definedName>
    <definedName name="_xlnm.Print_Titles" localSheetId="10">'12'!$1:$3</definedName>
    <definedName name="_xlnm.Print_Titles" localSheetId="11">'13'!$1:$3</definedName>
    <definedName name="_xlnm.Print_Titles" localSheetId="12">'14'!$1:$3</definedName>
    <definedName name="_xlnm.Print_Titles" localSheetId="13">'15'!$1:$3</definedName>
    <definedName name="_xlnm.Print_Titles" localSheetId="14">'16'!$1:$3</definedName>
    <definedName name="_xlnm.Print_Titles" localSheetId="15">'17'!$1:$3</definedName>
    <definedName name="_xlnm.Print_Titles" localSheetId="16">'18'!$1:$3</definedName>
    <definedName name="_xlnm.Print_Titles" localSheetId="17">'19'!$1:$3</definedName>
    <definedName name="_xlnm.Print_Titles" localSheetId="18">'20'!$1:$3</definedName>
    <definedName name="_xlnm.Print_Titles" localSheetId="19">'21'!$1:$3</definedName>
    <definedName name="_xlnm.Print_Titles" localSheetId="20">'22'!$1:$3</definedName>
    <definedName name="_xlnm.Print_Titles" localSheetId="21">'23'!$1:$3</definedName>
    <definedName name="_xlnm.Print_Titles" localSheetId="22">'24'!$1:$3</definedName>
    <definedName name="_xlnm.Print_Titles" localSheetId="23">'25'!$1:$3</definedName>
    <definedName name="_xlnm.Print_Titles" localSheetId="1">'3'!$1:$3</definedName>
    <definedName name="_xlnm.Print_Titles" localSheetId="2">'4'!$1:$3</definedName>
    <definedName name="_xlnm.Print_Titles" localSheetId="3">'5'!$1:$3</definedName>
    <definedName name="_xlnm.Print_Titles" localSheetId="4">'6'!$1:$3</definedName>
    <definedName name="_xlnm.Print_Titles" localSheetId="5">'7'!$1:$3</definedName>
    <definedName name="_xlnm.Print_Titles" localSheetId="6">'8'!$1:$3</definedName>
    <definedName name="_xlnm.Print_Titles" localSheetId="7">'9'!$1:$3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24" l="1"/>
  <c r="L24" i="24"/>
  <c r="K26" i="24" l="1"/>
  <c r="E26" i="24"/>
  <c r="K25" i="24"/>
  <c r="E25" i="24"/>
  <c r="N13" i="23"/>
  <c r="L13" i="23"/>
  <c r="K15" i="23"/>
  <c r="E15" i="23"/>
  <c r="K14" i="23"/>
  <c r="E14" i="23"/>
  <c r="E27" i="24" l="1"/>
  <c r="K27" i="24"/>
  <c r="K16" i="23"/>
  <c r="E16" i="23"/>
  <c r="K29" i="22" l="1"/>
  <c r="E29" i="22" l="1"/>
  <c r="K28" i="22"/>
  <c r="K30" i="22" s="1"/>
  <c r="E28" i="22"/>
  <c r="E30" i="22" l="1"/>
  <c r="K29" i="21"/>
  <c r="E29" i="21"/>
  <c r="K28" i="21"/>
  <c r="E28" i="21"/>
  <c r="K28" i="20"/>
  <c r="E28" i="20"/>
  <c r="K27" i="20"/>
  <c r="E27" i="20"/>
  <c r="N14" i="19"/>
  <c r="N15" i="19"/>
  <c r="N16" i="19"/>
  <c r="L13" i="19"/>
  <c r="L14" i="19"/>
  <c r="L15" i="19"/>
  <c r="L16" i="19"/>
  <c r="K18" i="19"/>
  <c r="E18" i="19"/>
  <c r="K17" i="19"/>
  <c r="E17" i="19"/>
  <c r="K29" i="18"/>
  <c r="K30" i="18"/>
  <c r="N28" i="18"/>
  <c r="L28" i="18"/>
  <c r="E30" i="18"/>
  <c r="E29" i="18"/>
  <c r="N19" i="17"/>
  <c r="L19" i="17"/>
  <c r="L18" i="17"/>
  <c r="K21" i="17"/>
  <c r="E21" i="17"/>
  <c r="K20" i="17"/>
  <c r="E20" i="17"/>
  <c r="K28" i="16"/>
  <c r="E28" i="16"/>
  <c r="K27" i="16"/>
  <c r="E27" i="16"/>
  <c r="N11" i="15"/>
  <c r="L11" i="15"/>
  <c r="K28" i="15"/>
  <c r="E28" i="15"/>
  <c r="K27" i="15"/>
  <c r="E27" i="15"/>
  <c r="K28" i="14"/>
  <c r="E28" i="14"/>
  <c r="K27" i="14"/>
  <c r="E27" i="14"/>
  <c r="L24" i="13"/>
  <c r="N24" i="13" s="1"/>
  <c r="K26" i="13"/>
  <c r="E26" i="13"/>
  <c r="K25" i="13"/>
  <c r="E25" i="13"/>
  <c r="K29" i="12"/>
  <c r="E29" i="12"/>
  <c r="K28" i="12"/>
  <c r="E28" i="12"/>
  <c r="E29" i="11"/>
  <c r="K29" i="11"/>
  <c r="E30" i="21" l="1"/>
  <c r="K30" i="21"/>
  <c r="K29" i="20"/>
  <c r="E29" i="20"/>
  <c r="K19" i="19"/>
  <c r="E19" i="19"/>
  <c r="K31" i="18"/>
  <c r="E31" i="18"/>
  <c r="E22" i="17"/>
  <c r="K22" i="17"/>
  <c r="E29" i="16"/>
  <c r="K29" i="16"/>
  <c r="E29" i="15"/>
  <c r="K29" i="15"/>
  <c r="E29" i="14"/>
  <c r="K29" i="14"/>
  <c r="E27" i="13"/>
  <c r="K27" i="13"/>
  <c r="E30" i="12"/>
  <c r="K30" i="12"/>
  <c r="E36" i="10"/>
  <c r="L26" i="11" l="1"/>
  <c r="K28" i="11"/>
  <c r="E28" i="11"/>
  <c r="K27" i="11"/>
  <c r="E27" i="11"/>
  <c r="L33" i="10"/>
  <c r="N33" i="10" s="1"/>
  <c r="K35" i="10" l="1"/>
  <c r="E35" i="10"/>
  <c r="K34" i="10"/>
  <c r="K36" i="10" s="1"/>
  <c r="E34" i="10"/>
  <c r="K24" i="9" l="1"/>
  <c r="E24" i="9"/>
  <c r="K23" i="9"/>
  <c r="E23" i="9"/>
  <c r="K26" i="8"/>
  <c r="E26" i="8"/>
  <c r="K25" i="8"/>
  <c r="E25" i="8"/>
  <c r="L36" i="7"/>
  <c r="N36" i="7" s="1"/>
  <c r="L37" i="7"/>
  <c r="N37" i="7" s="1"/>
  <c r="K39" i="7"/>
  <c r="E39" i="7"/>
  <c r="K38" i="7"/>
  <c r="E38" i="7"/>
  <c r="L21" i="6"/>
  <c r="L25" i="6"/>
  <c r="N25" i="6" s="1"/>
  <c r="L10" i="6"/>
  <c r="L21" i="5"/>
  <c r="L9" i="5"/>
  <c r="K11" i="1"/>
  <c r="K10" i="1"/>
  <c r="E10" i="1"/>
  <c r="E11" i="1"/>
  <c r="K27" i="6"/>
  <c r="E27" i="6"/>
  <c r="K26" i="6"/>
  <c r="E26" i="6"/>
  <c r="E28" i="5"/>
  <c r="K29" i="5"/>
  <c r="K28" i="5"/>
  <c r="E29" i="5"/>
  <c r="L37" i="4"/>
  <c r="N37" i="4" s="1"/>
  <c r="L28" i="4"/>
  <c r="N28" i="4" s="1"/>
  <c r="E39" i="4"/>
  <c r="E38" i="4"/>
  <c r="E40" i="3"/>
  <c r="E39" i="3"/>
  <c r="E32" i="2"/>
  <c r="E31" i="2"/>
  <c r="K39" i="4"/>
  <c r="K38" i="4"/>
  <c r="K40" i="3"/>
  <c r="K39" i="3"/>
  <c r="K32" i="2"/>
  <c r="K31" i="2"/>
  <c r="L13" i="4" l="1"/>
  <c r="N13" i="4" s="1"/>
  <c r="L14" i="4"/>
  <c r="N14" i="4" s="1"/>
  <c r="L15" i="4"/>
  <c r="N15" i="4" s="1"/>
  <c r="L32" i="4"/>
  <c r="N32" i="4" s="1"/>
  <c r="L11" i="4"/>
  <c r="N11" i="4" s="1"/>
  <c r="L33" i="4"/>
  <c r="N33" i="4" s="1"/>
  <c r="L17" i="4"/>
  <c r="N17" i="4" s="1"/>
  <c r="L19" i="4"/>
  <c r="N19" i="4" s="1"/>
  <c r="L36" i="4"/>
  <c r="N36" i="4" s="1"/>
  <c r="L18" i="5"/>
  <c r="N18" i="5" s="1"/>
  <c r="L4" i="5"/>
  <c r="L16" i="5"/>
  <c r="N16" i="5" s="1"/>
  <c r="L22" i="5"/>
  <c r="L7" i="5"/>
  <c r="N7" i="5" s="1"/>
  <c r="N9" i="5"/>
  <c r="L15" i="5"/>
  <c r="N15" i="5" s="1"/>
  <c r="L11" i="5"/>
  <c r="N11" i="5" s="1"/>
  <c r="L23" i="5"/>
  <c r="N23" i="5" s="1"/>
  <c r="L17" i="5"/>
  <c r="N17" i="5" s="1"/>
  <c r="L24" i="5"/>
  <c r="N24" i="5" s="1"/>
  <c r="L25" i="5"/>
  <c r="N25" i="5" s="1"/>
  <c r="L26" i="5"/>
  <c r="N26" i="5" s="1"/>
  <c r="L12" i="5"/>
  <c r="N12" i="5" s="1"/>
  <c r="N21" i="6"/>
  <c r="N10" i="6" l="1"/>
  <c r="L27" i="5"/>
  <c r="N27" i="5" s="1"/>
  <c r="N4" i="5"/>
  <c r="N22" i="5"/>
  <c r="L20" i="5"/>
  <c r="N20" i="5" s="1"/>
  <c r="L13" i="5"/>
  <c r="N13" i="5" s="1"/>
  <c r="L5" i="5"/>
  <c r="N5" i="5" s="1"/>
  <c r="N21" i="5"/>
  <c r="L19" i="5"/>
  <c r="N19" i="5" s="1"/>
  <c r="L14" i="5"/>
  <c r="N14" i="5" s="1"/>
  <c r="L10" i="5"/>
  <c r="N10" i="5" s="1"/>
  <c r="L8" i="5"/>
  <c r="N8" i="5" s="1"/>
  <c r="L35" i="4"/>
  <c r="N35" i="4" s="1"/>
  <c r="L6" i="5"/>
  <c r="N6" i="5" s="1"/>
  <c r="L34" i="4"/>
  <c r="N34" i="4" s="1"/>
  <c r="L21" i="4"/>
  <c r="N21" i="4" s="1"/>
  <c r="L18" i="4"/>
  <c r="N18" i="4" s="1"/>
  <c r="L12" i="4"/>
  <c r="N12" i="4" s="1"/>
  <c r="L20" i="4"/>
  <c r="N20" i="4" s="1"/>
  <c r="L16" i="4"/>
  <c r="N16" i="4" s="1"/>
  <c r="L28" i="5" l="1"/>
  <c r="L31" i="4" l="1"/>
  <c r="N31" i="4" s="1"/>
  <c r="N28" i="5" l="1"/>
  <c r="L23" i="4" l="1"/>
  <c r="N23" i="4" s="1"/>
  <c r="L7" i="4"/>
  <c r="N7" i="4" s="1"/>
  <c r="L26" i="4"/>
  <c r="N26" i="4" s="1"/>
  <c r="L24" i="4" l="1"/>
  <c r="L4" i="3"/>
  <c r="L8" i="4"/>
  <c r="N8" i="4" s="1"/>
  <c r="N4" i="3" l="1"/>
  <c r="N24" i="4"/>
  <c r="L29" i="4" l="1"/>
  <c r="N29" i="4" s="1"/>
  <c r="L29" i="3" l="1"/>
  <c r="N29" i="3" s="1"/>
  <c r="L30" i="4"/>
  <c r="N30" i="4" s="1"/>
  <c r="L5" i="4"/>
  <c r="N5" i="4" s="1"/>
  <c r="L25" i="4"/>
  <c r="L28" i="3"/>
  <c r="N28" i="3" s="1"/>
  <c r="L24" i="3"/>
  <c r="N24" i="3" s="1"/>
  <c r="L22" i="3"/>
  <c r="N22" i="3" s="1"/>
  <c r="L13" i="3"/>
  <c r="N13" i="3" s="1"/>
  <c r="L12" i="3"/>
  <c r="N12" i="3" s="1"/>
  <c r="L20" i="3"/>
  <c r="N20" i="3" s="1"/>
  <c r="L19" i="3"/>
  <c r="N19" i="3" s="1"/>
  <c r="L7" i="3"/>
  <c r="N7" i="3" s="1"/>
  <c r="L37" i="3"/>
  <c r="N37" i="3" s="1"/>
  <c r="L6" i="3"/>
  <c r="N6" i="3" s="1"/>
  <c r="L10" i="3"/>
  <c r="N10" i="3" s="1"/>
  <c r="L32" i="3"/>
  <c r="N32" i="3" s="1"/>
  <c r="L25" i="3"/>
  <c r="N25" i="3" s="1"/>
  <c r="L7" i="2"/>
  <c r="N7" i="2" s="1"/>
  <c r="L22" i="2"/>
  <c r="N22" i="2" s="1"/>
  <c r="L21" i="2"/>
  <c r="N21" i="2" s="1"/>
  <c r="L13" i="2"/>
  <c r="N13" i="2" s="1"/>
  <c r="L5" i="2"/>
  <c r="N5" i="2" s="1"/>
  <c r="L9" i="2"/>
  <c r="N9" i="2" s="1"/>
  <c r="L8" i="2"/>
  <c r="N8" i="2" s="1"/>
  <c r="L15" i="2"/>
  <c r="N15" i="2" s="1"/>
  <c r="L24" i="2"/>
  <c r="N24" i="2" s="1"/>
  <c r="L11" i="2"/>
  <c r="N11" i="2" s="1"/>
  <c r="L26" i="2"/>
  <c r="N26" i="2" s="1"/>
  <c r="L21" i="3" l="1"/>
  <c r="N21" i="3" s="1"/>
  <c r="L9" i="1"/>
  <c r="N9" i="1" s="1"/>
  <c r="L6" i="1"/>
  <c r="N6" i="1" s="1"/>
  <c r="L10" i="2"/>
  <c r="N10" i="2" s="1"/>
  <c r="L25" i="2"/>
  <c r="N25" i="2" s="1"/>
  <c r="L28" i="2"/>
  <c r="N28" i="2" s="1"/>
  <c r="L6" i="2"/>
  <c r="N6" i="2" s="1"/>
  <c r="L38" i="3"/>
  <c r="N38" i="3" s="1"/>
  <c r="L5" i="3"/>
  <c r="L30" i="3"/>
  <c r="N30" i="3" s="1"/>
  <c r="L34" i="3"/>
  <c r="N34" i="3" s="1"/>
  <c r="L33" i="3"/>
  <c r="N33" i="3" s="1"/>
  <c r="L22" i="4"/>
  <c r="N22" i="4" s="1"/>
  <c r="L18" i="3"/>
  <c r="N18" i="3" s="1"/>
  <c r="L19" i="2"/>
  <c r="N19" i="2" s="1"/>
  <c r="L20" i="2"/>
  <c r="N20" i="2" s="1"/>
  <c r="L36" i="3"/>
  <c r="N36" i="3" s="1"/>
  <c r="L27" i="3"/>
  <c r="N27" i="3" s="1"/>
  <c r="N25" i="4"/>
  <c r="L27" i="4"/>
  <c r="N27" i="4" s="1"/>
  <c r="L4" i="2"/>
  <c r="L4" i="1"/>
  <c r="L23" i="2"/>
  <c r="N23" i="2" s="1"/>
  <c r="L29" i="2"/>
  <c r="N29" i="2" s="1"/>
  <c r="L12" i="2"/>
  <c r="N12" i="2" s="1"/>
  <c r="L14" i="3"/>
  <c r="N14" i="3" s="1"/>
  <c r="L11" i="3"/>
  <c r="N11" i="3" s="1"/>
  <c r="L9" i="3"/>
  <c r="N9" i="3" s="1"/>
  <c r="L31" i="3"/>
  <c r="N31" i="3" s="1"/>
  <c r="L8" i="3"/>
  <c r="N8" i="3" s="1"/>
  <c r="L9" i="4"/>
  <c r="N9" i="4" s="1"/>
  <c r="L5" i="1"/>
  <c r="N5" i="1" s="1"/>
  <c r="L7" i="1"/>
  <c r="N7" i="1" s="1"/>
  <c r="L8" i="1"/>
  <c r="N8" i="1" s="1"/>
  <c r="L17" i="2"/>
  <c r="N17" i="2" s="1"/>
  <c r="L14" i="2"/>
  <c r="N14" i="2" s="1"/>
  <c r="L16" i="2"/>
  <c r="N16" i="2" s="1"/>
  <c r="L18" i="2"/>
  <c r="N18" i="2" s="1"/>
  <c r="L30" i="2"/>
  <c r="N30" i="2" s="1"/>
  <c r="L27" i="2"/>
  <c r="N27" i="2" s="1"/>
  <c r="L17" i="3"/>
  <c r="N17" i="3" s="1"/>
  <c r="L26" i="3"/>
  <c r="N26" i="3" s="1"/>
  <c r="L35" i="3"/>
  <c r="N35" i="3" s="1"/>
  <c r="L16" i="3"/>
  <c r="N16" i="3" s="1"/>
  <c r="L23" i="3"/>
  <c r="N23" i="3" s="1"/>
  <c r="L4" i="4"/>
  <c r="N4" i="4" s="1"/>
  <c r="L10" i="4"/>
  <c r="N10" i="4" s="1"/>
  <c r="L15" i="3"/>
  <c r="N15" i="3" s="1"/>
  <c r="L6" i="4"/>
  <c r="N6" i="4" s="1"/>
  <c r="N5" i="3" l="1"/>
  <c r="N39" i="3" s="1"/>
  <c r="L39" i="3"/>
  <c r="N4" i="1"/>
  <c r="N10" i="1" s="1"/>
  <c r="L10" i="1"/>
  <c r="L38" i="4"/>
  <c r="N38" i="4"/>
  <c r="N4" i="2"/>
  <c r="N31" i="2" s="1"/>
  <c r="L31" i="2"/>
  <c r="N24" i="8" l="1"/>
  <c r="N26" i="11" l="1"/>
  <c r="L15" i="11" l="1"/>
  <c r="N15" i="11" s="1"/>
  <c r="L24" i="11"/>
  <c r="N24" i="11" s="1"/>
  <c r="L12" i="14" l="1"/>
  <c r="N12" i="14"/>
  <c r="L22" i="13" l="1"/>
  <c r="N22" i="13" s="1"/>
  <c r="N7" i="18" l="1"/>
  <c r="L7" i="18"/>
  <c r="L10" i="18" l="1"/>
  <c r="N10" i="18" l="1"/>
  <c r="L24" i="18" l="1"/>
  <c r="L4" i="18"/>
  <c r="L22" i="18"/>
  <c r="L21" i="18"/>
  <c r="L16" i="18"/>
  <c r="L5" i="19"/>
  <c r="L18" i="20"/>
  <c r="L16" i="20"/>
  <c r="L7" i="20"/>
  <c r="L8" i="20"/>
  <c r="L22" i="20"/>
  <c r="L21" i="20"/>
  <c r="L15" i="20"/>
  <c r="L25" i="20"/>
  <c r="N22" i="21"/>
  <c r="L7" i="21"/>
  <c r="L15" i="21"/>
  <c r="L21" i="22"/>
  <c r="L13" i="17"/>
  <c r="N13" i="17" s="1"/>
  <c r="L10" i="17"/>
  <c r="L15" i="17"/>
  <c r="L26" i="21" l="1"/>
  <c r="L12" i="17"/>
  <c r="N11" i="17" s="1"/>
  <c r="L27" i="21"/>
  <c r="L14" i="17"/>
  <c r="L9" i="17"/>
  <c r="L11" i="17"/>
  <c r="L4" i="17"/>
  <c r="L16" i="17"/>
  <c r="L17" i="17"/>
  <c r="L5" i="17"/>
  <c r="L7" i="17"/>
  <c r="N7" i="17" s="1"/>
  <c r="L8" i="17"/>
  <c r="L6" i="17"/>
  <c r="N6" i="17" s="1"/>
  <c r="L25" i="21"/>
  <c r="L21" i="21"/>
  <c r="L20" i="21"/>
  <c r="L19" i="21"/>
  <c r="L18" i="21"/>
  <c r="L16" i="21"/>
  <c r="L14" i="21"/>
  <c r="L11" i="21"/>
  <c r="L22" i="22"/>
  <c r="L27" i="22"/>
  <c r="N26" i="22"/>
  <c r="L26" i="22"/>
  <c r="L25" i="22"/>
  <c r="N24" i="22"/>
  <c r="L24" i="22"/>
  <c r="N23" i="22"/>
  <c r="L23" i="22"/>
  <c r="L13" i="18"/>
  <c r="L5" i="21"/>
  <c r="L12" i="20"/>
  <c r="L10" i="20"/>
  <c r="L24" i="20"/>
  <c r="L17" i="20"/>
  <c r="L9" i="18"/>
  <c r="L18" i="18"/>
  <c r="L19" i="18"/>
  <c r="L4" i="21"/>
  <c r="L8" i="21"/>
  <c r="N23" i="21"/>
  <c r="L23" i="21"/>
  <c r="L17" i="21"/>
  <c r="L6" i="21"/>
  <c r="L13" i="21"/>
  <c r="L11" i="20"/>
  <c r="L19" i="20"/>
  <c r="L23" i="20"/>
  <c r="L6" i="20"/>
  <c r="L6" i="19"/>
  <c r="L10" i="19"/>
  <c r="L9" i="19"/>
  <c r="L11" i="19"/>
  <c r="L12" i="19"/>
  <c r="L8" i="19"/>
  <c r="L26" i="18"/>
  <c r="L5" i="18"/>
  <c r="L14" i="18"/>
  <c r="L13" i="20"/>
  <c r="L9" i="20"/>
  <c r="L5" i="20"/>
  <c r="L4" i="19"/>
  <c r="L12" i="18"/>
  <c r="L6" i="18"/>
  <c r="L15" i="18"/>
  <c r="L23" i="18"/>
  <c r="L8" i="18"/>
  <c r="L12" i="21"/>
  <c r="L10" i="21"/>
  <c r="L22" i="21"/>
  <c r="N26" i="21"/>
  <c r="L24" i="21"/>
  <c r="L9" i="21"/>
  <c r="L14" i="20"/>
  <c r="L26" i="20"/>
  <c r="L20" i="20"/>
  <c r="L4" i="20"/>
  <c r="L7" i="19"/>
  <c r="L17" i="18"/>
  <c r="L25" i="18"/>
  <c r="L27" i="18" s="1"/>
  <c r="L20" i="18"/>
  <c r="L11" i="18"/>
  <c r="N21" i="21"/>
  <c r="N24" i="21"/>
  <c r="N4" i="19"/>
  <c r="N19" i="21"/>
  <c r="N7" i="21"/>
  <c r="N15" i="21"/>
  <c r="N18" i="21"/>
  <c r="N5" i="20"/>
  <c r="N21" i="22"/>
  <c r="N10" i="20"/>
  <c r="N14" i="20"/>
  <c r="N15" i="20"/>
  <c r="N8" i="20"/>
  <c r="N5" i="19"/>
  <c r="N12" i="20"/>
  <c r="N7" i="20"/>
  <c r="N11" i="20"/>
  <c r="N10" i="19"/>
  <c r="N26" i="18"/>
  <c r="N24" i="18"/>
  <c r="N23" i="18"/>
  <c r="N22" i="18"/>
  <c r="N21" i="18"/>
  <c r="N19" i="18"/>
  <c r="N13" i="18"/>
  <c r="N11" i="18"/>
  <c r="N9" i="18"/>
  <c r="N5" i="18"/>
  <c r="N4" i="18"/>
  <c r="N6" i="18"/>
  <c r="N16" i="18"/>
  <c r="N15" i="18"/>
  <c r="N18" i="17"/>
  <c r="N9" i="17"/>
  <c r="N8" i="17"/>
  <c r="N17" i="17"/>
  <c r="N5" i="17"/>
  <c r="N16" i="17"/>
  <c r="N10" i="17"/>
  <c r="L19" i="16"/>
  <c r="L25" i="16"/>
  <c r="N14" i="17" l="1"/>
  <c r="N8" i="21"/>
  <c r="N27" i="21"/>
  <c r="L15" i="16"/>
  <c r="L26" i="16"/>
  <c r="L7" i="16"/>
  <c r="N12" i="17"/>
  <c r="L21" i="17"/>
  <c r="N15" i="17"/>
  <c r="N4" i="17"/>
  <c r="N20" i="17" s="1"/>
  <c r="L20" i="17"/>
  <c r="L29" i="21"/>
  <c r="N25" i="21"/>
  <c r="N20" i="21"/>
  <c r="N17" i="21"/>
  <c r="N16" i="21"/>
  <c r="N25" i="22"/>
  <c r="N14" i="21"/>
  <c r="N11" i="21"/>
  <c r="N27" i="22"/>
  <c r="N22" i="22"/>
  <c r="N17" i="18"/>
  <c r="N8" i="18"/>
  <c r="N9" i="19"/>
  <c r="N18" i="18"/>
  <c r="N9" i="21"/>
  <c r="L27" i="20"/>
  <c r="L28" i="20"/>
  <c r="N12" i="18"/>
  <c r="N20" i="18"/>
  <c r="N19" i="20"/>
  <c r="N23" i="20"/>
  <c r="N13" i="19"/>
  <c r="N9" i="20"/>
  <c r="N26" i="20"/>
  <c r="N4" i="21"/>
  <c r="N8" i="19"/>
  <c r="N12" i="19"/>
  <c r="N5" i="21"/>
  <c r="L17" i="19"/>
  <c r="L30" i="18"/>
  <c r="L18" i="19"/>
  <c r="N16" i="20"/>
  <c r="N20" i="20"/>
  <c r="N24" i="20"/>
  <c r="N13" i="20"/>
  <c r="N10" i="21"/>
  <c r="N12" i="21"/>
  <c r="N11" i="19"/>
  <c r="N17" i="20"/>
  <c r="N21" i="20"/>
  <c r="N25" i="20"/>
  <c r="N6" i="19"/>
  <c r="N6" i="20"/>
  <c r="L29" i="18"/>
  <c r="N14" i="18"/>
  <c r="N25" i="18"/>
  <c r="N27" i="18" s="1"/>
  <c r="N18" i="20"/>
  <c r="N22" i="20"/>
  <c r="N4" i="20"/>
  <c r="N7" i="19"/>
  <c r="N13" i="21"/>
  <c r="N6" i="21"/>
  <c r="L28" i="21"/>
  <c r="N25" i="16"/>
  <c r="N19" i="16"/>
  <c r="N15" i="16"/>
  <c r="N7" i="16"/>
  <c r="L11" i="16"/>
  <c r="L14" i="16"/>
  <c r="L10" i="16"/>
  <c r="L12" i="16"/>
  <c r="L8" i="16"/>
  <c r="L22" i="16" l="1"/>
  <c r="N21" i="17"/>
  <c r="N22" i="17" s="1"/>
  <c r="N26" i="16"/>
  <c r="L29" i="20"/>
  <c r="L9" i="16"/>
  <c r="L24" i="16"/>
  <c r="L18" i="16"/>
  <c r="L22" i="17"/>
  <c r="L6" i="16"/>
  <c r="L21" i="16"/>
  <c r="N29" i="21"/>
  <c r="N29" i="18"/>
  <c r="L30" i="21"/>
  <c r="N27" i="20"/>
  <c r="N17" i="19"/>
  <c r="L19" i="19"/>
  <c r="N28" i="20"/>
  <c r="N18" i="19"/>
  <c r="N28" i="21"/>
  <c r="L31" i="18"/>
  <c r="N30" i="18"/>
  <c r="N24" i="16"/>
  <c r="N22" i="16"/>
  <c r="N21" i="16"/>
  <c r="N18" i="16"/>
  <c r="N9" i="16"/>
  <c r="N14" i="16"/>
  <c r="N12" i="16"/>
  <c r="N10" i="16"/>
  <c r="N11" i="16"/>
  <c r="N8" i="16"/>
  <c r="N6" i="16"/>
  <c r="N5" i="16"/>
  <c r="L23" i="16"/>
  <c r="L17" i="16"/>
  <c r="L13" i="16" l="1"/>
  <c r="L20" i="16"/>
  <c r="L4" i="16"/>
  <c r="L16" i="16"/>
  <c r="L28" i="16" s="1"/>
  <c r="L5" i="16"/>
  <c r="L27" i="16" s="1"/>
  <c r="N31" i="18"/>
  <c r="N29" i="20"/>
  <c r="N30" i="21"/>
  <c r="N19" i="19"/>
  <c r="N23" i="16"/>
  <c r="N16" i="16"/>
  <c r="N17" i="16"/>
  <c r="N4" i="16"/>
  <c r="N27" i="16" s="1"/>
  <c r="L29" i="16" l="1"/>
  <c r="N20" i="16"/>
  <c r="N13" i="16"/>
  <c r="L19" i="15"/>
  <c r="L21" i="15"/>
  <c r="L12" i="15"/>
  <c r="L20" i="15"/>
  <c r="L7" i="15"/>
  <c r="L17" i="15"/>
  <c r="L25" i="15"/>
  <c r="L10" i="15"/>
  <c r="L6" i="15"/>
  <c r="L24" i="15"/>
  <c r="L16" i="15"/>
  <c r="L5" i="15" l="1"/>
  <c r="N28" i="16"/>
  <c r="N29" i="16" s="1"/>
  <c r="L13" i="15"/>
  <c r="L4" i="15"/>
  <c r="L8" i="15"/>
  <c r="L18" i="15"/>
  <c r="L9" i="15"/>
  <c r="L15" i="15"/>
  <c r="L26" i="15"/>
  <c r="L23" i="15"/>
  <c r="L22" i="15"/>
  <c r="L14" i="15"/>
  <c r="N8" i="15"/>
  <c r="N10" i="15"/>
  <c r="N5" i="15"/>
  <c r="N26" i="15"/>
  <c r="N25" i="15"/>
  <c r="N24" i="15"/>
  <c r="N21" i="15"/>
  <c r="N20" i="15"/>
  <c r="N19" i="15"/>
  <c r="N18" i="15"/>
  <c r="N17" i="15"/>
  <c r="N15" i="15"/>
  <c r="N14" i="15"/>
  <c r="N13" i="15"/>
  <c r="N9" i="15"/>
  <c r="N7" i="15"/>
  <c r="N6" i="15"/>
  <c r="N4" i="15"/>
  <c r="L17" i="14"/>
  <c r="L20" i="14"/>
  <c r="L13" i="14"/>
  <c r="L18" i="14"/>
  <c r="L10" i="14"/>
  <c r="L11" i="14"/>
  <c r="L14" i="14"/>
  <c r="L15" i="14"/>
  <c r="L28" i="15" l="1"/>
  <c r="L6" i="14"/>
  <c r="L5" i="14"/>
  <c r="L23" i="14"/>
  <c r="L4" i="14"/>
  <c r="L22" i="14"/>
  <c r="L21" i="13"/>
  <c r="N21" i="13" s="1"/>
  <c r="L19" i="14"/>
  <c r="L24" i="14"/>
  <c r="L9" i="14"/>
  <c r="L21" i="14"/>
  <c r="N12" i="15"/>
  <c r="N16" i="15"/>
  <c r="L7" i="14"/>
  <c r="L8" i="14"/>
  <c r="L26" i="14"/>
  <c r="L25" i="14"/>
  <c r="N27" i="15"/>
  <c r="N23" i="15"/>
  <c r="N22" i="15"/>
  <c r="L16" i="14"/>
  <c r="L27" i="15"/>
  <c r="L29" i="15" s="1"/>
  <c r="N22" i="14"/>
  <c r="N13" i="14"/>
  <c r="N26" i="14"/>
  <c r="N16" i="14"/>
  <c r="N11" i="14"/>
  <c r="N25" i="14"/>
  <c r="N10" i="14"/>
  <c r="N23" i="14"/>
  <c r="N18" i="14"/>
  <c r="N20" i="14"/>
  <c r="N17" i="14"/>
  <c r="N14" i="14"/>
  <c r="N4" i="14"/>
  <c r="N24" i="14"/>
  <c r="L23" i="13"/>
  <c r="N23" i="13" s="1"/>
  <c r="N7" i="14" l="1"/>
  <c r="N28" i="15"/>
  <c r="L28" i="14"/>
  <c r="N21" i="14"/>
  <c r="N29" i="15"/>
  <c r="L8" i="13"/>
  <c r="N5" i="14"/>
  <c r="L19" i="13"/>
  <c r="L20" i="13"/>
  <c r="N20" i="13" s="1"/>
  <c r="N9" i="14"/>
  <c r="L27" i="14"/>
  <c r="L29" i="14" s="1"/>
  <c r="N19" i="14"/>
  <c r="N8" i="14"/>
  <c r="N15" i="14"/>
  <c r="L11" i="13"/>
  <c r="N11" i="13" s="1"/>
  <c r="N6" i="14"/>
  <c r="N28" i="14" l="1"/>
  <c r="N27" i="14"/>
  <c r="N29" i="14" s="1"/>
  <c r="N19" i="13"/>
  <c r="N8" i="13"/>
  <c r="L21" i="8" l="1"/>
  <c r="N21" i="8" s="1"/>
  <c r="L13" i="8"/>
  <c r="N13" i="8" s="1"/>
  <c r="L23" i="8"/>
  <c r="N23" i="8" s="1"/>
  <c r="L15" i="8"/>
  <c r="N15" i="8" s="1"/>
  <c r="L19" i="8" l="1"/>
  <c r="N19" i="8" s="1"/>
  <c r="L14" i="8"/>
  <c r="N14" i="8" s="1"/>
  <c r="L22" i="8"/>
  <c r="N22" i="8" s="1"/>
  <c r="L7" i="8"/>
  <c r="N7" i="8" s="1"/>
  <c r="L17" i="8"/>
  <c r="N17" i="8" s="1"/>
  <c r="L18" i="8"/>
  <c r="N18" i="8" s="1"/>
  <c r="L11" i="8"/>
  <c r="N11" i="8" s="1"/>
  <c r="L8" i="8"/>
  <c r="N8" i="8" s="1"/>
  <c r="L12" i="8"/>
  <c r="N12" i="8" s="1"/>
  <c r="L20" i="8" l="1"/>
  <c r="N20" i="8" s="1"/>
  <c r="L13" i="6" l="1"/>
  <c r="N13" i="6" s="1"/>
  <c r="L9" i="6"/>
  <c r="N9" i="6" s="1"/>
  <c r="L11" i="6"/>
  <c r="N11" i="6" s="1"/>
  <c r="L18" i="6"/>
  <c r="N18" i="6" s="1"/>
  <c r="L17" i="6"/>
  <c r="N17" i="6" s="1"/>
  <c r="L8" i="6"/>
  <c r="N8" i="6" s="1"/>
  <c r="L4" i="6"/>
  <c r="L16" i="6"/>
  <c r="N16" i="6" s="1"/>
  <c r="L23" i="6"/>
  <c r="N23" i="6" s="1"/>
  <c r="L14" i="6"/>
  <c r="N14" i="6" s="1"/>
  <c r="L15" i="6"/>
  <c r="N15" i="6" s="1"/>
  <c r="L19" i="6"/>
  <c r="N19" i="6" s="1"/>
  <c r="L6" i="6"/>
  <c r="N6" i="6" s="1"/>
  <c r="L11" i="7"/>
  <c r="N11" i="7" s="1"/>
  <c r="L31" i="7"/>
  <c r="N31" i="7" s="1"/>
  <c r="L17" i="7"/>
  <c r="N17" i="7" s="1"/>
  <c r="L23" i="7"/>
  <c r="N23" i="7" s="1"/>
  <c r="L21" i="7"/>
  <c r="N21" i="7" s="1"/>
  <c r="L16" i="7"/>
  <c r="N16" i="7" s="1"/>
  <c r="L8" i="7"/>
  <c r="N8" i="7" s="1"/>
  <c r="L26" i="7"/>
  <c r="N26" i="7" s="1"/>
  <c r="L35" i="7"/>
  <c r="N35" i="7" s="1"/>
  <c r="L16" i="8"/>
  <c r="N16" i="8" s="1"/>
  <c r="L7" i="7" l="1"/>
  <c r="N7" i="7" s="1"/>
  <c r="L4" i="8"/>
  <c r="L6" i="8"/>
  <c r="N6" i="8" s="1"/>
  <c r="L25" i="7"/>
  <c r="N25" i="7" s="1"/>
  <c r="L20" i="7"/>
  <c r="N20" i="7" s="1"/>
  <c r="L30" i="7"/>
  <c r="N30" i="7" s="1"/>
  <c r="L24" i="7"/>
  <c r="N24" i="7" s="1"/>
  <c r="N4" i="6"/>
  <c r="L5" i="6"/>
  <c r="N5" i="6" s="1"/>
  <c r="L5" i="8"/>
  <c r="N5" i="8" s="1"/>
  <c r="L5" i="7"/>
  <c r="N5" i="7" s="1"/>
  <c r="L9" i="8"/>
  <c r="N9" i="8" s="1"/>
  <c r="L27" i="7"/>
  <c r="N27" i="7" s="1"/>
  <c r="L28" i="7"/>
  <c r="N28" i="7" s="1"/>
  <c r="L32" i="7"/>
  <c r="N32" i="7" s="1"/>
  <c r="L12" i="7"/>
  <c r="N12" i="7" s="1"/>
  <c r="L29" i="7"/>
  <c r="N29" i="7" s="1"/>
  <c r="L4" i="7"/>
  <c r="L22" i="6"/>
  <c r="N22" i="6" s="1"/>
  <c r="L7" i="6"/>
  <c r="N7" i="6" s="1"/>
  <c r="L9" i="7"/>
  <c r="N9" i="7" s="1"/>
  <c r="L34" i="7"/>
  <c r="N34" i="7" s="1"/>
  <c r="L10" i="7"/>
  <c r="N10" i="7" s="1"/>
  <c r="L22" i="7"/>
  <c r="N22" i="7" s="1"/>
  <c r="L19" i="7"/>
  <c r="N19" i="7" s="1"/>
  <c r="L6" i="7"/>
  <c r="N6" i="7" s="1"/>
  <c r="L20" i="6"/>
  <c r="N20" i="6" s="1"/>
  <c r="L12" i="6"/>
  <c r="N12" i="6" s="1"/>
  <c r="L15" i="7"/>
  <c r="N15" i="7" s="1"/>
  <c r="L10" i="8"/>
  <c r="N10" i="8" s="1"/>
  <c r="L33" i="7"/>
  <c r="N33" i="7" s="1"/>
  <c r="L18" i="7"/>
  <c r="N18" i="7" s="1"/>
  <c r="L14" i="7"/>
  <c r="N14" i="7" s="1"/>
  <c r="L13" i="7"/>
  <c r="N13" i="7" s="1"/>
  <c r="N4" i="7" l="1"/>
  <c r="N38" i="7" s="1"/>
  <c r="L38" i="7"/>
  <c r="L26" i="6"/>
  <c r="N4" i="8"/>
  <c r="N25" i="8" s="1"/>
  <c r="L25" i="8"/>
  <c r="N26" i="6"/>
  <c r="L17" i="22" l="1"/>
  <c r="L18" i="22"/>
  <c r="L15" i="22"/>
  <c r="L14" i="22"/>
  <c r="N23" i="24" l="1"/>
  <c r="L23" i="24"/>
  <c r="N22" i="24"/>
  <c r="L22" i="24"/>
  <c r="N21" i="24"/>
  <c r="L21" i="24"/>
  <c r="L9" i="24"/>
  <c r="N20" i="24"/>
  <c r="L20" i="24"/>
  <c r="N19" i="24"/>
  <c r="L19" i="24"/>
  <c r="N18" i="24"/>
  <c r="L18" i="24"/>
  <c r="N17" i="24"/>
  <c r="L17" i="24"/>
  <c r="N16" i="24"/>
  <c r="L16" i="24"/>
  <c r="N15" i="24"/>
  <c r="L15" i="24"/>
  <c r="N14" i="24"/>
  <c r="L14" i="24"/>
  <c r="N13" i="24"/>
  <c r="L13" i="24"/>
  <c r="N12" i="24"/>
  <c r="L12" i="24"/>
  <c r="N11" i="24"/>
  <c r="L11" i="24"/>
  <c r="N10" i="24"/>
  <c r="L10" i="24"/>
  <c r="N8" i="24"/>
  <c r="L8" i="24"/>
  <c r="N7" i="24"/>
  <c r="L7" i="24"/>
  <c r="N6" i="24"/>
  <c r="L6" i="24"/>
  <c r="L5" i="24"/>
  <c r="N5" i="24"/>
  <c r="N4" i="24"/>
  <c r="L4" i="24"/>
  <c r="N9" i="24"/>
  <c r="L10" i="22"/>
  <c r="L9" i="22"/>
  <c r="L13" i="22"/>
  <c r="L19" i="22"/>
  <c r="L4" i="22"/>
  <c r="N12" i="23"/>
  <c r="N6" i="23"/>
  <c r="N11" i="23"/>
  <c r="N9" i="23"/>
  <c r="L5" i="22"/>
  <c r="N8" i="23"/>
  <c r="N7" i="23"/>
  <c r="N10" i="23"/>
  <c r="N4" i="23"/>
  <c r="N5" i="23"/>
  <c r="L7" i="23"/>
  <c r="L6" i="23"/>
  <c r="L10" i="23"/>
  <c r="L9" i="23"/>
  <c r="L7" i="22"/>
  <c r="L12" i="22"/>
  <c r="L8" i="22"/>
  <c r="L6" i="22"/>
  <c r="L16" i="22"/>
  <c r="L8" i="23"/>
  <c r="L11" i="22"/>
  <c r="L4" i="23"/>
  <c r="L12" i="23"/>
  <c r="L11" i="23"/>
  <c r="L5" i="23"/>
  <c r="L20" i="22"/>
  <c r="L29" i="22" s="1"/>
  <c r="N10" i="22"/>
  <c r="N20" i="22"/>
  <c r="N19" i="22"/>
  <c r="N18" i="22"/>
  <c r="N17" i="22"/>
  <c r="N15" i="22"/>
  <c r="N14" i="22"/>
  <c r="N13" i="22"/>
  <c r="N12" i="22"/>
  <c r="N11" i="22"/>
  <c r="N9" i="22"/>
  <c r="N8" i="22"/>
  <c r="N7" i="22"/>
  <c r="N4" i="22"/>
  <c r="N5" i="22"/>
  <c r="L28" i="22" l="1"/>
  <c r="L30" i="22" s="1"/>
  <c r="N15" i="23"/>
  <c r="L14" i="23"/>
  <c r="L25" i="24"/>
  <c r="N14" i="23"/>
  <c r="N25" i="24"/>
  <c r="N26" i="24"/>
  <c r="N6" i="22"/>
  <c r="N28" i="22" s="1"/>
  <c r="N16" i="22"/>
  <c r="N29" i="22" s="1"/>
  <c r="L15" i="23"/>
  <c r="L26" i="24"/>
  <c r="N16" i="23" l="1"/>
  <c r="L27" i="24"/>
  <c r="L16" i="23"/>
  <c r="N27" i="24"/>
  <c r="N30" i="22"/>
  <c r="L16" i="13" l="1"/>
  <c r="N16" i="13" s="1"/>
  <c r="L13" i="13"/>
  <c r="N13" i="13" s="1"/>
  <c r="L18" i="13"/>
  <c r="N18" i="13" s="1"/>
  <c r="L12" i="13"/>
  <c r="L7" i="13" l="1"/>
  <c r="N7" i="13" s="1"/>
  <c r="L10" i="13"/>
  <c r="N10" i="13" s="1"/>
  <c r="L15" i="13"/>
  <c r="N15" i="13" s="1"/>
  <c r="L14" i="13"/>
  <c r="N14" i="13" s="1"/>
  <c r="N12" i="13"/>
  <c r="L6" i="13"/>
  <c r="N6" i="13" s="1"/>
  <c r="L5" i="13"/>
  <c r="N5" i="13" s="1"/>
  <c r="L17" i="13"/>
  <c r="N17" i="13" s="1"/>
  <c r="L4" i="13"/>
  <c r="N4" i="13" l="1"/>
  <c r="N26" i="13"/>
  <c r="L26" i="13"/>
  <c r="L9" i="13" l="1"/>
  <c r="L22" i="12"/>
  <c r="N22" i="12" s="1"/>
  <c r="N9" i="13" l="1"/>
  <c r="N25" i="13" s="1"/>
  <c r="N27" i="13" s="1"/>
  <c r="L25" i="13"/>
  <c r="L27" i="13" s="1"/>
  <c r="L27" i="12"/>
  <c r="N27" i="12" s="1"/>
  <c r="L8" i="12" l="1"/>
  <c r="N8" i="12" s="1"/>
  <c r="L17" i="12"/>
  <c r="N17" i="12" l="1"/>
  <c r="L15" i="9" l="1"/>
  <c r="N15" i="9" s="1"/>
  <c r="L18" i="9"/>
  <c r="N18" i="9" s="1"/>
  <c r="L11" i="9"/>
  <c r="N11" i="9" s="1"/>
  <c r="L16" i="10"/>
  <c r="L21" i="10"/>
  <c r="N21" i="10" s="1"/>
  <c r="L28" i="10"/>
  <c r="N28" i="10" s="1"/>
  <c r="L22" i="10"/>
  <c r="N22" i="10" s="1"/>
  <c r="L18" i="10"/>
  <c r="N18" i="10" s="1"/>
  <c r="L6" i="10"/>
  <c r="N6" i="10" s="1"/>
  <c r="L26" i="10"/>
  <c r="N26" i="10" s="1"/>
  <c r="L14" i="11"/>
  <c r="N14" i="11" s="1"/>
  <c r="L10" i="11"/>
  <c r="N10" i="11" s="1"/>
  <c r="L22" i="11"/>
  <c r="N22" i="11" s="1"/>
  <c r="L5" i="11"/>
  <c r="N5" i="11" s="1"/>
  <c r="L25" i="11"/>
  <c r="N25" i="11" s="1"/>
  <c r="L11" i="11"/>
  <c r="N11" i="11" s="1"/>
  <c r="L8" i="9"/>
  <c r="N8" i="9" s="1"/>
  <c r="L6" i="11" l="1"/>
  <c r="N6" i="11" s="1"/>
  <c r="L4" i="11"/>
  <c r="L8" i="11"/>
  <c r="N8" i="11" s="1"/>
  <c r="L30" i="10"/>
  <c r="N30" i="10" s="1"/>
  <c r="L20" i="9"/>
  <c r="N20" i="9" s="1"/>
  <c r="L18" i="11"/>
  <c r="N18" i="11" s="1"/>
  <c r="L16" i="11"/>
  <c r="L7" i="11"/>
  <c r="N7" i="11" s="1"/>
  <c r="L12" i="11"/>
  <c r="N12" i="11" s="1"/>
  <c r="L27" i="10"/>
  <c r="N27" i="10" s="1"/>
  <c r="L24" i="10"/>
  <c r="N24" i="10" s="1"/>
  <c r="L7" i="10"/>
  <c r="N7" i="10" s="1"/>
  <c r="L29" i="10"/>
  <c r="N29" i="10" s="1"/>
  <c r="L23" i="10"/>
  <c r="N23" i="10" s="1"/>
  <c r="N16" i="10"/>
  <c r="L7" i="9"/>
  <c r="N7" i="9" s="1"/>
  <c r="L6" i="9"/>
  <c r="N6" i="9" s="1"/>
  <c r="L12" i="9"/>
  <c r="N12" i="9" s="1"/>
  <c r="L21" i="11"/>
  <c r="N21" i="11" s="1"/>
  <c r="L19" i="11"/>
  <c r="N19" i="11" s="1"/>
  <c r="L20" i="11"/>
  <c r="N20" i="11" s="1"/>
  <c r="L25" i="10"/>
  <c r="N25" i="10" s="1"/>
  <c r="L20" i="10"/>
  <c r="N20" i="10" s="1"/>
  <c r="L14" i="10"/>
  <c r="N14" i="10" s="1"/>
  <c r="L11" i="10"/>
  <c r="N11" i="10" s="1"/>
  <c r="L19" i="10"/>
  <c r="N19" i="10" s="1"/>
  <c r="L5" i="10"/>
  <c r="N5" i="10" s="1"/>
  <c r="L12" i="10"/>
  <c r="N12" i="10" s="1"/>
  <c r="L13" i="9"/>
  <c r="N13" i="9" s="1"/>
  <c r="L22" i="9"/>
  <c r="N22" i="9" s="1"/>
  <c r="L19" i="9"/>
  <c r="N19" i="9" s="1"/>
  <c r="L14" i="9"/>
  <c r="N14" i="9" s="1"/>
  <c r="L13" i="11"/>
  <c r="N13" i="11" s="1"/>
  <c r="L17" i="11"/>
  <c r="N17" i="11" s="1"/>
  <c r="L23" i="11"/>
  <c r="N23" i="11" s="1"/>
  <c r="L9" i="11"/>
  <c r="N9" i="11" s="1"/>
  <c r="L9" i="10"/>
  <c r="N9" i="10" s="1"/>
  <c r="L10" i="10"/>
  <c r="N10" i="10" s="1"/>
  <c r="L13" i="10"/>
  <c r="N13" i="10" s="1"/>
  <c r="L32" i="10"/>
  <c r="N32" i="10" s="1"/>
  <c r="L31" i="10"/>
  <c r="N31" i="10" s="1"/>
  <c r="L15" i="10"/>
  <c r="N15" i="10" s="1"/>
  <c r="L17" i="10"/>
  <c r="N17" i="10" s="1"/>
  <c r="L4" i="10"/>
  <c r="L8" i="10"/>
  <c r="N8" i="10" s="1"/>
  <c r="L21" i="9"/>
  <c r="N21" i="9" s="1"/>
  <c r="L16" i="9"/>
  <c r="N16" i="9" s="1"/>
  <c r="L17" i="9"/>
  <c r="N17" i="9" s="1"/>
  <c r="L10" i="9"/>
  <c r="N10" i="9" s="1"/>
  <c r="L9" i="9"/>
  <c r="N9" i="9" s="1"/>
  <c r="L16" i="12"/>
  <c r="N16" i="12" s="1"/>
  <c r="L19" i="12"/>
  <c r="N19" i="12" s="1"/>
  <c r="L14" i="12"/>
  <c r="N14" i="12" s="1"/>
  <c r="L25" i="12"/>
  <c r="N25" i="12" s="1"/>
  <c r="L15" i="12"/>
  <c r="N15" i="12" s="1"/>
  <c r="L10" i="12"/>
  <c r="N10" i="12" s="1"/>
  <c r="L26" i="12"/>
  <c r="N26" i="12" s="1"/>
  <c r="L12" i="12" l="1"/>
  <c r="N12" i="12" s="1"/>
  <c r="L6" i="12"/>
  <c r="N6" i="12" s="1"/>
  <c r="L18" i="12"/>
  <c r="L20" i="12"/>
  <c r="N20" i="12" s="1"/>
  <c r="L21" i="12"/>
  <c r="N21" i="12" s="1"/>
  <c r="L9" i="12"/>
  <c r="N9" i="12" s="1"/>
  <c r="L13" i="12"/>
  <c r="N13" i="12" s="1"/>
  <c r="L5" i="12"/>
  <c r="N5" i="12" s="1"/>
  <c r="L5" i="9"/>
  <c r="N5" i="9" s="1"/>
  <c r="L23" i="12"/>
  <c r="N23" i="12" s="1"/>
  <c r="L7" i="12"/>
  <c r="N7" i="12" s="1"/>
  <c r="L34" i="10"/>
  <c r="N4" i="10"/>
  <c r="N34" i="10" s="1"/>
  <c r="L35" i="10"/>
  <c r="L11" i="12"/>
  <c r="N11" i="12" s="1"/>
  <c r="N35" i="10"/>
  <c r="L24" i="12"/>
  <c r="N24" i="12" s="1"/>
  <c r="L4" i="12"/>
  <c r="L28" i="11"/>
  <c r="N16" i="11"/>
  <c r="N28" i="11" s="1"/>
  <c r="L27" i="11"/>
  <c r="L29" i="11" s="1"/>
  <c r="N4" i="11"/>
  <c r="N27" i="11" s="1"/>
  <c r="L36" i="10" l="1"/>
  <c r="N29" i="11"/>
  <c r="N4" i="12"/>
  <c r="N28" i="12" s="1"/>
  <c r="L28" i="12"/>
  <c r="N36" i="10"/>
  <c r="N18" i="12"/>
  <c r="N29" i="12" s="1"/>
  <c r="L29" i="12"/>
  <c r="N30" i="12" l="1"/>
  <c r="L4" i="9"/>
  <c r="L30" i="12"/>
  <c r="N4" i="9" l="1"/>
  <c r="N23" i="9" s="1"/>
  <c r="L23" i="9"/>
</calcChain>
</file>

<file path=xl/sharedStrings.xml><?xml version="1.0" encoding="utf-8"?>
<sst xmlns="http://schemas.openxmlformats.org/spreadsheetml/2006/main" count="4684" uniqueCount="581">
  <si>
    <t>قطعات تعمیری و ساخته شده</t>
  </si>
  <si>
    <t>نام قطعه</t>
  </si>
  <si>
    <t>دستگاه / قالب</t>
  </si>
  <si>
    <t>درخواست کننده</t>
  </si>
  <si>
    <t>تعداد درخواست</t>
  </si>
  <si>
    <t>نو ع قطعه</t>
  </si>
  <si>
    <t>علت ساخت / تعمیر</t>
  </si>
  <si>
    <t>شماره نامه</t>
  </si>
  <si>
    <t xml:space="preserve">کد دستگاه </t>
  </si>
  <si>
    <t>تاریخ شروع</t>
  </si>
  <si>
    <t>تاریخ تحویل</t>
  </si>
  <si>
    <t>مقدار نفر ساعت کار شده</t>
  </si>
  <si>
    <t>عملیات در حال انجام</t>
  </si>
  <si>
    <t>تیغه</t>
  </si>
  <si>
    <t>جدید</t>
  </si>
  <si>
    <t>نت</t>
  </si>
  <si>
    <t>فلانچ</t>
  </si>
  <si>
    <t>جهان ترمز</t>
  </si>
  <si>
    <t>اصلاح</t>
  </si>
  <si>
    <t>خرابی</t>
  </si>
  <si>
    <t>تحویل</t>
  </si>
  <si>
    <t>درخواست ساخت</t>
  </si>
  <si>
    <t>سری نقطه جوش</t>
  </si>
  <si>
    <t>تعمیری</t>
  </si>
  <si>
    <t>آغشته کاری</t>
  </si>
  <si>
    <t>پرس پخت</t>
  </si>
  <si>
    <t>ساب کلاچ</t>
  </si>
  <si>
    <t>ویوینگ</t>
  </si>
  <si>
    <t>ساب سمباده ای</t>
  </si>
  <si>
    <t>تراشکاری</t>
  </si>
  <si>
    <t>مجموع</t>
  </si>
  <si>
    <t>ابزار زنی</t>
  </si>
  <si>
    <t>جهان لنت</t>
  </si>
  <si>
    <t>جک</t>
  </si>
  <si>
    <t>weeks</t>
  </si>
  <si>
    <t>Date</t>
  </si>
  <si>
    <t>بوش</t>
  </si>
  <si>
    <t>در حال انجام</t>
  </si>
  <si>
    <t>خط مصرف</t>
  </si>
  <si>
    <t>مسی</t>
  </si>
  <si>
    <t>هزینه
ساخت/تعمیر
(تومان)</t>
  </si>
  <si>
    <t>تفلن</t>
  </si>
  <si>
    <t>قلم</t>
  </si>
  <si>
    <t>دستگاه چسب زنی</t>
  </si>
  <si>
    <t>پیچ</t>
  </si>
  <si>
    <t>قالب خشاب زنی</t>
  </si>
  <si>
    <t>لیفتراک</t>
  </si>
  <si>
    <t>تراش جا بلبرینگ</t>
  </si>
  <si>
    <t>دستگاه پشم فلز</t>
  </si>
  <si>
    <t>دستگاه ساب سمباده ای</t>
  </si>
  <si>
    <t>پولکی</t>
  </si>
  <si>
    <t>دستگاه کمپرسور باد</t>
  </si>
  <si>
    <t>فیکسچر</t>
  </si>
  <si>
    <t>لنت</t>
  </si>
  <si>
    <t>آزمایشگاه</t>
  </si>
  <si>
    <t>مهره</t>
  </si>
  <si>
    <t>دستگاه پرس پخت</t>
  </si>
  <si>
    <t>اصلاح شافت</t>
  </si>
  <si>
    <t>دستگاه پرس 600 تن</t>
  </si>
  <si>
    <t>دستگاه پخت کلاچ</t>
  </si>
  <si>
    <t xml:space="preserve">اصلاح </t>
  </si>
  <si>
    <t>شابلون</t>
  </si>
  <si>
    <t>تفلون</t>
  </si>
  <si>
    <t>دستگاه پرس 250 تن</t>
  </si>
  <si>
    <t>میز</t>
  </si>
  <si>
    <t>شانه</t>
  </si>
  <si>
    <t>دستگاه آسیاب پرت کلاچ</t>
  </si>
  <si>
    <t>کفی پخت</t>
  </si>
  <si>
    <t>توپی</t>
  </si>
  <si>
    <t>مهره سرجک</t>
  </si>
  <si>
    <t>گوه</t>
  </si>
  <si>
    <t>تسمه</t>
  </si>
  <si>
    <t>دستگاه شیرینگ</t>
  </si>
  <si>
    <t>فولی</t>
  </si>
  <si>
    <t>کوره ابزار زنی</t>
  </si>
  <si>
    <t>سوراخکاری و قلاویز</t>
  </si>
  <si>
    <t>برش جمعی عقب ریو</t>
  </si>
  <si>
    <t>غلطک</t>
  </si>
  <si>
    <t>تراش</t>
  </si>
  <si>
    <t>نت/جهان لنت</t>
  </si>
  <si>
    <t>اصلاح تیغه</t>
  </si>
  <si>
    <t>دستگاه ساب جدید</t>
  </si>
  <si>
    <t>روتور</t>
  </si>
  <si>
    <t>ساب</t>
  </si>
  <si>
    <t>تراش پیچ</t>
  </si>
  <si>
    <t>Shaft</t>
  </si>
  <si>
    <t>Blade Holder</t>
  </si>
  <si>
    <t>04/د/13047</t>
  </si>
  <si>
    <t>دستگاه پشم فلز آلمانی</t>
  </si>
  <si>
    <t>Bush</t>
  </si>
  <si>
    <t>پمپ</t>
  </si>
  <si>
    <t>1404/12/02</t>
  </si>
  <si>
    <t>1404/12/04</t>
  </si>
  <si>
    <t>1404/12/03</t>
  </si>
  <si>
    <t>دستگاه پشم فلز چینی</t>
  </si>
  <si>
    <t>1404/12/19</t>
  </si>
  <si>
    <t>main Blead Shaft</t>
  </si>
  <si>
    <t>04/د/13048</t>
  </si>
  <si>
    <t>04/د/13049</t>
  </si>
  <si>
    <t>1404/12/23</t>
  </si>
  <si>
    <t>شابلون پراید خاردار</t>
  </si>
  <si>
    <t>1405/01/15</t>
  </si>
  <si>
    <t>محافظ تیغه</t>
  </si>
  <si>
    <t>تولید پشم فلز</t>
  </si>
  <si>
    <t>1405/01/10</t>
  </si>
  <si>
    <t>1404/01/11</t>
  </si>
  <si>
    <t>صفحه آلمینیوم</t>
  </si>
  <si>
    <t>1404/01/12</t>
  </si>
  <si>
    <t>برش جمعی</t>
  </si>
  <si>
    <t>شکستن شافت</t>
  </si>
  <si>
    <t>1405/02/19</t>
  </si>
  <si>
    <t>1405/02/18</t>
  </si>
  <si>
    <t>whell</t>
  </si>
  <si>
    <t>mahak</t>
  </si>
  <si>
    <t>تیغه بند</t>
  </si>
  <si>
    <t>Total</t>
  </si>
  <si>
    <t>شابلون پراید بی خار</t>
  </si>
  <si>
    <t>1405/01/20</t>
  </si>
  <si>
    <t>چوبی</t>
  </si>
  <si>
    <t>weaving wheal</t>
  </si>
  <si>
    <t>1405/01/18</t>
  </si>
  <si>
    <t>دستگاه پرس پخت کلاچ</t>
  </si>
  <si>
    <t>صفحه کفی</t>
  </si>
  <si>
    <t>نیاز به سوراخکاری و قلاویز</t>
  </si>
  <si>
    <t>1405/01/19</t>
  </si>
  <si>
    <t>جوشکاری</t>
  </si>
  <si>
    <t>کمربند</t>
  </si>
  <si>
    <t>پیچ ساب</t>
  </si>
  <si>
    <t>1405/01/16</t>
  </si>
  <si>
    <t>همزن آغشته کاری</t>
  </si>
  <si>
    <t>1405/01/17</t>
  </si>
  <si>
    <t>پین برلیانس</t>
  </si>
  <si>
    <t>برنامه ریزی تولید</t>
  </si>
  <si>
    <t>1405/01/24</t>
  </si>
  <si>
    <t>1405/01/22</t>
  </si>
  <si>
    <t>اسپرینگ</t>
  </si>
  <si>
    <t>1405/01/26</t>
  </si>
  <si>
    <t>دستگاه کشش پشم فلز</t>
  </si>
  <si>
    <t>ساخت بوش یاتاقان</t>
  </si>
  <si>
    <t>1405/01/23</t>
  </si>
  <si>
    <t>1405/01/25</t>
  </si>
  <si>
    <t>1405/01/27</t>
  </si>
  <si>
    <t xml:space="preserve">دستگاه مهر زنی </t>
  </si>
  <si>
    <t>کاسه رنگ</t>
  </si>
  <si>
    <t>خرابی نگهدارنده</t>
  </si>
  <si>
    <t>4203
4204</t>
  </si>
  <si>
    <t>پیچ راهنما</t>
  </si>
  <si>
    <t>bush</t>
  </si>
  <si>
    <t>دریل سوراخکاری کلاچ</t>
  </si>
  <si>
    <t>دستگاه برش</t>
  </si>
  <si>
    <t>دستگاه پرچ زنی</t>
  </si>
  <si>
    <t>درآوردن جای پیچ زیر قالبی</t>
  </si>
  <si>
    <t>فنر</t>
  </si>
  <si>
    <t>نگهدارنده فنر</t>
  </si>
  <si>
    <t>سایز کردن</t>
  </si>
  <si>
    <t>دستگاه تسمه کش</t>
  </si>
  <si>
    <t>دستگاه ساب دیسکی چینی</t>
  </si>
  <si>
    <t>موجدار شدن کف میز</t>
  </si>
  <si>
    <t>اصلاح جا فنر</t>
  </si>
  <si>
    <t>قلم پین برلیانس</t>
  </si>
  <si>
    <t>تراش شافت ...</t>
  </si>
  <si>
    <t>هواکش</t>
  </si>
  <si>
    <t>اصلاح ...</t>
  </si>
  <si>
    <t>تیغچه بند</t>
  </si>
  <si>
    <t>ساخت SHAFT غلطک</t>
  </si>
  <si>
    <t>1405/02/02</t>
  </si>
  <si>
    <t>1405/02/04</t>
  </si>
  <si>
    <t>ساخت Shaft جک گازگیری</t>
  </si>
  <si>
    <t>واسطه سرجک</t>
  </si>
  <si>
    <t>1405/02/01</t>
  </si>
  <si>
    <t>بلوکه</t>
  </si>
  <si>
    <t>1405/02/03</t>
  </si>
  <si>
    <t>خرابی نگهدارنده کاسه</t>
  </si>
  <si>
    <t>U نگهدارنده</t>
  </si>
  <si>
    <t>ساب کونیک</t>
  </si>
  <si>
    <t>1405/01/29</t>
  </si>
  <si>
    <t>واسطه سر جک</t>
  </si>
  <si>
    <t>اصلاح شافت 3 متری</t>
  </si>
  <si>
    <t>1405/01/31</t>
  </si>
  <si>
    <t>1405/01/30</t>
  </si>
  <si>
    <t>Shaft توپی</t>
  </si>
  <si>
    <t>دریل کلاچ</t>
  </si>
  <si>
    <t>تراش فیکسچر</t>
  </si>
  <si>
    <t>همزن مواد</t>
  </si>
  <si>
    <t>√</t>
  </si>
  <si>
    <t>تیغچه</t>
  </si>
  <si>
    <t>1405/02/10</t>
  </si>
  <si>
    <t>1405/02/06</t>
  </si>
  <si>
    <t>1405/02/07</t>
  </si>
  <si>
    <t>پین عقب پژو 405</t>
  </si>
  <si>
    <t>عقب پژو 405</t>
  </si>
  <si>
    <t>گاید</t>
  </si>
  <si>
    <t>1405/02/05</t>
  </si>
  <si>
    <t>فرز 7103</t>
  </si>
  <si>
    <t>pin</t>
  </si>
  <si>
    <t>قالب سازی</t>
  </si>
  <si>
    <t>پرچ زنی</t>
  </si>
  <si>
    <t>دریل سوراخکاری</t>
  </si>
  <si>
    <t>اصلاح  Shaft 3 متری</t>
  </si>
  <si>
    <t>اصلاح Shaft توپی</t>
  </si>
  <si>
    <t>برداشتن لاستیک دور غلطک</t>
  </si>
  <si>
    <t>پیچ توپی بلند</t>
  </si>
  <si>
    <t>پیچ رگلاتور گاز</t>
  </si>
  <si>
    <t>پین عقب اکسل</t>
  </si>
  <si>
    <t>درآوردن پیچ</t>
  </si>
  <si>
    <t>روتراشی</t>
  </si>
  <si>
    <t>1405/02/09</t>
  </si>
  <si>
    <t>برش جمعی جدید</t>
  </si>
  <si>
    <t>1405/02/15</t>
  </si>
  <si>
    <t>تسمه تست کششی</t>
  </si>
  <si>
    <t>1405/02/17</t>
  </si>
  <si>
    <t xml:space="preserve">ساب </t>
  </si>
  <si>
    <t>واسطه سنگ</t>
  </si>
  <si>
    <t>1405/02/13</t>
  </si>
  <si>
    <t>1405/02/16</t>
  </si>
  <si>
    <t>لنت دنیای مس</t>
  </si>
  <si>
    <t>فیکسچر خم</t>
  </si>
  <si>
    <t>1405/02/14</t>
  </si>
  <si>
    <t>میکس چینی</t>
  </si>
  <si>
    <t>1405/02/12</t>
  </si>
  <si>
    <t>Mandrel</t>
  </si>
  <si>
    <t>خرابی Mandrel</t>
  </si>
  <si>
    <t>آسیاب پشم فلز</t>
  </si>
  <si>
    <t>اصلاحShaftروتور</t>
  </si>
  <si>
    <t>برش جمعی عقب</t>
  </si>
  <si>
    <t>فیکسچر پیکان</t>
  </si>
  <si>
    <t>سنگ ساب</t>
  </si>
  <si>
    <t>ابزار پیچ و مهره</t>
  </si>
  <si>
    <t>1197/د/05</t>
  </si>
  <si>
    <t>1405/02/24</t>
  </si>
  <si>
    <t>شکستن Shaft</t>
  </si>
  <si>
    <t>1405/02/22</t>
  </si>
  <si>
    <t>1405/02/23</t>
  </si>
  <si>
    <t>زیر پایه</t>
  </si>
  <si>
    <t>فلانچ بزرگ</t>
  </si>
  <si>
    <t>کوبلینگ</t>
  </si>
  <si>
    <t>پشم فلز</t>
  </si>
  <si>
    <t>1405/02/25</t>
  </si>
  <si>
    <t>دستگاه ساب</t>
  </si>
  <si>
    <t>روبند</t>
  </si>
  <si>
    <t xml:space="preserve">دستگاه سنگ پشم فلز آلمانی </t>
  </si>
  <si>
    <t>1405/02/20</t>
  </si>
  <si>
    <t>پولی تسمه</t>
  </si>
  <si>
    <t>پنجره ای</t>
  </si>
  <si>
    <t>1405/02/21</t>
  </si>
  <si>
    <t>واشر لنگری</t>
  </si>
  <si>
    <t>تیغ فرز</t>
  </si>
  <si>
    <t>صفحه پخت</t>
  </si>
  <si>
    <t>دستگاه ساب کلاچ</t>
  </si>
  <si>
    <t>11143
14587</t>
  </si>
  <si>
    <t>قلم پین L90</t>
  </si>
  <si>
    <t>قلم پین پژو 405</t>
  </si>
  <si>
    <t>کولر</t>
  </si>
  <si>
    <t>پروانه</t>
  </si>
  <si>
    <t>لنت فولاد خراسان</t>
  </si>
  <si>
    <t>بوش نگهدارنده</t>
  </si>
  <si>
    <t>1405/03/01</t>
  </si>
  <si>
    <t>دریل ابزار زنی</t>
  </si>
  <si>
    <t>1405/02/28</t>
  </si>
  <si>
    <t>1405/02/30</t>
  </si>
  <si>
    <t>لنگی</t>
  </si>
  <si>
    <t>1404/12/20</t>
  </si>
  <si>
    <t>1405/02/31</t>
  </si>
  <si>
    <t>1405/02/26</t>
  </si>
  <si>
    <t xml:space="preserve">کنترل شعاع عقب </t>
  </si>
  <si>
    <t>گیج پیکان</t>
  </si>
  <si>
    <t>1405/02/27</t>
  </si>
  <si>
    <t>Shaft همزن</t>
  </si>
  <si>
    <t>خرابی شافت</t>
  </si>
  <si>
    <t>1405/02/29</t>
  </si>
  <si>
    <t>بمبوری</t>
  </si>
  <si>
    <t>برنجی</t>
  </si>
  <si>
    <t>ساب الماسه</t>
  </si>
  <si>
    <t>پودر فلز</t>
  </si>
  <si>
    <t>پین عقب L90 معمولی</t>
  </si>
  <si>
    <t>عقب L90 معمولی</t>
  </si>
  <si>
    <t>1405/03/04</t>
  </si>
  <si>
    <t>کلمپ</t>
  </si>
  <si>
    <t>1405/03/05</t>
  </si>
  <si>
    <t>1405/03/03</t>
  </si>
  <si>
    <t>دستگاه ساب الماسه</t>
  </si>
  <si>
    <t>1405/03/07</t>
  </si>
  <si>
    <t>1405/03/02</t>
  </si>
  <si>
    <t>شابلون پراید دیسکی</t>
  </si>
  <si>
    <t>2418/د/05</t>
  </si>
  <si>
    <t>شابلون پژو 405 دیسکی</t>
  </si>
  <si>
    <t>پین</t>
  </si>
  <si>
    <t>ت.خودرو</t>
  </si>
  <si>
    <t>1405/03/09</t>
  </si>
  <si>
    <t>پرس 50 تن</t>
  </si>
  <si>
    <t>Matrix</t>
  </si>
  <si>
    <t>جهان لنت/پرس</t>
  </si>
  <si>
    <t xml:space="preserve">شکستگی </t>
  </si>
  <si>
    <t>1405/03/12</t>
  </si>
  <si>
    <t>پرس پخت کلاچ</t>
  </si>
  <si>
    <t>1405/03/10</t>
  </si>
  <si>
    <t>1405/03/11</t>
  </si>
  <si>
    <t>پین عقب ریو</t>
  </si>
  <si>
    <t>عقب ریو</t>
  </si>
  <si>
    <t>دریل یزدخواستی کلاچ</t>
  </si>
  <si>
    <t>راهنما</t>
  </si>
  <si>
    <t>دستگاه CNC</t>
  </si>
  <si>
    <t>نگهدارنده U</t>
  </si>
  <si>
    <t>صنایع مس</t>
  </si>
  <si>
    <t>کانورتور</t>
  </si>
  <si>
    <t>سنبه</t>
  </si>
  <si>
    <t>جای خار</t>
  </si>
  <si>
    <t>برش جمعی عقب پیکان</t>
  </si>
  <si>
    <t xml:space="preserve">دستگاه بسته بندی </t>
  </si>
  <si>
    <t>دستگاه پرس</t>
  </si>
  <si>
    <t>بلوک</t>
  </si>
  <si>
    <t>دستگاه مهر زنی</t>
  </si>
  <si>
    <t>کشویی</t>
  </si>
  <si>
    <t>ساب الماس</t>
  </si>
  <si>
    <t>فلنچ</t>
  </si>
  <si>
    <t>درام ساب</t>
  </si>
  <si>
    <t>شرکت فرش</t>
  </si>
  <si>
    <t>قیچی</t>
  </si>
  <si>
    <t>پیمانکار /خارجی</t>
  </si>
  <si>
    <t>قلم ریو</t>
  </si>
  <si>
    <t>کولر سالن</t>
  </si>
  <si>
    <t>1405/03/20</t>
  </si>
  <si>
    <t>بوش راهنما</t>
  </si>
  <si>
    <t>کلمپ زنی</t>
  </si>
  <si>
    <t>1405/03/16</t>
  </si>
  <si>
    <t>دستگاه توزین مواد</t>
  </si>
  <si>
    <t>R&amp;D</t>
  </si>
  <si>
    <t>1405/03/21</t>
  </si>
  <si>
    <t>1405/03/22</t>
  </si>
  <si>
    <t>1405/03/17</t>
  </si>
  <si>
    <t>1405/03/18</t>
  </si>
  <si>
    <t>دستگاه</t>
  </si>
  <si>
    <t>پیچ تنظیم</t>
  </si>
  <si>
    <t>1405/03/19</t>
  </si>
  <si>
    <t>پیچ و کورسها</t>
  </si>
  <si>
    <t>پین عقب آلستوم</t>
  </si>
  <si>
    <t>آلستوم</t>
  </si>
  <si>
    <t>1405/03/23</t>
  </si>
  <si>
    <t>1405/03/25</t>
  </si>
  <si>
    <t>1405/03/28</t>
  </si>
  <si>
    <t>1405/03/26</t>
  </si>
  <si>
    <t>تولید جهان ترمز</t>
  </si>
  <si>
    <t>فیکسچر پراید</t>
  </si>
  <si>
    <t>فیکسچر پژو</t>
  </si>
  <si>
    <t>ابزار</t>
  </si>
  <si>
    <t>تولید پودر فلز</t>
  </si>
  <si>
    <t>1404/12/26</t>
  </si>
  <si>
    <t>تولید جهان لنت</t>
  </si>
  <si>
    <t>قطعه</t>
  </si>
  <si>
    <t>1405/03/24</t>
  </si>
  <si>
    <t>نگهدارنده پلاک قالب</t>
  </si>
  <si>
    <t>م.قالب</t>
  </si>
  <si>
    <t>تراش ، دنده زنی</t>
  </si>
  <si>
    <t>تراش ، پیچ بری</t>
  </si>
  <si>
    <t>وایر</t>
  </si>
  <si>
    <t>اصلاح 4 عدد بلوک</t>
  </si>
  <si>
    <t>قلم پژو 405</t>
  </si>
  <si>
    <t>قطعات</t>
  </si>
  <si>
    <t>1405/03/31</t>
  </si>
  <si>
    <t>1405/04/01</t>
  </si>
  <si>
    <t>قفل کن</t>
  </si>
  <si>
    <t>1405/04/02</t>
  </si>
  <si>
    <t>تراش Shaft</t>
  </si>
  <si>
    <t>1405/03/30</t>
  </si>
  <si>
    <t>کلید فرمان</t>
  </si>
  <si>
    <t>سوراخکاری کلید</t>
  </si>
  <si>
    <t>اصلاح 12 عدد لنگی</t>
  </si>
  <si>
    <t>واسطه جک</t>
  </si>
  <si>
    <t>پیچ بریدگی کفی</t>
  </si>
  <si>
    <t>ماشین پژو پارس</t>
  </si>
  <si>
    <t>کاسه</t>
  </si>
  <si>
    <t>موتور</t>
  </si>
  <si>
    <t>اصلاح درب موتور</t>
  </si>
  <si>
    <t>پایه پرچ لنت نیسان</t>
  </si>
  <si>
    <t>۰۵/د/۳۱۵۴</t>
  </si>
  <si>
    <t>راه اتدازی میز پخت</t>
  </si>
  <si>
    <t>1405/04/07</t>
  </si>
  <si>
    <t>تراش  Shaft</t>
  </si>
  <si>
    <t>برش جمعی  عقب</t>
  </si>
  <si>
    <t>1405/04/08</t>
  </si>
  <si>
    <t>1405/04/09</t>
  </si>
  <si>
    <t>1405/04/10</t>
  </si>
  <si>
    <t>تخته لنت صنعتی</t>
  </si>
  <si>
    <t>تخته لنت</t>
  </si>
  <si>
    <t>سوراخکاری</t>
  </si>
  <si>
    <t>1405/04/06</t>
  </si>
  <si>
    <t>قطعه U</t>
  </si>
  <si>
    <t>1405/04/11</t>
  </si>
  <si>
    <t>1405/04/12</t>
  </si>
  <si>
    <t xml:space="preserve">دستگاه جوشکاری </t>
  </si>
  <si>
    <t>چرخ</t>
  </si>
  <si>
    <t>دستگاه فرز</t>
  </si>
  <si>
    <t>شیرینگ</t>
  </si>
  <si>
    <t>متروکوبل</t>
  </si>
  <si>
    <t>صفحه</t>
  </si>
  <si>
    <t>تولید ج.لنت</t>
  </si>
  <si>
    <t>خرابی نمونه اولیه</t>
  </si>
  <si>
    <t>1404/04/13</t>
  </si>
  <si>
    <t>درحال انجام</t>
  </si>
  <si>
    <t>دستگاه سوپر دریل</t>
  </si>
  <si>
    <t>دسته</t>
  </si>
  <si>
    <t>قالبسازی</t>
  </si>
  <si>
    <t>1405/04/15</t>
  </si>
  <si>
    <t>در خواست ساخت</t>
  </si>
  <si>
    <t>1405/04/18</t>
  </si>
  <si>
    <t>سوراخکاری پیلسان</t>
  </si>
  <si>
    <t>1405/04/16</t>
  </si>
  <si>
    <t>صفحه قالب یدک
700*500*65</t>
  </si>
  <si>
    <t>1405/04/17</t>
  </si>
  <si>
    <t>پرچ ریو</t>
  </si>
  <si>
    <t>دستگاه برش جمعی</t>
  </si>
  <si>
    <t>طبقه</t>
  </si>
  <si>
    <t>1404/04/14</t>
  </si>
  <si>
    <t>ساب داخل</t>
  </si>
  <si>
    <t>پرس</t>
  </si>
  <si>
    <t>فرزکاری</t>
  </si>
  <si>
    <t>1405/04/13</t>
  </si>
  <si>
    <t>1405/04/14</t>
  </si>
  <si>
    <t>لنگری</t>
  </si>
  <si>
    <t>1405/04/21</t>
  </si>
  <si>
    <t>mini Shaft</t>
  </si>
  <si>
    <t>1405/04/23</t>
  </si>
  <si>
    <t>PIN</t>
  </si>
  <si>
    <t>Big Shaft</t>
  </si>
  <si>
    <t>درخواست اصلاح</t>
  </si>
  <si>
    <t>1405/04/22</t>
  </si>
  <si>
    <t>پوسته یاتاقان</t>
  </si>
  <si>
    <t>1405/04/20</t>
  </si>
  <si>
    <t>اهرم زنی</t>
  </si>
  <si>
    <t>پیستون تفلنی</t>
  </si>
  <si>
    <t>برش دستی</t>
  </si>
  <si>
    <t>سرجک</t>
  </si>
  <si>
    <t>اصلاح جا بلبرینگ موتور</t>
  </si>
  <si>
    <t>NC
برون سپاری</t>
  </si>
  <si>
    <t>واسطه</t>
  </si>
  <si>
    <t>رنده</t>
  </si>
  <si>
    <t>1405/04/26</t>
  </si>
  <si>
    <t>تابیدگی</t>
  </si>
  <si>
    <t>1405/04/24</t>
  </si>
  <si>
    <t>سوپاپ کلاچ</t>
  </si>
  <si>
    <t>سوپاپ</t>
  </si>
  <si>
    <t>قطعه کار سلمانی</t>
  </si>
  <si>
    <t>سلمانی / درآمد</t>
  </si>
  <si>
    <t>نافی</t>
  </si>
  <si>
    <t>1405/04/25</t>
  </si>
  <si>
    <t>تحولی</t>
  </si>
  <si>
    <t>Hammer Mill Machine</t>
  </si>
  <si>
    <t>1405/04/30</t>
  </si>
  <si>
    <t>پیتسوله</t>
  </si>
  <si>
    <t>1405/04/27</t>
  </si>
  <si>
    <t>1405/05/01</t>
  </si>
  <si>
    <t>1405/04/28</t>
  </si>
  <si>
    <t>دسته پران لنت</t>
  </si>
  <si>
    <t>1405/04/31</t>
  </si>
  <si>
    <t>فیوز</t>
  </si>
  <si>
    <t>دولویی</t>
  </si>
  <si>
    <t>رادیاتور آغشته کاری</t>
  </si>
  <si>
    <t>قوطی</t>
  </si>
  <si>
    <t>پژو 405</t>
  </si>
  <si>
    <t>واشر</t>
  </si>
  <si>
    <t>1405/05/07</t>
  </si>
  <si>
    <t>1405/05/08</t>
  </si>
  <si>
    <t>دستگاه پرس 400 تن</t>
  </si>
  <si>
    <t>دستگاه رولینگ</t>
  </si>
  <si>
    <t>1405/05/03</t>
  </si>
  <si>
    <t>1405/05/04</t>
  </si>
  <si>
    <t>دسنگاه چسب زنی</t>
  </si>
  <si>
    <t>چرخ دنده</t>
  </si>
  <si>
    <t>فیکسچر کفشک پژو 405</t>
  </si>
  <si>
    <t xml:space="preserve">فیکسچر </t>
  </si>
  <si>
    <t>کنترل کیفیت</t>
  </si>
  <si>
    <t>1405/05/06</t>
  </si>
  <si>
    <t>رینگ</t>
  </si>
  <si>
    <t>فرایول</t>
  </si>
  <si>
    <t>1405/05/05</t>
  </si>
  <si>
    <t>جک ترمز کلاچ</t>
  </si>
  <si>
    <t>گلدونی</t>
  </si>
  <si>
    <t>سوراخکاری ، قلاویز</t>
  </si>
  <si>
    <t>پیچ بریدگی</t>
  </si>
  <si>
    <t>اصلاح سزجک</t>
  </si>
  <si>
    <t>نگهدارنده تیغه</t>
  </si>
  <si>
    <t>تراش Bush</t>
  </si>
  <si>
    <t>ساب ترابوزا</t>
  </si>
  <si>
    <t>کوبه برش پراید</t>
  </si>
  <si>
    <t>کوبه</t>
  </si>
  <si>
    <t>صفحه توری</t>
  </si>
  <si>
    <t>بسته بندی</t>
  </si>
  <si>
    <t>پایه پرچ عقب نیسان</t>
  </si>
  <si>
    <t>نت/ج.لنت</t>
  </si>
  <si>
    <t>1405/05/10</t>
  </si>
  <si>
    <t>1505/05/16</t>
  </si>
  <si>
    <t>اورینگ</t>
  </si>
  <si>
    <t>نت/ج.ترمز</t>
  </si>
  <si>
    <t>1405/05/11</t>
  </si>
  <si>
    <t>بریدگی</t>
  </si>
  <si>
    <t>رینگ سیلندر</t>
  </si>
  <si>
    <t>قطعه بیرونی</t>
  </si>
  <si>
    <t>چینی</t>
  </si>
  <si>
    <t>1405/05/15</t>
  </si>
  <si>
    <t>میکس</t>
  </si>
  <si>
    <t>سری تراش</t>
  </si>
  <si>
    <t>درام</t>
  </si>
  <si>
    <t>1405/05/17</t>
  </si>
  <si>
    <t>1405/05/18</t>
  </si>
  <si>
    <t>ساخت بوش جهت درب موتور</t>
  </si>
  <si>
    <t>NOSE CAP A25</t>
  </si>
  <si>
    <t>Pin</t>
  </si>
  <si>
    <t>عقب لیفتراک</t>
  </si>
  <si>
    <t>1405/05/20</t>
  </si>
  <si>
    <t>گیج</t>
  </si>
  <si>
    <t>1405/05/23</t>
  </si>
  <si>
    <t>1405/05/19</t>
  </si>
  <si>
    <t>ساب کف گرگی</t>
  </si>
  <si>
    <t>Piston</t>
  </si>
  <si>
    <t>شرکت چینی</t>
  </si>
  <si>
    <t>خدمات
(ظروف چینی)</t>
  </si>
  <si>
    <t>تیغه آسیاب</t>
  </si>
  <si>
    <t>1405/05/21</t>
  </si>
  <si>
    <t>Pin zob ahan</t>
  </si>
  <si>
    <t>1405/05/26</t>
  </si>
  <si>
    <t>1405/05/31</t>
  </si>
  <si>
    <t>1405/05/28</t>
  </si>
  <si>
    <t>1405/05/30</t>
  </si>
  <si>
    <t>آسانسور</t>
  </si>
  <si>
    <t>لوله</t>
  </si>
  <si>
    <t>1405/06/04</t>
  </si>
  <si>
    <t>1405/06/06</t>
  </si>
  <si>
    <t>پشم فلز آلمانی</t>
  </si>
  <si>
    <t>1405/06/02</t>
  </si>
  <si>
    <t>جلو ساب دیسکی</t>
  </si>
  <si>
    <t>1405/06/03</t>
  </si>
  <si>
    <t>سرشیلنگ</t>
  </si>
  <si>
    <t>1405/06/01</t>
  </si>
  <si>
    <t>نوار نقاله</t>
  </si>
  <si>
    <t>میل پران</t>
  </si>
  <si>
    <t>1405/06/05</t>
  </si>
  <si>
    <t>نافی پولکی</t>
  </si>
  <si>
    <t>خرابی Shaft</t>
  </si>
  <si>
    <t>مصرفی</t>
  </si>
  <si>
    <t xml:space="preserve">خرابی </t>
  </si>
  <si>
    <t>پخت 300 تن</t>
  </si>
  <si>
    <t>پیستون</t>
  </si>
  <si>
    <t>کمپرسور باد</t>
  </si>
  <si>
    <t xml:space="preserve">مهره </t>
  </si>
  <si>
    <t>Sonbegir</t>
  </si>
  <si>
    <t>1405/05/27</t>
  </si>
  <si>
    <t>1405/05/25</t>
  </si>
  <si>
    <t>1405/05/24</t>
  </si>
  <si>
    <t>خدمات بیرونی</t>
  </si>
  <si>
    <t>1405/05/29</t>
  </si>
  <si>
    <t>اصلاح جهت برش پین</t>
  </si>
  <si>
    <t>کفشک قطاری</t>
  </si>
  <si>
    <t>کفشک</t>
  </si>
  <si>
    <t>دستگاه کشش سیم مفتول</t>
  </si>
  <si>
    <t>رینگ تفلنی</t>
  </si>
  <si>
    <t>1405/06/10</t>
  </si>
  <si>
    <t>لنت صنعتی</t>
  </si>
  <si>
    <t>1405/06/07</t>
  </si>
  <si>
    <t>پرس/جهان لنت</t>
  </si>
  <si>
    <t>خدمات/بیرونی</t>
  </si>
  <si>
    <t>سوراخکاری
سوپر دریل</t>
  </si>
  <si>
    <t>کاسه بلبرینگ</t>
  </si>
  <si>
    <t>1405/06/11</t>
  </si>
  <si>
    <t>Grinding Machine Drum</t>
  </si>
  <si>
    <t>مهندسی</t>
  </si>
  <si>
    <t>1405/06/16</t>
  </si>
  <si>
    <t>1405/06/17</t>
  </si>
  <si>
    <t>صفحه راهنما پژو</t>
  </si>
  <si>
    <t>1405/06/18</t>
  </si>
  <si>
    <t>ساب دیسکی</t>
  </si>
  <si>
    <t>1405/06/14</t>
  </si>
  <si>
    <t>فیکسچر سوراخکاری  لنت دایان انرژی</t>
  </si>
  <si>
    <t>دری کاسه</t>
  </si>
  <si>
    <t>چکش تست لنت</t>
  </si>
  <si>
    <t>چکش</t>
  </si>
  <si>
    <t>تراش توپی</t>
  </si>
  <si>
    <t>1405/06/15</t>
  </si>
  <si>
    <t>سوراخکاری  رینگ</t>
  </si>
  <si>
    <t xml:space="preserve"> </t>
  </si>
  <si>
    <t>تراش مسی</t>
  </si>
  <si>
    <t>خدمات بیرون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</si>
</sst>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color theme="1"/>
      <name val="B Nazanin"/>
      <charset val="178"/>
    </font>
    <font>
      <b/>
      <sz val="8"/>
      <color theme="1"/>
      <name val="B Nazanin"/>
      <charset val="178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B Nazanin"/>
      <charset val="178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name val="Aglio Picasso"/>
    </font>
    <font>
      <sz val="11"/>
      <color theme="1"/>
      <name val="Arial Nova Cond Light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Arial Narrow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4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3" borderId="2" xfId="0" applyFill="1" applyBorder="1"/>
    <xf numFmtId="0" fontId="0" fillId="3" borderId="9" xfId="0" applyFill="1" applyBorder="1"/>
    <xf numFmtId="0" fontId="0" fillId="3" borderId="10" xfId="0" applyFill="1" applyBorder="1"/>
    <xf numFmtId="0" fontId="4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 readingOrder="2"/>
    </xf>
    <xf numFmtId="0" fontId="0" fillId="0" borderId="8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 readingOrder="2"/>
    </xf>
    <xf numFmtId="0" fontId="0" fillId="3" borderId="1" xfId="0" applyFill="1" applyBorder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7" fontId="0" fillId="0" borderId="27" xfId="0" applyNumberFormat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3" fontId="11" fillId="0" borderId="27" xfId="0" applyNumberFormat="1" applyFont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3" borderId="0" xfId="0" applyFill="1" applyBorder="1"/>
    <xf numFmtId="0" fontId="0" fillId="3" borderId="0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0" borderId="0" xfId="0" applyAlignment="1">
      <alignment wrapText="1"/>
    </xf>
    <xf numFmtId="0" fontId="4" fillId="0" borderId="3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3" fontId="11" fillId="0" borderId="13" xfId="0" applyNumberFormat="1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vertical="center" wrapText="1"/>
    </xf>
    <xf numFmtId="1" fontId="5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/>
    </xf>
    <xf numFmtId="1" fontId="0" fillId="0" borderId="0" xfId="0" applyNumberFormat="1"/>
    <xf numFmtId="0" fontId="0" fillId="3" borderId="2" xfId="0" applyFill="1" applyBorder="1" applyAlignment="1">
      <alignment wrapText="1"/>
    </xf>
    <xf numFmtId="1" fontId="4" fillId="0" borderId="33" xfId="0" applyNumberFormat="1" applyFont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vertical="center" wrapText="1"/>
    </xf>
    <xf numFmtId="1" fontId="4" fillId="0" borderId="19" xfId="0" applyNumberFormat="1" applyFont="1" applyBorder="1" applyAlignment="1">
      <alignment horizontal="center" vertical="center"/>
    </xf>
    <xf numFmtId="3" fontId="4" fillId="0" borderId="8" xfId="0" applyNumberFormat="1" applyFont="1" applyFill="1" applyBorder="1" applyAlignment="1">
      <alignment horizontal="center" vertical="center"/>
    </xf>
    <xf numFmtId="3" fontId="4" fillId="0" borderId="33" xfId="0" applyNumberFormat="1" applyFont="1" applyFill="1" applyBorder="1" applyAlignment="1">
      <alignment horizontal="center" vertical="center"/>
    </xf>
    <xf numFmtId="3" fontId="0" fillId="3" borderId="2" xfId="0" applyNumberFormat="1" applyFill="1" applyBorder="1"/>
    <xf numFmtId="3" fontId="0" fillId="3" borderId="10" xfId="0" applyNumberFormat="1" applyFill="1" applyBorder="1"/>
    <xf numFmtId="3" fontId="0" fillId="0" borderId="0" xfId="0" applyNumberForma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7" fillId="3" borderId="10" xfId="0" applyNumberFormat="1" applyFont="1" applyFill="1" applyBorder="1" applyAlignment="1">
      <alignment horizontal="center" vertical="center"/>
    </xf>
    <xf numFmtId="1" fontId="8" fillId="2" borderId="0" xfId="0" applyNumberFormat="1" applyFont="1" applyFill="1" applyBorder="1" applyAlignment="1">
      <alignment vertical="center" wrapText="1"/>
    </xf>
    <xf numFmtId="3" fontId="0" fillId="3" borderId="0" xfId="0" applyNumberFormat="1" applyFill="1" applyBorder="1"/>
    <xf numFmtId="0" fontId="4" fillId="0" borderId="2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3" fontId="5" fillId="0" borderId="30" xfId="0" applyNumberFormat="1" applyFont="1" applyBorder="1" applyAlignment="1">
      <alignment horizontal="center" vertical="center" wrapText="1"/>
    </xf>
    <xf numFmtId="1" fontId="5" fillId="0" borderId="30" xfId="0" applyNumberFormat="1" applyFont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vertical="center" wrapText="1"/>
    </xf>
    <xf numFmtId="3" fontId="8" fillId="2" borderId="0" xfId="0" applyNumberFormat="1" applyFont="1" applyFill="1" applyBorder="1" applyAlignment="1">
      <alignment vertical="center" wrapText="1"/>
    </xf>
    <xf numFmtId="3" fontId="4" fillId="0" borderId="26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3" fontId="4" fillId="0" borderId="21" xfId="0" applyNumberFormat="1" applyFont="1" applyFill="1" applyBorder="1" applyAlignment="1">
      <alignment horizontal="center" vertical="center"/>
    </xf>
    <xf numFmtId="3" fontId="0" fillId="3" borderId="3" xfId="0" applyNumberFormat="1" applyFill="1" applyBorder="1"/>
    <xf numFmtId="3" fontId="0" fillId="3" borderId="11" xfId="0" applyNumberFormat="1" applyFill="1" applyBorder="1"/>
    <xf numFmtId="0" fontId="5" fillId="0" borderId="43" xfId="0" applyFont="1" applyBorder="1" applyAlignment="1">
      <alignment horizontal="center" vertical="center" wrapText="1"/>
    </xf>
    <xf numFmtId="3" fontId="5" fillId="0" borderId="31" xfId="0" applyNumberFormat="1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center" vertical="center"/>
    </xf>
    <xf numFmtId="3" fontId="4" fillId="0" borderId="27" xfId="0" applyNumberFormat="1" applyFont="1" applyBorder="1" applyAlignment="1">
      <alignment horizontal="center" vertical="center"/>
    </xf>
    <xf numFmtId="3" fontId="0" fillId="3" borderId="20" xfId="0" applyNumberFormat="1" applyFill="1" applyBorder="1"/>
    <xf numFmtId="3" fontId="5" fillId="0" borderId="7" xfId="0" applyNumberFormat="1" applyFont="1" applyBorder="1" applyAlignment="1">
      <alignment horizontal="center" vertical="center" wrapText="1"/>
    </xf>
    <xf numFmtId="3" fontId="4" fillId="0" borderId="38" xfId="0" applyNumberFormat="1" applyFont="1" applyBorder="1" applyAlignment="1">
      <alignment horizontal="center" vertical="center"/>
    </xf>
    <xf numFmtId="3" fontId="0" fillId="0" borderId="27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8" xfId="0" applyNumberFormat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4" fillId="0" borderId="21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11" xfId="0" applyNumberFormat="1" applyFont="1" applyFill="1" applyBorder="1" applyAlignment="1">
      <alignment horizontal="center" vertical="center" wrapText="1"/>
    </xf>
    <xf numFmtId="0" fontId="2" fillId="2" borderId="20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/>
    </xf>
    <xf numFmtId="3" fontId="11" fillId="0" borderId="47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8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3" fontId="11" fillId="0" borderId="7" xfId="0" applyNumberFormat="1" applyFont="1" applyBorder="1" applyAlignment="1">
      <alignment horizontal="center" vertical="center"/>
    </xf>
    <xf numFmtId="3" fontId="11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40" xfId="0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vertical="center"/>
    </xf>
    <xf numFmtId="0" fontId="4" fillId="0" borderId="36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3" fontId="7" fillId="3" borderId="3" xfId="0" applyNumberFormat="1" applyFont="1" applyFill="1" applyBorder="1" applyAlignment="1">
      <alignment vertical="center"/>
    </xf>
    <xf numFmtId="3" fontId="7" fillId="3" borderId="51" xfId="0" applyNumberFormat="1" applyFont="1" applyFill="1" applyBorder="1" applyAlignment="1">
      <alignment vertical="center"/>
    </xf>
    <xf numFmtId="0" fontId="0" fillId="3" borderId="4" xfId="0" applyFill="1" applyBorder="1"/>
    <xf numFmtId="3" fontId="7" fillId="3" borderId="50" xfId="0" applyNumberFormat="1" applyFont="1" applyFill="1" applyBorder="1" applyAlignment="1">
      <alignment vertical="center"/>
    </xf>
    <xf numFmtId="3" fontId="7" fillId="3" borderId="20" xfId="0" applyNumberFormat="1" applyFont="1" applyFill="1" applyBorder="1" applyAlignment="1">
      <alignment vertical="center"/>
    </xf>
    <xf numFmtId="3" fontId="7" fillId="3" borderId="28" xfId="0" applyNumberFormat="1" applyFont="1" applyFill="1" applyBorder="1" applyAlignment="1">
      <alignment vertical="center"/>
    </xf>
    <xf numFmtId="3" fontId="7" fillId="3" borderId="50" xfId="0" applyNumberFormat="1" applyFont="1" applyFill="1" applyBorder="1" applyAlignment="1">
      <alignment horizontal="center" vertical="center"/>
    </xf>
    <xf numFmtId="3" fontId="7" fillId="3" borderId="51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3" borderId="53" xfId="0" applyFill="1" applyBorder="1" applyAlignment="1">
      <alignment wrapText="1"/>
    </xf>
    <xf numFmtId="3" fontId="0" fillId="3" borderId="53" xfId="0" applyNumberFormat="1" applyFill="1" applyBorder="1"/>
    <xf numFmtId="0" fontId="12" fillId="3" borderId="53" xfId="0" applyFont="1" applyFill="1" applyBorder="1" applyAlignment="1">
      <alignment horizontal="center" vertical="center"/>
    </xf>
    <xf numFmtId="0" fontId="0" fillId="3" borderId="53" xfId="0" applyFill="1" applyBorder="1"/>
    <xf numFmtId="0" fontId="0" fillId="3" borderId="53" xfId="0" applyFill="1" applyBorder="1" applyAlignment="1">
      <alignment vertical="center"/>
    </xf>
    <xf numFmtId="1" fontId="7" fillId="3" borderId="53" xfId="0" applyNumberFormat="1" applyFont="1" applyFill="1" applyBorder="1" applyAlignment="1">
      <alignment horizontal="center" vertical="center"/>
    </xf>
    <xf numFmtId="3" fontId="7" fillId="3" borderId="52" xfId="0" applyNumberFormat="1" applyFont="1" applyFill="1" applyBorder="1" applyAlignment="1">
      <alignment vertical="center"/>
    </xf>
    <xf numFmtId="0" fontId="13" fillId="3" borderId="54" xfId="0" applyFont="1" applyFill="1" applyBorder="1" applyAlignment="1">
      <alignment vertical="center"/>
    </xf>
    <xf numFmtId="0" fontId="13" fillId="3" borderId="43" xfId="0" applyFont="1" applyFill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1" fontId="7" fillId="3" borderId="2" xfId="0" applyNumberFormat="1" applyFont="1" applyFill="1" applyBorder="1" applyAlignment="1">
      <alignment vertical="center"/>
    </xf>
    <xf numFmtId="3" fontId="7" fillId="3" borderId="55" xfId="0" applyNumberFormat="1" applyFont="1" applyFill="1" applyBorder="1" applyAlignment="1">
      <alignment vertical="center"/>
    </xf>
    <xf numFmtId="3" fontId="7" fillId="3" borderId="56" xfId="0" applyNumberFormat="1" applyFont="1" applyFill="1" applyBorder="1" applyAlignment="1">
      <alignment vertical="center"/>
    </xf>
    <xf numFmtId="3" fontId="7" fillId="3" borderId="45" xfId="0" applyNumberFormat="1" applyFont="1" applyFill="1" applyBorder="1" applyAlignment="1">
      <alignment vertical="center"/>
    </xf>
    <xf numFmtId="3" fontId="7" fillId="3" borderId="48" xfId="0" applyNumberFormat="1" applyFont="1" applyFill="1" applyBorder="1" applyAlignment="1">
      <alignment vertical="center"/>
    </xf>
    <xf numFmtId="3" fontId="7" fillId="3" borderId="57" xfId="0" applyNumberFormat="1" applyFont="1" applyFill="1" applyBorder="1" applyAlignment="1">
      <alignment vertical="center"/>
    </xf>
    <xf numFmtId="3" fontId="7" fillId="3" borderId="56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3" fontId="15" fillId="0" borderId="19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3" fontId="17" fillId="0" borderId="27" xfId="0" applyNumberFormat="1" applyFont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" fontId="7" fillId="3" borderId="0" xfId="0" applyNumberFormat="1" applyFont="1" applyFill="1" applyBorder="1" applyAlignment="1">
      <alignment horizontal="center" vertical="center"/>
    </xf>
    <xf numFmtId="1" fontId="7" fillId="3" borderId="1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3" fontId="0" fillId="3" borderId="20" xfId="0" applyNumberFormat="1" applyFill="1" applyBorder="1" applyAlignment="1">
      <alignment horizontal="center" vertical="center"/>
    </xf>
    <xf numFmtId="3" fontId="0" fillId="3" borderId="11" xfId="0" applyNumberForma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3" fontId="10" fillId="3" borderId="3" xfId="0" applyNumberFormat="1" applyFont="1" applyFill="1" applyBorder="1" applyAlignment="1">
      <alignment horizontal="center" vertical="center"/>
    </xf>
    <xf numFmtId="3" fontId="10" fillId="3" borderId="11" xfId="0" applyNumberFormat="1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center" vertical="center"/>
    </xf>
    <xf numFmtId="3" fontId="7" fillId="3" borderId="11" xfId="0" applyNumberFormat="1" applyFont="1" applyFill="1" applyBorder="1" applyAlignment="1">
      <alignment horizontal="center" vertical="center"/>
    </xf>
    <xf numFmtId="3" fontId="7" fillId="3" borderId="2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TK-Files/&#1602;&#1575;&#1604;&#1576;%20&#1587;&#1575;&#1586;&#1740;/1405/14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>
        <row r="2">
          <cell r="B2" t="str">
            <v>دستگاه پشم فلز چینی</v>
          </cell>
          <cell r="C2" t="str">
            <v>قطعه نو</v>
          </cell>
          <cell r="O2">
            <v>7605</v>
          </cell>
          <cell r="AD2" t="str">
            <v>6:00الی14:00</v>
          </cell>
        </row>
        <row r="3">
          <cell r="B3" t="str">
            <v>قالب ولوو سوپر</v>
          </cell>
          <cell r="C3" t="str">
            <v>قالب تعمیری</v>
          </cell>
          <cell r="O3">
            <v>7601</v>
          </cell>
          <cell r="AD3" t="str">
            <v>6:00الی14:00</v>
          </cell>
        </row>
        <row r="4">
          <cell r="B4" t="str">
            <v>کوره ابزار زنی</v>
          </cell>
          <cell r="C4" t="str">
            <v>قطعه تعمیری</v>
          </cell>
          <cell r="O4">
            <v>7602</v>
          </cell>
          <cell r="AD4" t="str">
            <v>6:00الی14:00</v>
          </cell>
        </row>
        <row r="5">
          <cell r="B5" t="str">
            <v>کوره ابزار زنی</v>
          </cell>
          <cell r="C5" t="str">
            <v>قطعه تعمیری</v>
          </cell>
          <cell r="O5">
            <v>7602</v>
          </cell>
          <cell r="AD5" t="str">
            <v>6:00الی14:00</v>
          </cell>
        </row>
        <row r="6">
          <cell r="B6" t="str">
            <v>برش توری پگاسوز</v>
          </cell>
          <cell r="C6" t="str">
            <v>قالب تعمیری</v>
          </cell>
          <cell r="O6">
            <v>7602</v>
          </cell>
          <cell r="AD6" t="str">
            <v>6:00الی14:00</v>
          </cell>
        </row>
        <row r="7">
          <cell r="B7" t="str">
            <v>دستگاه پشم فلز چینی</v>
          </cell>
          <cell r="C7" t="str">
            <v>قطعه نو</v>
          </cell>
          <cell r="O7">
            <v>7605</v>
          </cell>
          <cell r="AD7" t="str">
            <v>6:00الی14:00</v>
          </cell>
        </row>
        <row r="8">
          <cell r="B8" t="str">
            <v>دستگاه پشم فلز چینی</v>
          </cell>
          <cell r="C8" t="str">
            <v>قطعه نو</v>
          </cell>
          <cell r="O8">
            <v>7605</v>
          </cell>
          <cell r="AD8" t="str">
            <v>6:00الی14:00</v>
          </cell>
        </row>
        <row r="9">
          <cell r="B9" t="str">
            <v>قالب ولوو سوپر</v>
          </cell>
          <cell r="C9" t="str">
            <v>قالب تعمیری</v>
          </cell>
          <cell r="O9">
            <v>7601</v>
          </cell>
          <cell r="AD9" t="str">
            <v>6:00الی14:00</v>
          </cell>
        </row>
        <row r="10">
          <cell r="B10" t="str">
            <v>قالب پخت کلاچ پیکان آرژانتینی</v>
          </cell>
          <cell r="C10" t="str">
            <v>قالب تعمیری</v>
          </cell>
          <cell r="O10">
            <v>7502</v>
          </cell>
          <cell r="AD10" t="str">
            <v>6:00الی8:00</v>
          </cell>
        </row>
        <row r="11">
          <cell r="B11" t="str">
            <v>قالب پخت کلاچ پیکان آرژانتینی</v>
          </cell>
          <cell r="C11" t="str">
            <v>قالب تعمیری</v>
          </cell>
          <cell r="O11">
            <v>7502</v>
          </cell>
          <cell r="AD11" t="str">
            <v>8:00الی14:00</v>
          </cell>
        </row>
        <row r="12">
          <cell r="B12" t="str">
            <v>قالب پخت کلاچ پیکان آرژانتینی</v>
          </cell>
          <cell r="C12" t="str">
            <v>قالب تعمیری</v>
          </cell>
          <cell r="O12">
            <v>7502</v>
          </cell>
          <cell r="AD12" t="str">
            <v>6:00الی8:00</v>
          </cell>
        </row>
        <row r="13">
          <cell r="B13" t="str">
            <v>قالب اکسپرس</v>
          </cell>
          <cell r="C13" t="str">
            <v>قالب تعمیری</v>
          </cell>
          <cell r="O13">
            <v>7502</v>
          </cell>
          <cell r="AD13" t="str">
            <v>8:00الی14:00</v>
          </cell>
        </row>
        <row r="14">
          <cell r="B14" t="str">
            <v>قالب پخت کلاچ پیکان آرژانتینی</v>
          </cell>
          <cell r="C14" t="str">
            <v>قالب تعمیری</v>
          </cell>
          <cell r="O14">
            <v>7502</v>
          </cell>
          <cell r="AD14" t="str">
            <v>6:00الی14:00</v>
          </cell>
        </row>
        <row r="15">
          <cell r="B15" t="str">
            <v>قالب اکسپرس</v>
          </cell>
          <cell r="C15" t="str">
            <v>قالب تعمیری</v>
          </cell>
          <cell r="O15">
            <v>7502</v>
          </cell>
          <cell r="AD15" t="str">
            <v>6:00الی14:00</v>
          </cell>
        </row>
        <row r="16">
          <cell r="B16" t="str">
            <v>کوره ابزار زنی</v>
          </cell>
          <cell r="C16" t="str">
            <v>قطعه تعمیری</v>
          </cell>
          <cell r="O16" t="str">
            <v>مونتاژ</v>
          </cell>
          <cell r="AD16" t="str">
            <v>6:00الی14:00</v>
          </cell>
        </row>
        <row r="17">
          <cell r="B17" t="str">
            <v>دستگاه پشم فلز چینی</v>
          </cell>
          <cell r="C17" t="str">
            <v>قطعه نو</v>
          </cell>
          <cell r="O17" t="str">
            <v>مونتاژ</v>
          </cell>
          <cell r="AD17" t="str">
            <v>6:00الی14:00</v>
          </cell>
        </row>
        <row r="18">
          <cell r="B18" t="str">
            <v>پخت کلاچ پراید</v>
          </cell>
          <cell r="C18" t="str">
            <v>قالب تعمیری</v>
          </cell>
          <cell r="O18" t="str">
            <v>مونتاژ</v>
          </cell>
          <cell r="AD18" t="str">
            <v>6:00الی14:00</v>
          </cell>
        </row>
        <row r="19">
          <cell r="B19" t="str">
            <v>قالب پخت کلاچ پیکان</v>
          </cell>
          <cell r="C19" t="str">
            <v>قالب تعمیری</v>
          </cell>
          <cell r="O19" t="str">
            <v>مونتاژ</v>
          </cell>
          <cell r="AD19" t="str">
            <v>6:00الی14:00</v>
          </cell>
        </row>
        <row r="20">
          <cell r="B20" t="str">
            <v>قالب پخت کلاچ پیکان</v>
          </cell>
          <cell r="C20" t="str">
            <v>قالب تعمیری</v>
          </cell>
          <cell r="O20" t="str">
            <v>دمونتاژ</v>
          </cell>
          <cell r="AD20" t="str">
            <v>6:00الی14:00</v>
          </cell>
        </row>
        <row r="21">
          <cell r="B21" t="str">
            <v>پخت کلاچ پراید</v>
          </cell>
          <cell r="C21" t="str">
            <v>قالب تعمیری</v>
          </cell>
          <cell r="O21" t="str">
            <v>دمونتاژ</v>
          </cell>
          <cell r="AD21" t="str">
            <v>6:00الی14:00</v>
          </cell>
        </row>
        <row r="22">
          <cell r="B22" t="str">
            <v>پخت کلاچ پراید</v>
          </cell>
          <cell r="C22" t="str">
            <v>قالب تعمیری</v>
          </cell>
          <cell r="O22" t="str">
            <v>دمونتاژ</v>
          </cell>
          <cell r="AD22" t="str">
            <v>6:00الی14:00</v>
          </cell>
        </row>
        <row r="23">
          <cell r="B23" t="str">
            <v>قالب اکسپرس</v>
          </cell>
          <cell r="C23" t="str">
            <v>قالب تعمیری</v>
          </cell>
          <cell r="O23" t="str">
            <v>دمونتاژ</v>
          </cell>
          <cell r="AD23" t="str">
            <v>6:00الی14:00</v>
          </cell>
        </row>
        <row r="24">
          <cell r="B24" t="str">
            <v>قالب ولوو سوپر</v>
          </cell>
          <cell r="C24" t="str">
            <v>قالب تعمیری</v>
          </cell>
          <cell r="O24" t="str">
            <v>دمونتاژ</v>
          </cell>
          <cell r="AD24" t="str">
            <v>6:00الی14:00</v>
          </cell>
        </row>
        <row r="25">
          <cell r="B25" t="str">
            <v>قالب پخت کلاچ پیکان</v>
          </cell>
          <cell r="C25" t="str">
            <v>قالب تعمیری</v>
          </cell>
          <cell r="O25" t="str">
            <v>مونتاژ</v>
          </cell>
          <cell r="AD25" t="str">
            <v>6:00الی14:00</v>
          </cell>
        </row>
        <row r="26">
          <cell r="B26" t="str">
            <v>قالب پخت کلاچ پیکان</v>
          </cell>
          <cell r="C26" t="str">
            <v>قالب تعمیری</v>
          </cell>
          <cell r="O26" t="str">
            <v>مونتاژ</v>
          </cell>
          <cell r="AD26" t="str">
            <v>6:00الی14:00</v>
          </cell>
        </row>
        <row r="27">
          <cell r="B27" t="str">
            <v>شابلون پراید خاردار</v>
          </cell>
          <cell r="C27" t="str">
            <v>قطعه نو</v>
          </cell>
          <cell r="O27" t="str">
            <v>مونتاژ</v>
          </cell>
          <cell r="AD27" t="str">
            <v>6:00الی18:00</v>
          </cell>
        </row>
        <row r="28">
          <cell r="B28" t="str">
            <v>کوره ابزار زنی</v>
          </cell>
          <cell r="C28" t="str">
            <v>قطعه تعمیری</v>
          </cell>
          <cell r="O28" t="str">
            <v>مونتاژ</v>
          </cell>
          <cell r="AD28" t="str">
            <v>6:00الی18:00</v>
          </cell>
        </row>
        <row r="29">
          <cell r="B29" t="str">
            <v>قالب پخت کلاچ پیکان</v>
          </cell>
          <cell r="C29" t="str">
            <v>قالب تعمیری</v>
          </cell>
          <cell r="O29" t="str">
            <v>مونتاژ</v>
          </cell>
          <cell r="AD29" t="str">
            <v>6:00الی18:00</v>
          </cell>
        </row>
        <row r="30">
          <cell r="B30" t="str">
            <v>قالب ولوو سوپر</v>
          </cell>
          <cell r="C30" t="str">
            <v>قالب تعمیری</v>
          </cell>
          <cell r="O30">
            <v>7601</v>
          </cell>
          <cell r="AD30" t="str">
            <v>6:00الی14:00</v>
          </cell>
        </row>
        <row r="31">
          <cell r="B31" t="str">
            <v>دستگاه پشم فلز چینی</v>
          </cell>
          <cell r="C31" t="str">
            <v>قطعه نو</v>
          </cell>
          <cell r="O31">
            <v>7605</v>
          </cell>
          <cell r="AD31" t="str">
            <v>6:00الی14:00</v>
          </cell>
        </row>
        <row r="32">
          <cell r="B32" t="str">
            <v>برش جمعی عقب ریو</v>
          </cell>
          <cell r="C32" t="str">
            <v>قطعه نو</v>
          </cell>
          <cell r="O32">
            <v>7602</v>
          </cell>
          <cell r="AD32" t="str">
            <v>6:00الی14:00</v>
          </cell>
        </row>
        <row r="33">
          <cell r="B33" t="str">
            <v>شابلون پراید بی خار</v>
          </cell>
          <cell r="C33" t="str">
            <v>قطعه نو</v>
          </cell>
          <cell r="O33">
            <v>7202</v>
          </cell>
          <cell r="AD33" t="str">
            <v>6:00الی14:00</v>
          </cell>
        </row>
        <row r="34">
          <cell r="B34" t="str">
            <v>قالب ترنست</v>
          </cell>
          <cell r="C34" t="str">
            <v>قالب تعمیری</v>
          </cell>
          <cell r="O34">
            <v>7202</v>
          </cell>
          <cell r="AD34" t="str">
            <v>14:00الی18:00</v>
          </cell>
        </row>
        <row r="35">
          <cell r="B35" t="str">
            <v>ویوینگ</v>
          </cell>
          <cell r="C35" t="str">
            <v>قطعه نو</v>
          </cell>
          <cell r="O35">
            <v>7303</v>
          </cell>
          <cell r="AD35" t="str">
            <v>6:00الی14:00</v>
          </cell>
        </row>
        <row r="36">
          <cell r="B36" t="str">
            <v>ساب سمباده ای</v>
          </cell>
          <cell r="C36" t="str">
            <v>قطعه تعمیری</v>
          </cell>
          <cell r="O36">
            <v>7302</v>
          </cell>
          <cell r="AD36" t="str">
            <v>6:00الی18:00</v>
          </cell>
        </row>
        <row r="37">
          <cell r="B37" t="str">
            <v>دستگاه پشم فلز آلمانی</v>
          </cell>
          <cell r="C37" t="str">
            <v>قطعه نو</v>
          </cell>
          <cell r="O37">
            <v>7302</v>
          </cell>
          <cell r="AD37" t="str">
            <v>6:00الی18:00</v>
          </cell>
        </row>
        <row r="38">
          <cell r="B38" t="str">
            <v>دستگاه پشم فلز آلمانی</v>
          </cell>
          <cell r="C38" t="str">
            <v>قطعه نو</v>
          </cell>
          <cell r="O38">
            <v>7302</v>
          </cell>
          <cell r="AD38" t="str">
            <v>6:00الی18:00</v>
          </cell>
        </row>
        <row r="39">
          <cell r="B39" t="str">
            <v>قالب پراید خاردار</v>
          </cell>
          <cell r="C39" t="str">
            <v>قالب تعمیری</v>
          </cell>
          <cell r="O39">
            <v>7101</v>
          </cell>
          <cell r="AD39" t="str">
            <v>7:00الی14:00</v>
          </cell>
        </row>
        <row r="40">
          <cell r="B40" t="str">
            <v>قالب پخت کلاچ پیکان</v>
          </cell>
          <cell r="C40" t="str">
            <v>قالب تعمیری</v>
          </cell>
          <cell r="O40">
            <v>7101</v>
          </cell>
          <cell r="AD40" t="str">
            <v>7:00الی14:00</v>
          </cell>
        </row>
        <row r="41">
          <cell r="B41" t="str">
            <v>قالب پخت کلاچ پیکان</v>
          </cell>
          <cell r="C41" t="str">
            <v>قالب تعمیری</v>
          </cell>
          <cell r="O41">
            <v>7101</v>
          </cell>
          <cell r="AD41" t="str">
            <v>7:00الی14:00</v>
          </cell>
        </row>
        <row r="42">
          <cell r="B42" t="str">
            <v>پخت کلاچ پراید</v>
          </cell>
          <cell r="C42" t="str">
            <v>قالب تعمیری</v>
          </cell>
          <cell r="O42">
            <v>7101</v>
          </cell>
          <cell r="AD42" t="str">
            <v>6:00الی12:00</v>
          </cell>
        </row>
        <row r="43">
          <cell r="B43" t="str">
            <v>پخت کلاچ پراید</v>
          </cell>
          <cell r="C43" t="str">
            <v>قالب تعمیری</v>
          </cell>
          <cell r="O43">
            <v>7101</v>
          </cell>
          <cell r="AD43" t="str">
            <v>12:00الی17:00</v>
          </cell>
        </row>
        <row r="44">
          <cell r="B44" t="str">
            <v>ساب سمباده ای</v>
          </cell>
          <cell r="C44" t="str">
            <v>قطعه تعمیری</v>
          </cell>
          <cell r="O44">
            <v>7101</v>
          </cell>
          <cell r="AD44" t="str">
            <v>17:00الی18:00</v>
          </cell>
        </row>
        <row r="45">
          <cell r="B45" t="str">
            <v>قالب پراید خاردار</v>
          </cell>
          <cell r="C45" t="str">
            <v>قالب تعمیری</v>
          </cell>
          <cell r="O45">
            <v>7502</v>
          </cell>
          <cell r="AD45" t="str">
            <v>6:00الی18:00</v>
          </cell>
        </row>
        <row r="46">
          <cell r="B46" t="str">
            <v>قالب پخت کلاچ پیکان</v>
          </cell>
          <cell r="C46" t="str">
            <v>قالب تعمیری</v>
          </cell>
          <cell r="O46">
            <v>7502</v>
          </cell>
          <cell r="AD46" t="str">
            <v>6:00الی18:00</v>
          </cell>
        </row>
        <row r="47">
          <cell r="B47" t="str">
            <v>کوره ابزار زنی</v>
          </cell>
          <cell r="C47" t="str">
            <v>قطعه تعمیری</v>
          </cell>
          <cell r="O47" t="str">
            <v>مونتاژ</v>
          </cell>
          <cell r="AD47" t="str">
            <v>6:00الی14:00</v>
          </cell>
        </row>
        <row r="48">
          <cell r="B48" t="str">
            <v>دستگاه پشم فلز چینی</v>
          </cell>
          <cell r="C48" t="str">
            <v>قطعه نو</v>
          </cell>
          <cell r="O48" t="str">
            <v>مونتاژ</v>
          </cell>
          <cell r="AD48" t="str">
            <v>6:00الی14:00</v>
          </cell>
        </row>
        <row r="49">
          <cell r="B49" t="str">
            <v>پخت کلاچ پراید</v>
          </cell>
          <cell r="C49" t="str">
            <v>قالب تعمیری</v>
          </cell>
          <cell r="O49" t="str">
            <v>مونتاژ</v>
          </cell>
          <cell r="AD49" t="str">
            <v>6:00الی14:00</v>
          </cell>
        </row>
        <row r="50">
          <cell r="B50" t="str">
            <v>قالب پخت کلاچ پیکان</v>
          </cell>
          <cell r="C50" t="str">
            <v>قالب تعمیری</v>
          </cell>
          <cell r="O50" t="str">
            <v>مونتاژ</v>
          </cell>
          <cell r="AD50" t="str">
            <v>6:00الی14:00</v>
          </cell>
        </row>
        <row r="51">
          <cell r="B51" t="str">
            <v>قالب پخت کلاچ پیکان</v>
          </cell>
          <cell r="C51" t="str">
            <v>قالب تعمیری</v>
          </cell>
          <cell r="O51" t="str">
            <v>دمونتاژ</v>
          </cell>
          <cell r="AD51" t="str">
            <v>6:00الی14:00</v>
          </cell>
        </row>
        <row r="52">
          <cell r="B52" t="str">
            <v>پخت کلاچ پراید</v>
          </cell>
          <cell r="C52" t="str">
            <v>قالب تعمیری</v>
          </cell>
          <cell r="O52" t="str">
            <v>دمونتاژ</v>
          </cell>
          <cell r="AD52" t="str">
            <v>6:00الی14:00</v>
          </cell>
        </row>
        <row r="53">
          <cell r="B53" t="str">
            <v>پخت کلاچ پراید</v>
          </cell>
          <cell r="C53" t="str">
            <v>قالب تعمیری</v>
          </cell>
          <cell r="O53" t="str">
            <v>دمونتاژ</v>
          </cell>
          <cell r="AD53" t="str">
            <v>6:00الی14:00</v>
          </cell>
        </row>
        <row r="54">
          <cell r="B54" t="str">
            <v>قالب اکسپرس</v>
          </cell>
          <cell r="C54" t="str">
            <v>قالب تعمیری</v>
          </cell>
          <cell r="O54" t="str">
            <v>دمونتاژ</v>
          </cell>
          <cell r="AD54" t="str">
            <v>6:00الی14:00</v>
          </cell>
        </row>
        <row r="55">
          <cell r="B55" t="str">
            <v>قالب ولوو سوپر</v>
          </cell>
          <cell r="C55" t="str">
            <v>قالب تعمیری</v>
          </cell>
          <cell r="O55" t="str">
            <v>دمونتاژ</v>
          </cell>
          <cell r="AD55" t="str">
            <v>6:00الی14:00</v>
          </cell>
        </row>
        <row r="56">
          <cell r="B56" t="str">
            <v>قالب پخت کلاچ پیکان</v>
          </cell>
          <cell r="C56" t="str">
            <v>قالب تعمیری</v>
          </cell>
          <cell r="O56" t="str">
            <v>مونتاژ</v>
          </cell>
          <cell r="AD56" t="str">
            <v>6:00الی14:00</v>
          </cell>
        </row>
        <row r="57">
          <cell r="B57" t="str">
            <v>قالب پخت کلاچ پیکان</v>
          </cell>
          <cell r="C57" t="str">
            <v>قالب تعمیری</v>
          </cell>
          <cell r="O57" t="str">
            <v>مونتاژ</v>
          </cell>
          <cell r="AD57" t="str">
            <v>6:00الی14:00</v>
          </cell>
        </row>
        <row r="58">
          <cell r="B58" t="str">
            <v>شابلون پراید خاردار</v>
          </cell>
          <cell r="C58" t="str">
            <v>قطعه نو</v>
          </cell>
          <cell r="O58" t="str">
            <v>مونتاژ</v>
          </cell>
          <cell r="AD58" t="str">
            <v>6:00الی18:00</v>
          </cell>
        </row>
        <row r="59">
          <cell r="B59" t="str">
            <v>کوره ابزار زنی</v>
          </cell>
          <cell r="C59" t="str">
            <v>قطعه تعمیری</v>
          </cell>
          <cell r="O59" t="str">
            <v>مونتاژ</v>
          </cell>
          <cell r="AD59" t="str">
            <v>6:00الی18:00</v>
          </cell>
        </row>
        <row r="60">
          <cell r="B60" t="str">
            <v>قالب پخت کلاچ پیکان</v>
          </cell>
          <cell r="C60" t="str">
            <v>قالب تعمیری</v>
          </cell>
          <cell r="O60" t="str">
            <v>مونتاژ</v>
          </cell>
          <cell r="AD60" t="str">
            <v>6:00الی18:00</v>
          </cell>
        </row>
        <row r="61">
          <cell r="B61" t="str">
            <v>دستگاه پشم فلز آلمانی</v>
          </cell>
          <cell r="C61" t="str">
            <v>قطعه نو</v>
          </cell>
          <cell r="O61">
            <v>7301</v>
          </cell>
          <cell r="AD61" t="str">
            <v>6:00الی18:00</v>
          </cell>
        </row>
        <row r="62">
          <cell r="B62" t="str">
            <v>دستگاه پشم فلز آلمانی</v>
          </cell>
          <cell r="C62" t="str">
            <v>قطعه نو</v>
          </cell>
          <cell r="O62">
            <v>7301</v>
          </cell>
          <cell r="AD62" t="str">
            <v>6:00الی18:00</v>
          </cell>
        </row>
        <row r="63">
          <cell r="B63" t="str">
            <v>پخت کلاچ پراید</v>
          </cell>
          <cell r="C63" t="str">
            <v>قالب تعمیری</v>
          </cell>
          <cell r="O63">
            <v>7502</v>
          </cell>
          <cell r="AD63" t="str">
            <v>6:00الی18:00</v>
          </cell>
        </row>
        <row r="64">
          <cell r="B64" t="str">
            <v>پخت کلاچ پراید</v>
          </cell>
          <cell r="C64" t="str">
            <v>قالب تعمیری</v>
          </cell>
          <cell r="O64">
            <v>7502</v>
          </cell>
          <cell r="AD64" t="str">
            <v>6:00الی18:00</v>
          </cell>
        </row>
        <row r="65">
          <cell r="B65" t="str">
            <v>پخت کلاچ پراید</v>
          </cell>
          <cell r="C65" t="str">
            <v>قالب تعمیری</v>
          </cell>
          <cell r="O65">
            <v>7101</v>
          </cell>
          <cell r="AD65" t="str">
            <v>6:00الی11:00</v>
          </cell>
        </row>
        <row r="66">
          <cell r="B66" t="str">
            <v>قالب پخت کلاچ پژو 405</v>
          </cell>
          <cell r="C66" t="str">
            <v>قالب تعمیری</v>
          </cell>
          <cell r="O66">
            <v>7101</v>
          </cell>
          <cell r="AD66" t="str">
            <v>11:00الی18:00</v>
          </cell>
        </row>
        <row r="67">
          <cell r="B67" t="str">
            <v>ساب سمباده ای</v>
          </cell>
          <cell r="C67" t="str">
            <v>قطعه تعمیری</v>
          </cell>
          <cell r="O67">
            <v>7302</v>
          </cell>
          <cell r="AD67" t="str">
            <v>6:00الی18:00</v>
          </cell>
        </row>
        <row r="68">
          <cell r="B68" t="str">
            <v>قالب پخت کلاچ پیکان</v>
          </cell>
          <cell r="C68" t="str">
            <v>قالب تعمیری</v>
          </cell>
          <cell r="O68">
            <v>7302</v>
          </cell>
          <cell r="AD68" t="str">
            <v>6:00الی18:00</v>
          </cell>
        </row>
        <row r="69">
          <cell r="B69" t="str">
            <v>دستگاه پشم فلز آلمانی</v>
          </cell>
          <cell r="C69" t="str">
            <v>قطعه نو</v>
          </cell>
          <cell r="O69">
            <v>7302</v>
          </cell>
          <cell r="AD69" t="str">
            <v>6:00الی18:00</v>
          </cell>
        </row>
        <row r="70">
          <cell r="B70" t="str">
            <v>شابلون پراید خاردار</v>
          </cell>
          <cell r="C70" t="str">
            <v>قطعه نو</v>
          </cell>
          <cell r="O70" t="str">
            <v>مونتاژ</v>
          </cell>
          <cell r="AD70" t="str">
            <v>6:00الی18:00</v>
          </cell>
        </row>
        <row r="71">
          <cell r="B71" t="str">
            <v>قالب ترنست</v>
          </cell>
          <cell r="C71" t="str">
            <v>قالب تعمیری</v>
          </cell>
          <cell r="O71" t="str">
            <v>مونتاژ</v>
          </cell>
          <cell r="AD71" t="str">
            <v>6:00الی18:00</v>
          </cell>
        </row>
        <row r="72">
          <cell r="B72" t="str">
            <v>قالب پخت کلاچ پیکان</v>
          </cell>
          <cell r="C72" t="str">
            <v>قالب تعمیری</v>
          </cell>
          <cell r="O72" t="str">
            <v>مونتاژ</v>
          </cell>
          <cell r="AD72" t="str">
            <v>6:00الی18:00</v>
          </cell>
        </row>
        <row r="73">
          <cell r="B73" t="str">
            <v>شابلون پراید خاردار</v>
          </cell>
          <cell r="C73" t="str">
            <v>قطعه نو</v>
          </cell>
          <cell r="O73" t="str">
            <v>مونتاژ</v>
          </cell>
          <cell r="AD73" t="str">
            <v>6:00الی18:00</v>
          </cell>
        </row>
        <row r="74">
          <cell r="B74" t="str">
            <v>قالب ترنست</v>
          </cell>
          <cell r="C74" t="str">
            <v>قالب تعمیری</v>
          </cell>
          <cell r="O74" t="str">
            <v>مونتاژ</v>
          </cell>
          <cell r="AD74" t="str">
            <v>6:00الی18:00</v>
          </cell>
        </row>
        <row r="75">
          <cell r="B75" t="str">
            <v>قالب پخت کلاچ پیکان</v>
          </cell>
          <cell r="C75" t="str">
            <v>قالب تعمیری</v>
          </cell>
          <cell r="O75" t="str">
            <v>مونتاژ</v>
          </cell>
          <cell r="AD75" t="str">
            <v>6:00الی18:00</v>
          </cell>
        </row>
        <row r="76">
          <cell r="B76" t="str">
            <v>قالب ولوو سوپر</v>
          </cell>
          <cell r="C76" t="str">
            <v>قالب تعمیری</v>
          </cell>
          <cell r="O76">
            <v>7601</v>
          </cell>
          <cell r="AD76" t="str">
            <v>10:00الی18:00</v>
          </cell>
        </row>
        <row r="77">
          <cell r="B77" t="str">
            <v>دستگاه پشم فلز چینی</v>
          </cell>
          <cell r="C77" t="str">
            <v>قطعه نو</v>
          </cell>
          <cell r="O77">
            <v>7605</v>
          </cell>
          <cell r="AD77" t="str">
            <v>10:00الی18:00</v>
          </cell>
        </row>
        <row r="78">
          <cell r="B78" t="str">
            <v>برش جمعی عقب ریو</v>
          </cell>
          <cell r="C78" t="str">
            <v>قطعه نو</v>
          </cell>
          <cell r="O78">
            <v>7602</v>
          </cell>
          <cell r="AD78" t="str">
            <v>10:00الی18:00</v>
          </cell>
        </row>
        <row r="79">
          <cell r="B79" t="str">
            <v>قالب ترنست</v>
          </cell>
          <cell r="C79" t="str">
            <v>قالب تعمیری</v>
          </cell>
          <cell r="O79">
            <v>7202</v>
          </cell>
          <cell r="AD79" t="str">
            <v>6:00الی10:00</v>
          </cell>
        </row>
        <row r="80">
          <cell r="B80" t="str">
            <v>دستگاه پشم فلز آلمانی</v>
          </cell>
          <cell r="C80" t="str">
            <v>قطعه نو</v>
          </cell>
          <cell r="O80">
            <v>7202</v>
          </cell>
          <cell r="AD80" t="str">
            <v>10:00الی14:00</v>
          </cell>
        </row>
        <row r="81">
          <cell r="B81" t="str">
            <v>قالب پراید خاردار</v>
          </cell>
          <cell r="C81" t="str">
            <v>قالب تعمیری</v>
          </cell>
          <cell r="O81">
            <v>7202</v>
          </cell>
          <cell r="AD81" t="str">
            <v>14:30الی18:00</v>
          </cell>
        </row>
        <row r="82">
          <cell r="B82" t="str">
            <v>قالب پخت کلاچ پیکان</v>
          </cell>
          <cell r="C82" t="str">
            <v>قالب تعمیری</v>
          </cell>
          <cell r="O82">
            <v>7101</v>
          </cell>
          <cell r="AD82" t="str">
            <v>6:00الی13:00</v>
          </cell>
        </row>
        <row r="83">
          <cell r="B83" t="str">
            <v>پخت کلاچ پراید</v>
          </cell>
          <cell r="C83" t="str">
            <v>قالب تعمیری</v>
          </cell>
          <cell r="O83">
            <v>7101</v>
          </cell>
          <cell r="AD83" t="str">
            <v>13:00الی17:00</v>
          </cell>
        </row>
        <row r="84">
          <cell r="B84" t="str">
            <v>پخت کلاچ پراید</v>
          </cell>
          <cell r="C84" t="str">
            <v>قالب تعمیری</v>
          </cell>
          <cell r="O84">
            <v>7502</v>
          </cell>
          <cell r="AD84" t="str">
            <v>6:00الی18:00</v>
          </cell>
        </row>
        <row r="85">
          <cell r="B85" t="str">
            <v>قالب پخت کلاچ پیکان</v>
          </cell>
          <cell r="C85" t="str">
            <v>قالب تعمیری</v>
          </cell>
          <cell r="O85">
            <v>7502</v>
          </cell>
          <cell r="AD85" t="str">
            <v>6:00الی18:00</v>
          </cell>
        </row>
        <row r="86">
          <cell r="B86" t="str">
            <v>قالب پخت کلاچ پیکان</v>
          </cell>
          <cell r="C86" t="str">
            <v>قالب تعمیری</v>
          </cell>
          <cell r="O86">
            <v>7502</v>
          </cell>
          <cell r="AD86" t="str">
            <v>6:00الی18:00</v>
          </cell>
        </row>
        <row r="87">
          <cell r="B87" t="str">
            <v>قالب پخت کلاچ پژو 405</v>
          </cell>
          <cell r="C87" t="str">
            <v>قالب تعمیری</v>
          </cell>
          <cell r="O87" t="str">
            <v>دمونتاژ</v>
          </cell>
          <cell r="AD87" t="str">
            <v>6:00الی18:00</v>
          </cell>
        </row>
        <row r="88">
          <cell r="B88" t="str">
            <v>قالب پخت کلاچ پژو 405</v>
          </cell>
          <cell r="C88" t="str">
            <v>قالب تعمیری</v>
          </cell>
          <cell r="O88" t="str">
            <v>دمونتاژ</v>
          </cell>
          <cell r="AD88" t="str">
            <v>6:00الی18:00</v>
          </cell>
        </row>
        <row r="89">
          <cell r="B89" t="str">
            <v>قالب پخت کلاچ پژو 405</v>
          </cell>
          <cell r="C89" t="str">
            <v>قالب تعمیری</v>
          </cell>
          <cell r="O89" t="str">
            <v>دمونتاژ</v>
          </cell>
          <cell r="AD89" t="str">
            <v>6:00الی18:00</v>
          </cell>
        </row>
        <row r="90">
          <cell r="B90" t="str">
            <v>ویوینگ</v>
          </cell>
          <cell r="C90" t="str">
            <v>قطعه تعمیری</v>
          </cell>
          <cell r="O90">
            <v>7401</v>
          </cell>
          <cell r="AD90" t="str">
            <v>6:00الی18:00</v>
          </cell>
        </row>
        <row r="91">
          <cell r="B91" t="str">
            <v>قالب پخت کلاچ پژو 405</v>
          </cell>
          <cell r="C91" t="str">
            <v>قالب تعمیری</v>
          </cell>
          <cell r="O91" t="str">
            <v>دمونتاژ</v>
          </cell>
          <cell r="AD91" t="str">
            <v>6:00الی18:00</v>
          </cell>
        </row>
        <row r="92">
          <cell r="B92" t="str">
            <v>قالب پخت کلاچ پژو 405</v>
          </cell>
          <cell r="C92" t="str">
            <v>قالب تعمیری</v>
          </cell>
          <cell r="O92" t="str">
            <v>دمونتاژ</v>
          </cell>
          <cell r="AD92" t="str">
            <v>6:00الی18:00</v>
          </cell>
        </row>
        <row r="93">
          <cell r="B93" t="str">
            <v>قالب پخت کلاچ پژو 405</v>
          </cell>
          <cell r="C93" t="str">
            <v>قالب تعمیری</v>
          </cell>
          <cell r="O93" t="str">
            <v>دمونتاژ</v>
          </cell>
          <cell r="AD93" t="str">
            <v>6:00الی18:00</v>
          </cell>
        </row>
        <row r="94">
          <cell r="B94" t="str">
            <v>ویوینگ</v>
          </cell>
          <cell r="C94" t="str">
            <v>قطعه تعمیری</v>
          </cell>
          <cell r="O94">
            <v>7401</v>
          </cell>
          <cell r="AD94" t="str">
            <v>6:00الی18:00</v>
          </cell>
        </row>
        <row r="95">
          <cell r="B95" t="str">
            <v>ضایعات جمع کن پشم فلز آلمانی</v>
          </cell>
          <cell r="C95" t="str">
            <v>دستگاه نو</v>
          </cell>
          <cell r="O95">
            <v>7303</v>
          </cell>
          <cell r="AD95" t="str">
            <v>6:00الی14:00</v>
          </cell>
        </row>
        <row r="96">
          <cell r="B96" t="str">
            <v>قالب ولوو سوپر</v>
          </cell>
          <cell r="C96" t="str">
            <v>قالب تعمیری</v>
          </cell>
          <cell r="O96">
            <v>7601</v>
          </cell>
          <cell r="AD96" t="str">
            <v>6:00الی18:00</v>
          </cell>
        </row>
        <row r="97">
          <cell r="B97" t="str">
            <v>برش جمعی عقب ریو</v>
          </cell>
          <cell r="C97" t="str">
            <v>قطعه نو</v>
          </cell>
          <cell r="O97">
            <v>7602</v>
          </cell>
          <cell r="AD97" t="str">
            <v>6:00الی10:00</v>
          </cell>
        </row>
        <row r="98">
          <cell r="B98" t="str">
            <v>قالب پخت کلاچ پیکان</v>
          </cell>
          <cell r="C98" t="str">
            <v>قالب تعمیری</v>
          </cell>
          <cell r="O98">
            <v>7602</v>
          </cell>
          <cell r="AD98" t="str">
            <v>10:00الی18:00</v>
          </cell>
        </row>
        <row r="99">
          <cell r="B99" t="str">
            <v>ساب سمباده ای</v>
          </cell>
          <cell r="C99" t="str">
            <v>قطعه تعمیری</v>
          </cell>
          <cell r="O99">
            <v>7301</v>
          </cell>
          <cell r="AD99" t="str">
            <v>6:00الی18:00</v>
          </cell>
        </row>
        <row r="100">
          <cell r="B100" t="str">
            <v>برش جمعی عقب ریو</v>
          </cell>
          <cell r="C100" t="str">
            <v>قطعه نو</v>
          </cell>
          <cell r="O100">
            <v>7301</v>
          </cell>
          <cell r="AD100" t="str">
            <v>6:00الی18:00</v>
          </cell>
        </row>
        <row r="101">
          <cell r="B101" t="str">
            <v>ضایعات جمع کن پشم فلز آلمانی</v>
          </cell>
          <cell r="C101" t="str">
            <v>دستگاه نو</v>
          </cell>
          <cell r="O101">
            <v>7302</v>
          </cell>
          <cell r="AD101" t="str">
            <v>6:00الی18:00</v>
          </cell>
        </row>
        <row r="102">
          <cell r="B102" t="str">
            <v>قالب پراید خاردار</v>
          </cell>
          <cell r="C102" t="str">
            <v>قالب تعمیری</v>
          </cell>
          <cell r="O102">
            <v>7202</v>
          </cell>
          <cell r="AD102" t="str">
            <v>6:00الی12:00</v>
          </cell>
        </row>
        <row r="103">
          <cell r="B103" t="str">
            <v>دستگاه پشم فلز چینی</v>
          </cell>
          <cell r="C103" t="str">
            <v>قطعه نو</v>
          </cell>
          <cell r="O103">
            <v>7202</v>
          </cell>
          <cell r="AD103" t="str">
            <v>12:00الی18:00</v>
          </cell>
        </row>
        <row r="104">
          <cell r="B104" t="str">
            <v>ویوینگ</v>
          </cell>
          <cell r="C104" t="str">
            <v>قطعه نو</v>
          </cell>
          <cell r="O104">
            <v>7303</v>
          </cell>
          <cell r="AD104" t="str">
            <v>6:00الی14:00</v>
          </cell>
        </row>
        <row r="105">
          <cell r="B105" t="str">
            <v>دستگاه پشم فلز آلمانی</v>
          </cell>
          <cell r="C105" t="str">
            <v>قطعه نو</v>
          </cell>
          <cell r="O105">
            <v>7302</v>
          </cell>
          <cell r="AD105" t="str">
            <v>6:00الی18:00</v>
          </cell>
        </row>
        <row r="106">
          <cell r="B106" t="str">
            <v>ابزار زنی</v>
          </cell>
          <cell r="C106" t="str">
            <v>قطعه تعمیری</v>
          </cell>
          <cell r="O106">
            <v>7202</v>
          </cell>
          <cell r="AD106" t="str">
            <v>7:30الی12:00</v>
          </cell>
        </row>
        <row r="107">
          <cell r="B107" t="str">
            <v>دستگاه پشم فلز چینی</v>
          </cell>
          <cell r="C107" t="str">
            <v>قطعه نو</v>
          </cell>
          <cell r="O107">
            <v>7202</v>
          </cell>
          <cell r="AD107" t="str">
            <v>12:00الی18:00</v>
          </cell>
        </row>
        <row r="108">
          <cell r="B108" t="str">
            <v>قالب ولوو سوپر</v>
          </cell>
          <cell r="C108" t="str">
            <v>قالب تعمیری</v>
          </cell>
          <cell r="O108">
            <v>7601</v>
          </cell>
          <cell r="AD108" t="str">
            <v>6:00الی18:00</v>
          </cell>
        </row>
        <row r="109">
          <cell r="B109" t="str">
            <v>برش جمعی عقب ریو</v>
          </cell>
          <cell r="C109" t="str">
            <v>قطعه نو</v>
          </cell>
          <cell r="O109">
            <v>7602</v>
          </cell>
          <cell r="AD109" t="str">
            <v>6:00الی10:00</v>
          </cell>
        </row>
        <row r="110">
          <cell r="B110" t="str">
            <v>قالب پخت کلاچ پیکان</v>
          </cell>
          <cell r="C110" t="str">
            <v>قالب تعمیری</v>
          </cell>
          <cell r="O110">
            <v>7602</v>
          </cell>
          <cell r="AD110" t="str">
            <v>10:00الی18:00</v>
          </cell>
        </row>
        <row r="111">
          <cell r="B111" t="str">
            <v>ویوینگ</v>
          </cell>
          <cell r="C111" t="str">
            <v>قطعه تعمیری</v>
          </cell>
          <cell r="O111">
            <v>7603</v>
          </cell>
          <cell r="AD111" t="str">
            <v>6:00الی18:00</v>
          </cell>
        </row>
        <row r="112">
          <cell r="B112" t="str">
            <v>قالب پخت کلاچ پیکان</v>
          </cell>
          <cell r="C112" t="str">
            <v>قالب تعمیری</v>
          </cell>
          <cell r="O112">
            <v>7502</v>
          </cell>
          <cell r="AD112" t="str">
            <v>6:00الی18:00</v>
          </cell>
        </row>
        <row r="113">
          <cell r="B113" t="str">
            <v>دستگاه پشم فلز چینی</v>
          </cell>
          <cell r="C113" t="str">
            <v>قطعه نو</v>
          </cell>
          <cell r="O113">
            <v>7502</v>
          </cell>
          <cell r="AD113" t="str">
            <v>6:00الی18:00</v>
          </cell>
        </row>
        <row r="114">
          <cell r="B114" t="str">
            <v>قالب پخت کلاچ پژو 405</v>
          </cell>
          <cell r="C114" t="str">
            <v>قالب تعمیری</v>
          </cell>
          <cell r="O114">
            <v>7502</v>
          </cell>
          <cell r="AD114" t="str">
            <v>6:00الی18:00</v>
          </cell>
        </row>
        <row r="115">
          <cell r="B115" t="str">
            <v>ساب سمباده ای</v>
          </cell>
          <cell r="C115" t="str">
            <v>قطعه تعمیری</v>
          </cell>
          <cell r="O115">
            <v>7303</v>
          </cell>
          <cell r="AD115" t="str">
            <v>12:00الی14:00</v>
          </cell>
        </row>
        <row r="116">
          <cell r="B116" t="str">
            <v>دستگاه پرس پخت</v>
          </cell>
          <cell r="C116" t="str">
            <v>قطعه نو</v>
          </cell>
          <cell r="O116" t="str">
            <v>مونتاژ</v>
          </cell>
          <cell r="AD116" t="str">
            <v>6:00الی12:00</v>
          </cell>
        </row>
        <row r="117">
          <cell r="B117" t="str">
            <v>ویوینگ</v>
          </cell>
          <cell r="C117" t="str">
            <v>قطعه نو</v>
          </cell>
          <cell r="O117">
            <v>7303</v>
          </cell>
          <cell r="AD117" t="str">
            <v>6:00الی12:00</v>
          </cell>
        </row>
        <row r="118">
          <cell r="B118" t="str">
            <v>دستگاه پرس پخت</v>
          </cell>
          <cell r="C118" t="str">
            <v>قطعه نو</v>
          </cell>
          <cell r="O118">
            <v>7301</v>
          </cell>
          <cell r="AD118" t="str">
            <v>6:00الی18:00</v>
          </cell>
        </row>
        <row r="119">
          <cell r="B119" t="str">
            <v>دستگاه پرس پخت</v>
          </cell>
          <cell r="C119" t="str">
            <v>قطعه نو</v>
          </cell>
          <cell r="O119">
            <v>7301</v>
          </cell>
          <cell r="AD119" t="str">
            <v>6:00الی18:00</v>
          </cell>
        </row>
        <row r="120">
          <cell r="B120" t="str">
            <v>دستگاه پشم فلز چینی</v>
          </cell>
          <cell r="C120" t="str">
            <v>قطعه نو</v>
          </cell>
          <cell r="O120" t="str">
            <v>مونتاژ</v>
          </cell>
          <cell r="AD120" t="str">
            <v>6:00الی18:00</v>
          </cell>
        </row>
        <row r="121">
          <cell r="B121" t="str">
            <v>برش جمعی عقب ریو</v>
          </cell>
          <cell r="C121" t="str">
            <v>قطعه نو</v>
          </cell>
          <cell r="O121" t="str">
            <v>مونتاژ</v>
          </cell>
          <cell r="AD121" t="str">
            <v>6:00الی18:00</v>
          </cell>
        </row>
        <row r="122">
          <cell r="B122" t="str">
            <v>قالب پخت کلاچ پیکان</v>
          </cell>
          <cell r="C122" t="str">
            <v>قالب تعمیری</v>
          </cell>
          <cell r="O122" t="str">
            <v>مونتاژ</v>
          </cell>
          <cell r="AD122" t="str">
            <v>6:00الی18:00</v>
          </cell>
        </row>
        <row r="123">
          <cell r="B123" t="str">
            <v>قالب جلو ریو</v>
          </cell>
          <cell r="C123" t="str">
            <v>قالب تعمیری</v>
          </cell>
          <cell r="O123" t="str">
            <v>مونتاژ</v>
          </cell>
          <cell r="AD123" t="str">
            <v>6:00الی18:00</v>
          </cell>
        </row>
        <row r="124">
          <cell r="B124" t="str">
            <v>دستگاه پشم فلز چینی</v>
          </cell>
          <cell r="C124" t="str">
            <v>قطعه نو</v>
          </cell>
          <cell r="O124" t="str">
            <v>مونتاژ</v>
          </cell>
          <cell r="AD124" t="str">
            <v>6:00الی18:00</v>
          </cell>
        </row>
        <row r="125">
          <cell r="B125" t="str">
            <v>برش جمعی عقب ریو</v>
          </cell>
          <cell r="C125" t="str">
            <v>قطعه نو</v>
          </cell>
          <cell r="O125" t="str">
            <v>مونتاژ</v>
          </cell>
          <cell r="AD125" t="str">
            <v>6:00الی18:00</v>
          </cell>
        </row>
        <row r="126">
          <cell r="B126" t="str">
            <v>قالب پخت کلاچ پیکان</v>
          </cell>
          <cell r="C126" t="str">
            <v>قالب تعمیری</v>
          </cell>
          <cell r="O126" t="str">
            <v>مونتاژ</v>
          </cell>
          <cell r="AD126" t="str">
            <v>6:00الی18:00</v>
          </cell>
        </row>
        <row r="127">
          <cell r="B127" t="str">
            <v>قالب جلو ریو</v>
          </cell>
          <cell r="C127" t="str">
            <v>قالب تعمیری</v>
          </cell>
          <cell r="O127" t="str">
            <v>مونتاژ</v>
          </cell>
          <cell r="AD127" t="str">
            <v>6:00الی18:00</v>
          </cell>
        </row>
        <row r="128">
          <cell r="B128" t="str">
            <v>دستگاه پرس پخت</v>
          </cell>
          <cell r="C128" t="str">
            <v>قطعه نو</v>
          </cell>
          <cell r="O128">
            <v>8001</v>
          </cell>
          <cell r="AD128" t="str">
            <v>6:00الی18:00</v>
          </cell>
        </row>
        <row r="129">
          <cell r="B129" t="str">
            <v>ویوینگ</v>
          </cell>
          <cell r="C129" t="str">
            <v>قطعه نو</v>
          </cell>
          <cell r="O129">
            <v>7303</v>
          </cell>
          <cell r="AD129" t="str">
            <v>6:00الی14:00</v>
          </cell>
        </row>
        <row r="130">
          <cell r="B130" t="str">
            <v>سری تراش</v>
          </cell>
          <cell r="C130" t="str">
            <v>دستگاه تعمیری</v>
          </cell>
          <cell r="O130" t="str">
            <v>مونتاژ</v>
          </cell>
          <cell r="AD130" t="str">
            <v>6:00الی14:00</v>
          </cell>
        </row>
        <row r="131">
          <cell r="B131" t="str">
            <v>ضایعات جمع کن پشم فلز آلمانی</v>
          </cell>
          <cell r="C131" t="str">
            <v>دستگاه نو</v>
          </cell>
          <cell r="O131">
            <v>7302</v>
          </cell>
          <cell r="AD131" t="str">
            <v>6:00الی18:00</v>
          </cell>
        </row>
        <row r="132">
          <cell r="B132" t="str">
            <v>دستگاه پشم فلز چینی</v>
          </cell>
          <cell r="C132" t="str">
            <v>قطعه نو</v>
          </cell>
          <cell r="O132">
            <v>7202</v>
          </cell>
          <cell r="AD132" t="str">
            <v>6:00الی18:00</v>
          </cell>
        </row>
        <row r="133">
          <cell r="B133" t="str">
            <v>قالب پخت کلاچ پژو 405</v>
          </cell>
          <cell r="C133" t="str">
            <v>قالب تعمیری</v>
          </cell>
          <cell r="O133">
            <v>7502</v>
          </cell>
          <cell r="AD133" t="str">
            <v>6:00الی18:00</v>
          </cell>
        </row>
        <row r="134">
          <cell r="B134" t="str">
            <v>قالب شیم ریو</v>
          </cell>
          <cell r="C134" t="str">
            <v>قالب تعمیری</v>
          </cell>
          <cell r="O134">
            <v>7502</v>
          </cell>
          <cell r="AD134" t="str">
            <v>6:00الی18:00</v>
          </cell>
        </row>
        <row r="135">
          <cell r="B135" t="str">
            <v>قالب شیم ریو</v>
          </cell>
          <cell r="C135" t="str">
            <v>قالب تعمیری</v>
          </cell>
          <cell r="O135">
            <v>7502</v>
          </cell>
          <cell r="AD135" t="str">
            <v>6:00الی18:00</v>
          </cell>
        </row>
        <row r="136">
          <cell r="B136" t="str">
            <v>قالب 309 سوراخدار</v>
          </cell>
          <cell r="C136" t="str">
            <v>قالب تعمیری</v>
          </cell>
          <cell r="O136" t="str">
            <v>دمونتاژ</v>
          </cell>
          <cell r="AD136" t="str">
            <v>6:00الی18:00</v>
          </cell>
        </row>
        <row r="137">
          <cell r="B137" t="str">
            <v>دستگاه پرس پخت کلاچ</v>
          </cell>
          <cell r="C137" t="str">
            <v>قطعه تعمیری</v>
          </cell>
          <cell r="O137">
            <v>7401</v>
          </cell>
          <cell r="AD137" t="str">
            <v>6:00الی18:00</v>
          </cell>
        </row>
        <row r="138">
          <cell r="B138" t="str">
            <v>قالب 309 سوراخدار</v>
          </cell>
          <cell r="C138" t="str">
            <v>قالب تعمیری</v>
          </cell>
          <cell r="O138" t="str">
            <v>مونتاژ</v>
          </cell>
          <cell r="AD138" t="str">
            <v>6:00الی18:00</v>
          </cell>
        </row>
        <row r="139">
          <cell r="B139" t="str">
            <v>پخت کلاچ پراید</v>
          </cell>
          <cell r="C139" t="str">
            <v>قالب تعمیری</v>
          </cell>
          <cell r="O139">
            <v>7101</v>
          </cell>
          <cell r="AD139" t="str">
            <v>6:00الی10:00</v>
          </cell>
        </row>
        <row r="140">
          <cell r="B140" t="str">
            <v>پخت کلاچ پراید</v>
          </cell>
          <cell r="C140" t="str">
            <v>قالب تعمیری</v>
          </cell>
          <cell r="O140">
            <v>7101</v>
          </cell>
          <cell r="AD140" t="str">
            <v>10:00الی14:00</v>
          </cell>
        </row>
        <row r="141">
          <cell r="B141" t="str">
            <v>پخت کلاچ پراید</v>
          </cell>
          <cell r="C141" t="str">
            <v>قالب تعمیری</v>
          </cell>
          <cell r="O141">
            <v>7101</v>
          </cell>
          <cell r="AD141" t="str">
            <v>10:00الی14:00</v>
          </cell>
        </row>
        <row r="142">
          <cell r="B142" t="str">
            <v>قالب پخت کلاچ پژو 405</v>
          </cell>
          <cell r="C142" t="str">
            <v>قالب تعمیری</v>
          </cell>
          <cell r="O142">
            <v>7101</v>
          </cell>
          <cell r="AD142" t="str">
            <v>14:00الی18:00</v>
          </cell>
        </row>
        <row r="143">
          <cell r="B143" t="str">
            <v>همزن آغشته کاری</v>
          </cell>
          <cell r="C143" t="str">
            <v>قطعه تعمیری</v>
          </cell>
          <cell r="O143">
            <v>7301</v>
          </cell>
          <cell r="AD143" t="str">
            <v>6:00الی18:00</v>
          </cell>
        </row>
        <row r="144">
          <cell r="B144" t="str">
            <v>همزن آغشته کاری</v>
          </cell>
          <cell r="C144" t="str">
            <v>قطعه تعمیری</v>
          </cell>
          <cell r="O144">
            <v>7301</v>
          </cell>
          <cell r="AD144" t="str">
            <v>6:00الی18:00</v>
          </cell>
        </row>
        <row r="145">
          <cell r="B145" t="str">
            <v>قالب شیم ریو</v>
          </cell>
          <cell r="C145" t="str">
            <v>قالب تعمیری</v>
          </cell>
          <cell r="O145" t="str">
            <v>دمونتاژ</v>
          </cell>
          <cell r="AD145" t="str">
            <v>6:00الی18:00</v>
          </cell>
        </row>
        <row r="146">
          <cell r="B146" t="str">
            <v>قالب 309 سوراخدار</v>
          </cell>
          <cell r="C146" t="str">
            <v>قالب تعمیری</v>
          </cell>
          <cell r="O146" t="str">
            <v>دمونتاژ</v>
          </cell>
          <cell r="AD146" t="str">
            <v>6:00الی18:00</v>
          </cell>
        </row>
        <row r="147">
          <cell r="B147" t="str">
            <v>پخت کلاچ پراید</v>
          </cell>
          <cell r="C147" t="str">
            <v>قالب تعمیری</v>
          </cell>
          <cell r="O147" t="str">
            <v>دمونتاژ</v>
          </cell>
          <cell r="AD147" t="str">
            <v>6:00الی18:00</v>
          </cell>
        </row>
        <row r="148">
          <cell r="B148" t="str">
            <v>دستگاه پشم فلز چینی</v>
          </cell>
          <cell r="C148" t="str">
            <v>قطعه نو</v>
          </cell>
          <cell r="O148" t="str">
            <v>مونتاژ</v>
          </cell>
          <cell r="AD148" t="str">
            <v>6:00الی18:00</v>
          </cell>
        </row>
        <row r="149">
          <cell r="B149" t="str">
            <v>دستگاه پشم فلز چینی</v>
          </cell>
          <cell r="C149" t="str">
            <v>قطعه نو</v>
          </cell>
          <cell r="O149">
            <v>7202</v>
          </cell>
          <cell r="AD149" t="str">
            <v>6:00الی12:00</v>
          </cell>
        </row>
        <row r="150">
          <cell r="B150" t="str">
            <v>اصول 5S</v>
          </cell>
          <cell r="C150" t="str">
            <v>نظافت</v>
          </cell>
          <cell r="O150" t="str">
            <v>نظافت</v>
          </cell>
          <cell r="AD150" t="str">
            <v>12:00الی14:00</v>
          </cell>
        </row>
        <row r="151">
          <cell r="B151" t="str">
            <v>قالب پخت کلاچ پژو 405</v>
          </cell>
          <cell r="C151" t="str">
            <v>قالب تعمیری</v>
          </cell>
          <cell r="O151">
            <v>7302</v>
          </cell>
          <cell r="AD151" t="str">
            <v>6:00الی13:00</v>
          </cell>
        </row>
        <row r="152">
          <cell r="B152" t="str">
            <v>دستگاه پشم فلز آلمانی</v>
          </cell>
          <cell r="C152" t="str">
            <v>قطعه نو</v>
          </cell>
          <cell r="O152">
            <v>7301</v>
          </cell>
          <cell r="AD152" t="str">
            <v>6:00الی13:00</v>
          </cell>
        </row>
        <row r="153">
          <cell r="B153" t="str">
            <v>اصول 5S</v>
          </cell>
          <cell r="C153" t="str">
            <v>نظافت</v>
          </cell>
          <cell r="O153" t="str">
            <v>نظافت</v>
          </cell>
          <cell r="AD153" t="str">
            <v>6:00الی13:00</v>
          </cell>
        </row>
        <row r="154">
          <cell r="B154" t="str">
            <v>همزن آغشته کاری</v>
          </cell>
          <cell r="C154" t="str">
            <v>قطعه تعمیری</v>
          </cell>
          <cell r="O154">
            <v>7101</v>
          </cell>
          <cell r="AD154" t="str">
            <v>6:00الی14:00</v>
          </cell>
        </row>
        <row r="155">
          <cell r="B155" t="str">
            <v>دستگاه پشم فلز آلمانی</v>
          </cell>
          <cell r="C155" t="str">
            <v>قطعه نو</v>
          </cell>
          <cell r="O155">
            <v>7101</v>
          </cell>
          <cell r="AD155" t="str">
            <v>6:00الی14:00</v>
          </cell>
        </row>
        <row r="156">
          <cell r="B156" t="str">
            <v>اصول 5S</v>
          </cell>
          <cell r="C156" t="str">
            <v>نظافت</v>
          </cell>
          <cell r="O156" t="str">
            <v>نظافت</v>
          </cell>
          <cell r="AD156" t="str">
            <v>6:00الی14:00</v>
          </cell>
        </row>
        <row r="157">
          <cell r="B157" t="str">
            <v>ضایعات جمع کن پشم فلز آلمانی</v>
          </cell>
          <cell r="C157" t="str">
            <v>دستگاه نو</v>
          </cell>
          <cell r="O157">
            <v>7302</v>
          </cell>
          <cell r="AD157" t="str">
            <v>7:00الی14:00</v>
          </cell>
        </row>
        <row r="158">
          <cell r="B158" t="str">
            <v>اصول 5S</v>
          </cell>
          <cell r="C158" t="str">
            <v>نظافت</v>
          </cell>
          <cell r="O158" t="str">
            <v>نظافت</v>
          </cell>
          <cell r="AD158" t="str">
            <v>7:00الی14:00</v>
          </cell>
        </row>
        <row r="159">
          <cell r="B159" t="str">
            <v>دستگاه پشم فلز چینی</v>
          </cell>
          <cell r="C159" t="str">
            <v>قطعه نو</v>
          </cell>
          <cell r="O159" t="str">
            <v>مونتاژ</v>
          </cell>
          <cell r="AD159" t="str">
            <v>6:00الی14:00</v>
          </cell>
        </row>
        <row r="160">
          <cell r="B160" t="str">
            <v>قالب پخت کلاچ پژو 405</v>
          </cell>
          <cell r="C160" t="str">
            <v>قالب تعمیری</v>
          </cell>
          <cell r="O160">
            <v>8001</v>
          </cell>
          <cell r="AD160" t="str">
            <v>6:00الی14:00</v>
          </cell>
        </row>
        <row r="161">
          <cell r="B161" t="str">
            <v>اصول 5S</v>
          </cell>
          <cell r="C161" t="str">
            <v>نظافت</v>
          </cell>
          <cell r="O161" t="str">
            <v>نظافت</v>
          </cell>
          <cell r="AD161" t="str">
            <v>6:00الی14:00</v>
          </cell>
        </row>
        <row r="162">
          <cell r="B162" t="str">
            <v>قالب پخت کلاچ پژو 405</v>
          </cell>
          <cell r="C162" t="str">
            <v>قالب تعمیری</v>
          </cell>
          <cell r="O162">
            <v>7502</v>
          </cell>
          <cell r="AD162" t="str">
            <v>6:00الی14:00</v>
          </cell>
        </row>
        <row r="163">
          <cell r="B163" t="str">
            <v>قالب برش SAF</v>
          </cell>
          <cell r="C163" t="str">
            <v>قالب تعمیری</v>
          </cell>
          <cell r="O163">
            <v>7502</v>
          </cell>
          <cell r="AD163" t="str">
            <v>6:00الی14:00</v>
          </cell>
        </row>
        <row r="164">
          <cell r="B164" t="str">
            <v>قالب پخت کلاچ پژو 405</v>
          </cell>
          <cell r="C164" t="str">
            <v>قالب تعمیری</v>
          </cell>
          <cell r="O164">
            <v>7502</v>
          </cell>
          <cell r="AD164" t="str">
            <v>6:00الی14:00</v>
          </cell>
        </row>
        <row r="165">
          <cell r="B165" t="str">
            <v>اصول 5S</v>
          </cell>
          <cell r="C165" t="str">
            <v>نظافت</v>
          </cell>
          <cell r="O165" t="str">
            <v>نظافت</v>
          </cell>
          <cell r="AD165" t="str">
            <v>6:00الی14:00</v>
          </cell>
        </row>
        <row r="166">
          <cell r="B166" t="str">
            <v>دستگاه پشم فلز آلمانی</v>
          </cell>
          <cell r="C166" t="str">
            <v>قطعه تعمیری</v>
          </cell>
          <cell r="O166" t="str">
            <v>مونتاژ</v>
          </cell>
          <cell r="AD166" t="str">
            <v>6:00الی10:00</v>
          </cell>
        </row>
        <row r="167">
          <cell r="B167" t="str">
            <v>سری تراش</v>
          </cell>
          <cell r="C167" t="str">
            <v>دستگاه تعمیری</v>
          </cell>
          <cell r="O167" t="str">
            <v>مونتاژ</v>
          </cell>
          <cell r="AD167" t="str">
            <v>6:00الی10:00</v>
          </cell>
        </row>
        <row r="168">
          <cell r="B168" t="str">
            <v>اصول 5S</v>
          </cell>
          <cell r="C168" t="str">
            <v>نظافت</v>
          </cell>
          <cell r="O168" t="str">
            <v>نظافت</v>
          </cell>
          <cell r="AD168" t="str">
            <v>6:00الی10:00</v>
          </cell>
        </row>
        <row r="169">
          <cell r="B169" t="str">
            <v>دستگاه پرس پخت کلاچ</v>
          </cell>
          <cell r="C169" t="str">
            <v>قطعه تعمیری</v>
          </cell>
          <cell r="O169">
            <v>7401</v>
          </cell>
          <cell r="AD169" t="str">
            <v>6:00الی14:00</v>
          </cell>
        </row>
        <row r="170">
          <cell r="B170" t="str">
            <v>قالب پخت کلاچ پژو 405</v>
          </cell>
          <cell r="C170" t="str">
            <v>قالب تعمیری</v>
          </cell>
          <cell r="O170">
            <v>8001</v>
          </cell>
          <cell r="AD170" t="str">
            <v>6:00الی14:00</v>
          </cell>
        </row>
        <row r="171">
          <cell r="B171" t="str">
            <v>همزن آغشته کاری</v>
          </cell>
          <cell r="C171" t="str">
            <v>قطعه تعمیری</v>
          </cell>
          <cell r="O171">
            <v>7401</v>
          </cell>
          <cell r="AD171" t="str">
            <v>6:00الی14:00</v>
          </cell>
        </row>
        <row r="172">
          <cell r="B172" t="str">
            <v>دستگاه پشم فلز آلمانی</v>
          </cell>
          <cell r="C172" t="str">
            <v>قطعه تعمیری</v>
          </cell>
          <cell r="O172">
            <v>7401</v>
          </cell>
          <cell r="AD172" t="str">
            <v>6:00الی14:00</v>
          </cell>
        </row>
        <row r="173">
          <cell r="B173" t="str">
            <v>اصول 5S</v>
          </cell>
          <cell r="C173" t="str">
            <v>نظافت</v>
          </cell>
          <cell r="O173" t="str">
            <v>نظافت</v>
          </cell>
          <cell r="AD173" t="str">
            <v>6:00الی14:00</v>
          </cell>
        </row>
        <row r="174">
          <cell r="B174" t="str">
            <v>برش جمعی عقب ریو</v>
          </cell>
          <cell r="C174" t="str">
            <v>قطعه نو</v>
          </cell>
          <cell r="O174">
            <v>7602</v>
          </cell>
          <cell r="AD174" t="str">
            <v>6:00الی18:00</v>
          </cell>
        </row>
        <row r="175">
          <cell r="B175" t="str">
            <v>برش جمعی عقب ریو</v>
          </cell>
          <cell r="C175" t="str">
            <v>قطعه نو</v>
          </cell>
          <cell r="O175" t="str">
            <v>مونتاژ</v>
          </cell>
          <cell r="AD175" t="str">
            <v>6:00الی18:00</v>
          </cell>
        </row>
        <row r="176">
          <cell r="B176" t="str">
            <v>دستگاه پشم فلز چینی</v>
          </cell>
          <cell r="C176" t="str">
            <v>قطعه نو</v>
          </cell>
          <cell r="O176" t="str">
            <v>مونتاژ</v>
          </cell>
          <cell r="AD176" t="str">
            <v>6:00الی18:00</v>
          </cell>
        </row>
        <row r="177">
          <cell r="B177" t="str">
            <v>سری تراش</v>
          </cell>
          <cell r="C177" t="str">
            <v>دستگاه تعمیری</v>
          </cell>
          <cell r="O177" t="str">
            <v>مونتاژ</v>
          </cell>
          <cell r="AD177" t="str">
            <v>6:00الی11:30</v>
          </cell>
        </row>
        <row r="178">
          <cell r="B178" t="str">
            <v>هواکش</v>
          </cell>
          <cell r="C178" t="str">
            <v>قطعه تعمیری</v>
          </cell>
          <cell r="O178">
            <v>7301</v>
          </cell>
          <cell r="AD178" t="str">
            <v>6:00الی16:00</v>
          </cell>
        </row>
        <row r="179">
          <cell r="B179" t="str">
            <v>هواکش</v>
          </cell>
          <cell r="C179" t="str">
            <v>قطعه تعمیری</v>
          </cell>
          <cell r="O179">
            <v>7301</v>
          </cell>
          <cell r="AD179" t="str">
            <v>6:00الی16:00</v>
          </cell>
        </row>
        <row r="180">
          <cell r="B180" t="str">
            <v>دستگاه پشم فلز آلمانی</v>
          </cell>
          <cell r="C180" t="str">
            <v>قطعه نو</v>
          </cell>
          <cell r="O180">
            <v>7101</v>
          </cell>
          <cell r="AD180" t="str">
            <v>6:00الی10:00</v>
          </cell>
        </row>
        <row r="181">
          <cell r="B181" t="str">
            <v>دستگاه پرچ زنی</v>
          </cell>
          <cell r="C181" t="str">
            <v>قطعه تعمیری</v>
          </cell>
          <cell r="O181">
            <v>7101</v>
          </cell>
          <cell r="AD181" t="str">
            <v>10:00الی13:00</v>
          </cell>
        </row>
        <row r="182">
          <cell r="B182" t="str">
            <v>دستگاه تسمه کش</v>
          </cell>
          <cell r="C182" t="str">
            <v>قطعه تعمیری</v>
          </cell>
          <cell r="O182">
            <v>7101</v>
          </cell>
          <cell r="AD182" t="str">
            <v>13:00الی13:45</v>
          </cell>
        </row>
        <row r="183">
          <cell r="B183" t="str">
            <v>قالب پخت کلاچ پژو 405</v>
          </cell>
          <cell r="C183" t="str">
            <v>قالب تعمیری</v>
          </cell>
          <cell r="O183">
            <v>7101</v>
          </cell>
          <cell r="AD183" t="str">
            <v>13:45الی18:00</v>
          </cell>
        </row>
        <row r="184">
          <cell r="B184" t="str">
            <v>قالب پخت کلاچ پژو 405</v>
          </cell>
          <cell r="C184" t="str">
            <v>قالب تعمیری</v>
          </cell>
          <cell r="O184">
            <v>7502</v>
          </cell>
          <cell r="AD184" t="str">
            <v>6:00الی18:00</v>
          </cell>
        </row>
        <row r="185">
          <cell r="B185" t="str">
            <v>قالب آرایش کوبه و نک SAF</v>
          </cell>
          <cell r="C185" t="str">
            <v>قالب تعمیری</v>
          </cell>
          <cell r="O185">
            <v>7502</v>
          </cell>
          <cell r="AD185" t="str">
            <v>6:00الی18:00</v>
          </cell>
        </row>
        <row r="186">
          <cell r="B186" t="str">
            <v>قالب آرایش جافنری ویچای</v>
          </cell>
          <cell r="C186" t="str">
            <v>قالب تعمیری</v>
          </cell>
          <cell r="O186">
            <v>7502</v>
          </cell>
          <cell r="AD186" t="str">
            <v>6:00الی18:00</v>
          </cell>
        </row>
        <row r="187">
          <cell r="B187" t="str">
            <v>پخت کلاچ پراید</v>
          </cell>
          <cell r="C187" t="str">
            <v>قالب تعمیری</v>
          </cell>
          <cell r="O187">
            <v>7502</v>
          </cell>
          <cell r="AD187" t="str">
            <v>6:00الی18:00</v>
          </cell>
        </row>
        <row r="188">
          <cell r="B188" t="str">
            <v>دستگاه پرس پخت</v>
          </cell>
          <cell r="C188" t="str">
            <v>قطعه نو</v>
          </cell>
          <cell r="O188">
            <v>7302</v>
          </cell>
          <cell r="AD188" t="str">
            <v>6:00الی18:00</v>
          </cell>
        </row>
        <row r="189">
          <cell r="B189" t="str">
            <v>دستگاه پرس پخت</v>
          </cell>
          <cell r="C189" t="str">
            <v>قطعه نو</v>
          </cell>
          <cell r="O189">
            <v>7302</v>
          </cell>
          <cell r="AD189" t="str">
            <v>6:00الی18:00</v>
          </cell>
        </row>
        <row r="190">
          <cell r="B190" t="str">
            <v>ضایعات جمع کن پشم فلز آلمانی</v>
          </cell>
          <cell r="C190" t="str">
            <v>دستگاه نو</v>
          </cell>
          <cell r="O190">
            <v>7302</v>
          </cell>
          <cell r="AD190" t="str">
            <v>6:00الی18:00</v>
          </cell>
        </row>
        <row r="191">
          <cell r="B191" t="str">
            <v>دستگاه پشم فلز چینی</v>
          </cell>
          <cell r="C191" t="str">
            <v>قطعه نو</v>
          </cell>
          <cell r="O191">
            <v>7202</v>
          </cell>
          <cell r="AD191" t="str">
            <v>6:00الی11:30</v>
          </cell>
        </row>
        <row r="192">
          <cell r="B192" t="str">
            <v>قالب برشی پیلسان</v>
          </cell>
          <cell r="C192" t="str">
            <v>قالب تعمیری</v>
          </cell>
          <cell r="O192">
            <v>7202</v>
          </cell>
          <cell r="AD192" t="str">
            <v>11:30الی14:00</v>
          </cell>
        </row>
        <row r="193">
          <cell r="B193" t="str">
            <v>قالب 309 سوراخدار</v>
          </cell>
          <cell r="C193" t="str">
            <v>قالب تعمیری</v>
          </cell>
          <cell r="O193">
            <v>7202</v>
          </cell>
          <cell r="AD193" t="str">
            <v>14:30الی18:00</v>
          </cell>
        </row>
        <row r="194">
          <cell r="B194" t="str">
            <v>برش جمعی عقب ریو</v>
          </cell>
          <cell r="C194" t="str">
            <v>قطعه نو</v>
          </cell>
          <cell r="O194">
            <v>7602</v>
          </cell>
          <cell r="AD194" t="str">
            <v>6:00الی18:00</v>
          </cell>
        </row>
        <row r="195">
          <cell r="B195" t="str">
            <v>برش جمعی عقب ریو</v>
          </cell>
          <cell r="C195" t="str">
            <v>قطعه نو</v>
          </cell>
          <cell r="O195" t="str">
            <v>مونتاژ</v>
          </cell>
          <cell r="AD195" t="str">
            <v>6:00الی18:00</v>
          </cell>
        </row>
        <row r="196">
          <cell r="B196" t="str">
            <v>همزن آغشته کاری</v>
          </cell>
          <cell r="C196" t="str">
            <v>قطعه تعمیری</v>
          </cell>
          <cell r="O196">
            <v>7602</v>
          </cell>
          <cell r="AD196" t="str">
            <v>6:00الی18:00</v>
          </cell>
        </row>
        <row r="197">
          <cell r="B197" t="str">
            <v>قلم پین برلیانس</v>
          </cell>
          <cell r="C197" t="str">
            <v>قطعه تعمیری</v>
          </cell>
          <cell r="O197">
            <v>7603</v>
          </cell>
          <cell r="AD197" t="str">
            <v>6:00الی18:00</v>
          </cell>
        </row>
        <row r="198">
          <cell r="B198" t="str">
            <v>قالب اصلاح دسته کفشک مترو K</v>
          </cell>
          <cell r="C198" t="str">
            <v>قالب نو</v>
          </cell>
          <cell r="O198">
            <v>7602</v>
          </cell>
          <cell r="AD198" t="str">
            <v>6:00الی18:00</v>
          </cell>
        </row>
        <row r="199">
          <cell r="B199" t="str">
            <v>برش توری پگاسوز</v>
          </cell>
          <cell r="C199" t="str">
            <v>قالب نو</v>
          </cell>
          <cell r="O199">
            <v>7601</v>
          </cell>
          <cell r="AD199" t="str">
            <v>6:00الی18:00</v>
          </cell>
        </row>
        <row r="200">
          <cell r="B200" t="str">
            <v>برش جمعی عقب ریو</v>
          </cell>
          <cell r="C200" t="str">
            <v>قطعه نو</v>
          </cell>
          <cell r="O200">
            <v>7602</v>
          </cell>
          <cell r="AD200" t="str">
            <v>6:00الی18:00</v>
          </cell>
        </row>
        <row r="201">
          <cell r="B201" t="str">
            <v>قالب اصلاح دسته کفشک مترو K</v>
          </cell>
          <cell r="C201" t="str">
            <v>قالب نو</v>
          </cell>
          <cell r="O201">
            <v>7602</v>
          </cell>
          <cell r="AD201" t="str">
            <v>6:00الی18:00</v>
          </cell>
        </row>
        <row r="202">
          <cell r="B202" t="str">
            <v>ضایعات جمع کن پشم فلز آلمانی</v>
          </cell>
          <cell r="C202" t="str">
            <v>دستگاه نو</v>
          </cell>
          <cell r="O202">
            <v>7302</v>
          </cell>
          <cell r="AD202" t="str">
            <v>6:00الی18:00</v>
          </cell>
        </row>
        <row r="203">
          <cell r="B203" t="str">
            <v>ضایعات جمع کن پشم فلز آلمانی</v>
          </cell>
          <cell r="C203" t="str">
            <v>دستگاه نو</v>
          </cell>
          <cell r="O203">
            <v>7202</v>
          </cell>
          <cell r="AD203" t="str">
            <v>6:00الی12:00</v>
          </cell>
        </row>
        <row r="204">
          <cell r="B204" t="str">
            <v>دستگاه ویوینگ</v>
          </cell>
          <cell r="C204" t="str">
            <v>قطعه تعمیری</v>
          </cell>
          <cell r="O204">
            <v>7202</v>
          </cell>
          <cell r="AD204" t="str">
            <v>12:00الی14:00</v>
          </cell>
        </row>
        <row r="205">
          <cell r="B205" t="str">
            <v>قالب 309 سوراخدار</v>
          </cell>
          <cell r="C205" t="str">
            <v>قالب تعمیری</v>
          </cell>
          <cell r="O205">
            <v>7202</v>
          </cell>
          <cell r="AD205" t="str">
            <v>14:30الی18:00</v>
          </cell>
        </row>
        <row r="206">
          <cell r="B206" t="str">
            <v>CNC 7203</v>
          </cell>
          <cell r="C206" t="str">
            <v>دستگاه تعمیری</v>
          </cell>
          <cell r="O206" t="str">
            <v>مونتاژ</v>
          </cell>
          <cell r="AD206" t="str">
            <v>6:00الی18:00</v>
          </cell>
        </row>
        <row r="207">
          <cell r="B207" t="str">
            <v>دستگاه کشش پشم فلز</v>
          </cell>
          <cell r="C207" t="str">
            <v>قطعه نو</v>
          </cell>
          <cell r="O207">
            <v>7301</v>
          </cell>
          <cell r="AD207" t="str">
            <v>6:00الی18:00</v>
          </cell>
        </row>
        <row r="208">
          <cell r="B208" t="str">
            <v>ضایعات جمع کن پشم فلز آلمانی</v>
          </cell>
          <cell r="C208" t="str">
            <v>دستگاه نو</v>
          </cell>
          <cell r="O208">
            <v>7301</v>
          </cell>
          <cell r="AD208" t="str">
            <v>6:00الی18:00</v>
          </cell>
        </row>
        <row r="209">
          <cell r="B209" t="str">
            <v>ویوینگ</v>
          </cell>
          <cell r="C209" t="str">
            <v>قطعه نو</v>
          </cell>
          <cell r="O209">
            <v>7301</v>
          </cell>
          <cell r="AD209" t="str">
            <v>6:00الی18:00</v>
          </cell>
        </row>
        <row r="210">
          <cell r="B210" t="str">
            <v>سری تراش</v>
          </cell>
          <cell r="C210" t="str">
            <v>دستگاه تعمیری</v>
          </cell>
          <cell r="O210" t="str">
            <v>مونتاژ</v>
          </cell>
          <cell r="AD210" t="str">
            <v>6:00الی14:00</v>
          </cell>
        </row>
        <row r="211">
          <cell r="B211" t="str">
            <v>دستگاه پشم فلز چینی</v>
          </cell>
          <cell r="C211" t="str">
            <v>قطعه نو</v>
          </cell>
          <cell r="O211" t="str">
            <v>مونتاژ</v>
          </cell>
          <cell r="AD211" t="str">
            <v>6:00الی18:00</v>
          </cell>
        </row>
        <row r="212">
          <cell r="B212" t="str">
            <v>ویوینگ</v>
          </cell>
          <cell r="C212" t="str">
            <v>قطعه نو</v>
          </cell>
          <cell r="O212">
            <v>8001</v>
          </cell>
          <cell r="AD212" t="str">
            <v>6:00الی18:00</v>
          </cell>
        </row>
        <row r="213">
          <cell r="B213" t="str">
            <v>دستگاه جوش</v>
          </cell>
          <cell r="C213" t="str">
            <v>دستگاه تعمیری</v>
          </cell>
          <cell r="O213" t="str">
            <v>مونتاژ</v>
          </cell>
          <cell r="AD213" t="str">
            <v>6:00الی18:00</v>
          </cell>
        </row>
        <row r="214">
          <cell r="B214" t="str">
            <v>قالب پخت کلاچ پژو 405</v>
          </cell>
          <cell r="C214" t="str">
            <v>قالب تعمیری</v>
          </cell>
          <cell r="O214">
            <v>7101</v>
          </cell>
          <cell r="AD214" t="str">
            <v>6:00الی10:00</v>
          </cell>
        </row>
        <row r="215">
          <cell r="B215" t="str">
            <v>قالب پخت کلاچ پژو 405</v>
          </cell>
          <cell r="C215" t="str">
            <v>قالب تعمیری</v>
          </cell>
          <cell r="O215">
            <v>7101</v>
          </cell>
          <cell r="AD215" t="str">
            <v>10:00الی14:00</v>
          </cell>
        </row>
        <row r="216">
          <cell r="B216" t="str">
            <v>دستگاه پشم فلز آلمانی</v>
          </cell>
          <cell r="C216" t="str">
            <v>قطعه نو</v>
          </cell>
          <cell r="O216">
            <v>7101</v>
          </cell>
          <cell r="AD216" t="str">
            <v>14:00الی18:00</v>
          </cell>
        </row>
        <row r="217">
          <cell r="B217" t="str">
            <v>قالب 309 سوراخدار</v>
          </cell>
          <cell r="C217" t="str">
            <v>قالب تعمیری</v>
          </cell>
          <cell r="O217" t="str">
            <v>دمونتاژ</v>
          </cell>
          <cell r="AD217" t="str">
            <v>6:00الی14:00</v>
          </cell>
        </row>
        <row r="218">
          <cell r="B218" t="str">
            <v>دستگاه پشم فلز آلمانی</v>
          </cell>
          <cell r="C218" t="str">
            <v>قطعه تعمیری</v>
          </cell>
          <cell r="O218">
            <v>7401</v>
          </cell>
          <cell r="AD218" t="str">
            <v>6:00الی14:00</v>
          </cell>
        </row>
        <row r="219">
          <cell r="B219" t="str">
            <v>ضایعات جمع کن پشم فلز آلمانی</v>
          </cell>
          <cell r="C219" t="str">
            <v>دستگاه نو</v>
          </cell>
          <cell r="O219">
            <v>7401</v>
          </cell>
          <cell r="AD219" t="str">
            <v>6:00الی14:00</v>
          </cell>
        </row>
        <row r="220">
          <cell r="B220" t="str">
            <v>دستگاه پشم فلز آلمانی</v>
          </cell>
          <cell r="C220" t="str">
            <v>قطعه تعمیری</v>
          </cell>
          <cell r="O220">
            <v>7401</v>
          </cell>
          <cell r="AD220" t="str">
            <v>6:00الی18:00</v>
          </cell>
        </row>
        <row r="221">
          <cell r="B221" t="str">
            <v>ویوینگ</v>
          </cell>
          <cell r="C221" t="str">
            <v>قطعه نو</v>
          </cell>
          <cell r="O221">
            <v>7401</v>
          </cell>
          <cell r="AD221" t="str">
            <v>6:00الی18:00</v>
          </cell>
        </row>
        <row r="222">
          <cell r="B222" t="str">
            <v>ضایعات جمع کن پشم فلز آلمانی</v>
          </cell>
          <cell r="C222" t="str">
            <v>دستگاه نو</v>
          </cell>
          <cell r="O222">
            <v>7401</v>
          </cell>
          <cell r="AD222" t="str">
            <v>6:00الی18:00</v>
          </cell>
        </row>
        <row r="223">
          <cell r="B223" t="str">
            <v>قالب پراید خاردار</v>
          </cell>
          <cell r="C223" t="str">
            <v>قالب تعمیری</v>
          </cell>
          <cell r="O223" t="str">
            <v>مونتاژ</v>
          </cell>
          <cell r="AD223" t="str">
            <v>6:00الی18:00</v>
          </cell>
        </row>
        <row r="224">
          <cell r="B224" t="str">
            <v>پخت کلاچ پراید</v>
          </cell>
          <cell r="C224" t="str">
            <v>قالب تعمیری</v>
          </cell>
          <cell r="O224">
            <v>7502</v>
          </cell>
          <cell r="AD224" t="str">
            <v>6:00الی18:00</v>
          </cell>
        </row>
        <row r="225">
          <cell r="B225" t="str">
            <v>دستگاه پشم فلز آلمانی</v>
          </cell>
          <cell r="C225" t="str">
            <v>قطعه نو</v>
          </cell>
          <cell r="O225">
            <v>7103</v>
          </cell>
          <cell r="AD225" t="str">
            <v>6:00الی18:00</v>
          </cell>
        </row>
        <row r="226">
          <cell r="B226" t="str">
            <v>دستگاه کشش پشم فلز</v>
          </cell>
          <cell r="C226" t="str">
            <v>قطعه نو</v>
          </cell>
          <cell r="O226">
            <v>7301</v>
          </cell>
          <cell r="AD226" t="str">
            <v>6:00الی18:00</v>
          </cell>
        </row>
        <row r="227">
          <cell r="B227" t="str">
            <v>دستگاه پشم فلز آلمانی</v>
          </cell>
          <cell r="C227" t="str">
            <v>قطعه نو</v>
          </cell>
          <cell r="O227">
            <v>7301</v>
          </cell>
          <cell r="AD227" t="str">
            <v>6:00الی18:00</v>
          </cell>
        </row>
        <row r="228">
          <cell r="B228" t="str">
            <v>قالب شیم ریو</v>
          </cell>
          <cell r="C228" t="str">
            <v>قالب تعمیری</v>
          </cell>
          <cell r="O228" t="str">
            <v>مونتاژ</v>
          </cell>
          <cell r="AD228" t="str">
            <v>6:00الی18:00</v>
          </cell>
        </row>
        <row r="229">
          <cell r="B229" t="str">
            <v>ضایعات جمع کن پشم فلز آلمانی</v>
          </cell>
          <cell r="C229" t="str">
            <v>دستگاه نو</v>
          </cell>
          <cell r="O229" t="str">
            <v>مونتاژ</v>
          </cell>
          <cell r="AD229" t="str">
            <v>6:00الی18:00</v>
          </cell>
        </row>
        <row r="230">
          <cell r="B230" t="str">
            <v>ویوینگ</v>
          </cell>
          <cell r="C230" t="str">
            <v>قطعه نو</v>
          </cell>
          <cell r="O230" t="str">
            <v>مونتاژ</v>
          </cell>
          <cell r="AD230" t="str">
            <v>6:00الی18:00</v>
          </cell>
        </row>
        <row r="231">
          <cell r="B231" t="str">
            <v>قالب 309 سوراخدار</v>
          </cell>
          <cell r="C231" t="str">
            <v>قالب تعمیری</v>
          </cell>
          <cell r="O231" t="str">
            <v>مونتاژ</v>
          </cell>
          <cell r="AD231" t="str">
            <v>6:00الی18:00</v>
          </cell>
        </row>
        <row r="232">
          <cell r="B232" t="str">
            <v>ضایعات جمع کن پشم فلز آلمانی</v>
          </cell>
          <cell r="C232" t="str">
            <v>دستگاه نو</v>
          </cell>
          <cell r="O232" t="str">
            <v>مونتاژ</v>
          </cell>
          <cell r="AD232" t="str">
            <v>8:00الی13:00</v>
          </cell>
        </row>
        <row r="233">
          <cell r="B233" t="str">
            <v>قالب پراید خاردار</v>
          </cell>
          <cell r="C233" t="str">
            <v>قالب تعمیری</v>
          </cell>
          <cell r="O233" t="str">
            <v>دمونتاژ</v>
          </cell>
          <cell r="AD233" t="str">
            <v>8:00الی13:00</v>
          </cell>
        </row>
        <row r="234">
          <cell r="B234" t="str">
            <v>ساب سمباده ای</v>
          </cell>
          <cell r="C234" t="str">
            <v>قطعه تعمیری</v>
          </cell>
          <cell r="O234">
            <v>7101</v>
          </cell>
          <cell r="AD234" t="str">
            <v>6:00الی18:00</v>
          </cell>
        </row>
        <row r="235">
          <cell r="B235" t="str">
            <v>دستگاه پرس 250 تن</v>
          </cell>
          <cell r="C235" t="str">
            <v>قطعه تعمیری</v>
          </cell>
          <cell r="O235">
            <v>7101</v>
          </cell>
          <cell r="AD235" t="str">
            <v>7:00الی13:10</v>
          </cell>
        </row>
        <row r="236">
          <cell r="B236" t="str">
            <v>پین برلیانس</v>
          </cell>
          <cell r="C236" t="str">
            <v>قطعه نو</v>
          </cell>
          <cell r="O236">
            <v>8002</v>
          </cell>
          <cell r="AD236" t="str">
            <v>6:00الی14:00</v>
          </cell>
        </row>
        <row r="237">
          <cell r="B237" t="str">
            <v>ضایعات جمع کن پشم فلز آلمانی</v>
          </cell>
          <cell r="C237" t="str">
            <v>دستگاه نو</v>
          </cell>
          <cell r="O237">
            <v>7202</v>
          </cell>
          <cell r="AD237" t="str">
            <v>6:00الی18:00</v>
          </cell>
        </row>
        <row r="238">
          <cell r="B238" t="str">
            <v>قالب کوبه نک پیلسان</v>
          </cell>
          <cell r="C238" t="str">
            <v>قالب تعمیری</v>
          </cell>
          <cell r="O238">
            <v>7202</v>
          </cell>
          <cell r="AD238" t="str">
            <v>8:00الی12:30</v>
          </cell>
        </row>
        <row r="239">
          <cell r="B239" t="str">
            <v>دستگاه پرس پخت کلاچ</v>
          </cell>
          <cell r="C239" t="str">
            <v>قطعه تعمیری</v>
          </cell>
          <cell r="O239">
            <v>7401</v>
          </cell>
          <cell r="AD239" t="str">
            <v>9:00الی13:30</v>
          </cell>
        </row>
        <row r="240">
          <cell r="B240" t="str">
            <v>قالب شیم ریو</v>
          </cell>
          <cell r="C240" t="str">
            <v>قالب تعمیری</v>
          </cell>
          <cell r="O240">
            <v>7502</v>
          </cell>
          <cell r="AD240" t="str">
            <v>6:00الی18:00</v>
          </cell>
        </row>
        <row r="241">
          <cell r="B241" t="str">
            <v>قالب شیم پژو 405</v>
          </cell>
          <cell r="C241" t="str">
            <v>قالب تعمیری</v>
          </cell>
          <cell r="O241">
            <v>7502</v>
          </cell>
          <cell r="AD241" t="str">
            <v>6:00الی18:00</v>
          </cell>
        </row>
        <row r="242">
          <cell r="B242" t="str">
            <v>قالب 309 سوراخدار</v>
          </cell>
          <cell r="C242" t="str">
            <v>قالب تعمیری</v>
          </cell>
          <cell r="O242" t="str">
            <v>مونتاژ</v>
          </cell>
          <cell r="AD242" t="str">
            <v>6:00الی18:00</v>
          </cell>
        </row>
        <row r="243">
          <cell r="B243" t="str">
            <v>قالب پراید خاردار</v>
          </cell>
          <cell r="C243" t="str">
            <v>قالب تعمیری</v>
          </cell>
          <cell r="O243" t="str">
            <v>دمونتاژ</v>
          </cell>
          <cell r="AD243" t="str">
            <v>6:00الی18:00</v>
          </cell>
        </row>
        <row r="244">
          <cell r="B244" t="str">
            <v>ضایعات جمع کن پشم فلز آلمانی</v>
          </cell>
          <cell r="C244" t="str">
            <v>دستگاه نو</v>
          </cell>
          <cell r="O244">
            <v>7302</v>
          </cell>
          <cell r="AD244" t="str">
            <v>6:00الی18:00</v>
          </cell>
        </row>
        <row r="245">
          <cell r="B245" t="str">
            <v>پین برلیانس</v>
          </cell>
          <cell r="C245" t="str">
            <v>قطعه نو</v>
          </cell>
          <cell r="O245">
            <v>8002</v>
          </cell>
          <cell r="AD245" t="str">
            <v>6:00الی14:00</v>
          </cell>
        </row>
        <row r="246">
          <cell r="B246" t="str">
            <v>دستگاه ساب دیسکی چینی</v>
          </cell>
          <cell r="C246" t="str">
            <v>قطعه تعمیری</v>
          </cell>
          <cell r="O246">
            <v>7301</v>
          </cell>
          <cell r="AD246" t="str">
            <v>6:00الی14:00</v>
          </cell>
        </row>
        <row r="247">
          <cell r="B247" t="str">
            <v>قالب خشاب زنی</v>
          </cell>
          <cell r="C247" t="str">
            <v>قطعه تعمیری</v>
          </cell>
          <cell r="O247">
            <v>7301</v>
          </cell>
          <cell r="AD247" t="str">
            <v>6:00الی14:00</v>
          </cell>
        </row>
        <row r="248">
          <cell r="B248" t="str">
            <v>دستگاه پرس 250 تن</v>
          </cell>
          <cell r="C248" t="str">
            <v>قطعه تعمیری</v>
          </cell>
          <cell r="O248">
            <v>7101</v>
          </cell>
          <cell r="AD248" t="str">
            <v>6:00الی18:00</v>
          </cell>
        </row>
        <row r="249">
          <cell r="B249" t="str">
            <v>قالب کوبه نک پیلسان</v>
          </cell>
          <cell r="C249" t="str">
            <v>قالب تعمیری</v>
          </cell>
          <cell r="O249">
            <v>7202</v>
          </cell>
          <cell r="AD249" t="str">
            <v>6:00الی14:00</v>
          </cell>
        </row>
        <row r="250">
          <cell r="B250" t="str">
            <v>قالب پخت کلاچ پیکان</v>
          </cell>
          <cell r="C250" t="str">
            <v>قالب تعمیری</v>
          </cell>
          <cell r="O250">
            <v>7202</v>
          </cell>
          <cell r="AD250" t="str">
            <v>14:30الی18:00</v>
          </cell>
        </row>
        <row r="251">
          <cell r="B251" t="str">
            <v>دستگاه پشم فلز آلمانی</v>
          </cell>
          <cell r="C251" t="str">
            <v>قطعه نو</v>
          </cell>
          <cell r="O251">
            <v>7103</v>
          </cell>
          <cell r="AD251" t="str">
            <v>6:00الی18:00</v>
          </cell>
        </row>
        <row r="252">
          <cell r="B252" t="str">
            <v>قالب آرایش SAF</v>
          </cell>
          <cell r="C252" t="str">
            <v>قالب تعمیری</v>
          </cell>
          <cell r="O252">
            <v>7502</v>
          </cell>
          <cell r="AD252" t="str">
            <v>6:00الی18:00</v>
          </cell>
        </row>
        <row r="253">
          <cell r="B253" t="str">
            <v>قالب کوبه نک SAF</v>
          </cell>
          <cell r="C253" t="str">
            <v>قالب تعمیری</v>
          </cell>
          <cell r="O253">
            <v>7502</v>
          </cell>
          <cell r="AD253" t="str">
            <v>6:00الی18:00</v>
          </cell>
        </row>
        <row r="254">
          <cell r="B254" t="str">
            <v>قالب پراید خاردار</v>
          </cell>
          <cell r="C254" t="str">
            <v>قالب تعمیری</v>
          </cell>
          <cell r="O254">
            <v>7502</v>
          </cell>
          <cell r="AD254" t="str">
            <v>6:00الی18:00</v>
          </cell>
        </row>
        <row r="255">
          <cell r="B255" t="str">
            <v>دستگاه ساب سمباده ای</v>
          </cell>
          <cell r="C255" t="str">
            <v>قطعه نو</v>
          </cell>
          <cell r="O255">
            <v>7302</v>
          </cell>
          <cell r="AD255" t="str">
            <v>6:00الی15:00</v>
          </cell>
        </row>
        <row r="256">
          <cell r="B256" t="str">
            <v>قالب خشاب زنی</v>
          </cell>
          <cell r="C256" t="str">
            <v>قطعه تعمیری</v>
          </cell>
          <cell r="O256">
            <v>7302</v>
          </cell>
          <cell r="AD256" t="str">
            <v>6:00الی15:00</v>
          </cell>
        </row>
        <row r="257">
          <cell r="B257" t="str">
            <v>دریل سوراخکاری کلاچ</v>
          </cell>
          <cell r="C257" t="str">
            <v>قطعه تعمیری</v>
          </cell>
          <cell r="O257">
            <v>7302</v>
          </cell>
          <cell r="AD257" t="str">
            <v>6:00الی15:00</v>
          </cell>
        </row>
        <row r="258">
          <cell r="B258" t="str">
            <v>ضایعات جمع کن پشم فلز آلمانی</v>
          </cell>
          <cell r="C258" t="str">
            <v>دستگاه نو</v>
          </cell>
          <cell r="O258" t="str">
            <v>مونتاژ</v>
          </cell>
          <cell r="AD258" t="str">
            <v>6:00الی18:00</v>
          </cell>
        </row>
        <row r="259">
          <cell r="B259" t="str">
            <v>ضایعات جمع کن پشم فلز آلمانی</v>
          </cell>
          <cell r="C259" t="str">
            <v>دستگاه نو</v>
          </cell>
          <cell r="O259" t="str">
            <v>مونتاژ</v>
          </cell>
          <cell r="AD259" t="str">
            <v>6:00الی18:00</v>
          </cell>
        </row>
        <row r="260">
          <cell r="B260" t="str">
            <v>قالب پراید خاردار</v>
          </cell>
          <cell r="C260" t="str">
            <v>قالب تعمیری</v>
          </cell>
          <cell r="O260">
            <v>7502</v>
          </cell>
          <cell r="AD260" t="str">
            <v>6:00الی18:00</v>
          </cell>
        </row>
        <row r="261">
          <cell r="B261" t="str">
            <v>دستگاه سنگ مغناطیسی 7501</v>
          </cell>
          <cell r="C261" t="str">
            <v>دستگاه تعمیری</v>
          </cell>
          <cell r="O261" t="str">
            <v>مونتاژ</v>
          </cell>
          <cell r="AD261" t="str">
            <v>6:00الی18:00</v>
          </cell>
        </row>
        <row r="262">
          <cell r="B262" t="str">
            <v>ضایعات جمع کن پشم فلز آلمانی</v>
          </cell>
          <cell r="C262" t="str">
            <v>دستگاه نو</v>
          </cell>
          <cell r="O262">
            <v>7401</v>
          </cell>
          <cell r="AD262" t="str">
            <v>6:00الی18:00</v>
          </cell>
        </row>
        <row r="263">
          <cell r="B263" t="str">
            <v>ضایعات جمع کن پشم فلز آلمانی</v>
          </cell>
          <cell r="C263" t="str">
            <v>دستگاه نو</v>
          </cell>
          <cell r="O263">
            <v>7401</v>
          </cell>
          <cell r="AD263" t="str">
            <v>6:00الی18:00</v>
          </cell>
        </row>
        <row r="264">
          <cell r="B264" t="str">
            <v>دستگاه پخت کلاچ</v>
          </cell>
          <cell r="C264" t="str">
            <v>قطعه تعمیری</v>
          </cell>
          <cell r="O264">
            <v>7401</v>
          </cell>
          <cell r="AD264" t="str">
            <v>6:00الی18:00</v>
          </cell>
        </row>
        <row r="265">
          <cell r="B265" t="str">
            <v>دستگاه پخت کلاچ</v>
          </cell>
          <cell r="C265" t="str">
            <v>قطعه تعمیری</v>
          </cell>
          <cell r="O265" t="str">
            <v>مونتاژ</v>
          </cell>
          <cell r="AD265" t="str">
            <v>6:00الی18:00</v>
          </cell>
        </row>
        <row r="266">
          <cell r="B266" t="str">
            <v>ضایعات جمع کن پشم فلز آلمانی</v>
          </cell>
          <cell r="C266" t="str">
            <v>دستگاه نو</v>
          </cell>
          <cell r="O266" t="str">
            <v>مونتاژ</v>
          </cell>
          <cell r="AD266" t="str">
            <v>6:00الی18:00</v>
          </cell>
        </row>
        <row r="267">
          <cell r="B267" t="str">
            <v>دستگاه سنگ مغناطیسی 7501</v>
          </cell>
          <cell r="C267" t="str">
            <v>دستگاه تعمیری</v>
          </cell>
          <cell r="O267" t="str">
            <v>مونتاژ</v>
          </cell>
          <cell r="AD267" t="str">
            <v>6:00الی18:00</v>
          </cell>
        </row>
        <row r="268">
          <cell r="B268" t="str">
            <v>دستگاه پرس 250 تن</v>
          </cell>
          <cell r="C268" t="str">
            <v>قطعه تعمیری</v>
          </cell>
          <cell r="O268">
            <v>7101</v>
          </cell>
          <cell r="AD268" t="str">
            <v>6:00الی10:00</v>
          </cell>
        </row>
        <row r="269">
          <cell r="B269" t="str">
            <v>قالب پخت کلاچ پژو 405</v>
          </cell>
          <cell r="C269" t="str">
            <v>قالب تعمیری</v>
          </cell>
          <cell r="O269">
            <v>7101</v>
          </cell>
          <cell r="AD269" t="str">
            <v>10:00الی13:00</v>
          </cell>
        </row>
        <row r="270">
          <cell r="B270" t="str">
            <v>دستگاه پشم فلز آلمانی</v>
          </cell>
          <cell r="C270" t="str">
            <v>قطعه نو</v>
          </cell>
          <cell r="O270">
            <v>7103</v>
          </cell>
          <cell r="AD270" t="str">
            <v>6:00الی14:00</v>
          </cell>
        </row>
        <row r="271">
          <cell r="B271" t="str">
            <v>قالب پراید خاردار</v>
          </cell>
          <cell r="C271" t="str">
            <v>قالب تعمیری</v>
          </cell>
          <cell r="O271">
            <v>7502</v>
          </cell>
          <cell r="AD271" t="str">
            <v>6:00الی14:00</v>
          </cell>
        </row>
        <row r="272">
          <cell r="B272" t="str">
            <v>اصول 5S</v>
          </cell>
          <cell r="C272" t="str">
            <v>نظافت</v>
          </cell>
          <cell r="O272" t="str">
            <v>نظافت</v>
          </cell>
          <cell r="AD272" t="str">
            <v>6:00الی14:00</v>
          </cell>
        </row>
        <row r="273">
          <cell r="B273" t="str">
            <v>دستگاه پرس 250 تن</v>
          </cell>
          <cell r="C273" t="str">
            <v>قطعه تعمیری</v>
          </cell>
          <cell r="O273">
            <v>7302</v>
          </cell>
          <cell r="AD273" t="str">
            <v>6:00الی14:00</v>
          </cell>
        </row>
        <row r="274">
          <cell r="B274" t="str">
            <v>دستگاه پرس 250 تن</v>
          </cell>
          <cell r="C274" t="str">
            <v>قطعه تعمیری</v>
          </cell>
          <cell r="O274" t="str">
            <v>مونتاژ</v>
          </cell>
          <cell r="AD274" t="str">
            <v>6:00الی14:00</v>
          </cell>
        </row>
        <row r="275">
          <cell r="B275" t="str">
            <v>اصول 5S</v>
          </cell>
          <cell r="C275" t="str">
            <v>نظافت</v>
          </cell>
          <cell r="O275" t="str">
            <v>نظافت</v>
          </cell>
          <cell r="AD275" t="str">
            <v>6:00الی14:00</v>
          </cell>
        </row>
        <row r="276">
          <cell r="B276" t="str">
            <v>دستگاه پرس 250 تن</v>
          </cell>
          <cell r="C276" t="str">
            <v>قطعه تعمیری</v>
          </cell>
          <cell r="O276">
            <v>7301</v>
          </cell>
          <cell r="AD276" t="str">
            <v>6:00الی14:00</v>
          </cell>
        </row>
        <row r="277">
          <cell r="B277" t="str">
            <v>قالب خشاب زنی</v>
          </cell>
          <cell r="C277" t="str">
            <v>قطعه تعمیری</v>
          </cell>
          <cell r="O277">
            <v>7301</v>
          </cell>
          <cell r="AD277" t="str">
            <v>6:00الی14:00</v>
          </cell>
        </row>
        <row r="278">
          <cell r="B278" t="str">
            <v>پین برلیانس</v>
          </cell>
          <cell r="C278" t="str">
            <v>قطعه نو</v>
          </cell>
          <cell r="O278">
            <v>8002</v>
          </cell>
          <cell r="AD278" t="str">
            <v>6:00الی14:00</v>
          </cell>
        </row>
        <row r="279">
          <cell r="B279" t="str">
            <v>دستگاه آسیاب پرت کلاچ</v>
          </cell>
          <cell r="C279" t="str">
            <v>قطعه تعمیری</v>
          </cell>
          <cell r="O279" t="str">
            <v>مونتاژ</v>
          </cell>
          <cell r="AD279" t="str">
            <v>6:00الی14:00</v>
          </cell>
        </row>
        <row r="280">
          <cell r="B280" t="str">
            <v>دستگاه تسمه کش</v>
          </cell>
          <cell r="C280" t="str">
            <v>قطعه تعمیری</v>
          </cell>
          <cell r="O280">
            <v>7401</v>
          </cell>
          <cell r="AD280" t="str">
            <v>6:00الی14:00</v>
          </cell>
        </row>
        <row r="281">
          <cell r="B281" t="str">
            <v>اصول 5S</v>
          </cell>
          <cell r="C281" t="str">
            <v>نظافت</v>
          </cell>
          <cell r="O281" t="str">
            <v>نظافت</v>
          </cell>
          <cell r="AD281" t="str">
            <v>6:00الی14:00</v>
          </cell>
        </row>
        <row r="282">
          <cell r="B282" t="str">
            <v>پین برلیانس</v>
          </cell>
          <cell r="C282" t="str">
            <v>قطعه نو</v>
          </cell>
          <cell r="O282">
            <v>8002</v>
          </cell>
          <cell r="AD282" t="str">
            <v>6:00الی14:00</v>
          </cell>
        </row>
        <row r="283">
          <cell r="B283" t="str">
            <v>قطعه شرکت چینی</v>
          </cell>
          <cell r="C283" t="str">
            <v>قطعه تعمیری</v>
          </cell>
          <cell r="O283">
            <v>7701</v>
          </cell>
          <cell r="AD283" t="str">
            <v>9:00الی18:00</v>
          </cell>
        </row>
        <row r="284">
          <cell r="B284" t="str">
            <v>قالب خشاب زنی</v>
          </cell>
          <cell r="C284" t="str">
            <v>قطعه تعمیری</v>
          </cell>
          <cell r="O284">
            <v>7301</v>
          </cell>
          <cell r="AD284" t="str">
            <v>6:00الی18:00</v>
          </cell>
        </row>
        <row r="285">
          <cell r="B285" t="str">
            <v>خط مصرف</v>
          </cell>
          <cell r="C285" t="str">
            <v>قطعه تعمیری</v>
          </cell>
          <cell r="O285">
            <v>7301</v>
          </cell>
          <cell r="AD285" t="str">
            <v>6:00الی18:00</v>
          </cell>
        </row>
        <row r="286">
          <cell r="B286" t="str">
            <v>دستگاه ویوینگ</v>
          </cell>
          <cell r="C286" t="str">
            <v>قطعه نو</v>
          </cell>
          <cell r="O286">
            <v>7301</v>
          </cell>
          <cell r="AD286" t="str">
            <v>6:00الی18:00</v>
          </cell>
        </row>
        <row r="287">
          <cell r="B287" t="str">
            <v>قالب پخت کلاچ پیکان</v>
          </cell>
          <cell r="C287" t="str">
            <v>قالب تعمیری</v>
          </cell>
          <cell r="O287">
            <v>7202</v>
          </cell>
          <cell r="AD287" t="str">
            <v>6:00الی18:00</v>
          </cell>
        </row>
        <row r="288">
          <cell r="B288" t="str">
            <v>قالب پخت کلاچ پژو 405</v>
          </cell>
          <cell r="C288" t="str">
            <v>قالب تعمیری</v>
          </cell>
          <cell r="O288">
            <v>7101</v>
          </cell>
          <cell r="AD288" t="str">
            <v>6:00الی11:00</v>
          </cell>
        </row>
        <row r="289">
          <cell r="B289" t="str">
            <v>قالب پخت کلاچ پیکان آرژانتینی</v>
          </cell>
          <cell r="C289" t="str">
            <v>قالب تعمیری</v>
          </cell>
          <cell r="O289">
            <v>7101</v>
          </cell>
          <cell r="AD289" t="str">
            <v>11:00الی14:00</v>
          </cell>
        </row>
        <row r="290">
          <cell r="B290" t="str">
            <v>قالب پراید خاردار</v>
          </cell>
          <cell r="C290" t="str">
            <v>قالب تعمیری</v>
          </cell>
          <cell r="O290">
            <v>7101</v>
          </cell>
          <cell r="AD290" t="str">
            <v>14:00الی18:00</v>
          </cell>
        </row>
        <row r="291">
          <cell r="B291" t="str">
            <v>دستگاه پشم فلز آلمانی</v>
          </cell>
          <cell r="C291" t="str">
            <v>قطعه نو</v>
          </cell>
          <cell r="O291">
            <v>7103</v>
          </cell>
          <cell r="AD291" t="str">
            <v>6:00الی18:00</v>
          </cell>
        </row>
        <row r="292">
          <cell r="B292" t="str">
            <v>قالب پراید خاردار</v>
          </cell>
          <cell r="C292" t="str">
            <v>قالب تعمیری</v>
          </cell>
          <cell r="O292">
            <v>7502</v>
          </cell>
          <cell r="AD292" t="str">
            <v>6:00الی18:00</v>
          </cell>
        </row>
        <row r="293">
          <cell r="B293" t="str">
            <v>فیکسچر پژو</v>
          </cell>
          <cell r="C293" t="str">
            <v>قطعه تعمیری</v>
          </cell>
          <cell r="O293">
            <v>7302</v>
          </cell>
          <cell r="AD293" t="str">
            <v>6:00الی18:00</v>
          </cell>
        </row>
        <row r="294">
          <cell r="B294" t="str">
            <v>دستگاه پشم فلز آلمانی</v>
          </cell>
          <cell r="C294" t="str">
            <v>قطعه نو</v>
          </cell>
          <cell r="O294">
            <v>7302</v>
          </cell>
          <cell r="AD294" t="str">
            <v>6:00الی18:00</v>
          </cell>
        </row>
        <row r="295">
          <cell r="B295" t="str">
            <v>دستگاه پشم فلز چینی</v>
          </cell>
          <cell r="C295" t="str">
            <v>قطعه نو</v>
          </cell>
          <cell r="O295">
            <v>7605</v>
          </cell>
          <cell r="AD295" t="str">
            <v>6:00الی18:00</v>
          </cell>
        </row>
        <row r="296">
          <cell r="B296" t="str">
            <v>دستگاه پشم فلز چینی</v>
          </cell>
          <cell r="C296" t="str">
            <v>قطعه نو</v>
          </cell>
          <cell r="O296">
            <v>7601</v>
          </cell>
          <cell r="AD296" t="str">
            <v>6:00الی18:00</v>
          </cell>
        </row>
        <row r="297">
          <cell r="B297" t="str">
            <v>قالب اصلاح دسته کفشک مترو K</v>
          </cell>
          <cell r="C297" t="str">
            <v>قالب نو</v>
          </cell>
          <cell r="O297">
            <v>7602</v>
          </cell>
          <cell r="AD297" t="str">
            <v>6:00الی18:00</v>
          </cell>
        </row>
        <row r="298">
          <cell r="B298" t="str">
            <v xml:space="preserve">دستگاه مهر زنی </v>
          </cell>
          <cell r="C298" t="str">
            <v>قطعه نو</v>
          </cell>
          <cell r="O298">
            <v>7603</v>
          </cell>
          <cell r="AD298" t="str">
            <v>6:00الی18:00</v>
          </cell>
        </row>
        <row r="299">
          <cell r="B299" t="str">
            <v>دستگاه پشم فلز چینی</v>
          </cell>
          <cell r="C299" t="str">
            <v>قطعه نو</v>
          </cell>
          <cell r="O299">
            <v>7605</v>
          </cell>
          <cell r="AD299" t="str">
            <v>6:00الی18:00</v>
          </cell>
        </row>
        <row r="300">
          <cell r="B300" t="str">
            <v>دستگاه پشم فلز چینی</v>
          </cell>
          <cell r="C300" t="str">
            <v>قطعه نو</v>
          </cell>
          <cell r="O300">
            <v>7601</v>
          </cell>
          <cell r="AD300" t="str">
            <v>6:00الی18:00</v>
          </cell>
        </row>
        <row r="301">
          <cell r="B301" t="str">
            <v>قالب اصلاح دسته کفشک مترو K</v>
          </cell>
          <cell r="C301" t="str">
            <v>قالب نو</v>
          </cell>
          <cell r="O301">
            <v>7602</v>
          </cell>
          <cell r="AD301" t="str">
            <v>6:00الی18:00</v>
          </cell>
        </row>
        <row r="302">
          <cell r="B302" t="str">
            <v xml:space="preserve">دستگاه مهر زنی </v>
          </cell>
          <cell r="C302" t="str">
            <v>قطعه نو</v>
          </cell>
          <cell r="O302">
            <v>7603</v>
          </cell>
          <cell r="AD302" t="str">
            <v>6:00الی18:00</v>
          </cell>
        </row>
        <row r="303">
          <cell r="B303" t="str">
            <v>قالب پخت کلاچ پیکان</v>
          </cell>
          <cell r="C303" t="str">
            <v>قالب تعمیری</v>
          </cell>
          <cell r="O303">
            <v>7202</v>
          </cell>
          <cell r="AD303" t="str">
            <v>6:00الی18:00</v>
          </cell>
        </row>
        <row r="304">
          <cell r="B304" t="str">
            <v>پین برلیانس</v>
          </cell>
          <cell r="C304" t="str">
            <v>قطعه نو</v>
          </cell>
          <cell r="O304">
            <v>8002</v>
          </cell>
          <cell r="AD304" t="str">
            <v>6:00الی14:00</v>
          </cell>
        </row>
        <row r="305">
          <cell r="B305" t="str">
            <v>ضایعات جمع کن پشم فلز آلمانی</v>
          </cell>
          <cell r="C305" t="str">
            <v>دستگاه نو</v>
          </cell>
          <cell r="O305">
            <v>7301</v>
          </cell>
          <cell r="AD305" t="str">
            <v>6:00الی18:00</v>
          </cell>
        </row>
        <row r="306">
          <cell r="B306" t="str">
            <v>ضایعات جمع کن پشم فلز آلمانی</v>
          </cell>
          <cell r="C306" t="str">
            <v>دستگاه نو</v>
          </cell>
          <cell r="O306">
            <v>7301</v>
          </cell>
          <cell r="AD306" t="str">
            <v>6:00الی18:00</v>
          </cell>
        </row>
        <row r="307">
          <cell r="B307" t="str">
            <v>دستگاه پشم فلز آلمانی</v>
          </cell>
          <cell r="C307" t="str">
            <v>قطعه نو</v>
          </cell>
          <cell r="O307">
            <v>7103</v>
          </cell>
          <cell r="AD307" t="str">
            <v>6:00الی18:00</v>
          </cell>
        </row>
        <row r="308">
          <cell r="B308" t="str">
            <v>قالب پخت کلاچ پیکان آرژانتینی</v>
          </cell>
          <cell r="C308" t="str">
            <v>قالب تعمیری</v>
          </cell>
          <cell r="O308">
            <v>7502</v>
          </cell>
          <cell r="AD308" t="str">
            <v>10:00الی15:00</v>
          </cell>
        </row>
        <row r="309">
          <cell r="B309" t="str">
            <v>قالب شیم پژو 405</v>
          </cell>
          <cell r="C309" t="str">
            <v>قالب تعمیری</v>
          </cell>
          <cell r="O309">
            <v>7502</v>
          </cell>
          <cell r="AD309" t="str">
            <v>6:00الی10:00</v>
          </cell>
        </row>
        <row r="310">
          <cell r="B310" t="str">
            <v>ضایعات جمع کن پشم فلز آلمانی</v>
          </cell>
          <cell r="C310" t="str">
            <v>دستگاه نو</v>
          </cell>
          <cell r="O310">
            <v>7401</v>
          </cell>
          <cell r="AD310" t="str">
            <v>6:00الی17:00</v>
          </cell>
        </row>
        <row r="311">
          <cell r="B311" t="str">
            <v>قالب شیم ریو</v>
          </cell>
          <cell r="C311" t="str">
            <v>قالب تعمیری</v>
          </cell>
          <cell r="O311" t="str">
            <v>مونتاژ</v>
          </cell>
          <cell r="AD311" t="str">
            <v>6:00الی17:00</v>
          </cell>
        </row>
        <row r="312">
          <cell r="B312" t="str">
            <v>دستگاه چسب زنی</v>
          </cell>
          <cell r="C312" t="str">
            <v>دستگاه تعمیری</v>
          </cell>
          <cell r="O312" t="str">
            <v>دمونتاژ</v>
          </cell>
          <cell r="AD312" t="str">
            <v>6:00الی17:00</v>
          </cell>
        </row>
        <row r="313">
          <cell r="B313" t="str">
            <v>قالب پخت کلاچ پیکان آرژانتینی</v>
          </cell>
          <cell r="C313" t="str">
            <v>قالب تعمیری</v>
          </cell>
          <cell r="O313">
            <v>7502</v>
          </cell>
          <cell r="AD313" t="str">
            <v>6:00الی17:00</v>
          </cell>
        </row>
        <row r="314">
          <cell r="B314" t="str">
            <v>ضایعات جمع کن پشم فلز آلمانی</v>
          </cell>
          <cell r="C314" t="str">
            <v>دستگاه نو</v>
          </cell>
          <cell r="O314">
            <v>7401</v>
          </cell>
          <cell r="AD314" t="str">
            <v>6:00الی18:00</v>
          </cell>
        </row>
        <row r="315">
          <cell r="B315" t="str">
            <v>پخت عقب پژو 405 شمشی پایه کوتاه</v>
          </cell>
          <cell r="C315" t="str">
            <v>قالب نو</v>
          </cell>
          <cell r="O315" t="str">
            <v>دمونتاژ</v>
          </cell>
          <cell r="AD315" t="str">
            <v>6:00الی18:00</v>
          </cell>
        </row>
        <row r="316">
          <cell r="B316" t="str">
            <v>قالب شیم ریو</v>
          </cell>
          <cell r="C316" t="str">
            <v>قالب تعمیری</v>
          </cell>
          <cell r="O316" t="str">
            <v>دمونتاژ</v>
          </cell>
          <cell r="AD316" t="str">
            <v>6:00الی18:00</v>
          </cell>
        </row>
        <row r="317">
          <cell r="B317" t="str">
            <v>قالب پراید خاردار</v>
          </cell>
          <cell r="C317" t="str">
            <v>قالب تعمیری</v>
          </cell>
          <cell r="O317">
            <v>7502</v>
          </cell>
          <cell r="AD317" t="str">
            <v>6:00الی18:00</v>
          </cell>
        </row>
        <row r="318">
          <cell r="B318" t="str">
            <v>پخت عقب پژو 405 شمشی پایه کوتاه</v>
          </cell>
          <cell r="C318" t="str">
            <v>قالب نو</v>
          </cell>
          <cell r="O318" t="str">
            <v>مونتاژ</v>
          </cell>
          <cell r="AD318" t="str">
            <v>6:00الی18:00</v>
          </cell>
        </row>
        <row r="319">
          <cell r="B319" t="str">
            <v>دستگاه پشم فلز آلمانی</v>
          </cell>
          <cell r="C319" t="str">
            <v>قطعه نو</v>
          </cell>
          <cell r="O319">
            <v>7601</v>
          </cell>
          <cell r="AD319" t="str">
            <v>6:00الی18:00</v>
          </cell>
        </row>
        <row r="320">
          <cell r="B320" t="str">
            <v>قالب اصلاح دسته کفشک مترو K</v>
          </cell>
          <cell r="C320" t="str">
            <v>قالب نو</v>
          </cell>
          <cell r="O320">
            <v>7602</v>
          </cell>
          <cell r="AD320" t="str">
            <v>6:00الی9:00</v>
          </cell>
        </row>
        <row r="321">
          <cell r="B321" t="str">
            <v>ضایعات جمع کن پشم فلز آلمانی</v>
          </cell>
          <cell r="C321" t="str">
            <v>دستگاه نو</v>
          </cell>
          <cell r="O321">
            <v>7603</v>
          </cell>
          <cell r="AD321" t="str">
            <v>6:00الی9:00</v>
          </cell>
        </row>
        <row r="322">
          <cell r="B322" t="str">
            <v>دستگاه پشم فلز چینی</v>
          </cell>
          <cell r="C322" t="str">
            <v>قطعه نو</v>
          </cell>
          <cell r="O322">
            <v>7605</v>
          </cell>
          <cell r="AD322" t="str">
            <v>6:00الی18:00</v>
          </cell>
        </row>
        <row r="323">
          <cell r="B323" t="str">
            <v>قالب پراید خاردار</v>
          </cell>
          <cell r="C323" t="str">
            <v>قالب تعمیری</v>
          </cell>
          <cell r="O323">
            <v>7602</v>
          </cell>
          <cell r="AD323" t="str">
            <v>6:00الی18:00</v>
          </cell>
        </row>
        <row r="324">
          <cell r="B324" t="str">
            <v xml:space="preserve">دستگاه مهر زنی </v>
          </cell>
          <cell r="C324" t="str">
            <v>قطعه نو</v>
          </cell>
          <cell r="O324">
            <v>7603</v>
          </cell>
          <cell r="AD324" t="str">
            <v>6:00الی18:00</v>
          </cell>
        </row>
        <row r="325">
          <cell r="B325" t="str">
            <v>دستگاه ساب سمباده ای</v>
          </cell>
          <cell r="C325" t="str">
            <v>قطعه تعمیری</v>
          </cell>
          <cell r="O325">
            <v>7302</v>
          </cell>
          <cell r="AD325" t="str">
            <v>6:00الی18:00</v>
          </cell>
        </row>
        <row r="326">
          <cell r="B326" t="str">
            <v>دستگاه ساب جدید</v>
          </cell>
          <cell r="C326" t="str">
            <v>قطعه نو</v>
          </cell>
          <cell r="O326">
            <v>7302</v>
          </cell>
          <cell r="AD326" t="str">
            <v>6:00الی18:00</v>
          </cell>
        </row>
        <row r="327">
          <cell r="B327" t="str">
            <v>فیکسچر پژو</v>
          </cell>
          <cell r="C327" t="str">
            <v>قطعه تعمیری</v>
          </cell>
          <cell r="O327">
            <v>7302</v>
          </cell>
          <cell r="AD327" t="str">
            <v>6:00الی18:00</v>
          </cell>
        </row>
        <row r="328">
          <cell r="B328" t="str">
            <v>ساب کونیک</v>
          </cell>
          <cell r="C328" t="str">
            <v>قطعه تعمیری</v>
          </cell>
          <cell r="O328">
            <v>7302</v>
          </cell>
          <cell r="AD328" t="str">
            <v>6:00الی18:00</v>
          </cell>
        </row>
        <row r="329">
          <cell r="B329" t="str">
            <v>دستگاه پرس 250 تن</v>
          </cell>
          <cell r="C329" t="str">
            <v>قطعه تعمیری</v>
          </cell>
          <cell r="O329">
            <v>8001</v>
          </cell>
          <cell r="AD329" t="str">
            <v>6:00الی18:00</v>
          </cell>
        </row>
        <row r="330">
          <cell r="B330" t="str">
            <v>ضایعات جمع کن پشم فلز آلمانی</v>
          </cell>
          <cell r="C330" t="str">
            <v>دستگاه نو</v>
          </cell>
          <cell r="O330" t="str">
            <v>مونتاژ</v>
          </cell>
          <cell r="AD330" t="str">
            <v>6:00الی18:00</v>
          </cell>
        </row>
        <row r="331">
          <cell r="B331" t="str">
            <v>قطعه شرکت چینی</v>
          </cell>
          <cell r="C331" t="str">
            <v>قطعه تعمیری</v>
          </cell>
          <cell r="O331">
            <v>7701</v>
          </cell>
          <cell r="AD331" t="str">
            <v>6:00الی18:00</v>
          </cell>
        </row>
        <row r="332">
          <cell r="B332" t="str">
            <v>پخت کلاچ پراید</v>
          </cell>
          <cell r="C332" t="str">
            <v>قالب تعمیری</v>
          </cell>
          <cell r="O332">
            <v>7101</v>
          </cell>
          <cell r="AD332" t="str">
            <v>6:00الی18:00</v>
          </cell>
        </row>
        <row r="333">
          <cell r="B333" t="str">
            <v>قالب پخت کلاچ پیکان</v>
          </cell>
          <cell r="C333" t="str">
            <v>قالب تعمیری</v>
          </cell>
          <cell r="O333">
            <v>7101</v>
          </cell>
          <cell r="AD333" t="str">
            <v>11:00الی18:00</v>
          </cell>
        </row>
        <row r="334">
          <cell r="B334" t="str">
            <v>دستگاه ساب جدید</v>
          </cell>
          <cell r="C334" t="str">
            <v>قطعه نو</v>
          </cell>
          <cell r="O334">
            <v>7303</v>
          </cell>
          <cell r="AD334" t="str">
            <v>6:00الی14:00</v>
          </cell>
        </row>
        <row r="335">
          <cell r="B335" t="str">
            <v>دستگاه ساب جدید</v>
          </cell>
          <cell r="C335" t="str">
            <v>قطعه نو</v>
          </cell>
          <cell r="O335">
            <v>7303</v>
          </cell>
          <cell r="AD335" t="str">
            <v>6:00الی14:00</v>
          </cell>
        </row>
        <row r="336">
          <cell r="B336" t="str">
            <v>قالب جلو ریو</v>
          </cell>
          <cell r="C336" t="str">
            <v>قالب تعمیری</v>
          </cell>
          <cell r="O336">
            <v>7302</v>
          </cell>
          <cell r="AD336" t="str">
            <v>6:00الی16:00</v>
          </cell>
        </row>
        <row r="337">
          <cell r="B337" t="str">
            <v>دستگاه پرس 600 تن</v>
          </cell>
          <cell r="C337" t="str">
            <v>قطعه نو</v>
          </cell>
          <cell r="O337">
            <v>7302</v>
          </cell>
          <cell r="AD337" t="str">
            <v>6:00الی16:00</v>
          </cell>
        </row>
        <row r="338">
          <cell r="B338" t="str">
            <v>دستگاه پرس 600 تن</v>
          </cell>
          <cell r="C338" t="str">
            <v>قطعه تعمیری</v>
          </cell>
          <cell r="O338">
            <v>7302</v>
          </cell>
          <cell r="AD338" t="str">
            <v>6:00الی16:00</v>
          </cell>
        </row>
        <row r="339">
          <cell r="B339" t="str">
            <v>دستگاه کمپرسور باد</v>
          </cell>
          <cell r="C339" t="str">
            <v>قطعه تعمیری</v>
          </cell>
          <cell r="O339">
            <v>7301</v>
          </cell>
          <cell r="AD339" t="str">
            <v>6:00الی18:00</v>
          </cell>
        </row>
        <row r="340">
          <cell r="B340" t="str">
            <v>ضایعات جمع کن پشم فلز آلمانی</v>
          </cell>
          <cell r="C340" t="str">
            <v>دستگاه نو</v>
          </cell>
          <cell r="O340">
            <v>7301</v>
          </cell>
          <cell r="AD340" t="str">
            <v>6:00الی18:00</v>
          </cell>
        </row>
        <row r="341">
          <cell r="B341" t="str">
            <v>دستگاه پرس پخت</v>
          </cell>
          <cell r="C341" t="str">
            <v>قطعه نو</v>
          </cell>
          <cell r="O341">
            <v>7301</v>
          </cell>
          <cell r="AD341" t="str">
            <v>6:00الی18:00</v>
          </cell>
        </row>
        <row r="342">
          <cell r="B342" t="str">
            <v>برش جمعی عقب ریو</v>
          </cell>
          <cell r="C342" t="str">
            <v>قطعه نو</v>
          </cell>
          <cell r="O342">
            <v>7301</v>
          </cell>
          <cell r="AD342" t="str">
            <v>6:00الی18:00</v>
          </cell>
        </row>
        <row r="343">
          <cell r="B343" t="str">
            <v>دستگاه CNC 7203</v>
          </cell>
          <cell r="C343" t="str">
            <v>دستگاه تعمیری</v>
          </cell>
          <cell r="O343" t="str">
            <v>مونتاژ</v>
          </cell>
          <cell r="AD343" t="str">
            <v>6:00الی14:00</v>
          </cell>
        </row>
        <row r="344">
          <cell r="B344" t="str">
            <v>قالب پخت کلاچ پیکان</v>
          </cell>
          <cell r="C344" t="str">
            <v>قالب تعمیری</v>
          </cell>
          <cell r="O344">
            <v>7203</v>
          </cell>
          <cell r="AD344" t="str">
            <v>14:00الی18:00</v>
          </cell>
        </row>
        <row r="345">
          <cell r="B345" t="str">
            <v>دستگاه پشم فلز آلمانی</v>
          </cell>
          <cell r="C345" t="str">
            <v>قطعه نو</v>
          </cell>
          <cell r="O345">
            <v>7601</v>
          </cell>
          <cell r="AD345" t="str">
            <v>6:00الی18:00</v>
          </cell>
        </row>
        <row r="346">
          <cell r="B346" t="str">
            <v>قالب پراید خاردار</v>
          </cell>
          <cell r="C346" t="str">
            <v>قالب تعمیری</v>
          </cell>
          <cell r="O346">
            <v>7602</v>
          </cell>
          <cell r="AD346" t="str">
            <v>6:00الی18:00</v>
          </cell>
        </row>
        <row r="347">
          <cell r="B347" t="str">
            <v xml:space="preserve">دستگاه مهر زنی </v>
          </cell>
          <cell r="C347" t="str">
            <v>قطعه نو</v>
          </cell>
          <cell r="O347">
            <v>7603</v>
          </cell>
          <cell r="AD347" t="str">
            <v>6:00الی15:00</v>
          </cell>
        </row>
        <row r="348">
          <cell r="B348" t="str">
            <v>دستگاه پشم فلز آلمانی</v>
          </cell>
          <cell r="C348" t="str">
            <v>قطعه نو</v>
          </cell>
          <cell r="O348">
            <v>7603</v>
          </cell>
          <cell r="AD348" t="str">
            <v>15:00الی18:00</v>
          </cell>
        </row>
        <row r="349">
          <cell r="B349" t="str">
            <v>دستگاه پشم فلز چینی</v>
          </cell>
          <cell r="C349" t="str">
            <v>قطعه نو</v>
          </cell>
          <cell r="O349">
            <v>7605</v>
          </cell>
          <cell r="AD349" t="str">
            <v>6:00الی18:00</v>
          </cell>
        </row>
        <row r="350">
          <cell r="B350" t="str">
            <v>ضایعات جمع کن پشم فلز آلمانی</v>
          </cell>
          <cell r="C350" t="str">
            <v>دستگاه نو</v>
          </cell>
          <cell r="O350">
            <v>7401</v>
          </cell>
          <cell r="AD350" t="str">
            <v>6:00الی18:00</v>
          </cell>
        </row>
        <row r="351">
          <cell r="B351" t="str">
            <v>دستگاه پشم فلز آلمانی</v>
          </cell>
          <cell r="C351" t="str">
            <v>قطعه تعمیری</v>
          </cell>
          <cell r="O351">
            <v>7401</v>
          </cell>
          <cell r="AD351" t="str">
            <v>6:00الی18:00</v>
          </cell>
        </row>
        <row r="352">
          <cell r="B352" t="str">
            <v>پخت کلاچ پراید</v>
          </cell>
          <cell r="C352" t="str">
            <v>قالب تعمیری</v>
          </cell>
          <cell r="O352" t="str">
            <v>دمونتاژ</v>
          </cell>
          <cell r="AD352" t="str">
            <v>6:00الی18:00</v>
          </cell>
        </row>
        <row r="353">
          <cell r="B353" t="str">
            <v>قالب پخت کلاچ پژو 405</v>
          </cell>
          <cell r="C353" t="str">
            <v>قالب تعمیری</v>
          </cell>
          <cell r="O353" t="str">
            <v>دمونتاژ</v>
          </cell>
          <cell r="AD353" t="str">
            <v>6:00الی18:00</v>
          </cell>
        </row>
        <row r="354">
          <cell r="B354" t="str">
            <v>قالب شیم ریو</v>
          </cell>
          <cell r="C354" t="str">
            <v>قالب تعمیری</v>
          </cell>
          <cell r="O354" t="str">
            <v>مونتاژ</v>
          </cell>
          <cell r="AD354" t="str">
            <v>6:00الی18:00</v>
          </cell>
        </row>
        <row r="355">
          <cell r="B355" t="str">
            <v>قالب شیم پژو 405</v>
          </cell>
          <cell r="C355" t="str">
            <v>قالب تعمیری</v>
          </cell>
          <cell r="O355" t="str">
            <v>مونتاژ</v>
          </cell>
          <cell r="AD355" t="str">
            <v>6:00الی18:00</v>
          </cell>
        </row>
        <row r="356">
          <cell r="B356" t="str">
            <v>دستگاه پشم فلز آلمانی</v>
          </cell>
          <cell r="C356" t="str">
            <v>قطعه نو</v>
          </cell>
          <cell r="O356">
            <v>7103</v>
          </cell>
          <cell r="AD356" t="str">
            <v>6:00الی10:00</v>
          </cell>
        </row>
        <row r="357">
          <cell r="B357" t="str">
            <v>قالب پخت کلاچ پیکان آرژانتینی</v>
          </cell>
          <cell r="C357" t="str">
            <v>قالب تعمیری</v>
          </cell>
          <cell r="O357">
            <v>7502</v>
          </cell>
          <cell r="AD357" t="str">
            <v>6:00الی18:00</v>
          </cell>
        </row>
        <row r="358">
          <cell r="B358" t="str">
            <v>برش جمعی عقب ریو</v>
          </cell>
          <cell r="C358" t="str">
            <v>قطعه نو</v>
          </cell>
          <cell r="O358">
            <v>7502</v>
          </cell>
          <cell r="AD358" t="str">
            <v>6:00الی18:00</v>
          </cell>
        </row>
        <row r="359">
          <cell r="B359" t="str">
            <v>قالب شیم پژو 405</v>
          </cell>
          <cell r="C359" t="str">
            <v>قالب تعمیری</v>
          </cell>
          <cell r="O359">
            <v>7502</v>
          </cell>
          <cell r="AD359" t="str">
            <v>6:00الی18:00</v>
          </cell>
        </row>
        <row r="360">
          <cell r="B360" t="str">
            <v>پخت کلاچ پراید</v>
          </cell>
          <cell r="C360" t="str">
            <v>قالب تعمیری</v>
          </cell>
          <cell r="O360">
            <v>7502</v>
          </cell>
          <cell r="AD360" t="str">
            <v>6:00الی18:00</v>
          </cell>
        </row>
        <row r="361">
          <cell r="B361" t="str">
            <v>قالب پخت کلاچ پیکان</v>
          </cell>
          <cell r="C361" t="str">
            <v>قالب تعمیری</v>
          </cell>
          <cell r="O361">
            <v>7203</v>
          </cell>
          <cell r="AD361" t="str">
            <v>6:00الی14:00</v>
          </cell>
        </row>
        <row r="362">
          <cell r="B362" t="str">
            <v>پخت کلاچ پراید</v>
          </cell>
          <cell r="C362" t="str">
            <v>قالب تعمیری</v>
          </cell>
          <cell r="O362" t="str">
            <v>دمونتاژ</v>
          </cell>
          <cell r="AD362" t="str">
            <v>6:00الی18:00</v>
          </cell>
        </row>
        <row r="363">
          <cell r="B363" t="str">
            <v>قالب پخت کلاچ پژو 405</v>
          </cell>
          <cell r="C363" t="str">
            <v>قالب تعمیری</v>
          </cell>
          <cell r="O363" t="str">
            <v>دمونتاژ</v>
          </cell>
          <cell r="AD363" t="str">
            <v>6:00الی18:00</v>
          </cell>
        </row>
        <row r="364">
          <cell r="B364" t="str">
            <v>قالب پراید خاردار</v>
          </cell>
          <cell r="C364" t="str">
            <v>قالب تعمیری</v>
          </cell>
          <cell r="O364" t="str">
            <v>مونتاژ</v>
          </cell>
          <cell r="AD364" t="str">
            <v>6:00الی18:00</v>
          </cell>
        </row>
        <row r="365">
          <cell r="B365" t="str">
            <v>قالب شیم پژو 405</v>
          </cell>
          <cell r="C365" t="str">
            <v>قالب تعمیری</v>
          </cell>
          <cell r="O365" t="str">
            <v>مونتاژ</v>
          </cell>
          <cell r="AD365" t="str">
            <v>6:00الی18:00</v>
          </cell>
        </row>
        <row r="366">
          <cell r="B366" t="str">
            <v>قالب شیم ریو</v>
          </cell>
          <cell r="C366" t="str">
            <v>قالب تعمیری</v>
          </cell>
          <cell r="O366" t="str">
            <v>مونتاژ</v>
          </cell>
          <cell r="AD366" t="str">
            <v>6:00الی18:00</v>
          </cell>
        </row>
      </sheetData>
      <sheetData sheetId="1">
        <row r="2">
          <cell r="B2" t="str">
            <v>قالب پخت کلاچ پژو 405</v>
          </cell>
          <cell r="C2" t="str">
            <v>قالب تعمیری</v>
          </cell>
          <cell r="O2">
            <v>7103</v>
          </cell>
          <cell r="AD2" t="str">
            <v>7:35الی14:00</v>
          </cell>
        </row>
        <row r="3">
          <cell r="B3" t="str">
            <v>دستگاه پرس پخت</v>
          </cell>
          <cell r="C3" t="str">
            <v>قطعه نو</v>
          </cell>
          <cell r="O3">
            <v>7301</v>
          </cell>
          <cell r="AD3" t="str">
            <v>6:00الی16:00</v>
          </cell>
        </row>
        <row r="4">
          <cell r="B4" t="str">
            <v>قالب خشاب زنی</v>
          </cell>
          <cell r="C4" t="str">
            <v>قطعه تعمیری</v>
          </cell>
          <cell r="O4">
            <v>7301</v>
          </cell>
          <cell r="AD4" t="str">
            <v>6:00الی16:00</v>
          </cell>
        </row>
        <row r="5">
          <cell r="B5" t="str">
            <v>پخت کلاچ پژو 206 TU5</v>
          </cell>
          <cell r="C5" t="str">
            <v>قالب تعمیری</v>
          </cell>
          <cell r="O5" t="str">
            <v>دمونتاژ</v>
          </cell>
          <cell r="AD5" t="str">
            <v>6:00الی18:00</v>
          </cell>
        </row>
        <row r="6">
          <cell r="B6" t="str">
            <v>پخت کلاچ پراید</v>
          </cell>
          <cell r="C6" t="str">
            <v>قالب تعمیری</v>
          </cell>
          <cell r="O6">
            <v>7502</v>
          </cell>
          <cell r="AD6" t="str">
            <v>6:00الی18:00</v>
          </cell>
        </row>
        <row r="7">
          <cell r="B7" t="str">
            <v>قالب پخت کلاچ پیکان</v>
          </cell>
          <cell r="C7" t="str">
            <v>قالب تعمیری</v>
          </cell>
          <cell r="O7">
            <v>7203</v>
          </cell>
          <cell r="AD7" t="str">
            <v>6:00الی14:00</v>
          </cell>
        </row>
        <row r="8">
          <cell r="B8" t="str">
            <v>دستگاه پشم فلز چینی</v>
          </cell>
          <cell r="C8" t="str">
            <v>قطعه نو</v>
          </cell>
          <cell r="O8">
            <v>7301</v>
          </cell>
          <cell r="AD8" t="str">
            <v>6:00الی18:00</v>
          </cell>
        </row>
        <row r="9">
          <cell r="B9" t="str">
            <v>دستگاه پرس 600 تن</v>
          </cell>
          <cell r="C9" t="str">
            <v>قطعه تعمیری</v>
          </cell>
          <cell r="O9">
            <v>7302</v>
          </cell>
          <cell r="AD9" t="str">
            <v>6:00الی18:00</v>
          </cell>
        </row>
        <row r="10">
          <cell r="B10" t="str">
            <v>دستگاه پشم فلز چینی</v>
          </cell>
          <cell r="C10" t="str">
            <v>قطعه نو</v>
          </cell>
          <cell r="O10" t="str">
            <v>مونتاژ</v>
          </cell>
          <cell r="AD10" t="str">
            <v>6:00الی18:00</v>
          </cell>
        </row>
        <row r="11">
          <cell r="B11" t="str">
            <v>دستگاه پشم فلز آلمانی</v>
          </cell>
          <cell r="C11" t="str">
            <v>قطعه نو</v>
          </cell>
          <cell r="O11">
            <v>7601</v>
          </cell>
          <cell r="AD11" t="str">
            <v>8:00الی18:00</v>
          </cell>
        </row>
        <row r="12">
          <cell r="B12" t="str">
            <v>قالب پراید خاردار</v>
          </cell>
          <cell r="C12" t="str">
            <v>قالب تعمیری</v>
          </cell>
          <cell r="O12">
            <v>7602</v>
          </cell>
          <cell r="AD12" t="str">
            <v>8:00الی14:00</v>
          </cell>
        </row>
        <row r="13">
          <cell r="B13" t="str">
            <v>دستگاه پشم فلز آلمانی</v>
          </cell>
          <cell r="C13" t="str">
            <v>قطعه نو</v>
          </cell>
          <cell r="O13">
            <v>7603</v>
          </cell>
          <cell r="AD13" t="str">
            <v>8:00الی10:00</v>
          </cell>
        </row>
        <row r="14">
          <cell r="B14" t="str">
            <v>قالب پراید خاردار</v>
          </cell>
          <cell r="C14" t="str">
            <v>قالب تعمیری</v>
          </cell>
          <cell r="O14">
            <v>7603</v>
          </cell>
          <cell r="AD14" t="str">
            <v>10:00الی18:00</v>
          </cell>
        </row>
        <row r="15">
          <cell r="B15" t="str">
            <v>دستگاه پشم فلز چینی</v>
          </cell>
          <cell r="C15" t="str">
            <v>قطعه نو</v>
          </cell>
          <cell r="O15">
            <v>7605</v>
          </cell>
          <cell r="AD15" t="str">
            <v>8:00الی18:00</v>
          </cell>
        </row>
        <row r="16">
          <cell r="B16" t="str">
            <v>دستگاه پشم فلز چینی</v>
          </cell>
          <cell r="C16" t="str">
            <v>قطعه نو</v>
          </cell>
          <cell r="O16">
            <v>7602</v>
          </cell>
          <cell r="AD16" t="str">
            <v>14:00الی18:00</v>
          </cell>
        </row>
        <row r="17">
          <cell r="B17" t="str">
            <v>دستگاه ساب جدید</v>
          </cell>
          <cell r="C17" t="str">
            <v>قطعه نو</v>
          </cell>
          <cell r="O17">
            <v>7303</v>
          </cell>
          <cell r="AD17" t="str">
            <v>6:00الی14:00</v>
          </cell>
        </row>
        <row r="18">
          <cell r="B18" t="str">
            <v>دستگاه ساب جدید</v>
          </cell>
          <cell r="C18" t="str">
            <v>قطعه نو</v>
          </cell>
          <cell r="O18">
            <v>7303</v>
          </cell>
          <cell r="AD18" t="str">
            <v>6:00الی14:00</v>
          </cell>
        </row>
        <row r="19">
          <cell r="B19" t="str">
            <v>دستگاه پشم فلز آلمانی</v>
          </cell>
          <cell r="C19" t="str">
            <v>قطعه نو</v>
          </cell>
          <cell r="O19">
            <v>7401</v>
          </cell>
          <cell r="AD19" t="str">
            <v>6:00الی18:00</v>
          </cell>
        </row>
        <row r="20">
          <cell r="B20" t="str">
            <v xml:space="preserve">دستگاه مهر زنی </v>
          </cell>
          <cell r="C20" t="str">
            <v>قطعه نو</v>
          </cell>
          <cell r="O20">
            <v>7401</v>
          </cell>
          <cell r="AD20" t="str">
            <v>6:00الی18:00</v>
          </cell>
        </row>
        <row r="21">
          <cell r="B21" t="str">
            <v>دستگاه پشم فلز آلمانی</v>
          </cell>
          <cell r="C21" t="str">
            <v>قطعه نو</v>
          </cell>
          <cell r="O21">
            <v>7401</v>
          </cell>
          <cell r="AD21" t="str">
            <v>6:00الی18:00</v>
          </cell>
        </row>
        <row r="22">
          <cell r="B22" t="str">
            <v>قالب پخت کلاچ پیکان آرژانتینی</v>
          </cell>
          <cell r="C22" t="str">
            <v>قالب تعمیری</v>
          </cell>
          <cell r="O22">
            <v>7101</v>
          </cell>
          <cell r="AD22" t="str">
            <v>6:00الی12:00</v>
          </cell>
        </row>
        <row r="23">
          <cell r="B23" t="str">
            <v>قالب پخت کلاچ پیکان</v>
          </cell>
          <cell r="C23" t="str">
            <v>قالب تعمیری</v>
          </cell>
          <cell r="O23">
            <v>7101</v>
          </cell>
          <cell r="AD23" t="str">
            <v>12:00الی18:00</v>
          </cell>
        </row>
        <row r="24">
          <cell r="B24" t="str">
            <v>قالب پخت کلاچ پیکان</v>
          </cell>
          <cell r="C24" t="str">
            <v>قالب تعمیری</v>
          </cell>
          <cell r="O24">
            <v>7101</v>
          </cell>
          <cell r="AD24" t="str">
            <v>6:00الی10:30</v>
          </cell>
        </row>
        <row r="25">
          <cell r="B25" t="str">
            <v>قالب پخت کلاچ پیکان</v>
          </cell>
          <cell r="C25" t="str">
            <v>قالب تعمیری</v>
          </cell>
          <cell r="O25">
            <v>7101</v>
          </cell>
          <cell r="AD25" t="str">
            <v>13:30الی18:00</v>
          </cell>
        </row>
        <row r="26">
          <cell r="B26" t="str">
            <v>قالب خشاب زنی</v>
          </cell>
          <cell r="C26" t="str">
            <v>قطعه تعمیری</v>
          </cell>
          <cell r="O26">
            <v>7301</v>
          </cell>
          <cell r="AD26" t="str">
            <v>6:00الی18:00</v>
          </cell>
        </row>
        <row r="27">
          <cell r="B27" t="str">
            <v>دستگاه پرس پخت</v>
          </cell>
          <cell r="C27" t="str">
            <v>قطعه تعمیری</v>
          </cell>
          <cell r="O27">
            <v>7301</v>
          </cell>
          <cell r="AD27" t="str">
            <v>6:00الی18:00</v>
          </cell>
        </row>
        <row r="28">
          <cell r="B28" t="str">
            <v>پخت کلاچ پراید</v>
          </cell>
          <cell r="C28" t="str">
            <v>قالب تعمیری</v>
          </cell>
          <cell r="O28">
            <v>7502</v>
          </cell>
          <cell r="AD28" t="str">
            <v>6:00الی18:00</v>
          </cell>
        </row>
        <row r="29">
          <cell r="B29" t="str">
            <v>قالب شیم پژو 405</v>
          </cell>
          <cell r="C29" t="str">
            <v>قالب تعمیری</v>
          </cell>
          <cell r="O29">
            <v>7502</v>
          </cell>
          <cell r="AD29" t="str">
            <v>6:00الی18:00</v>
          </cell>
        </row>
        <row r="30">
          <cell r="B30" t="str">
            <v>پخت عقب پژو 405 شمشی پایه کوتاه</v>
          </cell>
          <cell r="C30" t="str">
            <v>قالب نو</v>
          </cell>
          <cell r="O30">
            <v>7502</v>
          </cell>
          <cell r="AD30" t="str">
            <v>6:00الی18:00</v>
          </cell>
        </row>
        <row r="31">
          <cell r="B31" t="str">
            <v>دستگاه پشم فلز آلمانی</v>
          </cell>
          <cell r="C31" t="str">
            <v>قطعه نو</v>
          </cell>
          <cell r="O31">
            <v>7601</v>
          </cell>
          <cell r="AD31" t="str">
            <v>6:00الی18:00</v>
          </cell>
        </row>
        <row r="32">
          <cell r="B32" t="str">
            <v>دستگاه پشم فلز آلمانی</v>
          </cell>
          <cell r="C32" t="str">
            <v>قطعه نو</v>
          </cell>
          <cell r="O32">
            <v>7602</v>
          </cell>
          <cell r="AD32" t="str">
            <v>6:00الی18:00</v>
          </cell>
        </row>
        <row r="33">
          <cell r="B33" t="str">
            <v>قالب پراید خاردار</v>
          </cell>
          <cell r="C33" t="str">
            <v>قالب تعمیری</v>
          </cell>
          <cell r="O33">
            <v>7603</v>
          </cell>
          <cell r="AD33" t="str">
            <v>6:00الی18:00</v>
          </cell>
        </row>
        <row r="34">
          <cell r="B34" t="str">
            <v>دستگاه پشم فلز چینی</v>
          </cell>
          <cell r="C34" t="str">
            <v>قطعه نو</v>
          </cell>
          <cell r="O34">
            <v>7605</v>
          </cell>
          <cell r="AD34" t="str">
            <v>6:00الی18:00</v>
          </cell>
        </row>
        <row r="35">
          <cell r="B35" t="str">
            <v>دستگاه ساب جدید</v>
          </cell>
          <cell r="C35" t="str">
            <v>قطعه نو</v>
          </cell>
          <cell r="O35">
            <v>7303</v>
          </cell>
          <cell r="AD35" t="str">
            <v>6:00الی12:00</v>
          </cell>
        </row>
        <row r="36">
          <cell r="B36" t="str">
            <v>ویوینگ</v>
          </cell>
          <cell r="C36" t="str">
            <v>قطعه نو</v>
          </cell>
          <cell r="O36">
            <v>7303</v>
          </cell>
          <cell r="AD36" t="str">
            <v>6:00الی12:00</v>
          </cell>
        </row>
        <row r="37">
          <cell r="B37" t="str">
            <v>قالب شیم پژو 405</v>
          </cell>
          <cell r="C37" t="str">
            <v>قالب تعمیری</v>
          </cell>
          <cell r="O37" t="str">
            <v>مونتاژ</v>
          </cell>
          <cell r="AD37" t="str">
            <v>6:00الی18:00</v>
          </cell>
        </row>
        <row r="38">
          <cell r="B38" t="str">
            <v>پخت کلاچ پژو 206 TU5</v>
          </cell>
          <cell r="C38" t="str">
            <v>قالب تعمیری</v>
          </cell>
          <cell r="O38" t="str">
            <v>مونتاژ</v>
          </cell>
          <cell r="AD38" t="str">
            <v>6:00الی18:00</v>
          </cell>
        </row>
        <row r="39">
          <cell r="B39" t="str">
            <v>ابزار زنی</v>
          </cell>
          <cell r="C39" t="str">
            <v>قطعه نو</v>
          </cell>
          <cell r="O39">
            <v>7302</v>
          </cell>
          <cell r="AD39" t="str">
            <v>6:00الی18:00</v>
          </cell>
        </row>
        <row r="40">
          <cell r="B40" t="str">
            <v>دستگاه ساب سمباده ای</v>
          </cell>
          <cell r="C40" t="str">
            <v>قطعه تعمیری</v>
          </cell>
          <cell r="O40">
            <v>7302</v>
          </cell>
          <cell r="AD40" t="str">
            <v>6:00الی18:00</v>
          </cell>
        </row>
        <row r="41">
          <cell r="B41" t="str">
            <v>دستگاه پرس 600 تن</v>
          </cell>
          <cell r="C41" t="str">
            <v>قطعه نو</v>
          </cell>
          <cell r="O41">
            <v>7302</v>
          </cell>
          <cell r="AD41" t="str">
            <v>6:00الی18:00</v>
          </cell>
        </row>
        <row r="42">
          <cell r="B42" t="str">
            <v>دستگاه سوراخکاری کلاچ</v>
          </cell>
          <cell r="C42" t="str">
            <v>قطعه تعمیری</v>
          </cell>
          <cell r="O42">
            <v>7302</v>
          </cell>
          <cell r="AD42" t="str">
            <v>6:00الی18:00</v>
          </cell>
        </row>
        <row r="43">
          <cell r="B43" t="str">
            <v>قالب پخت کلاچ پیکان</v>
          </cell>
          <cell r="C43" t="str">
            <v>قالب تعمیری</v>
          </cell>
          <cell r="O43">
            <v>7302</v>
          </cell>
          <cell r="AD43" t="str">
            <v>6:00الی18:00</v>
          </cell>
        </row>
        <row r="44">
          <cell r="B44" t="str">
            <v>پخت کلاچ پژو 206 TU5</v>
          </cell>
          <cell r="C44" t="str">
            <v>قالب تعمیری</v>
          </cell>
          <cell r="O44" t="str">
            <v>مونتاژ</v>
          </cell>
          <cell r="AD44" t="str">
            <v>6:00الی18:00</v>
          </cell>
        </row>
        <row r="45">
          <cell r="B45" t="str">
            <v>دستگاه ساب جدید</v>
          </cell>
          <cell r="C45" t="str">
            <v>قطعه نو</v>
          </cell>
          <cell r="O45" t="str">
            <v>مونتاژ</v>
          </cell>
          <cell r="AD45" t="str">
            <v>6:00الی18:00</v>
          </cell>
        </row>
        <row r="46">
          <cell r="B46" t="str">
            <v>دستگاه پشم فلز آلمانی</v>
          </cell>
          <cell r="C46" t="str">
            <v>قطعه نو</v>
          </cell>
          <cell r="O46">
            <v>7401</v>
          </cell>
          <cell r="AD46" t="str">
            <v>6:00الی18:00</v>
          </cell>
        </row>
        <row r="47">
          <cell r="B47" t="str">
            <v>قالب پخت کلاچ پیکان</v>
          </cell>
          <cell r="C47" t="str">
            <v>قالب تعمیری</v>
          </cell>
          <cell r="O47">
            <v>7202</v>
          </cell>
          <cell r="AD47" t="str">
            <v>6:00الی14:00</v>
          </cell>
        </row>
        <row r="48">
          <cell r="B48" t="str">
            <v>قالب پخت کلاچ پژو 405</v>
          </cell>
          <cell r="C48" t="str">
            <v>قالب تعمیری</v>
          </cell>
          <cell r="O48">
            <v>7103</v>
          </cell>
          <cell r="AD48" t="str">
            <v>7:00الی14:00</v>
          </cell>
        </row>
        <row r="49">
          <cell r="B49" t="str">
            <v>قالب پخت کلاچ پیکان</v>
          </cell>
          <cell r="C49" t="str">
            <v>قالب تعمیری</v>
          </cell>
          <cell r="O49">
            <v>7203</v>
          </cell>
          <cell r="AD49" t="str">
            <v>6:00الی14:00</v>
          </cell>
        </row>
        <row r="50">
          <cell r="B50" t="str">
            <v>پخت کلاچ پراید</v>
          </cell>
          <cell r="C50" t="str">
            <v>قالب تعمیری</v>
          </cell>
          <cell r="O50">
            <v>7101</v>
          </cell>
          <cell r="AD50" t="str">
            <v>6:00الی13:00</v>
          </cell>
        </row>
        <row r="51">
          <cell r="B51" t="str">
            <v>همزن مواد</v>
          </cell>
          <cell r="C51" t="str">
            <v>قطعه تعمیری</v>
          </cell>
          <cell r="O51">
            <v>7101</v>
          </cell>
          <cell r="AD51" t="str">
            <v>13:00الی14:00</v>
          </cell>
        </row>
        <row r="52">
          <cell r="B52" t="str">
            <v>پخت عقب پژو 405 شمشی پایه کوتاه</v>
          </cell>
          <cell r="C52" t="str">
            <v>قالب نو</v>
          </cell>
          <cell r="O52">
            <v>7502</v>
          </cell>
          <cell r="AD52" t="str">
            <v>6:00الی12:00</v>
          </cell>
        </row>
        <row r="53">
          <cell r="B53" t="str">
            <v>پخت کلاچ پراید</v>
          </cell>
          <cell r="C53" t="str">
            <v>قالب تعمیری</v>
          </cell>
          <cell r="O53">
            <v>7502</v>
          </cell>
          <cell r="AD53" t="str">
            <v>12:00الی13:00</v>
          </cell>
        </row>
        <row r="54">
          <cell r="B54" t="str">
            <v>اصول 5S</v>
          </cell>
          <cell r="C54" t="str">
            <v>نظافت</v>
          </cell>
          <cell r="O54" t="str">
            <v>نظافت</v>
          </cell>
          <cell r="AD54" t="str">
            <v>13:00الی14:00</v>
          </cell>
        </row>
        <row r="55">
          <cell r="B55" t="str">
            <v>دستگاه شیرینگ</v>
          </cell>
          <cell r="C55" t="str">
            <v>قطعه نو</v>
          </cell>
          <cell r="O55">
            <v>7302</v>
          </cell>
          <cell r="AD55" t="str">
            <v>6:00الی14:00</v>
          </cell>
        </row>
        <row r="56">
          <cell r="B56" t="str">
            <v>ساب کونیک</v>
          </cell>
          <cell r="C56" t="str">
            <v>قطعه نو</v>
          </cell>
          <cell r="O56">
            <v>7302</v>
          </cell>
          <cell r="AD56" t="str">
            <v>6:00الی14:00</v>
          </cell>
        </row>
        <row r="57">
          <cell r="B57" t="str">
            <v>اصول 5S</v>
          </cell>
          <cell r="C57" t="str">
            <v>نظافت</v>
          </cell>
          <cell r="O57" t="str">
            <v>نظافت</v>
          </cell>
          <cell r="AD57" t="str">
            <v>6:00الی14:00</v>
          </cell>
        </row>
        <row r="58">
          <cell r="B58" t="str">
            <v>ویوینگ</v>
          </cell>
          <cell r="C58" t="str">
            <v>قطعه نو</v>
          </cell>
          <cell r="O58">
            <v>7303</v>
          </cell>
          <cell r="AD58" t="str">
            <v>6:00الی10:30</v>
          </cell>
        </row>
        <row r="59">
          <cell r="B59" t="str">
            <v>دستگاه پشم فلز آلمانی</v>
          </cell>
          <cell r="C59" t="str">
            <v>قطعه نو</v>
          </cell>
          <cell r="O59">
            <v>7601</v>
          </cell>
          <cell r="AD59" t="str">
            <v>6:00الی9:00</v>
          </cell>
        </row>
        <row r="60">
          <cell r="B60" t="str">
            <v>ساب کلاچ</v>
          </cell>
          <cell r="C60" t="str">
            <v>قطعه نو</v>
          </cell>
          <cell r="O60">
            <v>7601</v>
          </cell>
          <cell r="AD60" t="str">
            <v>9:00الی14:00</v>
          </cell>
        </row>
        <row r="61">
          <cell r="B61" t="str">
            <v>ویوینگ</v>
          </cell>
          <cell r="C61" t="str">
            <v>قطعه تعمیری</v>
          </cell>
          <cell r="O61">
            <v>7602</v>
          </cell>
          <cell r="AD61" t="str">
            <v>6:00الی14:00</v>
          </cell>
        </row>
        <row r="62">
          <cell r="B62" t="str">
            <v>قالب پراید خاردار</v>
          </cell>
          <cell r="C62" t="str">
            <v>قالب تعمیری</v>
          </cell>
          <cell r="O62">
            <v>7603</v>
          </cell>
          <cell r="AD62" t="str">
            <v>6:00الی14:00</v>
          </cell>
        </row>
        <row r="63">
          <cell r="B63" t="str">
            <v>دستگاه پشم فلز چینی</v>
          </cell>
          <cell r="C63" t="str">
            <v>قطعه نو</v>
          </cell>
          <cell r="O63">
            <v>7605</v>
          </cell>
          <cell r="AD63" t="str">
            <v>6:00الی14:00</v>
          </cell>
        </row>
        <row r="64">
          <cell r="B64" t="str">
            <v>قالب خشاب زنی</v>
          </cell>
          <cell r="C64" t="str">
            <v>قطعه تعمیری</v>
          </cell>
          <cell r="O64">
            <v>7301</v>
          </cell>
          <cell r="AD64" t="str">
            <v>6:00الی14:00</v>
          </cell>
        </row>
        <row r="65">
          <cell r="B65" t="str">
            <v>ساب کونیک</v>
          </cell>
          <cell r="C65" t="str">
            <v>قطعه نو</v>
          </cell>
          <cell r="O65">
            <v>7301</v>
          </cell>
          <cell r="AD65" t="str">
            <v>6:00الی14:00</v>
          </cell>
        </row>
        <row r="66">
          <cell r="B66" t="str">
            <v>همزن مواد</v>
          </cell>
          <cell r="C66" t="str">
            <v>قطعه تعمیری</v>
          </cell>
          <cell r="O66">
            <v>7301</v>
          </cell>
          <cell r="AD66" t="str">
            <v>6:00الی14:00</v>
          </cell>
        </row>
        <row r="67">
          <cell r="B67" t="str">
            <v>قالب پخت کلاچ پیکان</v>
          </cell>
          <cell r="C67" t="str">
            <v>قالب تعمیری</v>
          </cell>
          <cell r="O67">
            <v>7203</v>
          </cell>
          <cell r="AD67" t="str">
            <v>6:00الی13:30</v>
          </cell>
        </row>
        <row r="68">
          <cell r="B68" t="str">
            <v>قالب 309 سوراخدار</v>
          </cell>
          <cell r="C68" t="str">
            <v>قالب تعمیری</v>
          </cell>
          <cell r="O68" t="str">
            <v>دمونتاژ</v>
          </cell>
          <cell r="AD68" t="str">
            <v>6:00الی14:00</v>
          </cell>
        </row>
        <row r="69">
          <cell r="B69" t="str">
            <v>قالب پخت کلاچ پیکان آرژانتینی</v>
          </cell>
          <cell r="C69" t="str">
            <v>قالب تعمیری</v>
          </cell>
          <cell r="O69" t="str">
            <v>مونتاژ</v>
          </cell>
          <cell r="AD69" t="str">
            <v>6:00الی14:00</v>
          </cell>
        </row>
        <row r="70">
          <cell r="B70" t="str">
            <v xml:space="preserve">پخت کلاچ پراید سکو </v>
          </cell>
          <cell r="C70" t="str">
            <v>قالب تعمیری</v>
          </cell>
          <cell r="O70" t="str">
            <v>دمونتاژ</v>
          </cell>
          <cell r="AD70" t="str">
            <v>6:00الی14:00</v>
          </cell>
        </row>
        <row r="71">
          <cell r="B71" t="str">
            <v>اصول 5S</v>
          </cell>
          <cell r="C71" t="str">
            <v>نظافت</v>
          </cell>
          <cell r="O71" t="str">
            <v>نظافت</v>
          </cell>
          <cell r="AD71" t="str">
            <v>6:00الی14:00</v>
          </cell>
        </row>
        <row r="72">
          <cell r="B72" t="str">
            <v>قالب 309 سوراخدار</v>
          </cell>
          <cell r="C72" t="str">
            <v>قالب تعمیری</v>
          </cell>
          <cell r="O72" t="str">
            <v>دمونتاژ</v>
          </cell>
          <cell r="AD72" t="str">
            <v>6:00الی14:00</v>
          </cell>
        </row>
        <row r="73">
          <cell r="B73" t="str">
            <v>قالب پخت کلاچ پیکان آرژانتینی</v>
          </cell>
          <cell r="C73" t="str">
            <v>قالب تعمیری</v>
          </cell>
          <cell r="O73" t="str">
            <v>مونتاژ</v>
          </cell>
          <cell r="AD73" t="str">
            <v>6:00الی14:00</v>
          </cell>
        </row>
        <row r="74">
          <cell r="B74" t="str">
            <v xml:space="preserve">پخت کلاچ پراید سکو </v>
          </cell>
          <cell r="C74" t="str">
            <v>قالب تعمیری</v>
          </cell>
          <cell r="O74" t="str">
            <v>دمونتاژ</v>
          </cell>
          <cell r="AD74" t="str">
            <v>6:00الی14:00</v>
          </cell>
        </row>
        <row r="75">
          <cell r="B75" t="str">
            <v>اصول 5S</v>
          </cell>
          <cell r="C75" t="str">
            <v>نظافت</v>
          </cell>
          <cell r="O75" t="str">
            <v>نظافت</v>
          </cell>
          <cell r="AD75" t="str">
            <v>6:00الی14:00</v>
          </cell>
        </row>
        <row r="76">
          <cell r="B76" t="str">
            <v>قالب پخت کلاچ پیکان آرژانتینی</v>
          </cell>
          <cell r="C76" t="str">
            <v>قالب تعمیری</v>
          </cell>
          <cell r="O76">
            <v>7102</v>
          </cell>
          <cell r="AD76" t="str">
            <v>6:00الی18:00</v>
          </cell>
        </row>
        <row r="77">
          <cell r="B77" t="str">
            <v>برش جمعی عقب ریو</v>
          </cell>
          <cell r="C77" t="str">
            <v>قطعه نو</v>
          </cell>
          <cell r="O77">
            <v>7301</v>
          </cell>
          <cell r="AD77" t="str">
            <v>6:00الی18:00</v>
          </cell>
        </row>
        <row r="78">
          <cell r="B78" t="str">
            <v>دستگاه پشم فلز</v>
          </cell>
          <cell r="C78" t="str">
            <v>قطعه تعمیری</v>
          </cell>
          <cell r="O78">
            <v>7103</v>
          </cell>
          <cell r="AD78" t="str">
            <v>7:00الی14:00</v>
          </cell>
        </row>
        <row r="79">
          <cell r="B79" t="str">
            <v>قالب 309 سوراخدار</v>
          </cell>
          <cell r="C79" t="str">
            <v>قالب تعمیری</v>
          </cell>
          <cell r="O79">
            <v>7202</v>
          </cell>
          <cell r="AD79" t="str">
            <v>6:00الی18:00</v>
          </cell>
        </row>
        <row r="80">
          <cell r="B80" t="str">
            <v>پین عقب پژو 405</v>
          </cell>
          <cell r="C80" t="str">
            <v>قطعه نو</v>
          </cell>
          <cell r="O80">
            <v>8002</v>
          </cell>
          <cell r="AD80" t="str">
            <v>6:00الی14:00</v>
          </cell>
        </row>
        <row r="81">
          <cell r="B81" t="str">
            <v>قالب پخت کلاچ پیکان</v>
          </cell>
          <cell r="C81" t="str">
            <v>قالب تعمیری</v>
          </cell>
          <cell r="O81">
            <v>7203</v>
          </cell>
          <cell r="AD81" t="str">
            <v>6:00الی14:00</v>
          </cell>
        </row>
        <row r="82">
          <cell r="B82" t="str">
            <v>قالب جلو ریو</v>
          </cell>
          <cell r="C82" t="str">
            <v>قالب تعمیری</v>
          </cell>
          <cell r="O82">
            <v>7203</v>
          </cell>
          <cell r="AD82" t="str">
            <v>14:00الی18:00</v>
          </cell>
        </row>
        <row r="83">
          <cell r="B83" t="str">
            <v>پخت کلاچ پراید</v>
          </cell>
          <cell r="C83" t="str">
            <v>قالب تعمیری</v>
          </cell>
          <cell r="O83">
            <v>7101</v>
          </cell>
          <cell r="AD83" t="str">
            <v>6:00الی10:00</v>
          </cell>
        </row>
        <row r="84">
          <cell r="B84" t="str">
            <v>پخت کلاچ پراید</v>
          </cell>
          <cell r="C84" t="str">
            <v>قالب تعمیری</v>
          </cell>
          <cell r="O84">
            <v>7101</v>
          </cell>
          <cell r="AD84" t="str">
            <v>10:00الی18:00</v>
          </cell>
        </row>
        <row r="85">
          <cell r="B85" t="str">
            <v>پخت کلاچ پراید</v>
          </cell>
          <cell r="C85" t="str">
            <v>قالب تعمیری</v>
          </cell>
          <cell r="O85">
            <v>7502</v>
          </cell>
          <cell r="AD85" t="str">
            <v>6:00الی18:00</v>
          </cell>
        </row>
        <row r="86">
          <cell r="B86" t="str">
            <v>پخت کلاچ پراید</v>
          </cell>
          <cell r="C86" t="str">
            <v>قالب تعمیری</v>
          </cell>
          <cell r="O86">
            <v>7502</v>
          </cell>
          <cell r="AD86" t="str">
            <v>6:00الی18:00</v>
          </cell>
        </row>
        <row r="87">
          <cell r="B87" t="str">
            <v>قالب پخت کلاچ پژو 405</v>
          </cell>
          <cell r="C87" t="str">
            <v>قالب تعمیری</v>
          </cell>
          <cell r="O87">
            <v>7502</v>
          </cell>
          <cell r="AD87" t="str">
            <v>6:00الی18:00</v>
          </cell>
        </row>
        <row r="88">
          <cell r="B88" t="str">
            <v>پخت کلاچ پراید</v>
          </cell>
          <cell r="C88" t="str">
            <v>قالب تعمیری</v>
          </cell>
          <cell r="O88">
            <v>7502</v>
          </cell>
          <cell r="AD88" t="str">
            <v>6:00الی18:00</v>
          </cell>
        </row>
        <row r="89">
          <cell r="B89" t="str">
            <v>قالب پخت کلاچ پژو 405</v>
          </cell>
          <cell r="C89" t="str">
            <v>قالب تعمیری</v>
          </cell>
          <cell r="O89">
            <v>7502</v>
          </cell>
          <cell r="AD89" t="str">
            <v>6:00الی18:00</v>
          </cell>
        </row>
        <row r="90">
          <cell r="B90" t="str">
            <v>قالب پخت کلاچ پژو 405</v>
          </cell>
          <cell r="C90" t="str">
            <v>قالب تعمیری</v>
          </cell>
          <cell r="O90">
            <v>7502</v>
          </cell>
          <cell r="AD90" t="str">
            <v>6:00الی18:00</v>
          </cell>
        </row>
        <row r="91">
          <cell r="B91" t="str">
            <v>قالب شیم پژو 405</v>
          </cell>
          <cell r="C91" t="str">
            <v>قالب تعمیری</v>
          </cell>
          <cell r="O91">
            <v>7502</v>
          </cell>
          <cell r="AD91" t="str">
            <v>6:00الی18:00</v>
          </cell>
        </row>
        <row r="92">
          <cell r="B92" t="str">
            <v>ساب کونیک</v>
          </cell>
          <cell r="C92" t="str">
            <v>قطعه نو</v>
          </cell>
          <cell r="O92">
            <v>7302</v>
          </cell>
          <cell r="AD92" t="str">
            <v>6:00الی18:00</v>
          </cell>
        </row>
        <row r="93">
          <cell r="B93" t="str">
            <v>پرچ زنی</v>
          </cell>
          <cell r="C93" t="str">
            <v>قطعه تعمیری</v>
          </cell>
          <cell r="O93">
            <v>7302</v>
          </cell>
          <cell r="AD93" t="str">
            <v>6:00الی18:00</v>
          </cell>
        </row>
        <row r="94">
          <cell r="B94" t="str">
            <v>پرس پخت</v>
          </cell>
          <cell r="C94" t="str">
            <v>قطعه تعمیری</v>
          </cell>
          <cell r="O94">
            <v>7302</v>
          </cell>
          <cell r="AD94" t="str">
            <v>6:00الی18:00</v>
          </cell>
        </row>
        <row r="95">
          <cell r="B95" t="str">
            <v>پرس پخت</v>
          </cell>
          <cell r="C95" t="str">
            <v>قطعه تعمیری</v>
          </cell>
          <cell r="O95">
            <v>7302</v>
          </cell>
          <cell r="AD95" t="str">
            <v>6:00الی18:00</v>
          </cell>
        </row>
        <row r="96">
          <cell r="B96" t="str">
            <v>برش جمعی عقب ریو</v>
          </cell>
          <cell r="C96" t="str">
            <v>قطعه نو</v>
          </cell>
          <cell r="O96">
            <v>8001</v>
          </cell>
          <cell r="AD96" t="str">
            <v>6:00الی18:00</v>
          </cell>
        </row>
        <row r="97">
          <cell r="B97" t="str">
            <v>پرس پخت</v>
          </cell>
          <cell r="C97" t="str">
            <v>قطعه تعمیری</v>
          </cell>
          <cell r="O97" t="str">
            <v>مونتاژ</v>
          </cell>
          <cell r="AD97" t="str">
            <v>6:00الی18:00</v>
          </cell>
        </row>
        <row r="98">
          <cell r="B98" t="str">
            <v>پخت کلاچ پژو 206 TU5</v>
          </cell>
          <cell r="C98" t="str">
            <v>قالب تعمیری</v>
          </cell>
          <cell r="O98" t="str">
            <v>مونتاژ</v>
          </cell>
          <cell r="AD98" t="str">
            <v>6:00الی18:00</v>
          </cell>
        </row>
        <row r="99">
          <cell r="B99" t="str">
            <v xml:space="preserve">پخت کلاچ پراید سکو </v>
          </cell>
          <cell r="C99" t="str">
            <v>قالب تعمیری</v>
          </cell>
          <cell r="O99" t="str">
            <v>دمونتاژ</v>
          </cell>
          <cell r="AD99" t="str">
            <v>6:00الی18:00</v>
          </cell>
        </row>
        <row r="100">
          <cell r="B100" t="str">
            <v>دستگاه پشم فلز آلمانی</v>
          </cell>
          <cell r="C100" t="str">
            <v>قطعه نو</v>
          </cell>
          <cell r="O100">
            <v>7401</v>
          </cell>
          <cell r="AD100" t="str">
            <v>6:00الی18:00</v>
          </cell>
        </row>
        <row r="101">
          <cell r="B101" t="str">
            <v>پخت کلاچ پژو 206 TU5</v>
          </cell>
          <cell r="C101" t="str">
            <v>قالب تعمیری</v>
          </cell>
          <cell r="O101" t="str">
            <v>مونتاژ</v>
          </cell>
          <cell r="AD101" t="str">
            <v>6:00الی18:00</v>
          </cell>
        </row>
        <row r="102">
          <cell r="B102" t="str">
            <v xml:space="preserve">پخت کلاچ پراید سکو </v>
          </cell>
          <cell r="C102" t="str">
            <v>قالب تعمیری</v>
          </cell>
          <cell r="O102" t="str">
            <v>دمونتاژ</v>
          </cell>
          <cell r="AD102" t="str">
            <v>6:00الی18:00</v>
          </cell>
        </row>
        <row r="103">
          <cell r="B103" t="str">
            <v>ساب کلاچ</v>
          </cell>
          <cell r="C103" t="str">
            <v>قطعه نو</v>
          </cell>
          <cell r="O103">
            <v>7601</v>
          </cell>
          <cell r="AD103" t="str">
            <v>8:00الی18:00</v>
          </cell>
        </row>
        <row r="104">
          <cell r="B104" t="str">
            <v>ویوینگ</v>
          </cell>
          <cell r="C104" t="str">
            <v>قطعه تعمیری</v>
          </cell>
          <cell r="O104">
            <v>7602</v>
          </cell>
          <cell r="AD104" t="str">
            <v>8:00الی10:00</v>
          </cell>
        </row>
        <row r="105">
          <cell r="B105" t="str">
            <v>قالب پراید خاردار</v>
          </cell>
          <cell r="C105" t="str">
            <v>قالب تعمیری</v>
          </cell>
          <cell r="O105">
            <v>7603</v>
          </cell>
          <cell r="AD105" t="str">
            <v>8:00الی12:00</v>
          </cell>
        </row>
        <row r="106">
          <cell r="B106" t="str">
            <v>ویوینگ</v>
          </cell>
          <cell r="C106" t="str">
            <v>قطعه تعمیری</v>
          </cell>
          <cell r="O106">
            <v>7605</v>
          </cell>
          <cell r="AD106" t="str">
            <v>8:00الی10:00</v>
          </cell>
        </row>
        <row r="107">
          <cell r="B107" t="str">
            <v>قالب پخت کلاچ پیکان آرژانتینی</v>
          </cell>
          <cell r="C107" t="str">
            <v>قالب تعمیری</v>
          </cell>
          <cell r="O107">
            <v>7602</v>
          </cell>
          <cell r="AD107" t="str">
            <v>10:00الی18:00</v>
          </cell>
        </row>
        <row r="108">
          <cell r="B108" t="str">
            <v>ویوینگ</v>
          </cell>
          <cell r="C108" t="str">
            <v>قطعه نو</v>
          </cell>
          <cell r="O108">
            <v>7603</v>
          </cell>
          <cell r="AD108" t="str">
            <v>12:00الی14:00</v>
          </cell>
        </row>
        <row r="109">
          <cell r="B109" t="str">
            <v>دستگاه پشم فلز چینی</v>
          </cell>
          <cell r="C109" t="str">
            <v>قطعه نو</v>
          </cell>
          <cell r="O109">
            <v>7605</v>
          </cell>
          <cell r="AD109" t="str">
            <v>8:00الی18:00</v>
          </cell>
        </row>
        <row r="110">
          <cell r="B110" t="str">
            <v>پین عقب پژو 405</v>
          </cell>
          <cell r="C110" t="str">
            <v>قطعه نو</v>
          </cell>
          <cell r="O110">
            <v>8002</v>
          </cell>
          <cell r="AD110" t="str">
            <v>6:00الی14:00</v>
          </cell>
        </row>
        <row r="111">
          <cell r="B111" t="str">
            <v>قالب پخت کلاچ پیکان</v>
          </cell>
          <cell r="C111" t="str">
            <v>قالب تعمیری</v>
          </cell>
          <cell r="O111">
            <v>7102</v>
          </cell>
          <cell r="AD111" t="str">
            <v>6:00الی14:00</v>
          </cell>
        </row>
        <row r="112">
          <cell r="B112" t="str">
            <v>دستگاه پشم فلز</v>
          </cell>
          <cell r="C112" t="str">
            <v>قطعه تعمیری</v>
          </cell>
          <cell r="O112">
            <v>7103</v>
          </cell>
          <cell r="AD112" t="str">
            <v>7:00الی14:00</v>
          </cell>
        </row>
        <row r="113">
          <cell r="B113" t="str">
            <v>قالب جلو ریو</v>
          </cell>
          <cell r="C113" t="str">
            <v>قالب تعمیری</v>
          </cell>
          <cell r="O113">
            <v>7203</v>
          </cell>
          <cell r="AD113" t="str">
            <v>6:00الی18:00</v>
          </cell>
        </row>
        <row r="114">
          <cell r="B114" t="str">
            <v>قالب 309 سوراخدار</v>
          </cell>
          <cell r="C114" t="str">
            <v>قالب تعمیری</v>
          </cell>
          <cell r="O114">
            <v>7202</v>
          </cell>
          <cell r="AD114" t="str">
            <v>6:00الی12:00</v>
          </cell>
        </row>
        <row r="115">
          <cell r="B115" t="str">
            <v>پخت کلاچ پراید</v>
          </cell>
          <cell r="C115" t="str">
            <v>قالب تعمیری</v>
          </cell>
          <cell r="O115">
            <v>7202</v>
          </cell>
          <cell r="AD115" t="str">
            <v>12:00الی14:00</v>
          </cell>
        </row>
        <row r="116">
          <cell r="B116" t="str">
            <v>پخت کلاچ پراید</v>
          </cell>
          <cell r="C116" t="str">
            <v>قالب تعمیری</v>
          </cell>
          <cell r="O116">
            <v>7101</v>
          </cell>
          <cell r="AD116" t="str">
            <v>6:00الی14:00</v>
          </cell>
        </row>
        <row r="117">
          <cell r="B117" t="str">
            <v>قالب پخت کلاچ پژو 405</v>
          </cell>
          <cell r="C117" t="str">
            <v>قالب تعمیری</v>
          </cell>
          <cell r="O117">
            <v>7101</v>
          </cell>
          <cell r="AD117" t="str">
            <v>14:00الی18:00</v>
          </cell>
        </row>
        <row r="118">
          <cell r="B118" t="str">
            <v>ساب کلاچ</v>
          </cell>
          <cell r="C118" t="str">
            <v>قطعه نو</v>
          </cell>
          <cell r="O118">
            <v>7601</v>
          </cell>
          <cell r="AD118" t="str">
            <v>6:00الی14:00</v>
          </cell>
        </row>
        <row r="119">
          <cell r="B119" t="str">
            <v>Hammer Mill Machine</v>
          </cell>
          <cell r="C119" t="str">
            <v>دستگاه نو</v>
          </cell>
          <cell r="O119">
            <v>7602</v>
          </cell>
          <cell r="AD119" t="str">
            <v>6:00الی18:00</v>
          </cell>
        </row>
        <row r="120">
          <cell r="B120" t="str">
            <v>ساب کونیک</v>
          </cell>
          <cell r="C120" t="str">
            <v>قطعه نو</v>
          </cell>
          <cell r="O120">
            <v>7603</v>
          </cell>
          <cell r="AD120" t="str">
            <v>6:00الی14:00</v>
          </cell>
        </row>
        <row r="121">
          <cell r="B121" t="str">
            <v>دستگاه پشم فلز چینی</v>
          </cell>
          <cell r="C121" t="str">
            <v>قطعه نو</v>
          </cell>
          <cell r="O121">
            <v>7605</v>
          </cell>
          <cell r="AD121" t="str">
            <v>6:00الی18:00</v>
          </cell>
        </row>
        <row r="122">
          <cell r="B122" t="str">
            <v>برش جمعی عقب ریو</v>
          </cell>
          <cell r="C122" t="str">
            <v>قطعه نو</v>
          </cell>
          <cell r="O122">
            <v>7603</v>
          </cell>
          <cell r="AD122" t="str">
            <v>14:00الی18:00</v>
          </cell>
        </row>
        <row r="123">
          <cell r="B123" t="str">
            <v>دستگاه ساب سمباده ای</v>
          </cell>
          <cell r="C123" t="str">
            <v>قطعه تعمیری</v>
          </cell>
          <cell r="O123">
            <v>7301</v>
          </cell>
          <cell r="AD123" t="str">
            <v>6:00الی18:00</v>
          </cell>
        </row>
        <row r="124">
          <cell r="B124" t="str">
            <v>پمپ</v>
          </cell>
          <cell r="C124" t="str">
            <v>قطعه نو</v>
          </cell>
          <cell r="O124">
            <v>7301</v>
          </cell>
          <cell r="AD124" t="str">
            <v>6:00الی18:00</v>
          </cell>
        </row>
        <row r="125">
          <cell r="B125" t="str">
            <v>برش جمعی عقب ریو</v>
          </cell>
          <cell r="C125" t="str">
            <v>قطعه نو</v>
          </cell>
          <cell r="O125">
            <v>7301</v>
          </cell>
          <cell r="AD125" t="str">
            <v>6:00الی18:00</v>
          </cell>
        </row>
        <row r="126">
          <cell r="B126" t="str">
            <v>پخت کلاچ پراید</v>
          </cell>
          <cell r="C126" t="str">
            <v>قالب تعمیری</v>
          </cell>
          <cell r="O126">
            <v>7301</v>
          </cell>
          <cell r="AD126" t="str">
            <v>6:00الی18:00</v>
          </cell>
        </row>
        <row r="127">
          <cell r="B127" t="str">
            <v xml:space="preserve">پخت کلاچ پراید سکو </v>
          </cell>
          <cell r="C127" t="str">
            <v>قالب تعمیری</v>
          </cell>
          <cell r="O127" t="str">
            <v>مونتاژ</v>
          </cell>
          <cell r="AD127" t="str">
            <v>6:00الی18:00</v>
          </cell>
        </row>
        <row r="128">
          <cell r="B128" t="str">
            <v>قالب پخت کلاچ پیکان آرژانتینی</v>
          </cell>
          <cell r="C128" t="str">
            <v>قالب تعمیری</v>
          </cell>
          <cell r="O128" t="str">
            <v>مونتاژ</v>
          </cell>
          <cell r="AD128" t="str">
            <v>6:00الی18:00</v>
          </cell>
        </row>
        <row r="129">
          <cell r="B129" t="str">
            <v>قالب 309 سوراخدار</v>
          </cell>
          <cell r="C129" t="str">
            <v>قالب تعمیری</v>
          </cell>
          <cell r="O129" t="str">
            <v>مونتاژ</v>
          </cell>
          <cell r="AD129" t="str">
            <v>6:00الی18:00</v>
          </cell>
        </row>
        <row r="130">
          <cell r="B130" t="str">
            <v>قالب شیم پژو 405</v>
          </cell>
          <cell r="C130" t="str">
            <v>قالب تعمیری</v>
          </cell>
          <cell r="O130" t="str">
            <v>دمونتاژ</v>
          </cell>
          <cell r="AD130" t="str">
            <v>6:00الی18:00</v>
          </cell>
        </row>
        <row r="131">
          <cell r="B131" t="str">
            <v>قالب پژو 405 دیسکی</v>
          </cell>
          <cell r="C131" t="str">
            <v>قالب تعمیری</v>
          </cell>
          <cell r="O131" t="str">
            <v>دمونتاژ</v>
          </cell>
          <cell r="AD131" t="str">
            <v>6:00الی18:00</v>
          </cell>
        </row>
        <row r="132">
          <cell r="B132" t="str">
            <v>دریل سوراخکاری</v>
          </cell>
          <cell r="C132" t="str">
            <v>قطعه نو</v>
          </cell>
          <cell r="O132">
            <v>7302</v>
          </cell>
          <cell r="AD132" t="str">
            <v>6:00الی18:00</v>
          </cell>
        </row>
        <row r="133">
          <cell r="B133" t="str">
            <v>دریل سوراخکاری</v>
          </cell>
          <cell r="C133" t="str">
            <v>قطعه تعمیری</v>
          </cell>
          <cell r="O133">
            <v>7302</v>
          </cell>
          <cell r="AD133" t="str">
            <v>6:00الی18:00</v>
          </cell>
        </row>
        <row r="134">
          <cell r="B134" t="str">
            <v>دریل سوراخکاری</v>
          </cell>
          <cell r="C134" t="str">
            <v>قطعه تعمیری</v>
          </cell>
          <cell r="O134">
            <v>7302</v>
          </cell>
          <cell r="AD134" t="str">
            <v>6:00الی18:00</v>
          </cell>
        </row>
        <row r="135">
          <cell r="B135" t="str">
            <v>فرز 7103</v>
          </cell>
          <cell r="C135" t="str">
            <v>قطعه نو</v>
          </cell>
          <cell r="O135">
            <v>7302</v>
          </cell>
          <cell r="AD135" t="str">
            <v>6:00الی18:00</v>
          </cell>
        </row>
        <row r="136">
          <cell r="B136" t="str">
            <v xml:space="preserve">پخت کلاچ پراید سکو </v>
          </cell>
          <cell r="C136" t="str">
            <v>قالب تعمیری</v>
          </cell>
          <cell r="O136" t="str">
            <v>مونتاژ</v>
          </cell>
          <cell r="AD136" t="str">
            <v>6:00الی18:00</v>
          </cell>
        </row>
        <row r="137">
          <cell r="B137" t="str">
            <v>قالب پخت کلاچ پیکان آرژانتینی</v>
          </cell>
          <cell r="C137" t="str">
            <v>قالب تعمیری</v>
          </cell>
          <cell r="O137" t="str">
            <v>مونتاژ</v>
          </cell>
          <cell r="AD137" t="str">
            <v>6:00الی18:00</v>
          </cell>
        </row>
        <row r="138">
          <cell r="B138" t="str">
            <v>قالب 309 سوراخدار</v>
          </cell>
          <cell r="C138" t="str">
            <v>قالب تعمیری</v>
          </cell>
          <cell r="O138" t="str">
            <v>مونتاژ</v>
          </cell>
          <cell r="AD138" t="str">
            <v>6:00الی18:00</v>
          </cell>
        </row>
        <row r="139">
          <cell r="B139" t="str">
            <v>قالب پژو 405 دیسکی</v>
          </cell>
          <cell r="C139" t="str">
            <v>قالب تعمیری</v>
          </cell>
          <cell r="O139" t="str">
            <v>دمونتاژ</v>
          </cell>
          <cell r="AD139" t="str">
            <v>6:00الی18:00</v>
          </cell>
        </row>
        <row r="140">
          <cell r="B140" t="str">
            <v>قالب جلو ریو</v>
          </cell>
          <cell r="C140" t="str">
            <v>قالب تعمیری</v>
          </cell>
          <cell r="O140">
            <v>7502</v>
          </cell>
          <cell r="AD140" t="str">
            <v>6:00الی18:00</v>
          </cell>
        </row>
        <row r="141">
          <cell r="B141" t="str">
            <v>قالب پخت کلاچ پیکان آرژانتینی</v>
          </cell>
          <cell r="C141" t="str">
            <v>قالب تعمیری</v>
          </cell>
          <cell r="O141">
            <v>7502</v>
          </cell>
          <cell r="AD141" t="str">
            <v>6:00الی18:00</v>
          </cell>
        </row>
        <row r="142">
          <cell r="B142" t="str">
            <v>پخت عقب پژو 405 شمشی پایه کوتاه</v>
          </cell>
          <cell r="C142" t="str">
            <v>قالب نو</v>
          </cell>
          <cell r="O142">
            <v>7502</v>
          </cell>
          <cell r="AD142" t="str">
            <v>6:00الی18:00</v>
          </cell>
        </row>
        <row r="143">
          <cell r="B143" t="str">
            <v>پخت عقب پژو 405 شمشی پایه کوتاه</v>
          </cell>
          <cell r="C143" t="str">
            <v>قالب نو</v>
          </cell>
          <cell r="O143">
            <v>7502</v>
          </cell>
          <cell r="AD143" t="str">
            <v>6:00الی18:00</v>
          </cell>
        </row>
        <row r="144">
          <cell r="B144" t="str">
            <v>قالب شیم پژو 405</v>
          </cell>
          <cell r="C144" t="str">
            <v>قالب تعمیری</v>
          </cell>
          <cell r="O144">
            <v>7502</v>
          </cell>
          <cell r="AD144" t="str">
            <v>6:00الی18:00</v>
          </cell>
        </row>
        <row r="145">
          <cell r="B145" t="str">
            <v>دستگاه پشم فلز چینی</v>
          </cell>
          <cell r="C145" t="str">
            <v>قطعه نو</v>
          </cell>
          <cell r="O145">
            <v>7502</v>
          </cell>
          <cell r="AD145" t="str">
            <v>6:00الی18:00</v>
          </cell>
        </row>
        <row r="146">
          <cell r="B146" t="str">
            <v>پخت کلاچ پراید</v>
          </cell>
          <cell r="C146" t="str">
            <v>قالب تعمیری</v>
          </cell>
          <cell r="O146">
            <v>7202</v>
          </cell>
          <cell r="AD146" t="str">
            <v>6:00الی18:00</v>
          </cell>
        </row>
        <row r="147">
          <cell r="B147" t="str">
            <v>قالب پخت کلاچ پیکان</v>
          </cell>
          <cell r="C147" t="str">
            <v>قالب تعمیری</v>
          </cell>
          <cell r="O147">
            <v>7203</v>
          </cell>
          <cell r="AD147" t="str">
            <v>6:00الی13:00</v>
          </cell>
        </row>
        <row r="148">
          <cell r="B148" t="str">
            <v>قالب پخت کلاچ پیکان</v>
          </cell>
          <cell r="C148" t="str">
            <v>قالب تعمیری</v>
          </cell>
          <cell r="O148">
            <v>7203</v>
          </cell>
          <cell r="AD148" t="str">
            <v>13:00الی18:00</v>
          </cell>
        </row>
        <row r="149">
          <cell r="B149" t="str">
            <v>پین عقب پژو 405</v>
          </cell>
          <cell r="C149" t="str">
            <v>قطعه نو</v>
          </cell>
          <cell r="O149">
            <v>8002</v>
          </cell>
          <cell r="AD149" t="str">
            <v>6:00الی14:00</v>
          </cell>
        </row>
        <row r="150">
          <cell r="B150" t="str">
            <v>ساب کلاچ</v>
          </cell>
          <cell r="C150" t="str">
            <v>قطعه تعمیری</v>
          </cell>
          <cell r="O150">
            <v>7303</v>
          </cell>
          <cell r="AD150" t="str">
            <v>10:00الی13:00</v>
          </cell>
        </row>
        <row r="151">
          <cell r="B151" t="str">
            <v>قالب پخت کلاچ پژو 405</v>
          </cell>
          <cell r="C151" t="str">
            <v>قالب تعمیری</v>
          </cell>
          <cell r="O151">
            <v>7502</v>
          </cell>
          <cell r="AD151" t="str">
            <v>6:00الی12:00</v>
          </cell>
        </row>
        <row r="152">
          <cell r="B152" t="str">
            <v>قالب پخت کلاچ پژو 405</v>
          </cell>
          <cell r="C152" t="str">
            <v>قالب تعمیری</v>
          </cell>
          <cell r="O152">
            <v>7502</v>
          </cell>
          <cell r="AD152" t="str">
            <v>12:00الی18:00</v>
          </cell>
        </row>
        <row r="153">
          <cell r="B153" t="str">
            <v>دستگاه پشم فلز</v>
          </cell>
          <cell r="C153" t="str">
            <v>قطعه تعمیری</v>
          </cell>
          <cell r="O153">
            <v>7103</v>
          </cell>
          <cell r="AD153" t="str">
            <v>7:00الی8:30</v>
          </cell>
        </row>
        <row r="154">
          <cell r="B154" t="str">
            <v>پخت عقب پژو 405 شمشی پایه کوتاه</v>
          </cell>
          <cell r="C154" t="str">
            <v>قالب نو</v>
          </cell>
          <cell r="O154">
            <v>7103</v>
          </cell>
          <cell r="AD154" t="str">
            <v>8:30الی14:00</v>
          </cell>
        </row>
        <row r="155">
          <cell r="B155" t="str">
            <v>پخت کلاچ پراید</v>
          </cell>
          <cell r="C155" t="str">
            <v>قالب تعمیری</v>
          </cell>
          <cell r="O155">
            <v>7301</v>
          </cell>
          <cell r="AD155" t="str">
            <v>6:00الی16:30</v>
          </cell>
        </row>
        <row r="156">
          <cell r="B156" t="str">
            <v>ویوینگ</v>
          </cell>
          <cell r="C156" t="str">
            <v>قطعه نو</v>
          </cell>
          <cell r="O156">
            <v>7301</v>
          </cell>
          <cell r="AD156" t="str">
            <v>6:00الی16:30</v>
          </cell>
        </row>
        <row r="157">
          <cell r="B157" t="str">
            <v>Hammer Mill Machine</v>
          </cell>
          <cell r="C157" t="str">
            <v>دستگاه نو</v>
          </cell>
          <cell r="O157">
            <v>7301</v>
          </cell>
          <cell r="AD157" t="str">
            <v>6:00الی16:30</v>
          </cell>
        </row>
        <row r="158">
          <cell r="B158" t="str">
            <v>Hammer Mill Machine</v>
          </cell>
          <cell r="C158" t="str">
            <v>دستگاه نو</v>
          </cell>
          <cell r="O158">
            <v>7601</v>
          </cell>
          <cell r="AD158" t="str">
            <v>6:00الی18:00</v>
          </cell>
        </row>
        <row r="159">
          <cell r="B159" t="str">
            <v>Hammer Mill Machine</v>
          </cell>
          <cell r="C159" t="str">
            <v>دستگاه نو</v>
          </cell>
          <cell r="O159">
            <v>7602</v>
          </cell>
          <cell r="AD159" t="str">
            <v>6:00الی18:00</v>
          </cell>
        </row>
        <row r="160">
          <cell r="B160" t="str">
            <v>Hammer Mill Machine</v>
          </cell>
          <cell r="C160" t="str">
            <v>دستگاه نو</v>
          </cell>
          <cell r="O160">
            <v>7605</v>
          </cell>
          <cell r="AD160" t="str">
            <v>6:00الی18:00</v>
          </cell>
        </row>
        <row r="161">
          <cell r="B161" t="str">
            <v>دستگاه پشم فلز چینی</v>
          </cell>
          <cell r="C161" t="str">
            <v>قطعه نو</v>
          </cell>
          <cell r="O161">
            <v>7603</v>
          </cell>
          <cell r="AD161" t="str">
            <v>9:00الی18:00</v>
          </cell>
        </row>
        <row r="162">
          <cell r="B162" t="str">
            <v>برش جمعی عقب ریو</v>
          </cell>
          <cell r="C162" t="str">
            <v>قطعه نو</v>
          </cell>
          <cell r="O162">
            <v>7603</v>
          </cell>
          <cell r="AD162" t="str">
            <v>6:00الی9:00</v>
          </cell>
        </row>
        <row r="163">
          <cell r="B163" t="str">
            <v>قالب جلو ریو</v>
          </cell>
          <cell r="C163" t="str">
            <v>قالب تعمیری</v>
          </cell>
          <cell r="O163">
            <v>7401</v>
          </cell>
          <cell r="AD163" t="str">
            <v>6:00الی18:00</v>
          </cell>
        </row>
        <row r="164">
          <cell r="B164" t="str">
            <v>دستگاه پشم فلز</v>
          </cell>
          <cell r="C164" t="str">
            <v>قطعه تعمیری</v>
          </cell>
          <cell r="O164" t="str">
            <v>مونتاژ</v>
          </cell>
          <cell r="AD164" t="str">
            <v>6:00الی18:00</v>
          </cell>
        </row>
        <row r="165">
          <cell r="B165" t="str">
            <v>قالب شیم پژو 405</v>
          </cell>
          <cell r="C165" t="str">
            <v>قالب نو</v>
          </cell>
          <cell r="O165" t="str">
            <v>مونتاژ</v>
          </cell>
          <cell r="AD165" t="str">
            <v>6:00الی18:00</v>
          </cell>
        </row>
        <row r="166">
          <cell r="B166" t="str">
            <v>لیفتراک</v>
          </cell>
          <cell r="C166" t="str">
            <v>قطعه تعمیری</v>
          </cell>
          <cell r="O166">
            <v>7302</v>
          </cell>
          <cell r="AD166" t="str">
            <v>6:00الی18:00</v>
          </cell>
        </row>
        <row r="167">
          <cell r="B167" t="str">
            <v>لیفتراک</v>
          </cell>
          <cell r="C167" t="str">
            <v>قطعه تعمیری</v>
          </cell>
          <cell r="O167">
            <v>7302</v>
          </cell>
          <cell r="AD167" t="str">
            <v>6:00الی18:00</v>
          </cell>
        </row>
        <row r="168">
          <cell r="B168" t="str">
            <v>قالب پخت کلاچ پیکان آرژانتینی</v>
          </cell>
          <cell r="C168" t="str">
            <v>قالب تعمیری</v>
          </cell>
          <cell r="O168">
            <v>7302</v>
          </cell>
          <cell r="AD168" t="str">
            <v>6:00الی18:00</v>
          </cell>
        </row>
        <row r="169">
          <cell r="B169" t="str">
            <v>ویوینگ</v>
          </cell>
          <cell r="C169" t="str">
            <v>قطعه تعمیری</v>
          </cell>
          <cell r="O169">
            <v>7401</v>
          </cell>
          <cell r="AD169" t="str">
            <v>6:00الی18:00</v>
          </cell>
        </row>
        <row r="170">
          <cell r="B170" t="str">
            <v>لیفتراک</v>
          </cell>
          <cell r="C170" t="str">
            <v>قطعه تعمیری</v>
          </cell>
          <cell r="O170" t="str">
            <v>مونتاژ</v>
          </cell>
          <cell r="AD170" t="str">
            <v>6:00الی18:00</v>
          </cell>
        </row>
        <row r="171">
          <cell r="B171" t="str">
            <v>قالب پژو 405 دیسکی</v>
          </cell>
          <cell r="C171" t="str">
            <v>قالب تعمیری</v>
          </cell>
          <cell r="O171" t="str">
            <v>دمونتاژ</v>
          </cell>
          <cell r="AD171" t="str">
            <v>6:00الی18:00</v>
          </cell>
        </row>
        <row r="172">
          <cell r="B172" t="str">
            <v>قالب پژو 405 دیسکی</v>
          </cell>
          <cell r="C172" t="str">
            <v>قالب تعمیری</v>
          </cell>
          <cell r="O172">
            <v>7401</v>
          </cell>
          <cell r="AD172" t="str">
            <v>6:00الی18:00</v>
          </cell>
        </row>
        <row r="173">
          <cell r="B173" t="str">
            <v>قالب پخت کلاچ پیکان</v>
          </cell>
          <cell r="C173" t="str">
            <v>قالب تعمیری</v>
          </cell>
          <cell r="O173" t="str">
            <v>مونتاژ</v>
          </cell>
          <cell r="AD173" t="str">
            <v>6:00الی18:00</v>
          </cell>
        </row>
        <row r="174">
          <cell r="B174" t="str">
            <v>پخت کلاچ پراید</v>
          </cell>
          <cell r="C174" t="str">
            <v>قالب تعمیری</v>
          </cell>
          <cell r="O174">
            <v>7102</v>
          </cell>
          <cell r="AD174" t="str">
            <v>6:00الی18:00</v>
          </cell>
        </row>
        <row r="175">
          <cell r="B175" t="str">
            <v>پخت کلاچ پراید</v>
          </cell>
          <cell r="C175" t="str">
            <v>قالب تعمیری</v>
          </cell>
          <cell r="O175">
            <v>7102</v>
          </cell>
          <cell r="AD175" t="str">
            <v>9:30الی18:00</v>
          </cell>
        </row>
        <row r="176">
          <cell r="B176" t="str">
            <v>پین عقب پژو 405</v>
          </cell>
          <cell r="C176" t="str">
            <v>قطعه نو</v>
          </cell>
          <cell r="O176">
            <v>8002</v>
          </cell>
          <cell r="AD176" t="str">
            <v>6:00الی14:00</v>
          </cell>
        </row>
        <row r="177">
          <cell r="B177" t="str">
            <v>پخت عقب پژو 405 شمشی پایه کوتاه</v>
          </cell>
          <cell r="C177" t="str">
            <v>قالب نو</v>
          </cell>
          <cell r="O177">
            <v>7103</v>
          </cell>
          <cell r="AD177" t="str">
            <v>7:00الی14:00</v>
          </cell>
        </row>
        <row r="178">
          <cell r="B178" t="str">
            <v>قالب عقب F12</v>
          </cell>
          <cell r="C178" t="str">
            <v>قالب تعمیری</v>
          </cell>
          <cell r="O178">
            <v>7101</v>
          </cell>
          <cell r="AD178" t="str">
            <v>6:00الی18:00</v>
          </cell>
        </row>
        <row r="179">
          <cell r="B179" t="str">
            <v>Hammer Mill Machine</v>
          </cell>
          <cell r="C179" t="str">
            <v>دستگاه نو</v>
          </cell>
          <cell r="O179">
            <v>7301</v>
          </cell>
          <cell r="AD179" t="str">
            <v>6:00الی18:00</v>
          </cell>
        </row>
        <row r="180">
          <cell r="B180" t="str">
            <v>پخت کلاچ پراید</v>
          </cell>
          <cell r="C180" t="str">
            <v>قالب تعمیری</v>
          </cell>
          <cell r="O180">
            <v>7202</v>
          </cell>
          <cell r="AD180" t="str">
            <v>6:00الی8:00</v>
          </cell>
        </row>
        <row r="181">
          <cell r="B181" t="str">
            <v>قالب 309 سوراخدار</v>
          </cell>
          <cell r="C181" t="str">
            <v>قالب تعمیری</v>
          </cell>
          <cell r="O181">
            <v>7202</v>
          </cell>
          <cell r="AD181" t="str">
            <v>8:00الی11:30</v>
          </cell>
        </row>
        <row r="182">
          <cell r="B182" t="str">
            <v>قالب پخت کلاچ پژو 405</v>
          </cell>
          <cell r="C182" t="str">
            <v>قالب تعمیری</v>
          </cell>
          <cell r="O182">
            <v>7202</v>
          </cell>
          <cell r="AD182" t="str">
            <v>11:30الی18:00</v>
          </cell>
        </row>
        <row r="183">
          <cell r="B183" t="str">
            <v>قالب پخت کلاچ پیکان</v>
          </cell>
          <cell r="C183" t="str">
            <v>قالب تعمیری</v>
          </cell>
          <cell r="O183">
            <v>7203</v>
          </cell>
          <cell r="AD183" t="str">
            <v>6:00الی13:00</v>
          </cell>
        </row>
        <row r="184">
          <cell r="B184" t="str">
            <v>پخت کلاچ پراید</v>
          </cell>
          <cell r="C184" t="str">
            <v>قالب تعمیری</v>
          </cell>
          <cell r="O184">
            <v>7203</v>
          </cell>
          <cell r="AD184" t="str">
            <v>13:00الی18:00</v>
          </cell>
        </row>
        <row r="185">
          <cell r="B185" t="str">
            <v>Hammer Mill Machine</v>
          </cell>
          <cell r="C185" t="str">
            <v>دستگاه نو</v>
          </cell>
          <cell r="O185">
            <v>7601</v>
          </cell>
          <cell r="AD185" t="str">
            <v>6:00الی16:00</v>
          </cell>
        </row>
        <row r="186">
          <cell r="B186" t="str">
            <v>Hammer Mill Machine</v>
          </cell>
          <cell r="C186" t="str">
            <v>دستگاه نو</v>
          </cell>
          <cell r="O186">
            <v>7602</v>
          </cell>
          <cell r="AD186" t="str">
            <v>6:00الی16:00</v>
          </cell>
        </row>
        <row r="187">
          <cell r="B187" t="str">
            <v>Hammer Mill Machine</v>
          </cell>
          <cell r="C187" t="str">
            <v>دستگاه نو</v>
          </cell>
          <cell r="O187">
            <v>7605</v>
          </cell>
          <cell r="AD187" t="str">
            <v>6:00الی16:00</v>
          </cell>
        </row>
        <row r="188">
          <cell r="B188" t="str">
            <v>دستگاه پشم فلز چینی</v>
          </cell>
          <cell r="C188" t="str">
            <v>قطعه نو</v>
          </cell>
          <cell r="O188">
            <v>7603</v>
          </cell>
          <cell r="AD188" t="str">
            <v>6:00الی14:00</v>
          </cell>
        </row>
        <row r="189">
          <cell r="B189" t="str">
            <v>قالب پژو 405 دیسکی</v>
          </cell>
          <cell r="C189" t="str">
            <v>قالب تعمیری</v>
          </cell>
          <cell r="O189">
            <v>7603</v>
          </cell>
          <cell r="AD189" t="str">
            <v>14:00الی18:00</v>
          </cell>
        </row>
        <row r="190">
          <cell r="B190" t="str">
            <v>قالب پخت کلاچ پژو 405</v>
          </cell>
          <cell r="C190" t="str">
            <v>قالب تعمیری</v>
          </cell>
          <cell r="O190">
            <v>7102</v>
          </cell>
          <cell r="AD190" t="str">
            <v>6:00الی18:00</v>
          </cell>
        </row>
        <row r="191">
          <cell r="B191" t="str">
            <v>قالب شیم پژو 405</v>
          </cell>
          <cell r="C191" t="str">
            <v>قالب تعمیری</v>
          </cell>
          <cell r="O191">
            <v>7502</v>
          </cell>
          <cell r="AD191" t="str">
            <v>6:00الی18:00</v>
          </cell>
        </row>
        <row r="192">
          <cell r="B192" t="str">
            <v>قالب جلو ریو</v>
          </cell>
          <cell r="C192" t="str">
            <v>قالب تعمیری</v>
          </cell>
          <cell r="O192">
            <v>7502</v>
          </cell>
          <cell r="AD192" t="str">
            <v>6:00الی18:00</v>
          </cell>
        </row>
        <row r="193">
          <cell r="B193" t="str">
            <v>قالب پراید خاردار</v>
          </cell>
          <cell r="C193" t="str">
            <v>قالب تعمیری</v>
          </cell>
          <cell r="O193" t="str">
            <v>مونتاژ</v>
          </cell>
          <cell r="AD193" t="str">
            <v>6:00الی18:00</v>
          </cell>
        </row>
        <row r="194">
          <cell r="B194" t="str">
            <v>قالب شیم پژو 405</v>
          </cell>
          <cell r="C194" t="str">
            <v>قالب تعمیری</v>
          </cell>
          <cell r="O194" t="str">
            <v>دمونتاژ</v>
          </cell>
          <cell r="AD194" t="str">
            <v>6:00الی18:00</v>
          </cell>
        </row>
        <row r="195">
          <cell r="B195" t="str">
            <v>قالب جلو ریو</v>
          </cell>
          <cell r="C195" t="str">
            <v>قالب تعمیری</v>
          </cell>
          <cell r="O195" t="str">
            <v>مونتاژ</v>
          </cell>
          <cell r="AD195" t="str">
            <v>6:00الی18:00</v>
          </cell>
        </row>
        <row r="196">
          <cell r="B196" t="str">
            <v>قالب پخت کلاچ پیکان</v>
          </cell>
          <cell r="C196" t="str">
            <v>قالب تعمیری</v>
          </cell>
          <cell r="O196" t="str">
            <v>دمونتاژ</v>
          </cell>
          <cell r="AD196" t="str">
            <v>6:00الی18:00</v>
          </cell>
        </row>
        <row r="197">
          <cell r="B197" t="str">
            <v>قالب 309 سوراخدار</v>
          </cell>
          <cell r="C197" t="str">
            <v>قالب تعمیری</v>
          </cell>
          <cell r="O197" t="str">
            <v>مونتاژ</v>
          </cell>
          <cell r="AD197" t="str">
            <v>6:00الی18:00</v>
          </cell>
        </row>
        <row r="198">
          <cell r="B198" t="str">
            <v>قالب جلو ریو</v>
          </cell>
          <cell r="C198" t="str">
            <v>قالب تعمیری</v>
          </cell>
          <cell r="O198" t="str">
            <v>مونتاژ</v>
          </cell>
          <cell r="AD198" t="str">
            <v>6:00الی18:00</v>
          </cell>
        </row>
        <row r="199">
          <cell r="B199" t="str">
            <v>قالب پخت کلاچ پیکان</v>
          </cell>
          <cell r="C199" t="str">
            <v>قالب تعمیری</v>
          </cell>
          <cell r="O199" t="str">
            <v>دمونتاژ</v>
          </cell>
          <cell r="AD199" t="str">
            <v>6:00الی18:00</v>
          </cell>
        </row>
        <row r="200">
          <cell r="B200" t="str">
            <v>قالب 309 سوراخدار</v>
          </cell>
          <cell r="C200" t="str">
            <v>قالب تعمیری</v>
          </cell>
          <cell r="O200" t="str">
            <v>مونتاژ</v>
          </cell>
          <cell r="AD200" t="str">
            <v>6:00الی18:00</v>
          </cell>
        </row>
        <row r="201">
          <cell r="B201" t="str">
            <v>قالب جلو ریو</v>
          </cell>
          <cell r="C201" t="str">
            <v>قالب تعمیری</v>
          </cell>
          <cell r="O201">
            <v>7401</v>
          </cell>
          <cell r="AD201" t="str">
            <v>6:00الی18:00</v>
          </cell>
        </row>
        <row r="202">
          <cell r="B202" t="str">
            <v>پخت کلاچ پراید</v>
          </cell>
          <cell r="C202" t="str">
            <v>قالب تعمیری</v>
          </cell>
          <cell r="O202">
            <v>7203</v>
          </cell>
          <cell r="AD202" t="str">
            <v>6:00الی18:00</v>
          </cell>
        </row>
        <row r="203">
          <cell r="B203" t="str">
            <v>قالب پخت کلاچ پژو 405</v>
          </cell>
          <cell r="C203" t="str">
            <v>قالب تعمیری</v>
          </cell>
          <cell r="O203">
            <v>7202</v>
          </cell>
          <cell r="AD203" t="str">
            <v>6:00الی11:30</v>
          </cell>
        </row>
        <row r="204">
          <cell r="B204" t="str">
            <v>قالب عقب F12</v>
          </cell>
          <cell r="C204" t="str">
            <v>قالب تعمیری</v>
          </cell>
          <cell r="O204">
            <v>7101</v>
          </cell>
          <cell r="AD204" t="str">
            <v>6:00الی16:00</v>
          </cell>
        </row>
        <row r="205">
          <cell r="B205" t="str">
            <v>قالب عقب F12</v>
          </cell>
          <cell r="C205" t="str">
            <v>قالب تعمیری</v>
          </cell>
          <cell r="O205">
            <v>7101</v>
          </cell>
          <cell r="AD205" t="str">
            <v>16:00الی18:00</v>
          </cell>
        </row>
        <row r="206">
          <cell r="B206" t="str">
            <v>پخت کلاچ پراید</v>
          </cell>
          <cell r="C206" t="str">
            <v>قالب تعمیری</v>
          </cell>
          <cell r="O206">
            <v>7102</v>
          </cell>
          <cell r="AD206" t="str">
            <v>6:00الی18:00</v>
          </cell>
        </row>
        <row r="207">
          <cell r="B207" t="str">
            <v>قالب جلو ریو</v>
          </cell>
          <cell r="C207" t="str">
            <v>قالب تعمیری</v>
          </cell>
          <cell r="O207">
            <v>7502</v>
          </cell>
          <cell r="AD207" t="str">
            <v>6:00الی18:00</v>
          </cell>
        </row>
        <row r="208">
          <cell r="B208" t="str">
            <v>قالب پخت کلاچ پیکان</v>
          </cell>
          <cell r="C208" t="str">
            <v>قالب تعمیری</v>
          </cell>
          <cell r="O208">
            <v>7502</v>
          </cell>
          <cell r="AD208" t="str">
            <v>6:00الی18:00</v>
          </cell>
        </row>
        <row r="209">
          <cell r="B209" t="str">
            <v>قالب پخت کلاچ پژو 405</v>
          </cell>
          <cell r="C209" t="str">
            <v>قالب تعمیری</v>
          </cell>
          <cell r="O209">
            <v>7502</v>
          </cell>
          <cell r="AD209" t="str">
            <v>6:00الی18:00</v>
          </cell>
        </row>
        <row r="210">
          <cell r="B210" t="str">
            <v>پین عقب پژو 405</v>
          </cell>
          <cell r="C210" t="str">
            <v>قطعه نو</v>
          </cell>
          <cell r="O210">
            <v>8002</v>
          </cell>
          <cell r="AD210" t="str">
            <v>6:00الی14:00</v>
          </cell>
        </row>
        <row r="211">
          <cell r="B211" t="str">
            <v>Hammer Mill Machine</v>
          </cell>
          <cell r="C211" t="str">
            <v>دستگاه نو</v>
          </cell>
          <cell r="O211">
            <v>7301</v>
          </cell>
          <cell r="AD211" t="str">
            <v>6:00الی18:00</v>
          </cell>
        </row>
        <row r="212">
          <cell r="B212" t="str">
            <v>Hammer Mill Machine</v>
          </cell>
          <cell r="C212" t="str">
            <v>دستگاه نو</v>
          </cell>
          <cell r="O212">
            <v>7301</v>
          </cell>
          <cell r="AD212" t="str">
            <v>6:00الی18:00</v>
          </cell>
        </row>
        <row r="213">
          <cell r="B213" t="str">
            <v>لیفتراک</v>
          </cell>
          <cell r="C213" t="str">
            <v>قطعه تعمیری</v>
          </cell>
          <cell r="O213">
            <v>7301</v>
          </cell>
          <cell r="AD213" t="str">
            <v>6:00الی18:00</v>
          </cell>
        </row>
        <row r="214">
          <cell r="B214" t="str">
            <v>قالب 309 سوراخدار</v>
          </cell>
          <cell r="C214" t="str">
            <v>قالب تعمیری</v>
          </cell>
          <cell r="O214" t="str">
            <v>مونتاژ</v>
          </cell>
          <cell r="AD214" t="str">
            <v>6:00الی18:00</v>
          </cell>
        </row>
        <row r="215">
          <cell r="B215" t="str">
            <v>پخت عقب پژو 405 شمشی پایه کوتاه</v>
          </cell>
          <cell r="C215" t="str">
            <v>قالب نو</v>
          </cell>
          <cell r="O215" t="str">
            <v>مونتاژ</v>
          </cell>
          <cell r="AD215" t="str">
            <v>6:00الی18:00</v>
          </cell>
        </row>
        <row r="216">
          <cell r="B216" t="str">
            <v>قالب پخت کلاچ پژو 405</v>
          </cell>
          <cell r="C216" t="str">
            <v>قالب تعمیری</v>
          </cell>
          <cell r="O216" t="str">
            <v>دمونتاژ</v>
          </cell>
          <cell r="AD216" t="str">
            <v>6:00الی18:00</v>
          </cell>
        </row>
        <row r="217">
          <cell r="B217" t="str">
            <v>Hammer Mill Machine</v>
          </cell>
          <cell r="C217" t="str">
            <v>دستگاه نو</v>
          </cell>
          <cell r="O217">
            <v>7601</v>
          </cell>
          <cell r="AD217" t="str">
            <v>7:00الی18:00</v>
          </cell>
        </row>
        <row r="218">
          <cell r="B218" t="str">
            <v>Hammer Mill Machine</v>
          </cell>
          <cell r="C218" t="str">
            <v>دستگاه نو</v>
          </cell>
          <cell r="O218">
            <v>7602</v>
          </cell>
          <cell r="AD218" t="str">
            <v>7:00الی18:00</v>
          </cell>
        </row>
        <row r="219">
          <cell r="B219" t="str">
            <v>Hammer Mill Machine</v>
          </cell>
          <cell r="C219" t="str">
            <v>دستگاه نو</v>
          </cell>
          <cell r="O219">
            <v>7605</v>
          </cell>
          <cell r="AD219" t="str">
            <v>7:00الی18:00</v>
          </cell>
        </row>
        <row r="220">
          <cell r="B220" t="str">
            <v>قالب پژو 405 دیسکی</v>
          </cell>
          <cell r="C220" t="str">
            <v>قالب تعمیری</v>
          </cell>
          <cell r="O220">
            <v>7603</v>
          </cell>
          <cell r="AD220" t="str">
            <v>7:00الی18:00</v>
          </cell>
        </row>
        <row r="221">
          <cell r="B221" t="str">
            <v>قالب 309 سوراخدار</v>
          </cell>
          <cell r="C221" t="str">
            <v>قالب تعمیری</v>
          </cell>
          <cell r="O221" t="str">
            <v>مونتاژ</v>
          </cell>
          <cell r="AD221" t="str">
            <v>6:00الی18:00</v>
          </cell>
        </row>
        <row r="222">
          <cell r="B222" t="str">
            <v>پخت عقب پژو 405 شمشی پایه کوتاه</v>
          </cell>
          <cell r="C222" t="str">
            <v>قالب نو</v>
          </cell>
          <cell r="O222" t="str">
            <v>مونتاژ</v>
          </cell>
          <cell r="AD222" t="str">
            <v>6:00الی18:00</v>
          </cell>
        </row>
        <row r="223">
          <cell r="B223" t="str">
            <v>قالب شیم پژو 405</v>
          </cell>
          <cell r="C223" t="str">
            <v>قالب تعمیری</v>
          </cell>
          <cell r="O223" t="str">
            <v>دمونتاژ</v>
          </cell>
          <cell r="AD223" t="str">
            <v>6:00الی18:00</v>
          </cell>
        </row>
        <row r="224">
          <cell r="B224" t="str">
            <v>قالب پخت کلاچ پیکان</v>
          </cell>
          <cell r="C224" t="str">
            <v>قالب تعمیری</v>
          </cell>
          <cell r="O224" t="str">
            <v>دمونتاژ</v>
          </cell>
          <cell r="AD224" t="str">
            <v>6:00الی18:00</v>
          </cell>
        </row>
        <row r="225">
          <cell r="B225" t="str">
            <v>Hammer Mill Machine</v>
          </cell>
          <cell r="C225" t="str">
            <v>دستگاه نو</v>
          </cell>
          <cell r="O225">
            <v>7302</v>
          </cell>
          <cell r="AD225" t="str">
            <v>6:00الی18:00</v>
          </cell>
        </row>
        <row r="226">
          <cell r="B226" t="str">
            <v>پخت عقب پژو 405 شمشی پایه کوتاه</v>
          </cell>
          <cell r="C226" t="str">
            <v>قالب نو</v>
          </cell>
          <cell r="O226">
            <v>7103</v>
          </cell>
          <cell r="AD226" t="str">
            <v>7:00الی11:15</v>
          </cell>
        </row>
        <row r="227">
          <cell r="B227" t="str">
            <v>قالب شیم ریو</v>
          </cell>
          <cell r="C227" t="str">
            <v>قالب تعمیری</v>
          </cell>
          <cell r="O227">
            <v>7103</v>
          </cell>
          <cell r="AD227" t="str">
            <v>11:15الی14:00</v>
          </cell>
        </row>
        <row r="228">
          <cell r="B228" t="str">
            <v>Hammer Mill Machine</v>
          </cell>
          <cell r="C228" t="str">
            <v>دستگاه نو</v>
          </cell>
          <cell r="O228">
            <v>7302</v>
          </cell>
          <cell r="AD228" t="str">
            <v>6:00الی13:00</v>
          </cell>
        </row>
        <row r="229">
          <cell r="B229" t="str">
            <v>اصول 5S</v>
          </cell>
          <cell r="C229" t="str">
            <v>نظافت</v>
          </cell>
          <cell r="O229" t="str">
            <v>نظافت</v>
          </cell>
          <cell r="AD229" t="str">
            <v>13:00الی14:00</v>
          </cell>
        </row>
        <row r="230">
          <cell r="B230" t="str">
            <v>پخت کلاچ پراید</v>
          </cell>
          <cell r="C230" t="str">
            <v>قالب تعمیری</v>
          </cell>
          <cell r="O230">
            <v>7203</v>
          </cell>
          <cell r="AD230" t="str">
            <v>6:00الی14:00</v>
          </cell>
        </row>
        <row r="231">
          <cell r="B231" t="str">
            <v>پین عقب پژو 405</v>
          </cell>
          <cell r="C231" t="str">
            <v>قطعه نو</v>
          </cell>
          <cell r="O231">
            <v>8002</v>
          </cell>
          <cell r="AD231" t="str">
            <v>6:00الی10:30</v>
          </cell>
        </row>
        <row r="232">
          <cell r="B232" t="str">
            <v>قالب پخت کلاچ پیکان</v>
          </cell>
          <cell r="C232" t="str">
            <v>قالب تعمیری</v>
          </cell>
          <cell r="O232">
            <v>7202</v>
          </cell>
          <cell r="AD232" t="str">
            <v>6:00الی12:30</v>
          </cell>
        </row>
        <row r="233">
          <cell r="B233" t="str">
            <v>قالب پخت کلاچ پیکان</v>
          </cell>
          <cell r="C233" t="str">
            <v>قالب تعمیری</v>
          </cell>
          <cell r="O233">
            <v>7202</v>
          </cell>
          <cell r="AD233" t="str">
            <v>12:30الی14:00</v>
          </cell>
        </row>
        <row r="234">
          <cell r="B234" t="str">
            <v>قالب پخت کلاچ پژو 405</v>
          </cell>
          <cell r="C234" t="str">
            <v>قالب تعمیری</v>
          </cell>
          <cell r="O234">
            <v>7102</v>
          </cell>
          <cell r="AD234" t="str">
            <v>6:00الی13:00</v>
          </cell>
        </row>
        <row r="235">
          <cell r="B235" t="str">
            <v>اصول 5S</v>
          </cell>
          <cell r="C235" t="str">
            <v>نظافت</v>
          </cell>
          <cell r="O235" t="str">
            <v>نظافت</v>
          </cell>
          <cell r="AD235" t="str">
            <v>13:00الی14:00</v>
          </cell>
        </row>
        <row r="236">
          <cell r="B236" t="str">
            <v>قالب عقب F12</v>
          </cell>
          <cell r="C236" t="str">
            <v>قالب تعمیری</v>
          </cell>
          <cell r="O236">
            <v>7101</v>
          </cell>
          <cell r="AD236" t="str">
            <v>6:00الی10:00</v>
          </cell>
        </row>
        <row r="237">
          <cell r="B237" t="str">
            <v>ویوینگ</v>
          </cell>
          <cell r="C237" t="str">
            <v>قطعه تعمیری</v>
          </cell>
          <cell r="O237">
            <v>7101</v>
          </cell>
          <cell r="AD237" t="str">
            <v>10:00الی10:30</v>
          </cell>
        </row>
        <row r="238">
          <cell r="B238" t="str">
            <v>اصول 5S</v>
          </cell>
          <cell r="C238" t="str">
            <v>نظافت</v>
          </cell>
          <cell r="O238" t="str">
            <v>نظافت</v>
          </cell>
          <cell r="AD238" t="str">
            <v>10:30الی11:30</v>
          </cell>
        </row>
        <row r="239">
          <cell r="B239" t="str">
            <v>ویوینگ</v>
          </cell>
          <cell r="C239" t="str">
            <v>قطعه تعمیری</v>
          </cell>
          <cell r="O239">
            <v>7301</v>
          </cell>
          <cell r="AD239" t="str">
            <v>6:00الی14:00</v>
          </cell>
        </row>
        <row r="240">
          <cell r="B240" t="str">
            <v>قالب جلو ریو</v>
          </cell>
          <cell r="C240" t="str">
            <v>قالب تعمیری</v>
          </cell>
          <cell r="O240">
            <v>7301</v>
          </cell>
          <cell r="AD240" t="str">
            <v>6:00الی14:00</v>
          </cell>
        </row>
        <row r="241">
          <cell r="B241" t="str">
            <v>Hammer Mill Machine</v>
          </cell>
          <cell r="C241" t="str">
            <v>دستگاه نو</v>
          </cell>
          <cell r="O241">
            <v>7301</v>
          </cell>
          <cell r="AD241" t="str">
            <v>6:00الی14:00</v>
          </cell>
        </row>
        <row r="242">
          <cell r="B242" t="str">
            <v>اصول 5S</v>
          </cell>
          <cell r="C242" t="str">
            <v>نظافت</v>
          </cell>
          <cell r="O242" t="str">
            <v>نظافت</v>
          </cell>
          <cell r="AD242" t="str">
            <v>6:00الی14:00</v>
          </cell>
        </row>
        <row r="243">
          <cell r="B243" t="str">
            <v>قالب جلو ریو</v>
          </cell>
          <cell r="C243" t="str">
            <v>قالب تعمیری</v>
          </cell>
          <cell r="O243" t="str">
            <v>مونتاژ</v>
          </cell>
          <cell r="AD243" t="str">
            <v>6:00الی14:00</v>
          </cell>
        </row>
        <row r="244">
          <cell r="B244" t="str">
            <v>قالب پژو 405 دیسکی</v>
          </cell>
          <cell r="C244" t="str">
            <v>قالب تعمیری</v>
          </cell>
          <cell r="O244">
            <v>7401</v>
          </cell>
          <cell r="AD244" t="str">
            <v>6:00الی14:00</v>
          </cell>
        </row>
        <row r="245">
          <cell r="B245" t="str">
            <v>قالب پژو 405 دیسکی</v>
          </cell>
          <cell r="C245" t="str">
            <v>قالب تعمیری</v>
          </cell>
          <cell r="O245" t="str">
            <v>مونتاژ</v>
          </cell>
          <cell r="AD245" t="str">
            <v>6:00الی14:00</v>
          </cell>
        </row>
        <row r="246">
          <cell r="B246" t="str">
            <v>اصول 5S</v>
          </cell>
          <cell r="C246" t="str">
            <v>نظافت</v>
          </cell>
          <cell r="O246" t="str">
            <v>نظافت</v>
          </cell>
          <cell r="AD246" t="str">
            <v>6:00الی14:00</v>
          </cell>
        </row>
        <row r="247">
          <cell r="B247" t="str">
            <v>Hammer Mill Machine</v>
          </cell>
          <cell r="C247" t="str">
            <v>دستگاه نو</v>
          </cell>
          <cell r="O247">
            <v>7601</v>
          </cell>
          <cell r="AD247" t="str">
            <v>6:00الی14:00</v>
          </cell>
        </row>
        <row r="248">
          <cell r="B248" t="str">
            <v>Hammer Mill Machine</v>
          </cell>
          <cell r="C248" t="str">
            <v>دستگاه نو</v>
          </cell>
          <cell r="O248">
            <v>7602</v>
          </cell>
          <cell r="AD248" t="str">
            <v>6:00الی14:00</v>
          </cell>
        </row>
        <row r="249">
          <cell r="B249" t="str">
            <v>Hammer Mill Machine</v>
          </cell>
          <cell r="C249" t="str">
            <v>دستگاه نو</v>
          </cell>
          <cell r="O249">
            <v>7605</v>
          </cell>
          <cell r="AD249" t="str">
            <v>6:00الی14:00</v>
          </cell>
        </row>
        <row r="250">
          <cell r="B250" t="str">
            <v>قالب پژو 405 دیسکی</v>
          </cell>
          <cell r="C250" t="str">
            <v>قالب تعمیری</v>
          </cell>
          <cell r="O250">
            <v>7603</v>
          </cell>
          <cell r="AD250" t="str">
            <v>6:00الی13:00</v>
          </cell>
        </row>
        <row r="251">
          <cell r="B251" t="str">
            <v>دستگاه چسب زنی</v>
          </cell>
          <cell r="C251" t="str">
            <v>قطعه نو</v>
          </cell>
          <cell r="O251">
            <v>7603</v>
          </cell>
          <cell r="AD251" t="str">
            <v>13:00الی14:00</v>
          </cell>
        </row>
        <row r="252">
          <cell r="B252" t="str">
            <v>قالب شیم پژو 405</v>
          </cell>
          <cell r="C252" t="str">
            <v>قالب تعمیری</v>
          </cell>
          <cell r="O252" t="str">
            <v>دمونتاژ</v>
          </cell>
          <cell r="AD252" t="str">
            <v>6:00الی14:00</v>
          </cell>
        </row>
        <row r="253">
          <cell r="B253" t="str">
            <v>قالب جلو ریو</v>
          </cell>
          <cell r="C253" t="str">
            <v>قالب تعمیری</v>
          </cell>
          <cell r="O253">
            <v>8001</v>
          </cell>
          <cell r="AD253" t="str">
            <v>6:00الی14:00</v>
          </cell>
        </row>
        <row r="254">
          <cell r="B254" t="str">
            <v>قالب پخت کلاچ پژو 405</v>
          </cell>
          <cell r="C254" t="str">
            <v>قالب تعمیری</v>
          </cell>
          <cell r="O254" t="str">
            <v>مونتاژ</v>
          </cell>
          <cell r="AD254" t="str">
            <v>6:00الی14:00</v>
          </cell>
        </row>
        <row r="255">
          <cell r="B255" t="str">
            <v>اصول 5S</v>
          </cell>
          <cell r="C255" t="str">
            <v>نظافت</v>
          </cell>
          <cell r="O255" t="str">
            <v>نظافت</v>
          </cell>
          <cell r="AD255" t="str">
            <v>6:00الی14:00</v>
          </cell>
        </row>
        <row r="256">
          <cell r="B256" t="str">
            <v>قالب پخت کلاچ پژو 405</v>
          </cell>
          <cell r="C256" t="str">
            <v>قالب تعمیری</v>
          </cell>
          <cell r="O256">
            <v>7502</v>
          </cell>
          <cell r="AD256" t="str">
            <v>6:00الی14:00</v>
          </cell>
        </row>
        <row r="257">
          <cell r="B257" t="str">
            <v>قالب شیم پژو 405</v>
          </cell>
          <cell r="C257" t="str">
            <v>قالب تعمیری</v>
          </cell>
          <cell r="O257">
            <v>7502</v>
          </cell>
          <cell r="AD257" t="str">
            <v>6:00الی14:00</v>
          </cell>
        </row>
        <row r="258">
          <cell r="B258" t="str">
            <v>اصول 5S</v>
          </cell>
          <cell r="C258" t="str">
            <v>نظافت</v>
          </cell>
          <cell r="P258" t="str">
            <v>دستگاه</v>
          </cell>
          <cell r="AF258">
            <v>1</v>
          </cell>
        </row>
        <row r="259">
          <cell r="B259" t="str">
            <v>پین عقب پژو 405</v>
          </cell>
          <cell r="C259" t="str">
            <v>قطعه نو</v>
          </cell>
          <cell r="P259" t="str">
            <v>عقب پژو 405</v>
          </cell>
          <cell r="AF259">
            <v>7.5</v>
          </cell>
        </row>
        <row r="260">
          <cell r="B260" t="str">
            <v>پخت عقب پژو 405 شمشی پایه کوتاه</v>
          </cell>
          <cell r="C260" t="str">
            <v>قالب نو</v>
          </cell>
          <cell r="P260" t="str">
            <v>Mandrel</v>
          </cell>
          <cell r="AF260">
            <v>6.5</v>
          </cell>
        </row>
        <row r="261">
          <cell r="B261" t="str">
            <v>قالب پخت کلاچ پژو 405</v>
          </cell>
          <cell r="C261" t="str">
            <v>قالب تعمیری</v>
          </cell>
          <cell r="P261" t="str">
            <v>Matrix</v>
          </cell>
          <cell r="AF261">
            <v>11</v>
          </cell>
        </row>
        <row r="262">
          <cell r="B262" t="str">
            <v>قالب پخت کلاچ پیکان</v>
          </cell>
          <cell r="C262" t="str">
            <v>قالب تعمیری</v>
          </cell>
          <cell r="P262" t="str">
            <v>Matrix</v>
          </cell>
          <cell r="AF262">
            <v>11</v>
          </cell>
        </row>
        <row r="263">
          <cell r="B263" t="str">
            <v>قالب پخت کلاچ پژو 405</v>
          </cell>
          <cell r="C263" t="str">
            <v>قالب تعمیری</v>
          </cell>
          <cell r="P263" t="str">
            <v>top plate</v>
          </cell>
          <cell r="AF263">
            <v>6</v>
          </cell>
        </row>
        <row r="264">
          <cell r="B264" t="str">
            <v>پخت کلاچ پراید</v>
          </cell>
          <cell r="C264" t="str">
            <v>قالب تعمیری</v>
          </cell>
          <cell r="P264" t="str">
            <v>Mandrel</v>
          </cell>
          <cell r="AF264">
            <v>4</v>
          </cell>
        </row>
        <row r="265">
          <cell r="B265" t="str">
            <v>قالب شیم پژو 405</v>
          </cell>
          <cell r="C265" t="str">
            <v>قالب تعمیری</v>
          </cell>
          <cell r="P265" t="str">
            <v>mold</v>
          </cell>
          <cell r="AF265">
            <v>1</v>
          </cell>
        </row>
        <row r="266">
          <cell r="B266" t="str">
            <v>قالب عقب F12</v>
          </cell>
          <cell r="C266" t="str">
            <v>قالب تعمیری</v>
          </cell>
          <cell r="P266" t="str">
            <v>top plate</v>
          </cell>
          <cell r="AF266">
            <v>4.5</v>
          </cell>
        </row>
        <row r="267">
          <cell r="B267" t="str">
            <v>دستگاه پشم فلز آلمانی</v>
          </cell>
          <cell r="C267" t="str">
            <v>قطعه نو</v>
          </cell>
          <cell r="P267" t="str">
            <v>Shaft</v>
          </cell>
          <cell r="AF267">
            <v>1</v>
          </cell>
        </row>
        <row r="268">
          <cell r="B268" t="str">
            <v>قالب پخت کلاچ پیکان</v>
          </cell>
          <cell r="C268" t="str">
            <v>قالب تعمیری</v>
          </cell>
          <cell r="P268" t="str">
            <v>top plate</v>
          </cell>
          <cell r="AF268">
            <v>5.5</v>
          </cell>
        </row>
        <row r="269">
          <cell r="B269" t="str">
            <v>Hammer Mill Machine</v>
          </cell>
          <cell r="C269" t="str">
            <v>دستگاه نو</v>
          </cell>
          <cell r="P269" t="str">
            <v>پولکی</v>
          </cell>
          <cell r="AF269">
            <v>3.8333333333333335</v>
          </cell>
        </row>
        <row r="270">
          <cell r="B270" t="str">
            <v>میکس چینی</v>
          </cell>
          <cell r="C270" t="str">
            <v>قطعه نو</v>
          </cell>
          <cell r="P270" t="str">
            <v>Bush</v>
          </cell>
          <cell r="AF270">
            <v>3.3333333333333335</v>
          </cell>
        </row>
        <row r="271">
          <cell r="B271" t="str">
            <v xml:space="preserve">دستگاه سنگ پشم فلز آلمانی </v>
          </cell>
          <cell r="C271" t="str">
            <v>قطعه تعمیری</v>
          </cell>
          <cell r="P271" t="str">
            <v>واسطه سنگ</v>
          </cell>
          <cell r="AF271">
            <v>3.8333333333333335</v>
          </cell>
        </row>
        <row r="272">
          <cell r="B272" t="str">
            <v>قالب پژو 405 دیسکی</v>
          </cell>
          <cell r="C272" t="str">
            <v>قالب تعمیری</v>
          </cell>
          <cell r="P272" t="str">
            <v>mold</v>
          </cell>
          <cell r="AF272">
            <v>2</v>
          </cell>
        </row>
        <row r="273">
          <cell r="B273" t="str">
            <v>پخت کلاچ پراید</v>
          </cell>
          <cell r="C273" t="str">
            <v>قالب تعمیری</v>
          </cell>
          <cell r="P273" t="str">
            <v>mold</v>
          </cell>
          <cell r="AF273">
            <v>4</v>
          </cell>
        </row>
        <row r="274">
          <cell r="B274" t="str">
            <v>قالب پخت کلاچ پژو 405</v>
          </cell>
          <cell r="C274" t="str">
            <v>قالب تعمیری</v>
          </cell>
          <cell r="P274" t="str">
            <v>mold</v>
          </cell>
          <cell r="AF274">
            <v>2</v>
          </cell>
        </row>
        <row r="275">
          <cell r="B275" t="str">
            <v>پخت عقب پژو 405 شمشی پایه کوتاه</v>
          </cell>
          <cell r="C275" t="str">
            <v>قالب نو</v>
          </cell>
          <cell r="P275" t="str">
            <v>mold</v>
          </cell>
          <cell r="AF275">
            <v>2</v>
          </cell>
        </row>
        <row r="276">
          <cell r="B276" t="str">
            <v>قالب جلو ریو</v>
          </cell>
          <cell r="C276" t="str">
            <v>قالب تعمیری</v>
          </cell>
          <cell r="P276" t="str">
            <v>top plate</v>
          </cell>
          <cell r="AF276">
            <v>4</v>
          </cell>
        </row>
        <row r="277">
          <cell r="B277" t="str">
            <v>قالب جلو ریو</v>
          </cell>
          <cell r="C277" t="str">
            <v>قالب تعمیری</v>
          </cell>
          <cell r="P277" t="str">
            <v>bottom plate</v>
          </cell>
          <cell r="AF277">
            <v>2</v>
          </cell>
        </row>
        <row r="278">
          <cell r="B278" t="str">
            <v>قالب شمشی عقب ریو</v>
          </cell>
          <cell r="C278" t="str">
            <v>قالب نو</v>
          </cell>
          <cell r="P278" t="str">
            <v>mold</v>
          </cell>
          <cell r="AF278">
            <v>1</v>
          </cell>
        </row>
        <row r="279">
          <cell r="B279" t="str">
            <v>قالب پژو 405 دیسکی</v>
          </cell>
          <cell r="C279" t="str">
            <v>قالب تعمیری</v>
          </cell>
          <cell r="P279" t="str">
            <v>mold</v>
          </cell>
          <cell r="AF279">
            <v>3</v>
          </cell>
        </row>
        <row r="280">
          <cell r="B280" t="str">
            <v>قالب 309 بدون سوراخ</v>
          </cell>
          <cell r="C280" t="str">
            <v>قالب تعمیری</v>
          </cell>
          <cell r="P280" t="str">
            <v>mold</v>
          </cell>
          <cell r="AF280">
            <v>1</v>
          </cell>
        </row>
        <row r="281">
          <cell r="B281" t="str">
            <v>قالب پخت کلاچ پیکان</v>
          </cell>
          <cell r="C281" t="str">
            <v>قالب تعمیری</v>
          </cell>
          <cell r="P281" t="str">
            <v>Mandrel</v>
          </cell>
          <cell r="AF281">
            <v>11</v>
          </cell>
        </row>
        <row r="282">
          <cell r="B282" t="str">
            <v>قالب پخت کلاچ پیکان</v>
          </cell>
          <cell r="C282" t="str">
            <v>قالب تعمیری</v>
          </cell>
          <cell r="P282" t="str">
            <v>Matrix</v>
          </cell>
          <cell r="AF282">
            <v>8</v>
          </cell>
        </row>
        <row r="283">
          <cell r="B283" t="str">
            <v>قالب پخت کلاچ پیکان آرژانتینی</v>
          </cell>
          <cell r="C283" t="str">
            <v>قالب تعمیری</v>
          </cell>
          <cell r="P283" t="str">
            <v>Matrix</v>
          </cell>
          <cell r="AF283">
            <v>3</v>
          </cell>
        </row>
        <row r="284">
          <cell r="B284" t="str">
            <v>قالب پخت کلاچ پیکان</v>
          </cell>
          <cell r="C284" t="str">
            <v>قالب تعمیری</v>
          </cell>
          <cell r="P284" t="str">
            <v>Mandrel</v>
          </cell>
          <cell r="AF284">
            <v>11</v>
          </cell>
        </row>
        <row r="285">
          <cell r="B285" t="str">
            <v>پخت عقب پژو 405 شمشی پایه کوتاه</v>
          </cell>
          <cell r="C285" t="str">
            <v>قالب نو</v>
          </cell>
          <cell r="P285" t="str">
            <v>Mandrel</v>
          </cell>
          <cell r="AF285">
            <v>6.333333333333333</v>
          </cell>
        </row>
        <row r="286">
          <cell r="B286" t="str">
            <v>پخت عقب پژو 405 شمشی پایه کوتاه</v>
          </cell>
          <cell r="C286" t="str">
            <v>قالب نو</v>
          </cell>
          <cell r="P286" t="str">
            <v>Mandrel</v>
          </cell>
          <cell r="AF286">
            <v>6.333333333333333</v>
          </cell>
        </row>
        <row r="287">
          <cell r="B287" t="str">
            <v>Hammer Mill Machine</v>
          </cell>
          <cell r="C287" t="str">
            <v>دستگاه نو</v>
          </cell>
          <cell r="P287" t="str">
            <v>دنده</v>
          </cell>
          <cell r="AF287">
            <v>12</v>
          </cell>
        </row>
        <row r="288">
          <cell r="B288" t="str">
            <v>Hammer Mill Machine</v>
          </cell>
          <cell r="C288" t="str">
            <v>دستگاه نو</v>
          </cell>
          <cell r="P288" t="str">
            <v>تیغه</v>
          </cell>
          <cell r="AF288">
            <v>12</v>
          </cell>
        </row>
        <row r="289">
          <cell r="B289" t="str">
            <v>Hammer Mill Machine</v>
          </cell>
          <cell r="C289" t="str">
            <v>دستگاه نو</v>
          </cell>
          <cell r="P289" t="str">
            <v>تیغه</v>
          </cell>
          <cell r="AF289">
            <v>12</v>
          </cell>
        </row>
        <row r="290">
          <cell r="B290" t="str">
            <v>قالب پژو 405 دیسکی</v>
          </cell>
          <cell r="C290" t="str">
            <v>قالب تعمیری</v>
          </cell>
          <cell r="P290" t="str">
            <v>mold</v>
          </cell>
          <cell r="AF290">
            <v>3</v>
          </cell>
        </row>
        <row r="291">
          <cell r="B291" t="str">
            <v>ساب کلاچ</v>
          </cell>
          <cell r="C291" t="str">
            <v>قطعه نو</v>
          </cell>
          <cell r="P291" t="str">
            <v>U نگهدارنده</v>
          </cell>
          <cell r="AF291">
            <v>5</v>
          </cell>
        </row>
        <row r="292">
          <cell r="B292" t="str">
            <v>قالب پژو 405 دیسکی</v>
          </cell>
          <cell r="C292" t="str">
            <v>قالب تعمیری</v>
          </cell>
          <cell r="P292" t="str">
            <v>پشت سنبه ای</v>
          </cell>
          <cell r="AF292">
            <v>4</v>
          </cell>
        </row>
        <row r="293">
          <cell r="B293" t="str">
            <v>قالب پخت کلاچ پژو 405</v>
          </cell>
          <cell r="C293" t="str">
            <v>قالب تعمیری</v>
          </cell>
          <cell r="P293" t="str">
            <v>Matrix</v>
          </cell>
          <cell r="AF293">
            <v>11</v>
          </cell>
        </row>
        <row r="294">
          <cell r="B294" t="str">
            <v>قالب پخت کلاچ پیکان</v>
          </cell>
          <cell r="C294" t="str">
            <v>قالب تعمیری</v>
          </cell>
          <cell r="P294" t="str">
            <v>Matrix</v>
          </cell>
          <cell r="AF294">
            <v>11</v>
          </cell>
        </row>
        <row r="295">
          <cell r="B295" t="str">
            <v>Hammer Mill Machine</v>
          </cell>
          <cell r="C295" t="str">
            <v>دستگاه نو</v>
          </cell>
          <cell r="P295" t="str">
            <v>دنده</v>
          </cell>
          <cell r="AF295">
            <v>12</v>
          </cell>
        </row>
        <row r="296">
          <cell r="B296" t="str">
            <v>Hammer Mill Machine</v>
          </cell>
          <cell r="C296" t="str">
            <v>دستگاه نو</v>
          </cell>
          <cell r="P296" t="str">
            <v>تیغه</v>
          </cell>
          <cell r="AF296">
            <v>12</v>
          </cell>
        </row>
        <row r="297">
          <cell r="B297" t="str">
            <v>قالب جلو ریو</v>
          </cell>
          <cell r="C297" t="str">
            <v>قالب تعمیری</v>
          </cell>
          <cell r="P297" t="str">
            <v>mold</v>
          </cell>
          <cell r="AF297">
            <v>12</v>
          </cell>
        </row>
        <row r="298">
          <cell r="B298" t="str">
            <v>لنت دنیای مس</v>
          </cell>
          <cell r="C298" t="str">
            <v>قطعه نو</v>
          </cell>
          <cell r="P298" t="str">
            <v>فیکسچر خم</v>
          </cell>
          <cell r="AF298">
            <v>12</v>
          </cell>
        </row>
        <row r="299">
          <cell r="B299" t="str">
            <v>Hammer Mill Machine</v>
          </cell>
          <cell r="C299" t="str">
            <v>دستگاه نو</v>
          </cell>
          <cell r="P299" t="str">
            <v>دنده</v>
          </cell>
          <cell r="AF299">
            <v>12</v>
          </cell>
        </row>
        <row r="300">
          <cell r="B300" t="str">
            <v>Hammer Mill Machine</v>
          </cell>
          <cell r="C300" t="str">
            <v>دستگاه نو</v>
          </cell>
          <cell r="P300" t="str">
            <v>تیغه</v>
          </cell>
          <cell r="AF300">
            <v>12</v>
          </cell>
        </row>
        <row r="301">
          <cell r="B301" t="str">
            <v>قالب جلو ریو</v>
          </cell>
          <cell r="C301" t="str">
            <v>قالب تعمیری</v>
          </cell>
          <cell r="P301" t="str">
            <v>mold</v>
          </cell>
          <cell r="AF301">
            <v>12</v>
          </cell>
        </row>
        <row r="302">
          <cell r="B302" t="str">
            <v>لنت دنیای مس</v>
          </cell>
          <cell r="C302" t="str">
            <v>قطعه نو</v>
          </cell>
          <cell r="P302" t="str">
            <v>فیکسچر خم</v>
          </cell>
          <cell r="AF302">
            <v>12</v>
          </cell>
        </row>
        <row r="303">
          <cell r="B303" t="str">
            <v>ویوینگ</v>
          </cell>
          <cell r="C303" t="str">
            <v>قطعه تعمیری</v>
          </cell>
          <cell r="P303" t="str">
            <v>Shaft</v>
          </cell>
          <cell r="AF303">
            <v>2.3333333333333335</v>
          </cell>
        </row>
        <row r="304">
          <cell r="B304" t="str">
            <v xml:space="preserve">دستگاه سنگ پشم فلز آلمانی </v>
          </cell>
          <cell r="C304" t="str">
            <v>قطعه نو</v>
          </cell>
          <cell r="P304" t="str">
            <v>واسطه سنگ</v>
          </cell>
          <cell r="AF304">
            <v>3.3333333333333335</v>
          </cell>
        </row>
        <row r="305">
          <cell r="B305" t="str">
            <v>دستگاه پشم فلز آلمانی</v>
          </cell>
          <cell r="C305" t="str">
            <v>قطعه نو</v>
          </cell>
          <cell r="P305" t="str">
            <v>Shaft</v>
          </cell>
          <cell r="AF305">
            <v>2</v>
          </cell>
        </row>
        <row r="306">
          <cell r="B306" t="str">
            <v>قالب جلو ریو</v>
          </cell>
          <cell r="C306" t="str">
            <v>قالب تعمیری</v>
          </cell>
          <cell r="P306" t="str">
            <v>guide rod</v>
          </cell>
          <cell r="AF306">
            <v>3.3333333333333335</v>
          </cell>
        </row>
        <row r="307">
          <cell r="B307" t="str">
            <v>ساب</v>
          </cell>
          <cell r="C307" t="str">
            <v>قطعه نو</v>
          </cell>
          <cell r="P307" t="str">
            <v>پیچ</v>
          </cell>
          <cell r="AF307">
            <v>2</v>
          </cell>
        </row>
        <row r="308">
          <cell r="B308" t="str">
            <v>دریل سوراخکاری</v>
          </cell>
          <cell r="C308" t="str">
            <v>قطعه تعمیری</v>
          </cell>
          <cell r="P308" t="str">
            <v>فیکسچر پیکان</v>
          </cell>
          <cell r="AF308">
            <v>2</v>
          </cell>
        </row>
        <row r="309">
          <cell r="B309" t="str">
            <v>برش جمعی عقب</v>
          </cell>
          <cell r="C309" t="str">
            <v>قطعه تعمیری</v>
          </cell>
          <cell r="P309" t="str">
            <v>تیغه</v>
          </cell>
          <cell r="AF309">
            <v>2.5</v>
          </cell>
        </row>
        <row r="310">
          <cell r="B310" t="str">
            <v>سری نقطه جوش</v>
          </cell>
          <cell r="C310" t="str">
            <v>قطعه تعمیری</v>
          </cell>
          <cell r="P310" t="str">
            <v>مسی</v>
          </cell>
          <cell r="AF310">
            <v>3.1666666666666665</v>
          </cell>
        </row>
        <row r="311">
          <cell r="B311" t="str">
            <v>ویوینگ</v>
          </cell>
          <cell r="C311" t="str">
            <v>قطعه تعمیری</v>
          </cell>
          <cell r="P311" t="str">
            <v>Shaft</v>
          </cell>
          <cell r="AF311">
            <v>1.3333333333333333</v>
          </cell>
        </row>
        <row r="312">
          <cell r="B312" t="str">
            <v>قالب پخت کلاچ پژو 405</v>
          </cell>
          <cell r="C312" t="str">
            <v>قالب تعمیری</v>
          </cell>
          <cell r="P312" t="str">
            <v>Mandrel</v>
          </cell>
          <cell r="AF312">
            <v>2</v>
          </cell>
        </row>
        <row r="313">
          <cell r="B313" t="str">
            <v>قالب پخت کلاچ پیکان</v>
          </cell>
          <cell r="C313" t="str">
            <v>قالب تعمیری</v>
          </cell>
          <cell r="P313" t="str">
            <v>Mandrel</v>
          </cell>
          <cell r="AF313">
            <v>3</v>
          </cell>
        </row>
        <row r="314">
          <cell r="B314" t="str">
            <v>قالب شیم ریو</v>
          </cell>
          <cell r="C314" t="str">
            <v>قالب تعمیری</v>
          </cell>
          <cell r="P314" t="str">
            <v>Mandrel</v>
          </cell>
          <cell r="AF314">
            <v>1</v>
          </cell>
        </row>
        <row r="315">
          <cell r="B315" t="str">
            <v>قالب پخت کلاچ پیکان</v>
          </cell>
          <cell r="C315" t="str">
            <v>قالب تعمیری</v>
          </cell>
          <cell r="P315" t="str">
            <v>top plate</v>
          </cell>
          <cell r="AF315">
            <v>5</v>
          </cell>
        </row>
        <row r="316">
          <cell r="B316" t="str">
            <v>قالب شیم پژو 405</v>
          </cell>
          <cell r="C316" t="str">
            <v>قالب تعمیری</v>
          </cell>
          <cell r="P316" t="str">
            <v>mold</v>
          </cell>
          <cell r="AF316">
            <v>4</v>
          </cell>
        </row>
        <row r="317">
          <cell r="B317" t="str">
            <v>قالب شیم پژو 405</v>
          </cell>
          <cell r="C317" t="str">
            <v>قالب تعمیری</v>
          </cell>
          <cell r="P317" t="str">
            <v>mold</v>
          </cell>
          <cell r="AF317">
            <v>2</v>
          </cell>
        </row>
        <row r="318">
          <cell r="B318" t="str">
            <v>قالب جلو ریو</v>
          </cell>
          <cell r="C318" t="str">
            <v>قالب تعمیری</v>
          </cell>
          <cell r="P318" t="str">
            <v>top plate</v>
          </cell>
          <cell r="AF318">
            <v>3</v>
          </cell>
        </row>
        <row r="319">
          <cell r="B319" t="str">
            <v>قالب جلو ریو</v>
          </cell>
          <cell r="C319" t="str">
            <v>قالب تعمیری</v>
          </cell>
          <cell r="P319" t="str">
            <v>bottom plate</v>
          </cell>
          <cell r="AF319">
            <v>2</v>
          </cell>
        </row>
        <row r="320">
          <cell r="B320" t="str">
            <v>قالب پخت کلاچ پژو 405</v>
          </cell>
          <cell r="C320" t="str">
            <v>قالب تعمیری</v>
          </cell>
          <cell r="P320" t="str">
            <v>top plate</v>
          </cell>
          <cell r="AF320">
            <v>2.5</v>
          </cell>
        </row>
        <row r="321">
          <cell r="B321" t="str">
            <v>قالب پخت کلاچ پژو 405</v>
          </cell>
          <cell r="C321" t="str">
            <v>قالب تعمیری</v>
          </cell>
          <cell r="P321" t="str">
            <v>top plate</v>
          </cell>
          <cell r="AF321">
            <v>4</v>
          </cell>
        </row>
        <row r="322">
          <cell r="B322" t="str">
            <v>قالب پخت کلاچ پژو 405</v>
          </cell>
          <cell r="C322" t="str">
            <v>قالب تعمیری</v>
          </cell>
          <cell r="P322" t="str">
            <v>top plate</v>
          </cell>
          <cell r="AF322">
            <v>4.5</v>
          </cell>
        </row>
        <row r="323">
          <cell r="B323" t="str">
            <v>قالب پخت کلاچ پیکان</v>
          </cell>
          <cell r="C323" t="str">
            <v>قالب تعمیری</v>
          </cell>
          <cell r="P323" t="str">
            <v>Matrix</v>
          </cell>
          <cell r="AF323">
            <v>9</v>
          </cell>
        </row>
        <row r="324">
          <cell r="B324" t="str">
            <v>قالب پخت کلاچ پیکان آرژانتینی</v>
          </cell>
          <cell r="C324" t="str">
            <v>قالب تعمیری</v>
          </cell>
          <cell r="P324" t="str">
            <v>Matrix</v>
          </cell>
          <cell r="AF324">
            <v>2</v>
          </cell>
        </row>
        <row r="325">
          <cell r="B325" t="str">
            <v>قالب پخت کلاچ پیکان آرژانتینی</v>
          </cell>
          <cell r="C325" t="str">
            <v>قالب تعمیری</v>
          </cell>
          <cell r="P325" t="str">
            <v>Matrix</v>
          </cell>
          <cell r="AF325">
            <v>5.5</v>
          </cell>
        </row>
        <row r="326">
          <cell r="B326" t="str">
            <v>پخت کلاچ پراید</v>
          </cell>
          <cell r="C326" t="str">
            <v>قالب تعمیری</v>
          </cell>
          <cell r="P326" t="str">
            <v>Matrix</v>
          </cell>
          <cell r="AF326">
            <v>5.5</v>
          </cell>
        </row>
        <row r="327">
          <cell r="B327" t="str">
            <v xml:space="preserve">دستگاه مهر زنی </v>
          </cell>
          <cell r="C327" t="str">
            <v>قطعه نو</v>
          </cell>
          <cell r="P327" t="str">
            <v>تسمه</v>
          </cell>
          <cell r="AF327">
            <v>1.5</v>
          </cell>
        </row>
        <row r="328">
          <cell r="B328" t="str">
            <v xml:space="preserve">دستگاه سنگ پشم فلز آلمانی </v>
          </cell>
          <cell r="C328" t="str">
            <v>قطعه نو</v>
          </cell>
          <cell r="P328" t="str">
            <v>واسطه سنگ</v>
          </cell>
          <cell r="AF328">
            <v>3</v>
          </cell>
        </row>
        <row r="329">
          <cell r="B329" t="str">
            <v>قالب شمشی عقب ریو</v>
          </cell>
          <cell r="C329" t="str">
            <v>قالب نو</v>
          </cell>
          <cell r="P329" t="str">
            <v>mold</v>
          </cell>
          <cell r="AF329">
            <v>3</v>
          </cell>
        </row>
        <row r="330">
          <cell r="B330" t="str">
            <v>قالب پخت کلاچ پژو 405</v>
          </cell>
          <cell r="C330" t="str">
            <v>قالب تعمیری</v>
          </cell>
          <cell r="P330" t="str">
            <v>Matrix</v>
          </cell>
          <cell r="AF330">
            <v>11</v>
          </cell>
        </row>
        <row r="331">
          <cell r="B331" t="str">
            <v>قالب پخت کلاچ پیکان</v>
          </cell>
          <cell r="C331" t="str">
            <v>قالب تعمیری</v>
          </cell>
          <cell r="P331" t="str">
            <v>mold</v>
          </cell>
          <cell r="AF331">
            <v>1.5</v>
          </cell>
        </row>
        <row r="332">
          <cell r="B332" t="str">
            <v>قالب پخت کلاچ پژو 405</v>
          </cell>
          <cell r="C332" t="str">
            <v>قالب تعمیری</v>
          </cell>
          <cell r="P332" t="str">
            <v>mold</v>
          </cell>
          <cell r="AF332">
            <v>1.5</v>
          </cell>
        </row>
        <row r="333">
          <cell r="B333" t="str">
            <v>قالب شمشی عقب ریو</v>
          </cell>
          <cell r="C333" t="str">
            <v>قالب نو</v>
          </cell>
          <cell r="P333" t="str">
            <v>mold</v>
          </cell>
          <cell r="AF333">
            <v>3</v>
          </cell>
        </row>
        <row r="334">
          <cell r="B334" t="str">
            <v>قالب پخت کلاچ پیکان آرژانتینی</v>
          </cell>
          <cell r="C334" t="str">
            <v>قالب تعمیری</v>
          </cell>
          <cell r="P334" t="str">
            <v>mold</v>
          </cell>
          <cell r="AF334">
            <v>1.5</v>
          </cell>
        </row>
        <row r="335">
          <cell r="B335" t="str">
            <v>پخت کلاچ پراید</v>
          </cell>
          <cell r="C335" t="str">
            <v>قالب تعمیری</v>
          </cell>
          <cell r="P335" t="str">
            <v>mold</v>
          </cell>
          <cell r="AF335">
            <v>1.5</v>
          </cell>
        </row>
        <row r="336">
          <cell r="B336" t="str">
            <v>قالب پخت کلاچ پیکان آرژانتینی</v>
          </cell>
          <cell r="C336" t="str">
            <v>قالب تعمیری</v>
          </cell>
          <cell r="P336" t="str">
            <v>mold</v>
          </cell>
          <cell r="AF336">
            <v>1.5</v>
          </cell>
        </row>
        <row r="337">
          <cell r="B337" t="str">
            <v>قالب پخت کلاچ پژو 405</v>
          </cell>
          <cell r="C337" t="str">
            <v>قالب تعمیری</v>
          </cell>
          <cell r="P337" t="str">
            <v>Matrix</v>
          </cell>
          <cell r="AF337">
            <v>11</v>
          </cell>
        </row>
        <row r="338">
          <cell r="B338" t="str">
            <v>قالب پخت کلاچ پیکان آرژانتینی</v>
          </cell>
          <cell r="C338" t="str">
            <v>قالب تعمیری</v>
          </cell>
          <cell r="P338" t="str">
            <v>Matrix</v>
          </cell>
          <cell r="AF338">
            <v>11</v>
          </cell>
        </row>
        <row r="339">
          <cell r="B339" t="str">
            <v>قالب پخت کلاچ پیکان آرژانتینی</v>
          </cell>
          <cell r="C339" t="str">
            <v>قالب تعمیری</v>
          </cell>
          <cell r="P339" t="str">
            <v>Matrix</v>
          </cell>
          <cell r="AF339">
            <v>7.5</v>
          </cell>
        </row>
        <row r="340">
          <cell r="B340" t="str">
            <v>قالب عقب F12</v>
          </cell>
          <cell r="C340" t="str">
            <v>قالب تعمیری</v>
          </cell>
          <cell r="P340" t="str">
            <v>top plate</v>
          </cell>
          <cell r="AF340">
            <v>3.5</v>
          </cell>
        </row>
        <row r="341">
          <cell r="B341" t="str">
            <v>پخت عقب پژو 405 شمشی پایه کوتاه</v>
          </cell>
          <cell r="C341" t="str">
            <v>قالب نو</v>
          </cell>
          <cell r="P341" t="str">
            <v>Mandrel</v>
          </cell>
          <cell r="AF341">
            <v>3.25</v>
          </cell>
        </row>
        <row r="342">
          <cell r="B342" t="str">
            <v>قالب پخت کلاچ پیکان</v>
          </cell>
          <cell r="C342" t="str">
            <v>قالب تعمیری</v>
          </cell>
          <cell r="P342" t="str">
            <v>Matrix</v>
          </cell>
          <cell r="AF342">
            <v>2.0833333333333335</v>
          </cell>
        </row>
        <row r="343">
          <cell r="B343" t="str">
            <v>قالب پخت کلاچ پیکان</v>
          </cell>
          <cell r="C343" t="str">
            <v>قالب تعمیری</v>
          </cell>
          <cell r="P343" t="str">
            <v>top plate</v>
          </cell>
          <cell r="AF343">
            <v>1</v>
          </cell>
        </row>
        <row r="344">
          <cell r="B344" t="str">
            <v>قالب پخت کلاچ پژو 405</v>
          </cell>
          <cell r="C344" t="str">
            <v>قالب تعمیری</v>
          </cell>
          <cell r="P344" t="str">
            <v>mold</v>
          </cell>
          <cell r="AF344">
            <v>2</v>
          </cell>
        </row>
        <row r="345">
          <cell r="B345" t="str">
            <v>قالب شمشی عقب ریو</v>
          </cell>
          <cell r="C345" t="str">
            <v>قالب نو</v>
          </cell>
          <cell r="P345" t="str">
            <v>mold</v>
          </cell>
          <cell r="AF345">
            <v>3</v>
          </cell>
        </row>
        <row r="346">
          <cell r="B346" t="str">
            <v>پخت کلاچ پراید</v>
          </cell>
          <cell r="C346" t="str">
            <v>قالب تعمیری</v>
          </cell>
          <cell r="P346" t="str">
            <v>mold</v>
          </cell>
          <cell r="AF346">
            <v>1</v>
          </cell>
        </row>
        <row r="347">
          <cell r="B347" t="str">
            <v>قالب پخت کلاچ پیکان</v>
          </cell>
          <cell r="C347" t="str">
            <v>قالب تعمیری</v>
          </cell>
          <cell r="P347" t="str">
            <v>mold</v>
          </cell>
          <cell r="AF347">
            <v>2</v>
          </cell>
        </row>
        <row r="348">
          <cell r="B348" t="str">
            <v>قالب پخت کلاچ پژو 405</v>
          </cell>
          <cell r="C348" t="str">
            <v>قالب تعمیری</v>
          </cell>
          <cell r="P348" t="str">
            <v>bottom plate</v>
          </cell>
          <cell r="AF348">
            <v>3.5</v>
          </cell>
        </row>
        <row r="349">
          <cell r="B349" t="str">
            <v>قالب پخت کلاچ پیکان</v>
          </cell>
          <cell r="C349" t="str">
            <v>قالب تعمیری</v>
          </cell>
          <cell r="P349" t="str">
            <v>bottom plate</v>
          </cell>
          <cell r="AF349">
            <v>4</v>
          </cell>
        </row>
        <row r="350">
          <cell r="B350" t="str">
            <v>قالب پخت کلاچ پیکان</v>
          </cell>
          <cell r="C350" t="str">
            <v>قالب تعمیری</v>
          </cell>
          <cell r="P350" t="str">
            <v>bottom plate</v>
          </cell>
          <cell r="AF350">
            <v>3.5</v>
          </cell>
        </row>
        <row r="351">
          <cell r="B351" t="str">
            <v>قالب پخت کلاچ پژو 405</v>
          </cell>
          <cell r="C351" t="str">
            <v>قالب تعمیری</v>
          </cell>
          <cell r="P351" t="str">
            <v>top plate</v>
          </cell>
          <cell r="AF351">
            <v>8</v>
          </cell>
        </row>
        <row r="352">
          <cell r="B352" t="str">
            <v>قالب پخت کلاچ پیکان آرژانتینی</v>
          </cell>
          <cell r="C352" t="str">
            <v>قالب تعمیری</v>
          </cell>
          <cell r="P352" t="str">
            <v>top plate</v>
          </cell>
          <cell r="AF352">
            <v>3</v>
          </cell>
        </row>
        <row r="353">
          <cell r="B353" t="str">
            <v>برش جمعی جدید</v>
          </cell>
          <cell r="C353" t="str">
            <v>قطعه نو</v>
          </cell>
          <cell r="P353" t="str">
            <v>Shaft</v>
          </cell>
          <cell r="AF353">
            <v>3</v>
          </cell>
        </row>
        <row r="354">
          <cell r="B354" t="str">
            <v>پین عقب پژو 405</v>
          </cell>
          <cell r="C354" t="str">
            <v>قطعه نو</v>
          </cell>
          <cell r="P354" t="str">
            <v>عقب پژو 405</v>
          </cell>
          <cell r="AF354">
            <v>7.5</v>
          </cell>
        </row>
        <row r="355">
          <cell r="B355" t="str">
            <v>آغشته کاری</v>
          </cell>
          <cell r="C355" t="str">
            <v>قطعه تعمیری</v>
          </cell>
          <cell r="P355" t="str">
            <v>فولی</v>
          </cell>
          <cell r="AF355">
            <v>2</v>
          </cell>
        </row>
        <row r="356">
          <cell r="B356" t="str">
            <v>ویوینگ</v>
          </cell>
          <cell r="C356" t="str">
            <v>قطعه تعمیری</v>
          </cell>
          <cell r="P356" t="str">
            <v>پیچ</v>
          </cell>
          <cell r="AF356">
            <v>2</v>
          </cell>
        </row>
        <row r="357">
          <cell r="B357" t="str">
            <v>ابزار زنی</v>
          </cell>
          <cell r="C357" t="str">
            <v>قطعه تعمیری</v>
          </cell>
          <cell r="P357" t="str">
            <v>Mandrel</v>
          </cell>
          <cell r="AF357">
            <v>2.5</v>
          </cell>
        </row>
        <row r="358">
          <cell r="B358" t="str">
            <v>آغشته کاری</v>
          </cell>
          <cell r="C358" t="str">
            <v>قطعه تعمیری</v>
          </cell>
          <cell r="P358" t="str">
            <v>Shaft</v>
          </cell>
          <cell r="AF358">
            <v>2</v>
          </cell>
        </row>
        <row r="359">
          <cell r="B359" t="str">
            <v>سری نقطه جوش</v>
          </cell>
          <cell r="C359" t="str">
            <v>قطعه تعمیری</v>
          </cell>
          <cell r="P359" t="str">
            <v>مسی</v>
          </cell>
          <cell r="AF359">
            <v>2.5</v>
          </cell>
        </row>
        <row r="360">
          <cell r="B360" t="str">
            <v>قالب پخت کلاچ پژو 405</v>
          </cell>
          <cell r="C360" t="str">
            <v>قالب تعمیری</v>
          </cell>
          <cell r="P360" t="str">
            <v>Matrix</v>
          </cell>
          <cell r="AF360">
            <v>1.6666666666666667</v>
          </cell>
        </row>
        <row r="361">
          <cell r="B361" t="str">
            <v>قالب پخت کلاچ پژو 405</v>
          </cell>
          <cell r="C361" t="str">
            <v>قالب تعمیری</v>
          </cell>
          <cell r="P361" t="str">
            <v>Matrix</v>
          </cell>
          <cell r="AF361">
            <v>9.3333333333333339</v>
          </cell>
        </row>
        <row r="362">
          <cell r="B362" t="str">
            <v>پین عقب پژو 405</v>
          </cell>
          <cell r="C362" t="str">
            <v>قطعه نو</v>
          </cell>
          <cell r="P362" t="str">
            <v>عقب پژو 405</v>
          </cell>
          <cell r="AF362">
            <v>7.5</v>
          </cell>
        </row>
        <row r="363">
          <cell r="B363" t="str">
            <v>پین عقب پژو 405</v>
          </cell>
          <cell r="C363" t="str">
            <v>قطعه نو</v>
          </cell>
          <cell r="P363" t="str">
            <v>عقب پژو 405</v>
          </cell>
          <cell r="AF363">
            <v>7.5</v>
          </cell>
        </row>
        <row r="364">
          <cell r="B364" t="str">
            <v>قالب پخت کلاچ پیکان</v>
          </cell>
          <cell r="C364" t="str">
            <v>قالب تعمیری</v>
          </cell>
          <cell r="P364" t="str">
            <v>Matrix</v>
          </cell>
          <cell r="AF364">
            <v>3.25</v>
          </cell>
        </row>
        <row r="365">
          <cell r="B365" t="str">
            <v>قالب عقب F12</v>
          </cell>
          <cell r="C365" t="str">
            <v>قالب تعمیری</v>
          </cell>
          <cell r="P365" t="str">
            <v>top plate</v>
          </cell>
          <cell r="AF365">
            <v>3.25</v>
          </cell>
        </row>
        <row r="366">
          <cell r="B366" t="str">
            <v>قالب پخت کلاچ پژو 405</v>
          </cell>
          <cell r="C366" t="str">
            <v>قالب تعمیری</v>
          </cell>
          <cell r="P366" t="str">
            <v>Mandrel</v>
          </cell>
          <cell r="AF366">
            <v>5.5</v>
          </cell>
        </row>
        <row r="367">
          <cell r="B367" t="str">
            <v>قالب پخت کلاچ پیکان آرژانتینی</v>
          </cell>
          <cell r="C367" t="str">
            <v>قالب تعمیری</v>
          </cell>
          <cell r="P367" t="str">
            <v>Mandrel</v>
          </cell>
          <cell r="AF367">
            <v>5.5</v>
          </cell>
        </row>
        <row r="368">
          <cell r="B368" t="str">
            <v>پخت کلاچ پراید</v>
          </cell>
          <cell r="C368" t="str">
            <v>قالب تعمیری</v>
          </cell>
          <cell r="P368" t="str">
            <v>Mandrel</v>
          </cell>
          <cell r="AF368">
            <v>5.5</v>
          </cell>
        </row>
        <row r="369">
          <cell r="B369" t="str">
            <v>اصول 5S</v>
          </cell>
          <cell r="C369" t="str">
            <v>نظافت</v>
          </cell>
          <cell r="P369" t="str">
            <v>دستگاه</v>
          </cell>
          <cell r="AF369">
            <v>2</v>
          </cell>
        </row>
        <row r="370">
          <cell r="B370" t="str">
            <v>اصول 5S</v>
          </cell>
          <cell r="C370" t="str">
            <v>نظافت</v>
          </cell>
          <cell r="P370" t="str">
            <v>سالن</v>
          </cell>
          <cell r="AF370">
            <v>2</v>
          </cell>
        </row>
        <row r="371">
          <cell r="B371" t="str">
            <v>دستگاه پخ زنی</v>
          </cell>
          <cell r="C371" t="str">
            <v>دستگاه تعمیری</v>
          </cell>
          <cell r="P371" t="str">
            <v>دستگاه</v>
          </cell>
          <cell r="AF371">
            <v>3</v>
          </cell>
        </row>
        <row r="372">
          <cell r="B372" t="str">
            <v>قالب پژو 405 دیسکی</v>
          </cell>
          <cell r="C372" t="str">
            <v>قالب تعمیری</v>
          </cell>
          <cell r="P372" t="str">
            <v>top plate</v>
          </cell>
          <cell r="AF372">
            <v>1</v>
          </cell>
        </row>
        <row r="373">
          <cell r="B373" t="str">
            <v>پخت کلاچ پراید</v>
          </cell>
          <cell r="C373" t="str">
            <v>قالب تعمیری</v>
          </cell>
          <cell r="P373" t="str">
            <v>Matrix</v>
          </cell>
          <cell r="AF373">
            <v>9.5</v>
          </cell>
        </row>
        <row r="374">
          <cell r="B374" t="str">
            <v>پخت کلاچ پراید</v>
          </cell>
          <cell r="C374" t="str">
            <v>قالب تعمیری</v>
          </cell>
          <cell r="P374" t="str">
            <v>Matrix</v>
          </cell>
          <cell r="AF374">
            <v>6.5</v>
          </cell>
        </row>
        <row r="375">
          <cell r="B375" t="str">
            <v>پخت کلاچ پراید</v>
          </cell>
          <cell r="C375" t="str">
            <v>قالب تعمیری</v>
          </cell>
          <cell r="P375" t="str">
            <v>top plate</v>
          </cell>
          <cell r="AF375">
            <v>4.5</v>
          </cell>
        </row>
        <row r="376">
          <cell r="B376" t="str">
            <v>آسیاب پشم فلز</v>
          </cell>
          <cell r="C376" t="str">
            <v>قطعه تعمیری</v>
          </cell>
          <cell r="P376" t="str">
            <v>Shaft</v>
          </cell>
          <cell r="AF376">
            <v>2.5</v>
          </cell>
        </row>
        <row r="377">
          <cell r="B377" t="str">
            <v>قالب پخت کلاچ پژو 405</v>
          </cell>
          <cell r="C377" t="str">
            <v>قالب تعمیری</v>
          </cell>
          <cell r="P377" t="str">
            <v>top plate</v>
          </cell>
          <cell r="AF377">
            <v>4</v>
          </cell>
        </row>
        <row r="378">
          <cell r="B378" t="str">
            <v>پخت کلاچ پراید</v>
          </cell>
          <cell r="C378" t="str">
            <v>قالب تعمیری</v>
          </cell>
          <cell r="P378" t="str">
            <v>top plate</v>
          </cell>
          <cell r="AF378">
            <v>3.5</v>
          </cell>
        </row>
        <row r="379">
          <cell r="B379" t="str">
            <v>پخت کلاچ پراید</v>
          </cell>
          <cell r="C379" t="str">
            <v>قالب تعمیری</v>
          </cell>
          <cell r="P379" t="str">
            <v>top plate</v>
          </cell>
          <cell r="AF379">
            <v>3</v>
          </cell>
        </row>
        <row r="380">
          <cell r="B380" t="str">
            <v>اصول 5S</v>
          </cell>
          <cell r="C380" t="str">
            <v>نظافت</v>
          </cell>
          <cell r="P380" t="str">
            <v>دستگاه</v>
          </cell>
          <cell r="AF380">
            <v>1</v>
          </cell>
        </row>
        <row r="381">
          <cell r="B381" t="str">
            <v>قالب پخت کلاچ پژو 405</v>
          </cell>
          <cell r="C381" t="str">
            <v>قالب تعمیری</v>
          </cell>
          <cell r="P381" t="str">
            <v>top plate</v>
          </cell>
          <cell r="AF381">
            <v>1.5</v>
          </cell>
        </row>
        <row r="382">
          <cell r="B382" t="str">
            <v>پخت مترو K</v>
          </cell>
          <cell r="C382" t="str">
            <v>قالب تعمیری</v>
          </cell>
          <cell r="P382" t="str">
            <v>mold</v>
          </cell>
          <cell r="AF382">
            <v>1.1666666666666667</v>
          </cell>
        </row>
        <row r="383">
          <cell r="B383" t="str">
            <v>پخت مترو K</v>
          </cell>
          <cell r="C383" t="str">
            <v>قالب تعمیری</v>
          </cell>
          <cell r="P383" t="str">
            <v>top plate</v>
          </cell>
          <cell r="AF383">
            <v>1.1666666666666667</v>
          </cell>
        </row>
        <row r="384">
          <cell r="B384" t="str">
            <v>پخت مترو K</v>
          </cell>
          <cell r="C384" t="str">
            <v>قالب تعمیری</v>
          </cell>
          <cell r="P384" t="str">
            <v>top plate</v>
          </cell>
          <cell r="AF384">
            <v>1.1666666666666667</v>
          </cell>
        </row>
        <row r="385">
          <cell r="B385" t="str">
            <v>اصول 5S</v>
          </cell>
          <cell r="C385" t="str">
            <v>نظافت</v>
          </cell>
          <cell r="P385" t="str">
            <v>سالن</v>
          </cell>
          <cell r="AF385">
            <v>3</v>
          </cell>
        </row>
        <row r="386">
          <cell r="B386" t="str">
            <v>عقب بنز 74</v>
          </cell>
          <cell r="C386" t="str">
            <v>قالب تعمیری</v>
          </cell>
          <cell r="P386" t="str">
            <v>mold</v>
          </cell>
          <cell r="AF386">
            <v>1</v>
          </cell>
        </row>
        <row r="387">
          <cell r="B387" t="str">
            <v>عقب بنز 74</v>
          </cell>
          <cell r="C387" t="str">
            <v>قالب تعمیری</v>
          </cell>
          <cell r="P387" t="str">
            <v>top plate</v>
          </cell>
          <cell r="AF387">
            <v>1</v>
          </cell>
        </row>
        <row r="388">
          <cell r="B388" t="str">
            <v>عقب بنز 74</v>
          </cell>
          <cell r="C388" t="str">
            <v>قالب تعمیری</v>
          </cell>
          <cell r="P388" t="str">
            <v>top plate</v>
          </cell>
          <cell r="AF388">
            <v>4</v>
          </cell>
        </row>
        <row r="389">
          <cell r="B389" t="str">
            <v>قالب شیم پژو 405</v>
          </cell>
          <cell r="C389" t="str">
            <v>قالب تعمیری</v>
          </cell>
          <cell r="P389" t="str">
            <v>mold</v>
          </cell>
          <cell r="AF389">
            <v>1</v>
          </cell>
        </row>
        <row r="390">
          <cell r="B390" t="str">
            <v>اصول 5S</v>
          </cell>
          <cell r="C390" t="str">
            <v>نظافت</v>
          </cell>
          <cell r="P390" t="str">
            <v>دستگاه</v>
          </cell>
          <cell r="AF390">
            <v>1</v>
          </cell>
        </row>
        <row r="391">
          <cell r="B391" t="str">
            <v>قالب پخت کلاچ پیکان آرژانتینی</v>
          </cell>
          <cell r="C391" t="str">
            <v>قالب تعمیری</v>
          </cell>
          <cell r="P391" t="str">
            <v>Mandrel</v>
          </cell>
          <cell r="AF391">
            <v>9</v>
          </cell>
        </row>
        <row r="392">
          <cell r="B392" t="str">
            <v>قالب شیم پژو 405</v>
          </cell>
          <cell r="C392" t="str">
            <v>قالب تعمیری</v>
          </cell>
          <cell r="P392" t="str">
            <v>Mandrel</v>
          </cell>
          <cell r="AF392">
            <v>1</v>
          </cell>
        </row>
        <row r="393">
          <cell r="B393" t="str">
            <v>قالب پخت کلاچ پژو 405</v>
          </cell>
          <cell r="C393" t="str">
            <v>قالب تعمیری</v>
          </cell>
          <cell r="P393" t="str">
            <v>Mandrel</v>
          </cell>
          <cell r="AF393">
            <v>1</v>
          </cell>
        </row>
        <row r="394">
          <cell r="B394" t="str">
            <v>قالب پخت کلاچ پیکان آرژانتینی</v>
          </cell>
          <cell r="C394" t="str">
            <v>قالب تعمیری</v>
          </cell>
          <cell r="P394" t="str">
            <v>Mandrel</v>
          </cell>
          <cell r="AF394">
            <v>4</v>
          </cell>
        </row>
        <row r="395">
          <cell r="B395" t="str">
            <v>قالب پخت کلاچ پژو 405</v>
          </cell>
          <cell r="C395" t="str">
            <v>قالب تعمیری</v>
          </cell>
          <cell r="P395" t="str">
            <v>Mandrel</v>
          </cell>
          <cell r="AF395">
            <v>2</v>
          </cell>
        </row>
        <row r="396">
          <cell r="B396" t="str">
            <v>اصول 5S</v>
          </cell>
          <cell r="C396" t="str">
            <v>نظافت</v>
          </cell>
          <cell r="P396" t="str">
            <v>دستگاه</v>
          </cell>
          <cell r="AF396">
            <v>2</v>
          </cell>
        </row>
        <row r="397">
          <cell r="B397" t="str">
            <v>ویوینگ</v>
          </cell>
          <cell r="C397" t="str">
            <v>قطعه تعمیری</v>
          </cell>
          <cell r="P397" t="str">
            <v>Bush</v>
          </cell>
          <cell r="AF397">
            <v>2</v>
          </cell>
        </row>
        <row r="398">
          <cell r="B398" t="str">
            <v>پخت مترو K</v>
          </cell>
          <cell r="C398" t="str">
            <v>قالب تعمیری</v>
          </cell>
          <cell r="P398" t="str">
            <v>Bush</v>
          </cell>
          <cell r="AF398">
            <v>2</v>
          </cell>
        </row>
        <row r="399">
          <cell r="B399" t="str">
            <v>دستگاه پشم فلز</v>
          </cell>
          <cell r="C399" t="str">
            <v>قطعه تعمیری</v>
          </cell>
          <cell r="P399" t="str">
            <v>Shaft</v>
          </cell>
          <cell r="AF399">
            <v>2</v>
          </cell>
        </row>
        <row r="400">
          <cell r="B400" t="str">
            <v>ابزار زنی</v>
          </cell>
          <cell r="C400" t="str">
            <v>قطعه تعمیری</v>
          </cell>
          <cell r="P400" t="str">
            <v>عقب نیسان</v>
          </cell>
          <cell r="AF400">
            <v>2</v>
          </cell>
        </row>
        <row r="401">
          <cell r="B401" t="str">
            <v>Hammer Mill Machine</v>
          </cell>
          <cell r="C401" t="str">
            <v>دستگاه نو</v>
          </cell>
          <cell r="P401" t="str">
            <v>صفحه</v>
          </cell>
          <cell r="AF401">
            <v>3</v>
          </cell>
        </row>
        <row r="402">
          <cell r="B402" t="str">
            <v>Hammer Mill Machine</v>
          </cell>
          <cell r="C402" t="str">
            <v>دستگاه نو</v>
          </cell>
          <cell r="P402" t="str">
            <v>صفحه</v>
          </cell>
          <cell r="AF402">
            <v>6.5</v>
          </cell>
        </row>
        <row r="403">
          <cell r="B403" t="str">
            <v>اصول 5S</v>
          </cell>
          <cell r="C403" t="str">
            <v>نظافت</v>
          </cell>
          <cell r="P403" t="str">
            <v>دستگاه</v>
          </cell>
          <cell r="AF403">
            <v>1</v>
          </cell>
        </row>
        <row r="404">
          <cell r="B404" t="str">
            <v>قالب عقب F12</v>
          </cell>
          <cell r="C404" t="str">
            <v>قالب تعمیری</v>
          </cell>
          <cell r="P404" t="str">
            <v>top plate</v>
          </cell>
          <cell r="AF404">
            <v>7.5</v>
          </cell>
        </row>
        <row r="405">
          <cell r="B405" t="str">
            <v>Hammer Mill Machine</v>
          </cell>
          <cell r="C405" t="str">
            <v>دستگاه نو</v>
          </cell>
          <cell r="P405" t="str">
            <v>دنده</v>
          </cell>
          <cell r="AF405">
            <v>8</v>
          </cell>
        </row>
        <row r="406">
          <cell r="B406" t="str">
            <v>Hammer Mill Machine</v>
          </cell>
          <cell r="C406" t="str">
            <v>دستگاه نو</v>
          </cell>
          <cell r="P406" t="str">
            <v>تیغه</v>
          </cell>
          <cell r="AF406">
            <v>8</v>
          </cell>
        </row>
        <row r="407">
          <cell r="B407" t="str">
            <v>تسمه تست کششی</v>
          </cell>
          <cell r="C407" t="str">
            <v>قطعه نو</v>
          </cell>
          <cell r="P407" t="str">
            <v>تسمه</v>
          </cell>
          <cell r="AF407">
            <v>8</v>
          </cell>
        </row>
        <row r="408">
          <cell r="B408" t="str">
            <v>لنت دنیای مس</v>
          </cell>
          <cell r="C408" t="str">
            <v>قطعه نو</v>
          </cell>
          <cell r="P408" t="str">
            <v>فیکسچر خم</v>
          </cell>
          <cell r="AF408">
            <v>8</v>
          </cell>
        </row>
        <row r="409">
          <cell r="B409" t="str">
            <v>پین عقب پژو 405</v>
          </cell>
          <cell r="C409" t="str">
            <v>قطعه نو</v>
          </cell>
          <cell r="P409" t="str">
            <v>عقب پژو 405</v>
          </cell>
          <cell r="AF409">
            <v>7.5</v>
          </cell>
        </row>
        <row r="410">
          <cell r="B410" t="str">
            <v>قالب پخت کلاچ پژو 405</v>
          </cell>
          <cell r="C410" t="str">
            <v>قالب تعمیری</v>
          </cell>
          <cell r="P410" t="str">
            <v>top plate</v>
          </cell>
          <cell r="AF410">
            <v>2</v>
          </cell>
        </row>
        <row r="411">
          <cell r="B411" t="str">
            <v>دستگاه ساب کلاچ</v>
          </cell>
          <cell r="C411" t="str">
            <v>قطعه تعمیری</v>
          </cell>
          <cell r="P411" t="str">
            <v>میز</v>
          </cell>
          <cell r="AF411">
            <v>9</v>
          </cell>
        </row>
        <row r="412">
          <cell r="B412" t="str">
            <v>قالب عقب F12</v>
          </cell>
          <cell r="C412" t="str">
            <v>قالب تعمیری</v>
          </cell>
          <cell r="P412" t="str">
            <v>top plate</v>
          </cell>
          <cell r="AF412">
            <v>4</v>
          </cell>
        </row>
        <row r="413">
          <cell r="B413" t="str">
            <v>آسیاب پشم فلز</v>
          </cell>
          <cell r="C413" t="str">
            <v>قطعه تعمیری</v>
          </cell>
          <cell r="P413" t="str">
            <v>Shaft</v>
          </cell>
          <cell r="AF413">
            <v>1</v>
          </cell>
        </row>
        <row r="414">
          <cell r="B414" t="str">
            <v>قالب پخت کلاچ پژو 405</v>
          </cell>
          <cell r="C414" t="str">
            <v>قالب تعمیری</v>
          </cell>
          <cell r="P414" t="str">
            <v>top plate</v>
          </cell>
          <cell r="AF414">
            <v>1.5</v>
          </cell>
        </row>
        <row r="415">
          <cell r="B415" t="str">
            <v>قالب عقب F12</v>
          </cell>
          <cell r="C415" t="str">
            <v>قالب تعمیری</v>
          </cell>
          <cell r="P415" t="str">
            <v>bottom plate</v>
          </cell>
          <cell r="AF415">
            <v>4.5</v>
          </cell>
        </row>
        <row r="416">
          <cell r="B416" t="str">
            <v>قالب شیم پژو 405</v>
          </cell>
          <cell r="C416" t="str">
            <v>قالب تعمیری</v>
          </cell>
          <cell r="P416" t="str">
            <v>Matrix</v>
          </cell>
          <cell r="AF416">
            <v>6.5</v>
          </cell>
        </row>
        <row r="417">
          <cell r="B417" t="str">
            <v>قالب پخت کلاچ پیکان آرژانتینی</v>
          </cell>
          <cell r="C417" t="str">
            <v>قالب تعمیری</v>
          </cell>
          <cell r="P417" t="str">
            <v>Mandrel</v>
          </cell>
          <cell r="AF417">
            <v>5</v>
          </cell>
        </row>
        <row r="418">
          <cell r="B418" t="str">
            <v>قالب پخت کلاچ پژو 405</v>
          </cell>
          <cell r="C418" t="str">
            <v>قالب تعمیری</v>
          </cell>
          <cell r="P418" t="str">
            <v>Mandrel</v>
          </cell>
          <cell r="AF418">
            <v>5</v>
          </cell>
        </row>
        <row r="419">
          <cell r="B419" t="str">
            <v>سری نقطه جوش</v>
          </cell>
          <cell r="C419" t="str">
            <v>قطعه تعمیری</v>
          </cell>
          <cell r="P419" t="str">
            <v>مسی</v>
          </cell>
          <cell r="AF419">
            <v>1</v>
          </cell>
        </row>
        <row r="420">
          <cell r="B420" t="str">
            <v>پخت کلاچ پراید</v>
          </cell>
          <cell r="C420" t="str">
            <v>قالب تعمیری</v>
          </cell>
          <cell r="P420" t="str">
            <v>Matrix</v>
          </cell>
          <cell r="AF420">
            <v>8.1666666666666661</v>
          </cell>
        </row>
        <row r="421">
          <cell r="B421" t="str">
            <v>قالب پخت کلاچ پیکان</v>
          </cell>
          <cell r="C421" t="str">
            <v>قالب تعمیری</v>
          </cell>
          <cell r="P421" t="str">
            <v>Matrix</v>
          </cell>
          <cell r="AF421">
            <v>2.5</v>
          </cell>
        </row>
        <row r="422">
          <cell r="B422" t="str">
            <v>قالب پخت کلاچ پژو 405</v>
          </cell>
          <cell r="C422" t="str">
            <v>قالب تعمیری</v>
          </cell>
          <cell r="P422" t="str">
            <v>Mandrel</v>
          </cell>
          <cell r="AF422">
            <v>6</v>
          </cell>
        </row>
        <row r="423">
          <cell r="B423" t="str">
            <v>گیوتین 50 تن</v>
          </cell>
          <cell r="C423" t="str">
            <v>دستگاه تعمیری</v>
          </cell>
          <cell r="P423" t="str">
            <v>Mandrel</v>
          </cell>
          <cell r="AF423">
            <v>3</v>
          </cell>
        </row>
        <row r="424">
          <cell r="B424" t="str">
            <v>قالب پخت کلاچ پیکان</v>
          </cell>
          <cell r="C424" t="str">
            <v>قالب تعمیری</v>
          </cell>
          <cell r="P424" t="str">
            <v>Mandrel</v>
          </cell>
          <cell r="AF424">
            <v>2</v>
          </cell>
        </row>
        <row r="425">
          <cell r="B425" t="str">
            <v>قالب شمشی عقب ریو</v>
          </cell>
          <cell r="C425" t="str">
            <v>قالب نو</v>
          </cell>
          <cell r="P425" t="str">
            <v>mold</v>
          </cell>
          <cell r="AF425">
            <v>2</v>
          </cell>
        </row>
        <row r="426">
          <cell r="B426" t="str">
            <v>پخت عقب پژو 405 شمشی پایه کوتاه</v>
          </cell>
          <cell r="C426" t="str">
            <v>قالب نو</v>
          </cell>
          <cell r="P426" t="str">
            <v>top plate</v>
          </cell>
          <cell r="AF426">
            <v>4</v>
          </cell>
        </row>
        <row r="427">
          <cell r="B427" t="str">
            <v>پخت کلاچ پژو 206 TU5</v>
          </cell>
          <cell r="C427" t="str">
            <v>قالب تعمیری</v>
          </cell>
          <cell r="P427" t="str">
            <v>Mold</v>
          </cell>
          <cell r="AF427">
            <v>4</v>
          </cell>
        </row>
        <row r="428">
          <cell r="B428" t="str">
            <v>دستگاه پشم فلز</v>
          </cell>
          <cell r="C428" t="str">
            <v>قطعه نو</v>
          </cell>
          <cell r="P428" t="str">
            <v>فلانچ بزرگ</v>
          </cell>
          <cell r="AF428">
            <v>3</v>
          </cell>
        </row>
        <row r="429">
          <cell r="B429" t="str">
            <v>دستگاه پشم فلز</v>
          </cell>
          <cell r="C429" t="str">
            <v>قطعه نو</v>
          </cell>
          <cell r="P429" t="str">
            <v>زیر پایه</v>
          </cell>
          <cell r="AF429">
            <v>2</v>
          </cell>
        </row>
        <row r="430">
          <cell r="B430" t="str">
            <v>دستگاه پشم فلز</v>
          </cell>
          <cell r="C430" t="str">
            <v>قطعه نو</v>
          </cell>
          <cell r="P430" t="str">
            <v>Shaft</v>
          </cell>
          <cell r="AF430">
            <v>2</v>
          </cell>
        </row>
        <row r="431">
          <cell r="B431" t="str">
            <v>عقب بنز 74</v>
          </cell>
          <cell r="C431" t="str">
            <v>قالب تعمیری</v>
          </cell>
          <cell r="P431" t="str">
            <v>Bush</v>
          </cell>
          <cell r="AF431">
            <v>2</v>
          </cell>
        </row>
        <row r="432">
          <cell r="B432" t="str">
            <v>عقب بنز 74</v>
          </cell>
          <cell r="C432" t="str">
            <v>قالب تعمیری</v>
          </cell>
          <cell r="P432" t="str">
            <v>top plate</v>
          </cell>
          <cell r="AF432">
            <v>1</v>
          </cell>
        </row>
        <row r="433">
          <cell r="B433" t="str">
            <v>پخت کلاچ پژو 206 TU5</v>
          </cell>
          <cell r="C433" t="str">
            <v>قالب تعمیری</v>
          </cell>
          <cell r="P433" t="str">
            <v>Mold</v>
          </cell>
          <cell r="AF433">
            <v>1</v>
          </cell>
        </row>
        <row r="434">
          <cell r="B434" t="str">
            <v>پخت کلاچ پژو 206 TU5</v>
          </cell>
          <cell r="C434" t="str">
            <v>قالب تعمیری</v>
          </cell>
          <cell r="P434" t="str">
            <v>Mold</v>
          </cell>
          <cell r="AF434">
            <v>4</v>
          </cell>
        </row>
        <row r="435">
          <cell r="B435" t="str">
            <v>دستگاه پشم فلز</v>
          </cell>
          <cell r="C435" t="str">
            <v>قطعه نو</v>
          </cell>
          <cell r="P435" t="str">
            <v>فلانچ بزرگ</v>
          </cell>
          <cell r="AF435">
            <v>1</v>
          </cell>
        </row>
        <row r="436">
          <cell r="B436" t="str">
            <v>دستگاه پشم فلز</v>
          </cell>
          <cell r="C436" t="str">
            <v>قطعه نو</v>
          </cell>
          <cell r="P436" t="str">
            <v>زیر پایه</v>
          </cell>
          <cell r="AF436">
            <v>1</v>
          </cell>
        </row>
        <row r="437">
          <cell r="B437" t="str">
            <v>قالب شمشی عقب ریو</v>
          </cell>
          <cell r="C437" t="str">
            <v>قالب نو</v>
          </cell>
          <cell r="P437" t="str">
            <v>mold</v>
          </cell>
          <cell r="AF437">
            <v>1</v>
          </cell>
        </row>
        <row r="438">
          <cell r="B438" t="str">
            <v>Hammer Mill Machine</v>
          </cell>
          <cell r="C438" t="str">
            <v>دستگاه نو</v>
          </cell>
          <cell r="P438" t="str">
            <v>دنده</v>
          </cell>
          <cell r="AF438">
            <v>11</v>
          </cell>
        </row>
        <row r="439">
          <cell r="B439" t="str">
            <v>Hammer Mill Machine</v>
          </cell>
          <cell r="C439" t="str">
            <v>دستگاه نو</v>
          </cell>
          <cell r="P439" t="str">
            <v>تیغه</v>
          </cell>
          <cell r="AF439">
            <v>11</v>
          </cell>
        </row>
        <row r="440">
          <cell r="B440" t="str">
            <v>لنت دنیای مس</v>
          </cell>
          <cell r="C440" t="str">
            <v>قطعه نو</v>
          </cell>
          <cell r="P440" t="str">
            <v>فیکسچر خم</v>
          </cell>
          <cell r="AF440">
            <v>11</v>
          </cell>
        </row>
        <row r="441">
          <cell r="B441" t="str">
            <v>قلم پین پژو 405</v>
          </cell>
          <cell r="C441" t="str">
            <v>قطعه تعمیری</v>
          </cell>
          <cell r="P441" t="str">
            <v>قلم</v>
          </cell>
          <cell r="AF441">
            <v>2</v>
          </cell>
        </row>
        <row r="442">
          <cell r="B442" t="str">
            <v>قلم پین L90</v>
          </cell>
          <cell r="C442" t="str">
            <v>قطعه تعمیری</v>
          </cell>
          <cell r="P442" t="str">
            <v>قلم</v>
          </cell>
          <cell r="AF442">
            <v>2</v>
          </cell>
        </row>
        <row r="443">
          <cell r="B443" t="str">
            <v xml:space="preserve">دستگاه مهر زنی </v>
          </cell>
          <cell r="C443" t="str">
            <v>قطعه نو</v>
          </cell>
          <cell r="P443" t="str">
            <v>پولی تسمه</v>
          </cell>
          <cell r="AF443">
            <v>1</v>
          </cell>
        </row>
        <row r="444">
          <cell r="B444" t="str">
            <v>دستگاه پشم فلز</v>
          </cell>
          <cell r="C444" t="str">
            <v>قطعه نو</v>
          </cell>
          <cell r="P444" t="str">
            <v>کوبلینگ</v>
          </cell>
          <cell r="AF444">
            <v>6</v>
          </cell>
        </row>
        <row r="445">
          <cell r="B445" t="str">
            <v>قالب پخت کلاچ پیکان</v>
          </cell>
          <cell r="C445" t="str">
            <v>قالب تعمیری</v>
          </cell>
          <cell r="P445" t="str">
            <v>Matrix</v>
          </cell>
          <cell r="AF445">
            <v>7.5</v>
          </cell>
        </row>
        <row r="446">
          <cell r="B446" t="str">
            <v>قالب عقب F12</v>
          </cell>
          <cell r="C446" t="str">
            <v>قالب تعمیری</v>
          </cell>
          <cell r="P446" t="str">
            <v>top plate</v>
          </cell>
          <cell r="AF446">
            <v>6.333333333333333</v>
          </cell>
        </row>
        <row r="447">
          <cell r="B447" t="str">
            <v>قالب پخت کلاچ پژو 405</v>
          </cell>
          <cell r="C447" t="str">
            <v>قالب تعمیری</v>
          </cell>
          <cell r="P447" t="str">
            <v>top plate</v>
          </cell>
          <cell r="AF447">
            <v>9</v>
          </cell>
        </row>
        <row r="448">
          <cell r="B448" t="str">
            <v>قالب شیم پژو 405</v>
          </cell>
          <cell r="C448" t="str">
            <v>قالب تعمیری</v>
          </cell>
          <cell r="P448" t="str">
            <v>Matrix</v>
          </cell>
          <cell r="AF448">
            <v>5.5</v>
          </cell>
        </row>
        <row r="449">
          <cell r="B449" t="str">
            <v>قالب شیم ریو</v>
          </cell>
          <cell r="C449" t="str">
            <v>قالب تعمیری</v>
          </cell>
          <cell r="P449" t="str">
            <v>matrix</v>
          </cell>
          <cell r="AF449">
            <v>5.5</v>
          </cell>
        </row>
        <row r="450">
          <cell r="B450" t="str">
            <v>Hammer Mill Machine</v>
          </cell>
          <cell r="C450" t="str">
            <v>دستگاه نو</v>
          </cell>
          <cell r="P450" t="str">
            <v>صفحه</v>
          </cell>
          <cell r="AF450">
            <v>8</v>
          </cell>
        </row>
        <row r="451">
          <cell r="B451" t="str">
            <v>ویوینگ</v>
          </cell>
          <cell r="C451" t="str">
            <v>قطعه تعمیری</v>
          </cell>
          <cell r="P451" t="str">
            <v>میله هدایت</v>
          </cell>
          <cell r="AF451">
            <v>3</v>
          </cell>
        </row>
        <row r="452">
          <cell r="B452" t="str">
            <v>قالب پخت کلاچ پژو 405</v>
          </cell>
          <cell r="C452" t="str">
            <v>قالب تعمیری</v>
          </cell>
          <cell r="P452" t="str">
            <v>Matrix</v>
          </cell>
          <cell r="AF452">
            <v>11</v>
          </cell>
        </row>
        <row r="453">
          <cell r="B453" t="str">
            <v>قالب پخت کلاچ پژو 405</v>
          </cell>
          <cell r="C453" t="str">
            <v>قالب تعمیری</v>
          </cell>
          <cell r="P453" t="str">
            <v>Matrix</v>
          </cell>
          <cell r="AF453">
            <v>5.5</v>
          </cell>
        </row>
        <row r="454">
          <cell r="B454" t="str">
            <v>CNC 7203</v>
          </cell>
          <cell r="C454" t="str">
            <v>دستگاه تعمیری</v>
          </cell>
          <cell r="P454" t="str">
            <v>دستگاه</v>
          </cell>
          <cell r="AF454">
            <v>5.5</v>
          </cell>
        </row>
        <row r="455">
          <cell r="B455" t="str">
            <v>CNC 7204</v>
          </cell>
          <cell r="C455" t="str">
            <v>دستگاه تعمیری</v>
          </cell>
          <cell r="P455" t="str">
            <v>دستگاه</v>
          </cell>
          <cell r="AF455">
            <v>5.5</v>
          </cell>
        </row>
        <row r="456">
          <cell r="B456" t="str">
            <v>ساب کونیک</v>
          </cell>
          <cell r="C456" t="str">
            <v>قطعه نو</v>
          </cell>
          <cell r="P456" t="str">
            <v>پنجره ای</v>
          </cell>
          <cell r="AF456">
            <v>5.5</v>
          </cell>
        </row>
        <row r="457">
          <cell r="B457" t="str">
            <v>پین عقب پژو 405</v>
          </cell>
          <cell r="C457" t="str">
            <v>قطعه نو</v>
          </cell>
          <cell r="P457" t="str">
            <v>عقب پژو 405</v>
          </cell>
          <cell r="AF457">
            <v>7.5</v>
          </cell>
        </row>
        <row r="458">
          <cell r="B458" t="str">
            <v>ساب کونیک</v>
          </cell>
          <cell r="C458" t="str">
            <v>قطعه نو</v>
          </cell>
          <cell r="P458" t="str">
            <v>پنجره ای</v>
          </cell>
          <cell r="AF458">
            <v>3.5</v>
          </cell>
        </row>
        <row r="459">
          <cell r="B459" t="str">
            <v>پین عقب پژو 405</v>
          </cell>
          <cell r="C459" t="str">
            <v>قطعه نو</v>
          </cell>
          <cell r="P459" t="str">
            <v>عقب پژو 405</v>
          </cell>
          <cell r="AF459">
            <v>3.5</v>
          </cell>
        </row>
        <row r="460">
          <cell r="B460" t="str">
            <v>برش جمعی عقب</v>
          </cell>
          <cell r="C460" t="str">
            <v>قطعه تعمیری</v>
          </cell>
          <cell r="P460" t="str">
            <v>تیغه</v>
          </cell>
          <cell r="AF460">
            <v>2</v>
          </cell>
        </row>
        <row r="461">
          <cell r="B461" t="str">
            <v>ابزار زنی</v>
          </cell>
          <cell r="C461" t="str">
            <v>قطعه تعمیری</v>
          </cell>
          <cell r="P461" t="str">
            <v>Mandrel</v>
          </cell>
          <cell r="AF461">
            <v>1.5</v>
          </cell>
        </row>
        <row r="462">
          <cell r="B462" t="str">
            <v>ویوینگ</v>
          </cell>
          <cell r="C462" t="str">
            <v>قطعه نو</v>
          </cell>
          <cell r="P462" t="str">
            <v>pin</v>
          </cell>
          <cell r="AF462">
            <v>1.5</v>
          </cell>
        </row>
        <row r="463">
          <cell r="B463" t="str">
            <v>ویوینگ</v>
          </cell>
          <cell r="C463" t="str">
            <v>قطعه نو</v>
          </cell>
          <cell r="P463" t="str">
            <v>Bush</v>
          </cell>
          <cell r="AF463">
            <v>1.5</v>
          </cell>
        </row>
        <row r="464">
          <cell r="B464" t="str">
            <v>ویوینگ</v>
          </cell>
          <cell r="C464" t="str">
            <v>قطعه نو</v>
          </cell>
          <cell r="P464" t="str">
            <v>واشر لنگری</v>
          </cell>
          <cell r="AF464">
            <v>2</v>
          </cell>
        </row>
        <row r="465">
          <cell r="B465" t="str">
            <v xml:space="preserve">دستگاه سنگ پشم فلز آلمانی </v>
          </cell>
          <cell r="C465" t="str">
            <v>قطعه نو</v>
          </cell>
          <cell r="P465" t="str">
            <v>واسطه سنگ</v>
          </cell>
          <cell r="AF465">
            <v>2</v>
          </cell>
        </row>
        <row r="466">
          <cell r="B466" t="str">
            <v>قالب پخت کلاچ پژو 405</v>
          </cell>
          <cell r="C466" t="str">
            <v>قالب تعمیری</v>
          </cell>
          <cell r="P466" t="str">
            <v>mold</v>
          </cell>
          <cell r="AF466">
            <v>1</v>
          </cell>
        </row>
        <row r="467">
          <cell r="B467" t="str">
            <v>عقب بنز 74</v>
          </cell>
          <cell r="C467" t="str">
            <v>قالب تعمیری</v>
          </cell>
          <cell r="P467" t="str">
            <v>top plate</v>
          </cell>
          <cell r="AF467">
            <v>2</v>
          </cell>
        </row>
        <row r="468">
          <cell r="B468" t="str">
            <v>پخت عقب پژو 405 شمشی پایه کوتاه</v>
          </cell>
          <cell r="C468" t="str">
            <v>قالب نو</v>
          </cell>
          <cell r="P468" t="str">
            <v>top plate</v>
          </cell>
          <cell r="AF468">
            <v>2</v>
          </cell>
        </row>
        <row r="469">
          <cell r="B469" t="str">
            <v>قالب پخت کلاچ پژو 405</v>
          </cell>
          <cell r="C469" t="str">
            <v>قالب تعمیری</v>
          </cell>
          <cell r="P469" t="str">
            <v>Mold</v>
          </cell>
          <cell r="AF469">
            <v>3</v>
          </cell>
        </row>
        <row r="470">
          <cell r="B470" t="str">
            <v>قالب جلو ریو</v>
          </cell>
          <cell r="C470" t="str">
            <v>قالب تعمیری</v>
          </cell>
          <cell r="P470" t="str">
            <v>bottom plate</v>
          </cell>
          <cell r="AF470">
            <v>2</v>
          </cell>
        </row>
        <row r="471">
          <cell r="B471" t="str">
            <v>عقب بنز 74</v>
          </cell>
          <cell r="C471" t="str">
            <v>قالب تعمیری</v>
          </cell>
          <cell r="P471" t="str">
            <v>top plate</v>
          </cell>
          <cell r="AF471">
            <v>2</v>
          </cell>
        </row>
        <row r="472">
          <cell r="B472" t="str">
            <v>عقب بنز 74</v>
          </cell>
          <cell r="C472" t="str">
            <v>قالب تعمیری</v>
          </cell>
          <cell r="P472" t="str">
            <v>top plate</v>
          </cell>
          <cell r="AF472">
            <v>2</v>
          </cell>
        </row>
        <row r="473">
          <cell r="B473" t="str">
            <v>ویوینگ</v>
          </cell>
          <cell r="C473" t="str">
            <v>قطعه نو</v>
          </cell>
          <cell r="P473" t="str">
            <v>واشر لنگری</v>
          </cell>
          <cell r="AF473">
            <v>1.5</v>
          </cell>
        </row>
        <row r="474">
          <cell r="B474" t="str">
            <v>ویوینگ</v>
          </cell>
          <cell r="C474" t="str">
            <v>قطعه نو</v>
          </cell>
          <cell r="P474" t="str">
            <v>واشر لنگری</v>
          </cell>
          <cell r="AF474">
            <v>1</v>
          </cell>
        </row>
        <row r="475">
          <cell r="B475" t="str">
            <v>قالب پخت کلاچ پژو 405</v>
          </cell>
          <cell r="C475" t="str">
            <v>قالب تعمیری</v>
          </cell>
          <cell r="P475" t="str">
            <v>top plate</v>
          </cell>
          <cell r="AF475">
            <v>1</v>
          </cell>
        </row>
        <row r="476">
          <cell r="B476" t="str">
            <v>قالب پخت کلاچ پژو 405</v>
          </cell>
          <cell r="C476" t="str">
            <v>قالب تعمیری</v>
          </cell>
          <cell r="P476" t="str">
            <v>top plate</v>
          </cell>
          <cell r="AF476">
            <v>1</v>
          </cell>
        </row>
        <row r="477">
          <cell r="B477" t="str">
            <v>Hammer Mill Machine</v>
          </cell>
          <cell r="C477" t="str">
            <v>دستگاه نو</v>
          </cell>
          <cell r="P477" t="str">
            <v>دنده</v>
          </cell>
          <cell r="AF477">
            <v>12</v>
          </cell>
        </row>
        <row r="478">
          <cell r="B478" t="str">
            <v>Hammer Mill Machine</v>
          </cell>
          <cell r="C478" t="str">
            <v>دستگاه نو</v>
          </cell>
          <cell r="P478" t="str">
            <v>تیغه</v>
          </cell>
          <cell r="AF478">
            <v>12</v>
          </cell>
        </row>
        <row r="479">
          <cell r="B479" t="str">
            <v>برش توری BPW تاجدار</v>
          </cell>
          <cell r="C479" t="str">
            <v>قالب تعمیری</v>
          </cell>
          <cell r="P479" t="str">
            <v>Matrix</v>
          </cell>
          <cell r="AF479">
            <v>12</v>
          </cell>
        </row>
        <row r="480">
          <cell r="B480" t="str">
            <v>برش توری BPW تاجدار</v>
          </cell>
          <cell r="C480" t="str">
            <v>قالب تعمیری</v>
          </cell>
          <cell r="P480" t="str">
            <v>Mandrel</v>
          </cell>
          <cell r="AF480">
            <v>8</v>
          </cell>
        </row>
        <row r="481">
          <cell r="B481" t="str">
            <v>قالب شمشی عقب ریو</v>
          </cell>
          <cell r="C481" t="str">
            <v>قالب نو</v>
          </cell>
          <cell r="P481" t="str">
            <v>سوپاپ</v>
          </cell>
          <cell r="AF481">
            <v>4</v>
          </cell>
        </row>
        <row r="482">
          <cell r="B482" t="str">
            <v>قالب پخت کلاچ پژو 405</v>
          </cell>
          <cell r="C482" t="str">
            <v>قالب تعمیری</v>
          </cell>
          <cell r="P482" t="str">
            <v>پیچ واسطه</v>
          </cell>
          <cell r="AF482">
            <v>3.6666666666666665</v>
          </cell>
        </row>
        <row r="483">
          <cell r="B483" t="str">
            <v>پخت کلاچ پراید</v>
          </cell>
          <cell r="C483" t="str">
            <v>قالب تعمیری</v>
          </cell>
          <cell r="P483" t="str">
            <v>پیچ واسطه</v>
          </cell>
          <cell r="AF483">
            <v>3.6666666666666665</v>
          </cell>
        </row>
        <row r="484">
          <cell r="B484" t="str">
            <v>پخت کلاچ پراید</v>
          </cell>
          <cell r="C484" t="str">
            <v>قالب تعمیری</v>
          </cell>
          <cell r="P484" t="str">
            <v>پیچ واسطه</v>
          </cell>
          <cell r="AF484">
            <v>3.6666666666666665</v>
          </cell>
        </row>
        <row r="485">
          <cell r="B485" t="str">
            <v>قالب پخت کلاچ پیکان</v>
          </cell>
          <cell r="C485" t="str">
            <v>قالب تعمیری</v>
          </cell>
          <cell r="P485" t="str">
            <v>Matrix</v>
          </cell>
          <cell r="AF485">
            <v>6</v>
          </cell>
        </row>
        <row r="486">
          <cell r="B486" t="str">
            <v>قالب عقب F12</v>
          </cell>
          <cell r="C486" t="str">
            <v>قالب تعمیری</v>
          </cell>
          <cell r="P486" t="str">
            <v>Mandrel</v>
          </cell>
          <cell r="AF486">
            <v>4.5</v>
          </cell>
        </row>
        <row r="487">
          <cell r="B487" t="str">
            <v>قالب پخت کلاچ پژو 405</v>
          </cell>
          <cell r="C487" t="str">
            <v>قالب تعمیری</v>
          </cell>
          <cell r="P487" t="str">
            <v>Matrix</v>
          </cell>
          <cell r="AF487">
            <v>2.5</v>
          </cell>
        </row>
        <row r="488">
          <cell r="B488" t="str">
            <v>پخت عقب پژو 405 شمشی پایه کوتاه</v>
          </cell>
          <cell r="C488" t="str">
            <v>قالب نو</v>
          </cell>
          <cell r="P488" t="str">
            <v>Mandrel</v>
          </cell>
          <cell r="AF488">
            <v>4.833333333333333</v>
          </cell>
        </row>
        <row r="489">
          <cell r="B489" t="str">
            <v>قالب پخت کلاچ پیکان</v>
          </cell>
          <cell r="C489" t="str">
            <v>قالب تعمیری</v>
          </cell>
          <cell r="P489" t="str">
            <v>bottom plate</v>
          </cell>
          <cell r="AF489">
            <v>3.5</v>
          </cell>
        </row>
        <row r="490">
          <cell r="B490" t="str">
            <v>پخت کلاچ پراید</v>
          </cell>
          <cell r="C490" t="str">
            <v>قالب تعمیری</v>
          </cell>
          <cell r="P490" t="str">
            <v>bottom plate</v>
          </cell>
          <cell r="AF490">
            <v>6.5</v>
          </cell>
        </row>
        <row r="491">
          <cell r="B491" t="str">
            <v>قالب شیم ریو</v>
          </cell>
          <cell r="C491" t="str">
            <v>قالب تعمیری</v>
          </cell>
          <cell r="P491" t="str">
            <v>matrix</v>
          </cell>
          <cell r="AF491">
            <v>4.5</v>
          </cell>
        </row>
        <row r="492">
          <cell r="B492" t="str">
            <v>دستگاه پشم فلز آلمانی</v>
          </cell>
          <cell r="C492" t="str">
            <v>قطعه نو</v>
          </cell>
          <cell r="P492" t="str">
            <v>شانه</v>
          </cell>
          <cell r="AF492">
            <v>6.5</v>
          </cell>
        </row>
        <row r="493">
          <cell r="B493" t="str">
            <v>قالب شمشی عقب ریو</v>
          </cell>
          <cell r="C493" t="str">
            <v>قالب نو</v>
          </cell>
          <cell r="P493" t="str">
            <v xml:space="preserve">صفحه </v>
          </cell>
          <cell r="AF493">
            <v>6.333333333333333</v>
          </cell>
        </row>
        <row r="494">
          <cell r="B494" t="str">
            <v>دستگاه پشم فلز</v>
          </cell>
          <cell r="C494" t="str">
            <v>قطعه نو</v>
          </cell>
          <cell r="P494" t="str">
            <v>کوبلینگ</v>
          </cell>
          <cell r="AF494">
            <v>2</v>
          </cell>
        </row>
        <row r="495">
          <cell r="B495" t="str">
            <v>Hammer Mill Machine</v>
          </cell>
          <cell r="C495" t="str">
            <v>دستگاه نو</v>
          </cell>
          <cell r="P495" t="str">
            <v>صفحات</v>
          </cell>
          <cell r="AF495">
            <v>8</v>
          </cell>
        </row>
        <row r="496">
          <cell r="B496" t="str">
            <v>قالب پخت کلاچ پژو 405</v>
          </cell>
          <cell r="C496" t="str">
            <v>قالب تعمیری</v>
          </cell>
          <cell r="P496" t="str">
            <v>top plate</v>
          </cell>
          <cell r="AF496">
            <v>3.5</v>
          </cell>
        </row>
        <row r="497">
          <cell r="B497" t="str">
            <v>قالب پخت کلاچ پژو 405</v>
          </cell>
          <cell r="C497" t="str">
            <v>قالب تعمیری</v>
          </cell>
          <cell r="P497" t="str">
            <v>top plate</v>
          </cell>
          <cell r="AF497">
            <v>4.5</v>
          </cell>
        </row>
        <row r="498">
          <cell r="B498" t="str">
            <v>قالب شمشی عقب ریو</v>
          </cell>
          <cell r="C498" t="str">
            <v>قالب نو</v>
          </cell>
          <cell r="P498" t="str">
            <v>سوپاپ</v>
          </cell>
          <cell r="AF498">
            <v>3</v>
          </cell>
        </row>
        <row r="499">
          <cell r="B499" t="str">
            <v>دستگاه پرس پخت</v>
          </cell>
          <cell r="C499" t="str">
            <v>قطعه تعمیری</v>
          </cell>
          <cell r="P499" t="str">
            <v>صفحه پخت</v>
          </cell>
          <cell r="AF499">
            <v>2</v>
          </cell>
        </row>
        <row r="500">
          <cell r="B500" t="str">
            <v>دستگاه پرس پخت</v>
          </cell>
          <cell r="C500" t="str">
            <v>قطعه تعمیری</v>
          </cell>
          <cell r="P500" t="str">
            <v>صفحه پخت</v>
          </cell>
          <cell r="AF500">
            <v>6</v>
          </cell>
        </row>
        <row r="501">
          <cell r="B501" t="str">
            <v>قالب پخت کلاچ پژو 405</v>
          </cell>
          <cell r="C501" t="str">
            <v>قالب تعمیری</v>
          </cell>
          <cell r="P501" t="str">
            <v>top plate</v>
          </cell>
          <cell r="AF501">
            <v>5</v>
          </cell>
        </row>
        <row r="502">
          <cell r="B502" t="str">
            <v>لنت دنیای مس</v>
          </cell>
          <cell r="C502" t="str">
            <v>قطعه نو</v>
          </cell>
          <cell r="P502" t="str">
            <v>فیکسچر خم</v>
          </cell>
          <cell r="AF502">
            <v>1</v>
          </cell>
        </row>
        <row r="503">
          <cell r="B503" t="str">
            <v>قالب برشی SAF</v>
          </cell>
          <cell r="C503" t="str">
            <v>قالب تعمیری</v>
          </cell>
          <cell r="P503" t="str">
            <v>Matrix</v>
          </cell>
          <cell r="AF503">
            <v>1</v>
          </cell>
        </row>
        <row r="504">
          <cell r="B504" t="str">
            <v>قالب برشی SAF</v>
          </cell>
          <cell r="C504" t="str">
            <v>قالب تعمیری</v>
          </cell>
          <cell r="P504" t="str">
            <v>Mandrel</v>
          </cell>
          <cell r="AF504">
            <v>1</v>
          </cell>
        </row>
        <row r="505">
          <cell r="B505" t="str">
            <v>پخت کلاچ پراید</v>
          </cell>
          <cell r="C505" t="str">
            <v>قالب تعمیری</v>
          </cell>
          <cell r="P505" t="str">
            <v>bottom plate</v>
          </cell>
          <cell r="AF505">
            <v>3</v>
          </cell>
        </row>
        <row r="506">
          <cell r="B506" t="str">
            <v>قالب شمشی عقب ریو</v>
          </cell>
          <cell r="C506" t="str">
            <v>قالب نو</v>
          </cell>
          <cell r="P506" t="str">
            <v>سوپاپ</v>
          </cell>
          <cell r="AF506">
            <v>3</v>
          </cell>
        </row>
        <row r="507">
          <cell r="B507" t="str">
            <v>قالب برشی SAF</v>
          </cell>
          <cell r="C507" t="str">
            <v>قالب تعمیری</v>
          </cell>
          <cell r="P507" t="str">
            <v>mold</v>
          </cell>
          <cell r="AF507">
            <v>2</v>
          </cell>
        </row>
        <row r="508">
          <cell r="B508" t="str">
            <v>قالب پژو 405 دیسکی</v>
          </cell>
          <cell r="C508" t="str">
            <v>قالب تعمیری</v>
          </cell>
          <cell r="P508" t="str">
            <v>mold</v>
          </cell>
          <cell r="AF508">
            <v>3</v>
          </cell>
        </row>
        <row r="509">
          <cell r="B509" t="str">
            <v>دستگاه پرس پخت</v>
          </cell>
          <cell r="C509" t="str">
            <v>قطعه تعمیری</v>
          </cell>
          <cell r="P509" t="str">
            <v>صفحه پخت</v>
          </cell>
          <cell r="AF509">
            <v>3</v>
          </cell>
        </row>
        <row r="510">
          <cell r="B510" t="str">
            <v>برش توری BPW تاجدار</v>
          </cell>
          <cell r="C510" t="str">
            <v>قالب تعمیری</v>
          </cell>
          <cell r="P510" t="str">
            <v>Matrix</v>
          </cell>
          <cell r="AF510">
            <v>12</v>
          </cell>
        </row>
        <row r="511">
          <cell r="B511" t="str">
            <v>Hammer Mill Machine</v>
          </cell>
          <cell r="C511" t="str">
            <v>دستگاه نو</v>
          </cell>
          <cell r="P511" t="str">
            <v>دنده</v>
          </cell>
          <cell r="AF511">
            <v>12</v>
          </cell>
        </row>
        <row r="512">
          <cell r="B512" t="str">
            <v>Hammer Mill Machine</v>
          </cell>
          <cell r="C512" t="str">
            <v>دستگاه نو</v>
          </cell>
          <cell r="P512" t="str">
            <v>تیغه</v>
          </cell>
          <cell r="AF512">
            <v>12</v>
          </cell>
        </row>
        <row r="513">
          <cell r="B513" t="str">
            <v>تیغ فرز</v>
          </cell>
          <cell r="C513" t="str">
            <v>قطعه تعمیری</v>
          </cell>
          <cell r="P513" t="str">
            <v>تیغه</v>
          </cell>
          <cell r="AF513">
            <v>5</v>
          </cell>
        </row>
        <row r="514">
          <cell r="B514" t="str">
            <v>قالب پژو 405 دیسکی</v>
          </cell>
          <cell r="C514" t="str">
            <v>قالب تعمیری</v>
          </cell>
          <cell r="P514" t="str">
            <v>میل راهنما</v>
          </cell>
          <cell r="AF514">
            <v>4</v>
          </cell>
        </row>
        <row r="515">
          <cell r="B515" t="str">
            <v>ویوینگ</v>
          </cell>
          <cell r="C515" t="str">
            <v>قطعه تعمیری</v>
          </cell>
          <cell r="P515" t="str">
            <v>کوبلینگ</v>
          </cell>
          <cell r="AF515">
            <v>2</v>
          </cell>
        </row>
        <row r="516">
          <cell r="B516" t="str">
            <v>ویوینگ</v>
          </cell>
          <cell r="C516" t="str">
            <v>قطعه نو</v>
          </cell>
          <cell r="P516" t="str">
            <v>واشر لنگری</v>
          </cell>
          <cell r="AF516">
            <v>1</v>
          </cell>
        </row>
        <row r="517">
          <cell r="B517" t="str">
            <v>ویوینگ</v>
          </cell>
          <cell r="C517" t="str">
            <v>قطعه تعمیری</v>
          </cell>
          <cell r="P517" t="str">
            <v>پنجره ای</v>
          </cell>
          <cell r="AF517">
            <v>7.5</v>
          </cell>
        </row>
        <row r="518">
          <cell r="B518" t="str">
            <v>لنت فولاد خراسان</v>
          </cell>
          <cell r="C518" t="str">
            <v>قطعه تعمیری</v>
          </cell>
          <cell r="P518" t="str">
            <v>لنت</v>
          </cell>
          <cell r="AF518">
            <v>4.95</v>
          </cell>
        </row>
        <row r="519">
          <cell r="B519" t="str">
            <v>قالب پخت کلاچ پژو 405</v>
          </cell>
          <cell r="C519" t="str">
            <v>قالب تعمیری</v>
          </cell>
          <cell r="P519" t="str">
            <v>پیچ واسطه</v>
          </cell>
          <cell r="AF519">
            <v>2.75</v>
          </cell>
        </row>
        <row r="520">
          <cell r="B520" t="str">
            <v>قالب پخت کلاچ پژو 405</v>
          </cell>
          <cell r="C520" t="str">
            <v>قالب تعمیری</v>
          </cell>
          <cell r="P520" t="str">
            <v>پیچ واسطه</v>
          </cell>
          <cell r="AF520">
            <v>2.75</v>
          </cell>
        </row>
        <row r="521">
          <cell r="B521" t="str">
            <v>قالب پخت کلاچ پژو 405</v>
          </cell>
          <cell r="C521" t="str">
            <v>قالب تعمیری</v>
          </cell>
          <cell r="P521" t="str">
            <v>پیچ واسطه</v>
          </cell>
          <cell r="AF521">
            <v>2.75</v>
          </cell>
        </row>
        <row r="522">
          <cell r="B522" t="str">
            <v>پخت کلاچ پراید</v>
          </cell>
          <cell r="C522" t="str">
            <v>قالب تعمیری</v>
          </cell>
          <cell r="P522" t="str">
            <v>پیچ واسطه</v>
          </cell>
          <cell r="AF522">
            <v>2.75</v>
          </cell>
        </row>
        <row r="523">
          <cell r="B523" t="str">
            <v>دستگاه پشم فلز آلمانی</v>
          </cell>
          <cell r="C523" t="str">
            <v>قطعه نو</v>
          </cell>
          <cell r="P523" t="str">
            <v>شانه</v>
          </cell>
          <cell r="AF523">
            <v>11</v>
          </cell>
        </row>
        <row r="524">
          <cell r="B524" t="str">
            <v>قالب شمشی عقب ریو</v>
          </cell>
          <cell r="C524" t="str">
            <v>قالب نو</v>
          </cell>
          <cell r="P524" t="str">
            <v xml:space="preserve">صفحه </v>
          </cell>
          <cell r="AF524">
            <v>4</v>
          </cell>
        </row>
        <row r="525">
          <cell r="B525" t="str">
            <v>دستگاه پشم فلز آلمانی</v>
          </cell>
          <cell r="C525" t="str">
            <v>قطعه نو</v>
          </cell>
          <cell r="P525" t="str">
            <v>شانه</v>
          </cell>
          <cell r="AF525">
            <v>3.3333333333333335</v>
          </cell>
        </row>
        <row r="526">
          <cell r="B526" t="str">
            <v>پخت کلاچ پراید</v>
          </cell>
          <cell r="C526" t="str">
            <v>قالب تعمیری</v>
          </cell>
          <cell r="P526" t="str">
            <v>bottom plate</v>
          </cell>
          <cell r="AF526">
            <v>7</v>
          </cell>
        </row>
        <row r="527">
          <cell r="B527" t="str">
            <v>صفحه قالب 50*50</v>
          </cell>
          <cell r="C527" t="str">
            <v>قالب تعمیری</v>
          </cell>
          <cell r="P527" t="str">
            <v>bottom plate</v>
          </cell>
          <cell r="AF527">
            <v>4</v>
          </cell>
        </row>
        <row r="528">
          <cell r="B528" t="str">
            <v>قالب پخت کلاچ پژو 405</v>
          </cell>
          <cell r="C528" t="str">
            <v>قالب تعمیری</v>
          </cell>
          <cell r="P528" t="str">
            <v>bottom plate</v>
          </cell>
          <cell r="AF528">
            <v>4.5</v>
          </cell>
        </row>
        <row r="529">
          <cell r="B529" t="str">
            <v>قالب پخت کلاچ پیکان آرژانتینی</v>
          </cell>
          <cell r="C529" t="str">
            <v>قالب تعمیری</v>
          </cell>
          <cell r="P529" t="str">
            <v>bottom plate</v>
          </cell>
          <cell r="AF529">
            <v>4.5</v>
          </cell>
        </row>
        <row r="530">
          <cell r="B530" t="str">
            <v>قالب پخت کلاچ پیکان</v>
          </cell>
          <cell r="C530" t="str">
            <v>قالب تعمیری</v>
          </cell>
          <cell r="P530" t="str">
            <v>bottom plate</v>
          </cell>
          <cell r="AF530">
            <v>2</v>
          </cell>
        </row>
        <row r="531">
          <cell r="B531" t="str">
            <v>ویوینگ</v>
          </cell>
          <cell r="C531" t="str">
            <v>قطعه نو</v>
          </cell>
          <cell r="P531" t="str">
            <v>Bush</v>
          </cell>
          <cell r="AF531">
            <v>5</v>
          </cell>
        </row>
        <row r="532">
          <cell r="B532" t="str">
            <v>کولر</v>
          </cell>
          <cell r="C532" t="str">
            <v>قطعه تعمیری</v>
          </cell>
          <cell r="P532" t="str">
            <v>پروانه</v>
          </cell>
          <cell r="AF532">
            <v>2</v>
          </cell>
        </row>
        <row r="533">
          <cell r="B533" t="str">
            <v>پرس پخت</v>
          </cell>
          <cell r="C533" t="str">
            <v>قطعه نو</v>
          </cell>
          <cell r="P533" t="str">
            <v>مهره</v>
          </cell>
          <cell r="AF533">
            <v>4</v>
          </cell>
        </row>
        <row r="534">
          <cell r="B534" t="str">
            <v>Hammer Mill Machine</v>
          </cell>
          <cell r="C534" t="str">
            <v>دستگاه نو</v>
          </cell>
          <cell r="P534" t="str">
            <v>دنده</v>
          </cell>
          <cell r="AF534">
            <v>12</v>
          </cell>
        </row>
        <row r="535">
          <cell r="B535" t="str">
            <v>Hammer Mill Machine</v>
          </cell>
          <cell r="C535" t="str">
            <v>دستگاه نو</v>
          </cell>
          <cell r="P535" t="str">
            <v>تیغه</v>
          </cell>
          <cell r="AF535">
            <v>12</v>
          </cell>
        </row>
        <row r="536">
          <cell r="B536" t="str">
            <v>قالب جلو ریو</v>
          </cell>
          <cell r="C536" t="str">
            <v>قالب تعمیری</v>
          </cell>
          <cell r="P536" t="str">
            <v>پشت سنبه ای</v>
          </cell>
          <cell r="AF536">
            <v>12</v>
          </cell>
        </row>
        <row r="537">
          <cell r="B537" t="str">
            <v>لنت دنیای مس</v>
          </cell>
          <cell r="C537" t="str">
            <v>قطعه نو</v>
          </cell>
          <cell r="P537" t="str">
            <v>فیکسچر خم</v>
          </cell>
          <cell r="AF537">
            <v>12</v>
          </cell>
        </row>
        <row r="538">
          <cell r="B538" t="str">
            <v>قالب پخت کلاچ پژو 405</v>
          </cell>
          <cell r="C538" t="str">
            <v>قالب تعمیری</v>
          </cell>
          <cell r="P538" t="str">
            <v>Mandrel</v>
          </cell>
          <cell r="AF538">
            <v>11</v>
          </cell>
        </row>
        <row r="539">
          <cell r="B539" t="str">
            <v>قالب پخت کلاچ پیکان آرژانتینی</v>
          </cell>
          <cell r="C539" t="str">
            <v>قالب تعمیری</v>
          </cell>
          <cell r="P539" t="str">
            <v>Mandrel</v>
          </cell>
          <cell r="AF539">
            <v>11</v>
          </cell>
        </row>
        <row r="540">
          <cell r="B540" t="str">
            <v>قالب پخت کلاچ پیکان</v>
          </cell>
          <cell r="C540" t="str">
            <v>قالب تعمیری</v>
          </cell>
          <cell r="P540" t="str">
            <v>Mandrel</v>
          </cell>
          <cell r="AF540">
            <v>11</v>
          </cell>
        </row>
        <row r="541">
          <cell r="B541" t="str">
            <v>قالب شمشی عقب ریو</v>
          </cell>
          <cell r="C541" t="str">
            <v>قالب نو</v>
          </cell>
          <cell r="P541" t="str">
            <v>mold</v>
          </cell>
          <cell r="AF541">
            <v>3</v>
          </cell>
        </row>
        <row r="542">
          <cell r="B542" t="str">
            <v>کولر</v>
          </cell>
          <cell r="C542" t="str">
            <v>دستگاه تعمیری</v>
          </cell>
          <cell r="P542" t="str">
            <v>کولر</v>
          </cell>
          <cell r="AF542">
            <v>3</v>
          </cell>
        </row>
        <row r="543">
          <cell r="B543" t="str">
            <v>کولر</v>
          </cell>
          <cell r="C543" t="str">
            <v>دستگاه تعمیری</v>
          </cell>
          <cell r="P543" t="str">
            <v>کولر</v>
          </cell>
          <cell r="AF543">
            <v>3</v>
          </cell>
        </row>
        <row r="544">
          <cell r="B544" t="str">
            <v>کولر</v>
          </cell>
          <cell r="C544" t="str">
            <v>قطعه تعمیری</v>
          </cell>
          <cell r="P544" t="str">
            <v>فولی</v>
          </cell>
          <cell r="AF544">
            <v>1.5</v>
          </cell>
        </row>
        <row r="545">
          <cell r="B545" t="str">
            <v>شمش پراید</v>
          </cell>
          <cell r="C545" t="str">
            <v>قالب نو</v>
          </cell>
          <cell r="P545" t="str">
            <v>mold</v>
          </cell>
          <cell r="AF545">
            <v>1.5</v>
          </cell>
        </row>
        <row r="546">
          <cell r="B546" t="str">
            <v>قالب شمشی عقب ریو</v>
          </cell>
          <cell r="C546" t="str">
            <v>قالب نو</v>
          </cell>
          <cell r="P546" t="str">
            <v>mold</v>
          </cell>
          <cell r="AF546">
            <v>5</v>
          </cell>
        </row>
        <row r="547">
          <cell r="B547" t="str">
            <v>ویوینگ</v>
          </cell>
          <cell r="C547" t="str">
            <v>قطعه نو</v>
          </cell>
          <cell r="P547" t="str">
            <v>واشر لنگری</v>
          </cell>
          <cell r="AF547">
            <v>2</v>
          </cell>
        </row>
        <row r="548">
          <cell r="B548" t="str">
            <v>پخت عقب پژو 405 شمشی پایه کوتاه</v>
          </cell>
          <cell r="C548" t="str">
            <v>قالب نو</v>
          </cell>
          <cell r="P548" t="str">
            <v>Mandrel</v>
          </cell>
          <cell r="AF548">
            <v>11</v>
          </cell>
        </row>
        <row r="549">
          <cell r="B549" t="str">
            <v>پخت عقب پژو 405 شمشی پایه کوتاه</v>
          </cell>
          <cell r="C549" t="str">
            <v>قالب نو</v>
          </cell>
          <cell r="P549" t="str">
            <v>Mandrel</v>
          </cell>
          <cell r="AF549">
            <v>11</v>
          </cell>
        </row>
        <row r="550">
          <cell r="B550" t="str">
            <v>دستگاه پشم فلز آلمانی</v>
          </cell>
          <cell r="C550" t="str">
            <v>قطعه نو</v>
          </cell>
          <cell r="P550" t="str">
            <v>شانه</v>
          </cell>
          <cell r="AF550">
            <v>11</v>
          </cell>
        </row>
        <row r="551">
          <cell r="B551" t="str">
            <v>دستگاه پشم فلز آلمانی</v>
          </cell>
          <cell r="C551" t="str">
            <v>قطعه نو</v>
          </cell>
          <cell r="P551" t="str">
            <v>شانه</v>
          </cell>
          <cell r="AF551">
            <v>2.8333333333333335</v>
          </cell>
        </row>
        <row r="552">
          <cell r="B552" t="str">
            <v>قالب عقب F12</v>
          </cell>
          <cell r="C552" t="str">
            <v>قالب نو</v>
          </cell>
          <cell r="P552" t="str">
            <v>Matrix</v>
          </cell>
          <cell r="AF552">
            <v>3.5</v>
          </cell>
        </row>
        <row r="553">
          <cell r="B553" t="str">
            <v>قالب عقب F12</v>
          </cell>
          <cell r="C553" t="str">
            <v>قالب نو</v>
          </cell>
          <cell r="P553" t="str">
            <v>Matrix</v>
          </cell>
          <cell r="AF553">
            <v>3.5</v>
          </cell>
        </row>
        <row r="554">
          <cell r="B554" t="str">
            <v>قالب عقب F12</v>
          </cell>
          <cell r="C554" t="str">
            <v>قالب نو</v>
          </cell>
          <cell r="P554" t="str">
            <v>bottom plate</v>
          </cell>
          <cell r="AF554">
            <v>7.5</v>
          </cell>
        </row>
        <row r="555">
          <cell r="B555" t="str">
            <v>قالب پخت کلاچ پیکان</v>
          </cell>
          <cell r="C555" t="str">
            <v>قالب تعمیری</v>
          </cell>
          <cell r="P555" t="str">
            <v>bottom plate</v>
          </cell>
          <cell r="AF555">
            <v>2.5</v>
          </cell>
        </row>
        <row r="556">
          <cell r="B556" t="str">
            <v>قالب پخت کلاچ پیکان</v>
          </cell>
          <cell r="C556" t="str">
            <v>قالب تعمیری</v>
          </cell>
          <cell r="P556" t="str">
            <v>bottom plate</v>
          </cell>
          <cell r="AF556">
            <v>8.5</v>
          </cell>
        </row>
        <row r="557">
          <cell r="B557" t="str">
            <v>صفحه قالب 50*50</v>
          </cell>
          <cell r="C557" t="str">
            <v>قالب تعمیری</v>
          </cell>
          <cell r="P557" t="str">
            <v>bottom plate</v>
          </cell>
          <cell r="AF557">
            <v>7</v>
          </cell>
        </row>
        <row r="558">
          <cell r="B558" t="str">
            <v>قالب پراید خاردار</v>
          </cell>
          <cell r="C558" t="str">
            <v>قالب تعمیری</v>
          </cell>
          <cell r="P558" t="str">
            <v>پشت سنبه ای</v>
          </cell>
          <cell r="AF558">
            <v>3</v>
          </cell>
        </row>
        <row r="559">
          <cell r="B559" t="str">
            <v>قالب جلو ریو</v>
          </cell>
          <cell r="C559" t="str">
            <v>قالب تعمیری</v>
          </cell>
          <cell r="P559" t="str">
            <v>پشت سنبه ای</v>
          </cell>
          <cell r="AF559">
            <v>1</v>
          </cell>
        </row>
        <row r="560">
          <cell r="B560" t="str">
            <v>برش جمعی عقب</v>
          </cell>
          <cell r="C560" t="str">
            <v>قطعه تعمیری</v>
          </cell>
          <cell r="P560" t="str">
            <v>تیغه</v>
          </cell>
          <cell r="AF560">
            <v>2</v>
          </cell>
        </row>
        <row r="561">
          <cell r="B561" t="str">
            <v>سری نقطه جوش</v>
          </cell>
          <cell r="C561" t="str">
            <v>قطعه تعمیری</v>
          </cell>
          <cell r="P561" t="str">
            <v>مسی</v>
          </cell>
          <cell r="AF561">
            <v>4</v>
          </cell>
        </row>
        <row r="562">
          <cell r="B562" t="str">
            <v>پخت کلاچ پراید</v>
          </cell>
          <cell r="C562" t="str">
            <v>قالب تعمیری</v>
          </cell>
          <cell r="P562" t="str">
            <v>پیچ واسطه</v>
          </cell>
          <cell r="AF562">
            <v>2.5</v>
          </cell>
        </row>
        <row r="563">
          <cell r="B563" t="str">
            <v>قالب پخت کلاچ پیکان</v>
          </cell>
          <cell r="C563" t="str">
            <v>قالب تعمیری</v>
          </cell>
          <cell r="P563" t="str">
            <v>پیچ</v>
          </cell>
          <cell r="AF563">
            <v>2.5</v>
          </cell>
        </row>
        <row r="564">
          <cell r="B564" t="str">
            <v>Hammer Mill Machine</v>
          </cell>
          <cell r="C564" t="str">
            <v>دستگاه نو</v>
          </cell>
          <cell r="P564" t="str">
            <v>دنده</v>
          </cell>
          <cell r="AF564">
            <v>12</v>
          </cell>
        </row>
        <row r="565">
          <cell r="B565" t="str">
            <v>Hammer Mill Machine</v>
          </cell>
          <cell r="C565" t="str">
            <v>دستگاه نو</v>
          </cell>
          <cell r="P565" t="str">
            <v>تیغه</v>
          </cell>
          <cell r="AF565">
            <v>12</v>
          </cell>
        </row>
        <row r="566">
          <cell r="B566" t="str">
            <v>قالب پژو 405 دیسکی</v>
          </cell>
          <cell r="C566" t="str">
            <v>قالب تعمیری</v>
          </cell>
          <cell r="P566" t="str">
            <v>پشت سنبه ای</v>
          </cell>
          <cell r="AF566">
            <v>8</v>
          </cell>
        </row>
        <row r="567">
          <cell r="B567" t="str">
            <v>آغشته کاری</v>
          </cell>
          <cell r="C567" t="str">
            <v>قطعه تعمیری</v>
          </cell>
          <cell r="P567" t="str">
            <v>گرمکن پولی تسمه</v>
          </cell>
          <cell r="AF567">
            <v>1</v>
          </cell>
        </row>
        <row r="568">
          <cell r="B568" t="str">
            <v>برش جمعی عقب</v>
          </cell>
          <cell r="C568" t="str">
            <v>قطعه تعمیری</v>
          </cell>
          <cell r="P568" t="str">
            <v>Bush</v>
          </cell>
          <cell r="AF568">
            <v>1</v>
          </cell>
        </row>
        <row r="569">
          <cell r="B569" t="str">
            <v>کولر</v>
          </cell>
          <cell r="C569" t="str">
            <v>قطعه تعمیری</v>
          </cell>
          <cell r="P569" t="str">
            <v>پولی تسمه</v>
          </cell>
          <cell r="AF569">
            <v>1</v>
          </cell>
        </row>
        <row r="570">
          <cell r="B570" t="str">
            <v>لنت دنیای مس</v>
          </cell>
          <cell r="C570" t="str">
            <v>قطعه نو</v>
          </cell>
          <cell r="P570" t="str">
            <v>فیکسچر خم</v>
          </cell>
          <cell r="AF570">
            <v>12</v>
          </cell>
        </row>
        <row r="571">
          <cell r="B571" t="str">
            <v>قالب پخت کلاچ پیکان آرژانتینی</v>
          </cell>
          <cell r="C571" t="str">
            <v>قالب تعمیری</v>
          </cell>
          <cell r="P571" t="str">
            <v>Mandrel</v>
          </cell>
          <cell r="AF571">
            <v>11</v>
          </cell>
        </row>
        <row r="572">
          <cell r="B572" t="str">
            <v>پرس پخت</v>
          </cell>
          <cell r="C572" t="str">
            <v>قطعه نو</v>
          </cell>
          <cell r="P572" t="str">
            <v>Shaft</v>
          </cell>
          <cell r="AF572">
            <v>2</v>
          </cell>
        </row>
        <row r="573">
          <cell r="B573" t="str">
            <v>پرس پخت</v>
          </cell>
          <cell r="C573" t="str">
            <v>قطعه نو</v>
          </cell>
          <cell r="P573" t="str">
            <v>Shaft</v>
          </cell>
          <cell r="AF573">
            <v>2</v>
          </cell>
        </row>
        <row r="574">
          <cell r="B574" t="str">
            <v>پرس پخت</v>
          </cell>
          <cell r="C574" t="str">
            <v>قطعه نو</v>
          </cell>
          <cell r="P574" t="str">
            <v>Shaft</v>
          </cell>
          <cell r="AF574">
            <v>2</v>
          </cell>
        </row>
        <row r="575">
          <cell r="B575" t="str">
            <v>ویوینگ</v>
          </cell>
          <cell r="C575" t="str">
            <v>قطعه تعمیری</v>
          </cell>
          <cell r="P575" t="str">
            <v>Bush</v>
          </cell>
          <cell r="AF575">
            <v>2</v>
          </cell>
        </row>
        <row r="576">
          <cell r="B576" t="str">
            <v>آغشته کاری</v>
          </cell>
          <cell r="C576" t="str">
            <v>قطعه تعمیری</v>
          </cell>
          <cell r="P576" t="str">
            <v>پولی تسمه</v>
          </cell>
          <cell r="AF576">
            <v>2</v>
          </cell>
        </row>
        <row r="577">
          <cell r="B577" t="str">
            <v>قالب پخت کلاچ پیکان آرژانتینی</v>
          </cell>
          <cell r="C577" t="str">
            <v>قالب تعمیری</v>
          </cell>
          <cell r="P577" t="str">
            <v>پیچ واسطه</v>
          </cell>
          <cell r="AF577">
            <v>2</v>
          </cell>
        </row>
        <row r="578">
          <cell r="B578" t="str">
            <v>قالب پخت کلاچ پیکان</v>
          </cell>
          <cell r="C578" t="str">
            <v>قالب تعمیری</v>
          </cell>
          <cell r="P578" t="str">
            <v>mold</v>
          </cell>
          <cell r="AF578">
            <v>1</v>
          </cell>
        </row>
        <row r="579">
          <cell r="B579" t="str">
            <v>قالب پخت کلاچ پیکان</v>
          </cell>
          <cell r="C579" t="str">
            <v>قالب تعمیری</v>
          </cell>
          <cell r="P579" t="str">
            <v>سوپاپ</v>
          </cell>
          <cell r="AF579">
            <v>5</v>
          </cell>
        </row>
        <row r="580">
          <cell r="B580" t="str">
            <v>قالب پخت کلاچ پیکان</v>
          </cell>
          <cell r="C580" t="str">
            <v>قالب تعمیری</v>
          </cell>
          <cell r="P580" t="str">
            <v>top plate</v>
          </cell>
          <cell r="AF580">
            <v>1</v>
          </cell>
        </row>
        <row r="581">
          <cell r="B581" t="str">
            <v>قالب عقب F12</v>
          </cell>
          <cell r="C581" t="str">
            <v>قالب نو</v>
          </cell>
          <cell r="P581" t="str">
            <v>bottom plate</v>
          </cell>
          <cell r="AF581">
            <v>1.5</v>
          </cell>
        </row>
        <row r="582">
          <cell r="B582" t="str">
            <v>قالب پخت کلاچ پیکان</v>
          </cell>
          <cell r="C582" t="str">
            <v>قالب تعمیری</v>
          </cell>
          <cell r="P582" t="str">
            <v>mold</v>
          </cell>
          <cell r="AF582">
            <v>1</v>
          </cell>
        </row>
        <row r="583">
          <cell r="B583" t="str">
            <v>قالب پخت کلاچ پیکان</v>
          </cell>
          <cell r="C583" t="str">
            <v>قالب تعمیری</v>
          </cell>
          <cell r="P583" t="str">
            <v>سوپاپ</v>
          </cell>
          <cell r="AF583">
            <v>5</v>
          </cell>
        </row>
        <row r="584">
          <cell r="B584" t="str">
            <v>قالب پخت کلاچ پیکان</v>
          </cell>
          <cell r="C584" t="str">
            <v>قالب تعمیری</v>
          </cell>
          <cell r="P584" t="str">
            <v>top plate</v>
          </cell>
          <cell r="AF584">
            <v>1</v>
          </cell>
        </row>
        <row r="585">
          <cell r="B585" t="str">
            <v>قالب عقب F12</v>
          </cell>
          <cell r="C585" t="str">
            <v>قالب نو</v>
          </cell>
          <cell r="P585" t="str">
            <v>bottom plate</v>
          </cell>
          <cell r="AF585">
            <v>1.5</v>
          </cell>
        </row>
        <row r="586">
          <cell r="B586" t="str">
            <v>پرس 160 تن</v>
          </cell>
          <cell r="C586" t="str">
            <v>دستگاه تعمیری</v>
          </cell>
          <cell r="P586" t="str">
            <v>مهره</v>
          </cell>
          <cell r="AF586">
            <v>7.5</v>
          </cell>
        </row>
        <row r="587">
          <cell r="B587" t="str">
            <v>قالب اکسپرس</v>
          </cell>
          <cell r="C587" t="str">
            <v>قالب تعمیری</v>
          </cell>
          <cell r="P587" t="str">
            <v>bottom plate</v>
          </cell>
          <cell r="AF587">
            <v>7.5</v>
          </cell>
        </row>
        <row r="588">
          <cell r="B588" t="str">
            <v>قالب پخت کلاچ پژو 405</v>
          </cell>
          <cell r="C588" t="str">
            <v>قالب تعمیری</v>
          </cell>
          <cell r="P588" t="str">
            <v>Mandrel</v>
          </cell>
          <cell r="AF588">
            <v>7.5</v>
          </cell>
        </row>
        <row r="589">
          <cell r="B589" t="str">
            <v>دستگاه پشم فلز آلمانی</v>
          </cell>
          <cell r="C589" t="str">
            <v>قطعه نو</v>
          </cell>
          <cell r="P589" t="str">
            <v>شانه</v>
          </cell>
          <cell r="AF589">
            <v>6.5</v>
          </cell>
        </row>
        <row r="590">
          <cell r="B590" t="str">
            <v>اصول 5S</v>
          </cell>
          <cell r="C590" t="str">
            <v>نظافت</v>
          </cell>
          <cell r="P590" t="str">
            <v>دستگاه</v>
          </cell>
          <cell r="AF590">
            <v>1</v>
          </cell>
        </row>
        <row r="591">
          <cell r="B591" t="str">
            <v>دستگاه ساب کلاچ</v>
          </cell>
          <cell r="C591" t="str">
            <v>قطعه تعمیری</v>
          </cell>
          <cell r="P591" t="str">
            <v>میز</v>
          </cell>
          <cell r="AF591">
            <v>6.5</v>
          </cell>
        </row>
        <row r="592">
          <cell r="B592" t="str">
            <v>اصول 5S</v>
          </cell>
          <cell r="C592" t="str">
            <v>نظافت</v>
          </cell>
          <cell r="P592" t="str">
            <v>دستگاه</v>
          </cell>
          <cell r="AF592">
            <v>1</v>
          </cell>
        </row>
        <row r="593">
          <cell r="B593" t="str">
            <v>قالب پخت کلاچ پیکان</v>
          </cell>
          <cell r="C593" t="str">
            <v>قالب تعمیری</v>
          </cell>
          <cell r="P593" t="str">
            <v>پیچ</v>
          </cell>
          <cell r="AF593">
            <v>4</v>
          </cell>
        </row>
        <row r="594">
          <cell r="B594" t="str">
            <v>قالب پخت کلاچ پیکان</v>
          </cell>
          <cell r="C594" t="str">
            <v>قالب تعمیری</v>
          </cell>
          <cell r="P594" t="str">
            <v>واشر پران</v>
          </cell>
          <cell r="AF594">
            <v>2</v>
          </cell>
        </row>
        <row r="595">
          <cell r="B595" t="str">
            <v>اصول 5S</v>
          </cell>
          <cell r="C595" t="str">
            <v>نظافت</v>
          </cell>
          <cell r="P595" t="str">
            <v>دستگاه</v>
          </cell>
          <cell r="AF595">
            <v>1.5</v>
          </cell>
        </row>
        <row r="596">
          <cell r="B596" t="str">
            <v>قالب جلو ریو</v>
          </cell>
          <cell r="C596" t="str">
            <v>قالب تعمیری</v>
          </cell>
          <cell r="P596" t="str">
            <v>پشت سنبه ای</v>
          </cell>
          <cell r="AF596">
            <v>2</v>
          </cell>
        </row>
        <row r="597">
          <cell r="B597" t="str">
            <v>قالب پخت کلاچ پیکان</v>
          </cell>
          <cell r="C597" t="str">
            <v>قالب تعمیری</v>
          </cell>
          <cell r="P597" t="str">
            <v>bottom plate</v>
          </cell>
          <cell r="AF597">
            <v>4</v>
          </cell>
        </row>
        <row r="598">
          <cell r="B598" t="str">
            <v>اصول 5S</v>
          </cell>
          <cell r="C598" t="str">
            <v>نظافت</v>
          </cell>
          <cell r="P598" t="str">
            <v>دستگاه</v>
          </cell>
          <cell r="AF598">
            <v>1</v>
          </cell>
        </row>
        <row r="599">
          <cell r="B599" t="str">
            <v>قالب پخت کلاچ پیکان آرژانتینی</v>
          </cell>
          <cell r="C599" t="str">
            <v>قالب تعمیری</v>
          </cell>
          <cell r="P599" t="str">
            <v>پیچ واسطه</v>
          </cell>
          <cell r="AF599">
            <v>2</v>
          </cell>
        </row>
        <row r="600">
          <cell r="B600" t="str">
            <v>ابزار زنی</v>
          </cell>
          <cell r="C600" t="str">
            <v>قطعه نو</v>
          </cell>
          <cell r="P600" t="str">
            <v>ابزار پیچ و مهره</v>
          </cell>
          <cell r="AF600">
            <v>4</v>
          </cell>
        </row>
        <row r="601">
          <cell r="B601" t="str">
            <v>اصول 5S</v>
          </cell>
          <cell r="C601" t="str">
            <v>نظافت</v>
          </cell>
          <cell r="P601" t="str">
            <v>دستگاه</v>
          </cell>
          <cell r="AF601">
            <v>1</v>
          </cell>
        </row>
        <row r="602">
          <cell r="B602" t="str">
            <v>قالب پخت کلاچ پیکان</v>
          </cell>
          <cell r="C602" t="str">
            <v>قالب تعمیری</v>
          </cell>
          <cell r="P602" t="str">
            <v>top plate</v>
          </cell>
          <cell r="AF602">
            <v>2</v>
          </cell>
        </row>
        <row r="603">
          <cell r="B603" t="str">
            <v>قالب عقب F12</v>
          </cell>
          <cell r="C603" t="str">
            <v>قالب نو</v>
          </cell>
          <cell r="P603" t="str">
            <v>bottom plate</v>
          </cell>
          <cell r="AF603">
            <v>4</v>
          </cell>
        </row>
        <row r="604">
          <cell r="B604" t="str">
            <v>اصول 5S</v>
          </cell>
          <cell r="C604" t="str">
            <v>نظافت</v>
          </cell>
          <cell r="P604" t="str">
            <v>دستگاه</v>
          </cell>
          <cell r="AF604">
            <v>1</v>
          </cell>
        </row>
        <row r="605">
          <cell r="B605" t="str">
            <v>قالب پژو 405 دیسکی</v>
          </cell>
          <cell r="C605" t="str">
            <v>قالب تعمیری</v>
          </cell>
          <cell r="P605" t="str">
            <v>پشت سنبه ای</v>
          </cell>
          <cell r="AF605">
            <v>2</v>
          </cell>
        </row>
        <row r="606">
          <cell r="B606" t="str">
            <v>قالب پراید خاردار</v>
          </cell>
          <cell r="C606" t="str">
            <v>قالب تعمیری</v>
          </cell>
          <cell r="P606" t="str">
            <v>پشت سنبه ای</v>
          </cell>
          <cell r="AF606">
            <v>2</v>
          </cell>
        </row>
        <row r="607">
          <cell r="B607" t="str">
            <v>قالب پراید خاردار</v>
          </cell>
          <cell r="C607" t="str">
            <v>قالب تعمیری</v>
          </cell>
          <cell r="P607" t="str">
            <v>bottom plate</v>
          </cell>
          <cell r="AF607">
            <v>2</v>
          </cell>
        </row>
        <row r="608">
          <cell r="B608" t="str">
            <v>پخت عقب پژو 405 شمشی پایه کوتاه</v>
          </cell>
          <cell r="C608" t="str">
            <v>قالب نو</v>
          </cell>
          <cell r="P608" t="str">
            <v>mold</v>
          </cell>
          <cell r="AF608">
            <v>1.5</v>
          </cell>
        </row>
        <row r="609">
          <cell r="B609" t="str">
            <v>قالب پخت کلاچ پیکان</v>
          </cell>
          <cell r="C609" t="str">
            <v>قالب تعمیری</v>
          </cell>
          <cell r="P609" t="str">
            <v>واسطه</v>
          </cell>
          <cell r="AF609">
            <v>1.5</v>
          </cell>
        </row>
        <row r="610">
          <cell r="B610" t="str">
            <v>قالب پخت کلاچ پیکان</v>
          </cell>
          <cell r="C610" t="str">
            <v>قالب تعمیری</v>
          </cell>
          <cell r="P610" t="str">
            <v>mold</v>
          </cell>
          <cell r="AF610">
            <v>2</v>
          </cell>
        </row>
        <row r="611">
          <cell r="B611" t="str">
            <v>اصول 5S</v>
          </cell>
          <cell r="C611" t="str">
            <v>نظافت</v>
          </cell>
          <cell r="P611" t="str">
            <v>دستگاه</v>
          </cell>
          <cell r="AF611">
            <v>1</v>
          </cell>
        </row>
        <row r="612">
          <cell r="B612" t="str">
            <v>قالب پخت کلاچ پیکان</v>
          </cell>
          <cell r="C612" t="str">
            <v>قالب تعمیری</v>
          </cell>
          <cell r="P612" t="str">
            <v>top plate</v>
          </cell>
          <cell r="AF612">
            <v>2.5</v>
          </cell>
        </row>
        <row r="613">
          <cell r="B613" t="str">
            <v>قالب پراید خاردار</v>
          </cell>
          <cell r="C613" t="str">
            <v>قالب تعمیری</v>
          </cell>
          <cell r="P613" t="str">
            <v>bottom plate</v>
          </cell>
          <cell r="AF613">
            <v>2</v>
          </cell>
        </row>
        <row r="614">
          <cell r="B614" t="str">
            <v>قالب پژو 405 دیسکی</v>
          </cell>
          <cell r="C614" t="str">
            <v>قالب تعمیری</v>
          </cell>
          <cell r="P614" t="str">
            <v>top plate</v>
          </cell>
          <cell r="AF614">
            <v>2</v>
          </cell>
        </row>
        <row r="615">
          <cell r="B615" t="str">
            <v>قالب پراید خاردار</v>
          </cell>
          <cell r="C615" t="str">
            <v>قالب تعمیری</v>
          </cell>
          <cell r="P615" t="str">
            <v>guide rod</v>
          </cell>
          <cell r="AF615">
            <v>3</v>
          </cell>
        </row>
        <row r="616">
          <cell r="B616" t="str">
            <v>ابزار زنی</v>
          </cell>
          <cell r="C616" t="str">
            <v>قطعه نو</v>
          </cell>
          <cell r="P616" t="str">
            <v>ابزار پیچ و مهره</v>
          </cell>
          <cell r="AF616">
            <v>2</v>
          </cell>
        </row>
        <row r="617">
          <cell r="B617" t="str">
            <v>قالب اکسپرس</v>
          </cell>
          <cell r="C617" t="str">
            <v>قالب تعمیری</v>
          </cell>
          <cell r="P617" t="str">
            <v>bottom plate</v>
          </cell>
          <cell r="AF617">
            <v>10.5</v>
          </cell>
        </row>
        <row r="618">
          <cell r="B618" t="str">
            <v>قالب پخت کلاچ پیکان</v>
          </cell>
          <cell r="C618" t="str">
            <v>قالب تعمیری</v>
          </cell>
          <cell r="P618" t="str">
            <v>Mandrel</v>
          </cell>
          <cell r="AF618">
            <v>11</v>
          </cell>
        </row>
        <row r="619">
          <cell r="B619" t="str">
            <v>قالب پخت کلاچ پژو 405</v>
          </cell>
          <cell r="C619" t="str">
            <v>قالب تعمیری</v>
          </cell>
          <cell r="P619" t="str">
            <v>Mandrel</v>
          </cell>
          <cell r="AF619">
            <v>11</v>
          </cell>
        </row>
        <row r="620">
          <cell r="B620" t="str">
            <v>قالب پژو 405 دیسکی</v>
          </cell>
          <cell r="C620" t="str">
            <v>قالب تعمیری</v>
          </cell>
          <cell r="P620" t="str">
            <v>پشت سنبه ای</v>
          </cell>
          <cell r="AF620">
            <v>2</v>
          </cell>
        </row>
        <row r="621">
          <cell r="B621" t="str">
            <v>قالب پخت کلاچ پژو 405</v>
          </cell>
          <cell r="C621" t="str">
            <v>قالب تعمیری</v>
          </cell>
          <cell r="P621" t="str">
            <v>Matrix</v>
          </cell>
          <cell r="AF621">
            <v>9</v>
          </cell>
        </row>
        <row r="622">
          <cell r="B622" t="str">
            <v>لنت دنیای مس</v>
          </cell>
          <cell r="C622" t="str">
            <v>قطعه نو</v>
          </cell>
          <cell r="P622" t="str">
            <v>فیکسچز</v>
          </cell>
          <cell r="AF622">
            <v>3.5</v>
          </cell>
        </row>
        <row r="623">
          <cell r="B623" t="str">
            <v>دستگاه پشم فلز آلمانی</v>
          </cell>
          <cell r="C623" t="str">
            <v>قطعه نو</v>
          </cell>
          <cell r="P623" t="str">
            <v>شانه</v>
          </cell>
          <cell r="AF623">
            <v>7.5</v>
          </cell>
        </row>
        <row r="624">
          <cell r="B624" t="str">
            <v>پرس 160 تن</v>
          </cell>
          <cell r="C624" t="str">
            <v>دستگاه تعمیری</v>
          </cell>
          <cell r="P624" t="str">
            <v>مهره</v>
          </cell>
          <cell r="AF624">
            <v>2</v>
          </cell>
        </row>
        <row r="625">
          <cell r="B625" t="str">
            <v>دستگاه پشم فلز چینی</v>
          </cell>
          <cell r="C625" t="str">
            <v>قطعه نو</v>
          </cell>
          <cell r="P625" t="str">
            <v>گاید لنگی</v>
          </cell>
          <cell r="AF625">
            <v>3</v>
          </cell>
        </row>
        <row r="626">
          <cell r="B626" t="str">
            <v>پین عقب پژو 405</v>
          </cell>
          <cell r="C626" t="str">
            <v>قطعه نو</v>
          </cell>
          <cell r="P626" t="str">
            <v>عقب پژو 405</v>
          </cell>
          <cell r="AF626">
            <v>7.5</v>
          </cell>
        </row>
        <row r="627">
          <cell r="B627" t="str">
            <v>قالب عقب F12</v>
          </cell>
          <cell r="C627" t="str">
            <v>قالب نو</v>
          </cell>
          <cell r="P627" t="str">
            <v>Matrix</v>
          </cell>
          <cell r="AF627">
            <v>3</v>
          </cell>
        </row>
        <row r="628">
          <cell r="B628" t="str">
            <v xml:space="preserve">کنترل شعاع عقب </v>
          </cell>
          <cell r="C628" t="str">
            <v>قطعه نو</v>
          </cell>
          <cell r="P628" t="str">
            <v>گیج پیکان</v>
          </cell>
          <cell r="AF628">
            <v>1.1666666666666667</v>
          </cell>
        </row>
        <row r="629">
          <cell r="B629" t="str">
            <v>ویوینگ</v>
          </cell>
          <cell r="C629" t="str">
            <v>قطعه تعمیری</v>
          </cell>
          <cell r="P629" t="str">
            <v>Shaft</v>
          </cell>
          <cell r="AF629">
            <v>0.83333333333333337</v>
          </cell>
        </row>
        <row r="630">
          <cell r="B630" t="str">
            <v>دستگاه پشم فلز آلمانی</v>
          </cell>
          <cell r="C630" t="str">
            <v>قطعه نو</v>
          </cell>
          <cell r="P630" t="str">
            <v>شانه</v>
          </cell>
          <cell r="AF630">
            <v>1.3333333333333333</v>
          </cell>
        </row>
        <row r="631">
          <cell r="B631" t="str">
            <v>پخت کلاچ پراید</v>
          </cell>
          <cell r="C631" t="str">
            <v>قالب تعمیری</v>
          </cell>
          <cell r="P631" t="str">
            <v>top plate</v>
          </cell>
          <cell r="AF631">
            <v>1</v>
          </cell>
        </row>
        <row r="632">
          <cell r="B632" t="str">
            <v>قالب پخت کلاچ پژو 405</v>
          </cell>
          <cell r="C632" t="str">
            <v>قالب تعمیری</v>
          </cell>
          <cell r="P632" t="str">
            <v>top plate</v>
          </cell>
          <cell r="AF632">
            <v>1</v>
          </cell>
        </row>
        <row r="633">
          <cell r="B633" t="str">
            <v>پخت کلاچ پراید</v>
          </cell>
          <cell r="C633" t="str">
            <v>قالب تعمیری</v>
          </cell>
          <cell r="P633" t="str">
            <v>پیچ واسطه</v>
          </cell>
          <cell r="AF633">
            <v>0.5</v>
          </cell>
        </row>
        <row r="634">
          <cell r="B634" t="str">
            <v>قالب پخت کلاچ پژو 405</v>
          </cell>
          <cell r="C634" t="str">
            <v>قالب تعمیری</v>
          </cell>
          <cell r="P634" t="str">
            <v>پیچ واسطه</v>
          </cell>
          <cell r="AF634">
            <v>0.5</v>
          </cell>
        </row>
        <row r="635">
          <cell r="B635" t="str">
            <v>قالب پژو 405 دیسکی</v>
          </cell>
          <cell r="C635" t="str">
            <v>قالب تعمیری</v>
          </cell>
          <cell r="P635" t="str">
            <v>پیچ</v>
          </cell>
          <cell r="AF635">
            <v>1</v>
          </cell>
        </row>
        <row r="636">
          <cell r="B636" t="str">
            <v>قالب پژو 405 دیسکی</v>
          </cell>
          <cell r="C636" t="str">
            <v>قالب تعمیری</v>
          </cell>
          <cell r="P636" t="str">
            <v>mold</v>
          </cell>
          <cell r="AF636">
            <v>6</v>
          </cell>
        </row>
        <row r="637">
          <cell r="B637" t="str">
            <v>قالب پخت کلاچ پیکان</v>
          </cell>
          <cell r="C637" t="str">
            <v>قالب تعمیری</v>
          </cell>
          <cell r="P637" t="str">
            <v>Mandrel</v>
          </cell>
          <cell r="AF637">
            <v>9</v>
          </cell>
        </row>
        <row r="638">
          <cell r="B638" t="str">
            <v>Hammer Mill Machine</v>
          </cell>
          <cell r="C638" t="str">
            <v>دستگاه نو</v>
          </cell>
          <cell r="P638" t="str">
            <v>دنده</v>
          </cell>
          <cell r="AF638">
            <v>8</v>
          </cell>
        </row>
        <row r="639">
          <cell r="B639" t="str">
            <v>Hammer Mill Machine</v>
          </cell>
          <cell r="C639" t="str">
            <v>دستگاه نو</v>
          </cell>
          <cell r="P639" t="str">
            <v>تیغه</v>
          </cell>
          <cell r="AF639">
            <v>8</v>
          </cell>
        </row>
        <row r="640">
          <cell r="B640" t="str">
            <v>قالب پخت کلاچ پیکان</v>
          </cell>
          <cell r="C640" t="str">
            <v>قالب تعمیری</v>
          </cell>
          <cell r="P640" t="str">
            <v>Mandrel</v>
          </cell>
          <cell r="AF640">
            <v>8</v>
          </cell>
        </row>
        <row r="641">
          <cell r="B641" t="str">
            <v>لنت دنیای مس</v>
          </cell>
          <cell r="C641" t="str">
            <v>قطعه نو</v>
          </cell>
          <cell r="P641" t="str">
            <v>فیکسچر خم</v>
          </cell>
          <cell r="AF641">
            <v>4</v>
          </cell>
        </row>
        <row r="642">
          <cell r="B642" t="str">
            <v>ساب کلاچ</v>
          </cell>
          <cell r="C642" t="str">
            <v>قطعه نو</v>
          </cell>
          <cell r="P642" t="str">
            <v>U نگهدارنده</v>
          </cell>
          <cell r="AF642">
            <v>4</v>
          </cell>
        </row>
        <row r="643">
          <cell r="B643" t="str">
            <v>قالب پخت کلاچ پیکان آرژانتینی</v>
          </cell>
          <cell r="C643" t="str">
            <v>قالب تعمیری</v>
          </cell>
          <cell r="P643" t="str">
            <v>Mandrel</v>
          </cell>
          <cell r="AF643">
            <v>8</v>
          </cell>
        </row>
        <row r="644">
          <cell r="B644" t="str">
            <v>Hammer Mill Machine</v>
          </cell>
          <cell r="C644" t="str">
            <v>دستگاه نو</v>
          </cell>
          <cell r="P644" t="str">
            <v>دنده</v>
          </cell>
          <cell r="AF644">
            <v>12</v>
          </cell>
        </row>
        <row r="645">
          <cell r="B645" t="str">
            <v>Hammer Mill Machine</v>
          </cell>
          <cell r="C645" t="str">
            <v>دستگاه نو</v>
          </cell>
          <cell r="P645" t="str">
            <v>تیغه</v>
          </cell>
          <cell r="AF645">
            <v>12</v>
          </cell>
        </row>
        <row r="646">
          <cell r="B646" t="str">
            <v>قالب پخت کلاچ پیکان</v>
          </cell>
          <cell r="C646" t="str">
            <v>قالب تعمیری</v>
          </cell>
          <cell r="P646" t="str">
            <v>Mandrel</v>
          </cell>
          <cell r="AF646">
            <v>5</v>
          </cell>
        </row>
        <row r="647">
          <cell r="B647" t="str">
            <v>قالب پخت کلاچ پیکان آرژانتینی</v>
          </cell>
          <cell r="C647" t="str">
            <v>قالب تعمیری</v>
          </cell>
          <cell r="P647" t="str">
            <v>Mandrel</v>
          </cell>
          <cell r="AF647">
            <v>12</v>
          </cell>
        </row>
        <row r="648">
          <cell r="B648" t="str">
            <v>دستگاه ساب</v>
          </cell>
          <cell r="C648" t="str">
            <v>قطعه نو</v>
          </cell>
          <cell r="P648" t="str">
            <v>روبند</v>
          </cell>
          <cell r="AF648">
            <v>7</v>
          </cell>
        </row>
        <row r="649">
          <cell r="B649" t="str">
            <v>دستگاه پشم فلز آلمانی</v>
          </cell>
          <cell r="C649" t="str">
            <v>قطعه نو</v>
          </cell>
          <cell r="P649" t="str">
            <v>شانه</v>
          </cell>
          <cell r="AF649">
            <v>6.333333333333333</v>
          </cell>
        </row>
        <row r="650">
          <cell r="B650" t="str">
            <v>دستگاه پشم فلز آلمانی</v>
          </cell>
          <cell r="C650" t="str">
            <v>قطعه نو</v>
          </cell>
          <cell r="P650" t="str">
            <v>شانه</v>
          </cell>
          <cell r="AF650">
            <v>11</v>
          </cell>
        </row>
        <row r="651">
          <cell r="B651" t="str">
            <v>قالب عقب F12</v>
          </cell>
          <cell r="C651" t="str">
            <v>قالب نو</v>
          </cell>
          <cell r="P651" t="str">
            <v>فریم</v>
          </cell>
          <cell r="AF651">
            <v>5.5</v>
          </cell>
        </row>
        <row r="652">
          <cell r="B652" t="str">
            <v>دستگاه ساب کلاچ</v>
          </cell>
          <cell r="C652" t="str">
            <v>قطعه تعمیری</v>
          </cell>
          <cell r="P652" t="str">
            <v>میز</v>
          </cell>
          <cell r="AF652">
            <v>5.5</v>
          </cell>
        </row>
        <row r="653">
          <cell r="B653" t="str">
            <v>قالب عقب F12</v>
          </cell>
          <cell r="C653" t="str">
            <v>قالب نو</v>
          </cell>
          <cell r="P653" t="str">
            <v>فریم</v>
          </cell>
          <cell r="AF653">
            <v>5.5</v>
          </cell>
        </row>
        <row r="654">
          <cell r="B654" t="str">
            <v>قالب عقب F12</v>
          </cell>
          <cell r="C654" t="str">
            <v>قالب نو</v>
          </cell>
          <cell r="P654" t="str">
            <v>صفحه</v>
          </cell>
          <cell r="AF654">
            <v>8</v>
          </cell>
        </row>
        <row r="655">
          <cell r="B655" t="str">
            <v>قالب پژو 405 دیسکی</v>
          </cell>
          <cell r="C655" t="str">
            <v>قالب تعمیری</v>
          </cell>
          <cell r="P655" t="str">
            <v>mold</v>
          </cell>
          <cell r="AF655">
            <v>2</v>
          </cell>
        </row>
        <row r="656">
          <cell r="B656" t="str">
            <v>قالب پژو 405 دیسکی</v>
          </cell>
          <cell r="C656" t="str">
            <v>قالب تعمیری</v>
          </cell>
          <cell r="P656" t="str">
            <v>bottom plate</v>
          </cell>
          <cell r="AF656">
            <v>1</v>
          </cell>
        </row>
        <row r="657">
          <cell r="B657" t="str">
            <v>قالب پژو 405 دیسکی</v>
          </cell>
          <cell r="C657" t="str">
            <v>قالب تعمیری</v>
          </cell>
          <cell r="P657" t="str">
            <v>mold</v>
          </cell>
          <cell r="AF657">
            <v>4</v>
          </cell>
        </row>
        <row r="658">
          <cell r="B658" t="str">
            <v>قالب اکسپرس</v>
          </cell>
          <cell r="C658" t="str">
            <v>قالب تعمیری</v>
          </cell>
          <cell r="P658" t="str">
            <v>bottom plate</v>
          </cell>
          <cell r="AF658">
            <v>2</v>
          </cell>
        </row>
        <row r="659">
          <cell r="B659" t="str">
            <v>قالب اکسپرس</v>
          </cell>
          <cell r="C659" t="str">
            <v>قالب تعمیری</v>
          </cell>
          <cell r="P659" t="str">
            <v>mold</v>
          </cell>
          <cell r="AF659">
            <v>4</v>
          </cell>
        </row>
        <row r="660">
          <cell r="B660" t="str">
            <v>قالب پخت کلاچ پژو 405</v>
          </cell>
          <cell r="C660" t="str">
            <v>قالب تعمیری</v>
          </cell>
          <cell r="P660" t="str">
            <v>Mandrel</v>
          </cell>
          <cell r="AF660">
            <v>3.5</v>
          </cell>
        </row>
        <row r="661">
          <cell r="B661" t="str">
            <v>قالب پخت کلاچ پژو 405</v>
          </cell>
          <cell r="C661" t="str">
            <v>قالب تعمیری</v>
          </cell>
          <cell r="P661" t="str">
            <v>Mandrel</v>
          </cell>
          <cell r="AF661">
            <v>1</v>
          </cell>
        </row>
        <row r="662">
          <cell r="B662" t="str">
            <v>CNC 7203</v>
          </cell>
          <cell r="C662" t="str">
            <v>دستگاه تعمیری</v>
          </cell>
          <cell r="P662" t="str">
            <v>ریل</v>
          </cell>
          <cell r="AF662">
            <v>6.5</v>
          </cell>
        </row>
        <row r="663">
          <cell r="B663" t="str">
            <v>قالب اکسپرس</v>
          </cell>
          <cell r="C663" t="str">
            <v>قالب تعمیری</v>
          </cell>
          <cell r="P663" t="str">
            <v>bottom plate</v>
          </cell>
          <cell r="AF663">
            <v>5</v>
          </cell>
        </row>
        <row r="664">
          <cell r="B664" t="str">
            <v>Hammer Mill Machine</v>
          </cell>
          <cell r="C664" t="str">
            <v>دستگاه نو</v>
          </cell>
          <cell r="P664" t="str">
            <v>پولکی</v>
          </cell>
          <cell r="AF664">
            <v>2</v>
          </cell>
        </row>
        <row r="665">
          <cell r="B665" t="str">
            <v>پرس 160 تن</v>
          </cell>
          <cell r="C665" t="str">
            <v>دستگاه تعمیری</v>
          </cell>
          <cell r="P665" t="str">
            <v>مهره</v>
          </cell>
          <cell r="AF665">
            <v>3.5</v>
          </cell>
        </row>
        <row r="666">
          <cell r="B666" t="str">
            <v>دستگاه پشم فلز چینی</v>
          </cell>
          <cell r="C666" t="str">
            <v>قطعه نو</v>
          </cell>
          <cell r="P666" t="str">
            <v>لنگی</v>
          </cell>
          <cell r="AF666">
            <v>2</v>
          </cell>
        </row>
        <row r="667">
          <cell r="B667" t="str">
            <v>پین عقب پژو 405</v>
          </cell>
          <cell r="C667" t="str">
            <v>قطعه نو</v>
          </cell>
          <cell r="P667" t="str">
            <v>عقب پژو 405</v>
          </cell>
          <cell r="AF667">
            <v>5.5</v>
          </cell>
        </row>
        <row r="668">
          <cell r="B668" t="str">
            <v>پخت کلاچ پراید</v>
          </cell>
          <cell r="C668" t="str">
            <v>قالب تعمیری</v>
          </cell>
          <cell r="P668" t="str">
            <v>Mandrel</v>
          </cell>
          <cell r="AF668">
            <v>5</v>
          </cell>
        </row>
        <row r="669">
          <cell r="B669" t="str">
            <v>ابزار زنی</v>
          </cell>
          <cell r="C669" t="str">
            <v>قطعه نو</v>
          </cell>
          <cell r="P669" t="str">
            <v>غلطک نوار ابزار</v>
          </cell>
          <cell r="AF669">
            <v>2</v>
          </cell>
        </row>
        <row r="670">
          <cell r="B670" t="str">
            <v>پخت کلاچ پراید</v>
          </cell>
          <cell r="C670" t="str">
            <v>قالب تعمیری</v>
          </cell>
          <cell r="P670" t="str">
            <v>guide rod</v>
          </cell>
          <cell r="AF670">
            <v>2</v>
          </cell>
        </row>
        <row r="671">
          <cell r="B671" t="str">
            <v xml:space="preserve">کنترل شعاع عقب </v>
          </cell>
          <cell r="C671" t="str">
            <v>قطعه نو</v>
          </cell>
          <cell r="P671" t="str">
            <v>گیج پیکان</v>
          </cell>
          <cell r="AF671">
            <v>2</v>
          </cell>
        </row>
        <row r="672">
          <cell r="B672" t="str">
            <v>صفحه قالب 50*50</v>
          </cell>
          <cell r="C672" t="str">
            <v>قالب تعمیری</v>
          </cell>
          <cell r="P672" t="str">
            <v>bottom plate</v>
          </cell>
          <cell r="AF672">
            <v>6</v>
          </cell>
        </row>
        <row r="673">
          <cell r="B673" t="str">
            <v>سنگ 7502</v>
          </cell>
          <cell r="C673" t="str">
            <v>دستگاه تعمیری</v>
          </cell>
          <cell r="P673">
            <v>7502</v>
          </cell>
          <cell r="AF673">
            <v>2</v>
          </cell>
        </row>
        <row r="674">
          <cell r="B674" t="str">
            <v>قالب پژو 405 دیسکی</v>
          </cell>
          <cell r="C674" t="str">
            <v>قالب تعمیری</v>
          </cell>
          <cell r="P674" t="str">
            <v>Mold</v>
          </cell>
          <cell r="AF674">
            <v>2</v>
          </cell>
        </row>
        <row r="675">
          <cell r="B675" t="str">
            <v>Hammer Mill Machine</v>
          </cell>
          <cell r="C675" t="str">
            <v>دستگاه نو</v>
          </cell>
          <cell r="P675" t="str">
            <v>تیغه</v>
          </cell>
          <cell r="AF675">
            <v>8</v>
          </cell>
        </row>
        <row r="676">
          <cell r="B676" t="str">
            <v>ویوینگ</v>
          </cell>
          <cell r="C676" t="str">
            <v>قطعه تعمیری</v>
          </cell>
          <cell r="P676" t="str">
            <v>مهره</v>
          </cell>
          <cell r="AF676">
            <v>5</v>
          </cell>
        </row>
        <row r="677">
          <cell r="B677" t="str">
            <v>برش جمعی عقب ریو</v>
          </cell>
          <cell r="C677" t="str">
            <v>قطعه نو</v>
          </cell>
          <cell r="P677" t="str">
            <v>راهنما</v>
          </cell>
          <cell r="AF677">
            <v>3</v>
          </cell>
        </row>
        <row r="678">
          <cell r="B678" t="str">
            <v>قالب پخت کلاچ پیکان</v>
          </cell>
          <cell r="C678" t="str">
            <v>قالب تعمیری</v>
          </cell>
          <cell r="P678" t="str">
            <v>Mandrel</v>
          </cell>
          <cell r="AF678">
            <v>8</v>
          </cell>
        </row>
        <row r="679">
          <cell r="B679" t="str">
            <v>قالب پخت کلاچ پیکان</v>
          </cell>
          <cell r="C679" t="str">
            <v>قالب تعمیری</v>
          </cell>
          <cell r="P679" t="str">
            <v>Mandrel</v>
          </cell>
          <cell r="AF679">
            <v>4</v>
          </cell>
        </row>
        <row r="680">
          <cell r="B680" t="str">
            <v>قالب پخت کلاچ پیکان</v>
          </cell>
          <cell r="C680" t="str">
            <v>قالب تعمیری</v>
          </cell>
          <cell r="P680" t="str">
            <v>guide rod</v>
          </cell>
          <cell r="AF680">
            <v>4</v>
          </cell>
        </row>
        <row r="681">
          <cell r="B681" t="str">
            <v>ویوینگ</v>
          </cell>
          <cell r="C681" t="str">
            <v>قطعه تعمیری</v>
          </cell>
          <cell r="P681" t="str">
            <v>پیچ راهنما</v>
          </cell>
          <cell r="AF681">
            <v>2</v>
          </cell>
        </row>
        <row r="682">
          <cell r="B682" t="str">
            <v>قالب پژو 405 دیسکی</v>
          </cell>
          <cell r="C682" t="str">
            <v>قالب تعمیری</v>
          </cell>
          <cell r="P682" t="str">
            <v>صفحه</v>
          </cell>
          <cell r="AF682">
            <v>2</v>
          </cell>
        </row>
        <row r="683">
          <cell r="B683" t="str">
            <v>قالب پخت کلاچ پیکان آرژانتینی</v>
          </cell>
          <cell r="C683" t="str">
            <v>قالب تعمیری</v>
          </cell>
          <cell r="P683" t="str">
            <v>mold</v>
          </cell>
          <cell r="AF683">
            <v>2</v>
          </cell>
        </row>
        <row r="684">
          <cell r="B684" t="str">
            <v>پخت کلاچ پراید</v>
          </cell>
          <cell r="C684" t="str">
            <v>قالب تعمیری</v>
          </cell>
          <cell r="P684" t="str">
            <v>mold</v>
          </cell>
          <cell r="AF684">
            <v>2</v>
          </cell>
        </row>
        <row r="685">
          <cell r="B685" t="str">
            <v>قالب پخت کلاچ پیکان آرژانتینی</v>
          </cell>
          <cell r="C685" t="str">
            <v>قالب تعمیری</v>
          </cell>
          <cell r="P685" t="str">
            <v>صفحه</v>
          </cell>
          <cell r="AF685">
            <v>2</v>
          </cell>
        </row>
        <row r="686">
          <cell r="B686" t="str">
            <v>قالب پژو 405 دیسکی</v>
          </cell>
          <cell r="C686" t="str">
            <v>قالب تعمیری</v>
          </cell>
          <cell r="P686" t="str">
            <v>صفحه</v>
          </cell>
          <cell r="AF686">
            <v>2</v>
          </cell>
        </row>
        <row r="687">
          <cell r="B687" t="str">
            <v>قالب پخت کلاچ پیکان آرژانتینی</v>
          </cell>
          <cell r="C687" t="str">
            <v>قالب تعمیری</v>
          </cell>
          <cell r="P687" t="str">
            <v>mold</v>
          </cell>
          <cell r="AF687">
            <v>2</v>
          </cell>
        </row>
        <row r="688">
          <cell r="B688" t="str">
            <v>پخت کلاچ پراید</v>
          </cell>
          <cell r="C688" t="str">
            <v>قالب تعمیری</v>
          </cell>
          <cell r="P688" t="str">
            <v>mold</v>
          </cell>
          <cell r="AF688">
            <v>2</v>
          </cell>
        </row>
        <row r="689">
          <cell r="B689" t="str">
            <v>قالب پخت کلاچ پیکان آرژانتینی</v>
          </cell>
          <cell r="C689" t="str">
            <v>قالب تعمیری</v>
          </cell>
          <cell r="P689" t="str">
            <v>صفحه</v>
          </cell>
          <cell r="AF689">
            <v>2</v>
          </cell>
        </row>
        <row r="690">
          <cell r="B690" t="str">
            <v>دستگاه پشم فلز آلمانی</v>
          </cell>
          <cell r="C690" t="str">
            <v>قطعه نو</v>
          </cell>
          <cell r="P690" t="str">
            <v>شانه</v>
          </cell>
          <cell r="AF690">
            <v>11</v>
          </cell>
        </row>
        <row r="691">
          <cell r="B691" t="str">
            <v>دستگاه پشم فلز آلمانی</v>
          </cell>
          <cell r="C691" t="str">
            <v>قطعه نو</v>
          </cell>
          <cell r="P691" t="str">
            <v>شانه</v>
          </cell>
          <cell r="AF691">
            <v>6.333333333333333</v>
          </cell>
        </row>
        <row r="692">
          <cell r="B692" t="str">
            <v>دستگاه پشم فلز آلمانی</v>
          </cell>
          <cell r="C692" t="str">
            <v>قطعه نو</v>
          </cell>
          <cell r="P692" t="str">
            <v>شانه</v>
          </cell>
          <cell r="AF692">
            <v>11</v>
          </cell>
        </row>
        <row r="693">
          <cell r="B693" t="str">
            <v>قالب عقب F12</v>
          </cell>
          <cell r="C693" t="str">
            <v>قالب نو</v>
          </cell>
          <cell r="P693" t="str">
            <v>فریم</v>
          </cell>
          <cell r="AF693">
            <v>5.5</v>
          </cell>
        </row>
        <row r="694">
          <cell r="B694" t="str">
            <v>قالب عقب F12</v>
          </cell>
          <cell r="C694" t="str">
            <v>قالب نو</v>
          </cell>
          <cell r="P694" t="str">
            <v>top plate</v>
          </cell>
          <cell r="AF694">
            <v>5.5</v>
          </cell>
        </row>
        <row r="695">
          <cell r="B695" t="str">
            <v>سنگ 7502</v>
          </cell>
          <cell r="C695" t="str">
            <v>دستگاه تعمیری</v>
          </cell>
          <cell r="P695">
            <v>7502</v>
          </cell>
          <cell r="AF695">
            <v>2</v>
          </cell>
        </row>
        <row r="696">
          <cell r="B696" t="str">
            <v>قالب پخت کلاچ پژو 405</v>
          </cell>
          <cell r="C696" t="str">
            <v>قالب تعمیری</v>
          </cell>
          <cell r="P696" t="str">
            <v>Matrix</v>
          </cell>
          <cell r="AF696">
            <v>8</v>
          </cell>
        </row>
        <row r="697">
          <cell r="B697" t="str">
            <v>دستگاه پشم فلز چینی</v>
          </cell>
          <cell r="C697" t="str">
            <v>قطعه نو</v>
          </cell>
          <cell r="P697" t="str">
            <v>Shaft لنگی</v>
          </cell>
          <cell r="AF697">
            <v>2</v>
          </cell>
        </row>
        <row r="698">
          <cell r="B698" t="str">
            <v>تراش 7303</v>
          </cell>
          <cell r="C698" t="str">
            <v>دستگاه تعمیری</v>
          </cell>
          <cell r="P698" t="str">
            <v>تراش 7303</v>
          </cell>
          <cell r="AF698">
            <v>1</v>
          </cell>
        </row>
        <row r="699">
          <cell r="B699" t="str">
            <v>پین عقب پژو 405</v>
          </cell>
          <cell r="C699" t="str">
            <v>قطعه نو</v>
          </cell>
          <cell r="P699" t="str">
            <v>عقب پژو 405</v>
          </cell>
          <cell r="AF699">
            <v>7.5</v>
          </cell>
        </row>
        <row r="700">
          <cell r="B700" t="str">
            <v>ابزار زنی</v>
          </cell>
          <cell r="C700" t="str">
            <v>قطعه نو</v>
          </cell>
          <cell r="P700" t="str">
            <v>ابزار پیچ و مهره</v>
          </cell>
          <cell r="AF700">
            <v>4</v>
          </cell>
        </row>
        <row r="701">
          <cell r="B701" t="str">
            <v>برش جمعی عقب ریو</v>
          </cell>
          <cell r="C701" t="str">
            <v>قطعه نو</v>
          </cell>
          <cell r="P701" t="str">
            <v>تیغه</v>
          </cell>
          <cell r="AF701">
            <v>4</v>
          </cell>
        </row>
        <row r="702">
          <cell r="B702" t="str">
            <v>قالب پخت کلاچ پژو 405</v>
          </cell>
          <cell r="C702" t="str">
            <v>قالب تعمیری</v>
          </cell>
          <cell r="P702" t="str">
            <v>میل راهنما</v>
          </cell>
          <cell r="AF702">
            <v>2</v>
          </cell>
        </row>
        <row r="703">
          <cell r="B703" t="str">
            <v>کولر</v>
          </cell>
          <cell r="C703" t="str">
            <v>دستگاه تعمیری</v>
          </cell>
          <cell r="P703" t="str">
            <v>کولر</v>
          </cell>
          <cell r="AF703">
            <v>4</v>
          </cell>
        </row>
        <row r="704">
          <cell r="B704" t="str">
            <v>دستگاه پخ زنی</v>
          </cell>
          <cell r="C704" t="str">
            <v>دستگاه تعمیری</v>
          </cell>
          <cell r="P704" t="str">
            <v>دستگاه</v>
          </cell>
          <cell r="AF704">
            <v>4</v>
          </cell>
        </row>
        <row r="705">
          <cell r="B705" t="str">
            <v>ساب کونیک</v>
          </cell>
          <cell r="C705" t="str">
            <v>قطعه تعمیری</v>
          </cell>
          <cell r="P705" t="str">
            <v>Shaft</v>
          </cell>
          <cell r="AF705">
            <v>2.5</v>
          </cell>
        </row>
        <row r="706">
          <cell r="B706" t="str">
            <v>ساب الماسه</v>
          </cell>
          <cell r="C706" t="str">
            <v>قطعه تعمیری</v>
          </cell>
          <cell r="P706" t="str">
            <v>توپی</v>
          </cell>
          <cell r="AF706">
            <v>2.5</v>
          </cell>
        </row>
        <row r="707">
          <cell r="B707" t="str">
            <v xml:space="preserve">کنترل شعاع عقب </v>
          </cell>
          <cell r="C707" t="str">
            <v>قطعه نو</v>
          </cell>
          <cell r="P707" t="str">
            <v>گیج پیکان</v>
          </cell>
          <cell r="AF707">
            <v>2</v>
          </cell>
        </row>
        <row r="708">
          <cell r="B708" t="str">
            <v>کولر</v>
          </cell>
          <cell r="C708" t="str">
            <v>دستگاه تعمیری</v>
          </cell>
          <cell r="P708" t="str">
            <v>کولر</v>
          </cell>
          <cell r="AF708">
            <v>2</v>
          </cell>
        </row>
        <row r="709">
          <cell r="B709" t="str">
            <v>دریل ابزار زنی</v>
          </cell>
          <cell r="C709" t="str">
            <v>قطعه نو</v>
          </cell>
          <cell r="P709" t="str">
            <v>Bush</v>
          </cell>
          <cell r="AF709">
            <v>2</v>
          </cell>
        </row>
        <row r="710">
          <cell r="B710" t="str">
            <v>قالب پخت کلاچ پژو 405</v>
          </cell>
          <cell r="C710" t="str">
            <v>قالب تعمیری</v>
          </cell>
          <cell r="P710" t="str">
            <v>Mandrel</v>
          </cell>
          <cell r="AF710">
            <v>7.5</v>
          </cell>
        </row>
        <row r="711">
          <cell r="B711" t="str">
            <v>پخت کلاچ پراید</v>
          </cell>
          <cell r="C711" t="str">
            <v>قالب تعمیری</v>
          </cell>
          <cell r="P711" t="str">
            <v>Mandrel</v>
          </cell>
          <cell r="AF711">
            <v>3.5</v>
          </cell>
        </row>
        <row r="712">
          <cell r="B712" t="str">
            <v>Hammer Mill Machine</v>
          </cell>
          <cell r="C712" t="str">
            <v>دستگاه نو</v>
          </cell>
          <cell r="P712" t="str">
            <v>تیغه</v>
          </cell>
          <cell r="AF712">
            <v>11</v>
          </cell>
        </row>
        <row r="713">
          <cell r="B713" t="str">
            <v>Hammer Mill Machine</v>
          </cell>
          <cell r="C713" t="str">
            <v>دستگاه نو</v>
          </cell>
          <cell r="P713" t="str">
            <v>دنده</v>
          </cell>
          <cell r="AF713">
            <v>12</v>
          </cell>
        </row>
        <row r="714">
          <cell r="B714" t="str">
            <v>Hammer Mill Machine</v>
          </cell>
          <cell r="C714" t="str">
            <v>دستگاه نو</v>
          </cell>
          <cell r="P714" t="str">
            <v>تیغه</v>
          </cell>
          <cell r="AF714">
            <v>12</v>
          </cell>
        </row>
        <row r="715">
          <cell r="B715" t="str">
            <v>برش جمعی عقب ریو</v>
          </cell>
          <cell r="C715" t="str">
            <v>قطعه نو</v>
          </cell>
          <cell r="P715" t="str">
            <v>بوش نگهدارنده</v>
          </cell>
          <cell r="AF715">
            <v>4</v>
          </cell>
        </row>
        <row r="716">
          <cell r="B716" t="str">
            <v>لنت دنیای مس</v>
          </cell>
          <cell r="C716" t="str">
            <v>قطعه نو</v>
          </cell>
          <cell r="P716" t="str">
            <v>فیکسچر</v>
          </cell>
          <cell r="AF716">
            <v>8</v>
          </cell>
        </row>
        <row r="717">
          <cell r="B717" t="str">
            <v>قالب پخت کلاچ پیکان</v>
          </cell>
          <cell r="C717" t="str">
            <v>قالب تعمیری</v>
          </cell>
          <cell r="P717" t="str">
            <v>Mandrel</v>
          </cell>
          <cell r="AF717">
            <v>12</v>
          </cell>
        </row>
        <row r="718">
          <cell r="B718" t="str">
            <v>دستگاه پشم فلز آلمانی</v>
          </cell>
          <cell r="C718" t="str">
            <v>قطعه نو</v>
          </cell>
          <cell r="P718" t="str">
            <v>شانه</v>
          </cell>
          <cell r="AF718">
            <v>11</v>
          </cell>
        </row>
        <row r="719">
          <cell r="B719" t="str">
            <v>Hammer Mill Machine</v>
          </cell>
          <cell r="C719" t="str">
            <v>دستگاه نو</v>
          </cell>
          <cell r="P719" t="str">
            <v>صفحات</v>
          </cell>
          <cell r="AF719">
            <v>7.5</v>
          </cell>
        </row>
        <row r="720">
          <cell r="B720" t="str">
            <v>قالب پخت کلاچ پیکان</v>
          </cell>
          <cell r="C720" t="str">
            <v>قالب تعمیری</v>
          </cell>
          <cell r="P720" t="str">
            <v>guide rod</v>
          </cell>
          <cell r="AF720">
            <v>2</v>
          </cell>
        </row>
        <row r="721">
          <cell r="B721" t="str">
            <v>پخت کلاچ پراید</v>
          </cell>
          <cell r="C721" t="str">
            <v>قالب تعمیری</v>
          </cell>
          <cell r="P721" t="str">
            <v>پیچ واسطه</v>
          </cell>
          <cell r="AF721">
            <v>7</v>
          </cell>
        </row>
        <row r="722">
          <cell r="B722" t="str">
            <v>پخت کلاچ پراید</v>
          </cell>
          <cell r="C722" t="str">
            <v>قالب تعمیری</v>
          </cell>
          <cell r="P722" t="str">
            <v>Mandrel</v>
          </cell>
          <cell r="AF722">
            <v>11</v>
          </cell>
        </row>
        <row r="723">
          <cell r="B723" t="str">
            <v>Hammer Mill Machine</v>
          </cell>
          <cell r="C723" t="str">
            <v>دستگاه نو</v>
          </cell>
          <cell r="P723" t="str">
            <v>تیغه</v>
          </cell>
          <cell r="AF723">
            <v>7.5</v>
          </cell>
        </row>
        <row r="724">
          <cell r="B724" t="str">
            <v>قالب عقب F12</v>
          </cell>
          <cell r="C724" t="str">
            <v>قالب نو</v>
          </cell>
          <cell r="P724" t="str">
            <v>top plate</v>
          </cell>
          <cell r="AF724">
            <v>4</v>
          </cell>
        </row>
        <row r="725">
          <cell r="B725" t="str">
            <v>بمبوری</v>
          </cell>
          <cell r="C725" t="str">
            <v>قطعه تعمیری</v>
          </cell>
          <cell r="P725" t="str">
            <v>برنجی</v>
          </cell>
          <cell r="AF725">
            <v>4</v>
          </cell>
        </row>
        <row r="726">
          <cell r="B726" t="str">
            <v>دستگاه پشم فلز آلمانی</v>
          </cell>
          <cell r="C726" t="str">
            <v>قطعه نو</v>
          </cell>
          <cell r="P726" t="str">
            <v>شانه</v>
          </cell>
          <cell r="AF726">
            <v>3</v>
          </cell>
        </row>
        <row r="727">
          <cell r="B727" t="str">
            <v>ابزار زنی</v>
          </cell>
          <cell r="C727" t="str">
            <v>قطعه نو</v>
          </cell>
          <cell r="P727" t="str">
            <v>پایه</v>
          </cell>
          <cell r="AF727">
            <v>1</v>
          </cell>
        </row>
        <row r="728">
          <cell r="B728" t="str">
            <v>برش جمعی عقب ریو</v>
          </cell>
          <cell r="C728" t="str">
            <v>قطعه نو</v>
          </cell>
          <cell r="P728" t="str">
            <v>Shaft</v>
          </cell>
          <cell r="AF728">
            <v>2.3333333333333335</v>
          </cell>
        </row>
        <row r="729">
          <cell r="B729" t="str">
            <v>قالب پخت کلاچ پژو 405</v>
          </cell>
          <cell r="C729" t="str">
            <v>قالب تعمیری</v>
          </cell>
          <cell r="P729" t="str">
            <v>Matrix</v>
          </cell>
          <cell r="AF729">
            <v>4</v>
          </cell>
        </row>
        <row r="730">
          <cell r="B730" t="str">
            <v>قالب پراید خاردار</v>
          </cell>
          <cell r="C730" t="str">
            <v>قالب تعمیری</v>
          </cell>
          <cell r="P730" t="str">
            <v>top plate</v>
          </cell>
          <cell r="AF730">
            <v>5</v>
          </cell>
        </row>
        <row r="731">
          <cell r="B731" t="str">
            <v>Hammer Mill Machine</v>
          </cell>
          <cell r="C731" t="str">
            <v>دستگاه نو</v>
          </cell>
          <cell r="P731" t="str">
            <v>صفحه</v>
          </cell>
          <cell r="AF731">
            <v>2</v>
          </cell>
        </row>
        <row r="732">
          <cell r="B732" t="str">
            <v>قالب نیسان آریا</v>
          </cell>
          <cell r="C732" t="str">
            <v>قالب تعمیری</v>
          </cell>
          <cell r="P732" t="str">
            <v>top plate</v>
          </cell>
          <cell r="AF732">
            <v>2</v>
          </cell>
        </row>
        <row r="733">
          <cell r="B733" t="str">
            <v>پین عقب پژو 405</v>
          </cell>
          <cell r="C733" t="str">
            <v>قطعه نو</v>
          </cell>
          <cell r="P733" t="str">
            <v>عقب پژو 405</v>
          </cell>
          <cell r="AF733">
            <v>5.5</v>
          </cell>
        </row>
        <row r="734">
          <cell r="B734" t="str">
            <v>دستگاه پشم فلز چینی</v>
          </cell>
          <cell r="C734" t="str">
            <v>قطعه نو</v>
          </cell>
          <cell r="P734" t="str">
            <v>Shaft لنگی</v>
          </cell>
          <cell r="AF734">
            <v>2</v>
          </cell>
        </row>
        <row r="735">
          <cell r="B735" t="str">
            <v>Hammer Mill Machine</v>
          </cell>
          <cell r="C735" t="str">
            <v>دستگاه نو</v>
          </cell>
          <cell r="P735" t="str">
            <v>لنگی</v>
          </cell>
          <cell r="AF735">
            <v>2</v>
          </cell>
        </row>
        <row r="736">
          <cell r="B736" t="str">
            <v>پرس پخت</v>
          </cell>
          <cell r="C736" t="str">
            <v>قطعه نو</v>
          </cell>
          <cell r="P736" t="str">
            <v>مهره</v>
          </cell>
          <cell r="AF736">
            <v>2</v>
          </cell>
        </row>
        <row r="737">
          <cell r="B737" t="str">
            <v>پرس پخت</v>
          </cell>
          <cell r="C737" t="str">
            <v>قطعه نو</v>
          </cell>
          <cell r="P737" t="str">
            <v>سرجک</v>
          </cell>
          <cell r="AF737">
            <v>3</v>
          </cell>
        </row>
        <row r="738">
          <cell r="B738" t="str">
            <v>ابزار زنی</v>
          </cell>
          <cell r="C738" t="str">
            <v>قطعه نو</v>
          </cell>
          <cell r="P738" t="str">
            <v>Shaft</v>
          </cell>
          <cell r="AF738">
            <v>2</v>
          </cell>
        </row>
        <row r="739">
          <cell r="B739" t="str">
            <v>برش جمعی عقب ریو</v>
          </cell>
          <cell r="C739" t="str">
            <v>قطعه نو</v>
          </cell>
          <cell r="P739" t="str">
            <v>تیغه</v>
          </cell>
          <cell r="AF739">
            <v>2</v>
          </cell>
        </row>
        <row r="740">
          <cell r="B740" t="str">
            <v>پرس پخت</v>
          </cell>
          <cell r="C740" t="str">
            <v>قطعه نو</v>
          </cell>
          <cell r="P740" t="str">
            <v>مهره</v>
          </cell>
          <cell r="AF740">
            <v>3</v>
          </cell>
        </row>
        <row r="741">
          <cell r="B741" t="str">
            <v>آغشته کاری</v>
          </cell>
          <cell r="C741" t="str">
            <v>قطعه تعمیری</v>
          </cell>
          <cell r="P741" t="str">
            <v>Shaft همزن</v>
          </cell>
          <cell r="AF741">
            <v>3</v>
          </cell>
        </row>
        <row r="742">
          <cell r="B742" t="str">
            <v xml:space="preserve">کنترل شعاع عقب </v>
          </cell>
          <cell r="C742" t="str">
            <v>قطعه نو</v>
          </cell>
          <cell r="P742" t="str">
            <v>گیج پیکان</v>
          </cell>
          <cell r="AF742">
            <v>2.5</v>
          </cell>
        </row>
        <row r="743">
          <cell r="B743" t="str">
            <v>ویوینگ</v>
          </cell>
          <cell r="C743" t="str">
            <v>قطعه تعمیری</v>
          </cell>
          <cell r="P743" t="str">
            <v>Shaft</v>
          </cell>
          <cell r="AF743">
            <v>1</v>
          </cell>
        </row>
        <row r="744">
          <cell r="B744" t="str">
            <v>ویوینگ</v>
          </cell>
          <cell r="C744" t="str">
            <v>قطعه تعمیری</v>
          </cell>
          <cell r="P744" t="str">
            <v>مهره</v>
          </cell>
          <cell r="AF744">
            <v>1.5</v>
          </cell>
        </row>
        <row r="745">
          <cell r="B745" t="str">
            <v>Hammer Mill Machine</v>
          </cell>
          <cell r="C745" t="str">
            <v>دستگاه نو</v>
          </cell>
          <cell r="P745" t="str">
            <v>دنده</v>
          </cell>
          <cell r="AF745">
            <v>12</v>
          </cell>
        </row>
        <row r="746">
          <cell r="B746" t="str">
            <v>Hammer Mill Machine</v>
          </cell>
          <cell r="C746" t="str">
            <v>دستگاه نو</v>
          </cell>
          <cell r="P746" t="str">
            <v>تیغه</v>
          </cell>
          <cell r="AF746">
            <v>12</v>
          </cell>
        </row>
        <row r="747">
          <cell r="B747" t="str">
            <v>قالب پخت کلاچ پیکان</v>
          </cell>
          <cell r="C747" t="str">
            <v>قالب تعمیری</v>
          </cell>
          <cell r="P747" t="str">
            <v>Mandrel</v>
          </cell>
          <cell r="AF747">
            <v>12</v>
          </cell>
        </row>
        <row r="748">
          <cell r="B748" t="str">
            <v>ویوینگ</v>
          </cell>
          <cell r="C748" t="str">
            <v>قطعه تعمیری</v>
          </cell>
          <cell r="P748" t="str">
            <v>مهره</v>
          </cell>
          <cell r="AF748">
            <v>4</v>
          </cell>
        </row>
        <row r="749">
          <cell r="B749" t="str">
            <v>ساب کونیک</v>
          </cell>
          <cell r="C749" t="str">
            <v>قطعه تعمیری</v>
          </cell>
          <cell r="P749" t="str">
            <v>Shaft</v>
          </cell>
          <cell r="AF749">
            <v>8</v>
          </cell>
        </row>
        <row r="750">
          <cell r="B750" t="str">
            <v>Hammer Mill Machine</v>
          </cell>
          <cell r="C750" t="str">
            <v>دستگاه نو</v>
          </cell>
          <cell r="P750" t="str">
            <v>صفحه</v>
          </cell>
          <cell r="AF750">
            <v>11</v>
          </cell>
        </row>
        <row r="751">
          <cell r="B751" t="str">
            <v>دستگاه پشم فلز آلمانی</v>
          </cell>
          <cell r="C751" t="str">
            <v>قطعه نو</v>
          </cell>
          <cell r="P751" t="str">
            <v>شانه</v>
          </cell>
          <cell r="AF751">
            <v>11</v>
          </cell>
        </row>
        <row r="752">
          <cell r="B752" t="str">
            <v>بمبوری</v>
          </cell>
          <cell r="C752" t="str">
            <v>قطعه تعمیری</v>
          </cell>
          <cell r="P752" t="str">
            <v>برنجی</v>
          </cell>
          <cell r="AF752">
            <v>11</v>
          </cell>
        </row>
        <row r="753">
          <cell r="B753" t="str">
            <v>قالب پخت کلاچ پیکان</v>
          </cell>
          <cell r="C753" t="str">
            <v>قالب تعمیری</v>
          </cell>
          <cell r="P753" t="str">
            <v>bottom plate</v>
          </cell>
          <cell r="AF753">
            <v>11</v>
          </cell>
        </row>
        <row r="754">
          <cell r="B754" t="str">
            <v>پخت کلاچ پراید</v>
          </cell>
          <cell r="C754" t="str">
            <v>قالب تعمیری</v>
          </cell>
          <cell r="P754" t="str">
            <v>Mandrel</v>
          </cell>
          <cell r="AF754">
            <v>5.5</v>
          </cell>
        </row>
        <row r="755">
          <cell r="B755" t="str">
            <v>قالب پخت کلاچ پژو 405</v>
          </cell>
          <cell r="C755" t="str">
            <v>قالب تعمیری</v>
          </cell>
          <cell r="P755" t="str">
            <v>Mandrel</v>
          </cell>
          <cell r="AF755">
            <v>2</v>
          </cell>
        </row>
        <row r="756">
          <cell r="B756" t="str">
            <v>پخت کلاچ پراید</v>
          </cell>
          <cell r="C756" t="str">
            <v>قالب تعمیری</v>
          </cell>
          <cell r="P756" t="str">
            <v>پیچ واسطه</v>
          </cell>
          <cell r="AF756">
            <v>11</v>
          </cell>
        </row>
        <row r="757">
          <cell r="B757" t="str">
            <v>Hammer Mill Machine</v>
          </cell>
          <cell r="C757" t="str">
            <v>دستگاه نو</v>
          </cell>
          <cell r="P757" t="str">
            <v>دنده</v>
          </cell>
          <cell r="AF757">
            <v>12</v>
          </cell>
        </row>
        <row r="758">
          <cell r="B758" t="str">
            <v>Hammer Mill Machine</v>
          </cell>
          <cell r="C758" t="str">
            <v>دستگاه نو</v>
          </cell>
          <cell r="P758" t="str">
            <v>تیغه</v>
          </cell>
          <cell r="AF758">
            <v>12</v>
          </cell>
        </row>
        <row r="759">
          <cell r="B759" t="str">
            <v>دستگاه ساب</v>
          </cell>
          <cell r="C759" t="str">
            <v>قطعه تعمیری</v>
          </cell>
          <cell r="P759" t="str">
            <v>روبند</v>
          </cell>
          <cell r="AF759">
            <v>12</v>
          </cell>
        </row>
        <row r="760">
          <cell r="B760" t="str">
            <v>پخت کلاچ پراید</v>
          </cell>
          <cell r="C760" t="str">
            <v>قالب تعمیری</v>
          </cell>
          <cell r="P760" t="str">
            <v>mandrel</v>
          </cell>
          <cell r="AF760">
            <v>12</v>
          </cell>
        </row>
        <row r="761">
          <cell r="B761" t="str">
            <v>پخت کلاچ پراید</v>
          </cell>
          <cell r="C761" t="str">
            <v>قالب تعمیری</v>
          </cell>
          <cell r="P761" t="str">
            <v>Guaid rod</v>
          </cell>
          <cell r="AF761">
            <v>4</v>
          </cell>
        </row>
        <row r="762">
          <cell r="B762" t="str">
            <v>سینی نهار خوری</v>
          </cell>
          <cell r="C762" t="str">
            <v>قطعه نو</v>
          </cell>
          <cell r="P762" t="str">
            <v>بوش</v>
          </cell>
          <cell r="AF762">
            <v>2</v>
          </cell>
        </row>
        <row r="763">
          <cell r="B763" t="str">
            <v>برش جمعی عقب ریو</v>
          </cell>
          <cell r="C763" t="str">
            <v>قطعه نو</v>
          </cell>
          <cell r="P763" t="str">
            <v>تیغه</v>
          </cell>
          <cell r="AF763">
            <v>5</v>
          </cell>
        </row>
        <row r="764">
          <cell r="B764" t="str">
            <v>قالب پراید خاردار</v>
          </cell>
          <cell r="C764" t="str">
            <v>قالب تعمیری</v>
          </cell>
          <cell r="P764" t="str">
            <v>mold</v>
          </cell>
          <cell r="AF764">
            <v>3</v>
          </cell>
        </row>
        <row r="765">
          <cell r="B765" t="str">
            <v>دستگاه پشم فلز چینی</v>
          </cell>
          <cell r="C765" t="str">
            <v>قطعه نو</v>
          </cell>
          <cell r="P765" t="str">
            <v>Shaft لنگی</v>
          </cell>
          <cell r="AF765">
            <v>2</v>
          </cell>
        </row>
        <row r="766">
          <cell r="B766" t="str">
            <v>پخت کلاچ پراید</v>
          </cell>
          <cell r="C766" t="str">
            <v>قالب تعمیری</v>
          </cell>
          <cell r="P766" t="str">
            <v>Shaft</v>
          </cell>
          <cell r="AF766">
            <v>2</v>
          </cell>
        </row>
        <row r="767">
          <cell r="B767" t="str">
            <v>پخت کلاچ پراید</v>
          </cell>
          <cell r="C767" t="str">
            <v>قالب تعمیری</v>
          </cell>
          <cell r="P767" t="str">
            <v>mold</v>
          </cell>
          <cell r="AF767">
            <v>4</v>
          </cell>
        </row>
        <row r="768">
          <cell r="B768" t="str">
            <v>دستگاه پشم فلز چینی</v>
          </cell>
          <cell r="C768" t="str">
            <v>قطعه نو</v>
          </cell>
          <cell r="P768" t="str">
            <v>لنگی</v>
          </cell>
          <cell r="AF768">
            <v>6.5</v>
          </cell>
        </row>
        <row r="769">
          <cell r="B769" t="str">
            <v>دستگاه پشم فلز چینی</v>
          </cell>
          <cell r="C769" t="str">
            <v>قطعه نو</v>
          </cell>
          <cell r="P769" t="str">
            <v>لنگی</v>
          </cell>
          <cell r="AF769">
            <v>7.5</v>
          </cell>
        </row>
        <row r="770">
          <cell r="B770" t="str">
            <v>بمبوری</v>
          </cell>
          <cell r="C770" t="str">
            <v>قطعه تعمیری</v>
          </cell>
          <cell r="P770" t="str">
            <v>برنجی</v>
          </cell>
          <cell r="AF770">
            <v>3.5</v>
          </cell>
        </row>
        <row r="771">
          <cell r="B771" t="str">
            <v>Hammer Mill Machine</v>
          </cell>
          <cell r="C771" t="str">
            <v>دستگاه نو</v>
          </cell>
          <cell r="P771" t="str">
            <v>تیغه</v>
          </cell>
          <cell r="AF771">
            <v>3.5</v>
          </cell>
        </row>
        <row r="772">
          <cell r="B772" t="str">
            <v>پخت کلاچ پراید</v>
          </cell>
          <cell r="C772" t="str">
            <v>قالب تعمیری</v>
          </cell>
          <cell r="P772" t="str">
            <v>Mandrel</v>
          </cell>
          <cell r="AF772">
            <v>8</v>
          </cell>
        </row>
        <row r="773">
          <cell r="B773" t="str">
            <v>برش قطاری</v>
          </cell>
          <cell r="C773" t="str">
            <v>قالب تعمیری</v>
          </cell>
          <cell r="P773" t="str">
            <v>Mandrel</v>
          </cell>
          <cell r="AF773">
            <v>4</v>
          </cell>
        </row>
        <row r="774">
          <cell r="B774" t="str">
            <v>قالب پخت کلاچ پیکان آرژانتینی</v>
          </cell>
          <cell r="C774" t="str">
            <v>قالب تعمیری</v>
          </cell>
          <cell r="P774" t="str">
            <v>mandrel</v>
          </cell>
          <cell r="AF774">
            <v>4</v>
          </cell>
        </row>
        <row r="775">
          <cell r="B775" t="str">
            <v>پخت کلاچ پراید</v>
          </cell>
          <cell r="C775" t="str">
            <v>قالب تعمیری</v>
          </cell>
          <cell r="P775" t="str">
            <v>mandrel</v>
          </cell>
          <cell r="AF775">
            <v>5</v>
          </cell>
        </row>
        <row r="776">
          <cell r="B776" t="str">
            <v>Hammer Mill Machine</v>
          </cell>
          <cell r="C776" t="str">
            <v>دستگاه نو</v>
          </cell>
          <cell r="P776" t="str">
            <v>قطعه</v>
          </cell>
          <cell r="AF776">
            <v>3</v>
          </cell>
        </row>
        <row r="777">
          <cell r="B777" t="str">
            <v>دستگاه ساب</v>
          </cell>
          <cell r="C777" t="str">
            <v>قطعه تعمیری</v>
          </cell>
          <cell r="P777" t="str">
            <v>روبند</v>
          </cell>
          <cell r="AF777">
            <v>4</v>
          </cell>
        </row>
        <row r="778">
          <cell r="B778" t="str">
            <v>ویوینگ</v>
          </cell>
          <cell r="C778" t="str">
            <v>قطعه تعمیری</v>
          </cell>
          <cell r="P778" t="str">
            <v>تیغه</v>
          </cell>
          <cell r="AF778">
            <v>4</v>
          </cell>
        </row>
        <row r="779">
          <cell r="B779" t="str">
            <v>قالب پخت کلاچ پیکان</v>
          </cell>
          <cell r="C779" t="str">
            <v>قالب تعمیری</v>
          </cell>
          <cell r="P779" t="str">
            <v>پیچ واسطه</v>
          </cell>
          <cell r="AF779">
            <v>4.666666666666667</v>
          </cell>
        </row>
        <row r="780">
          <cell r="B780" t="str">
            <v>اصول 5S</v>
          </cell>
          <cell r="C780" t="str">
            <v>نظافت</v>
          </cell>
          <cell r="P780" t="str">
            <v>دستگاه</v>
          </cell>
          <cell r="AF780">
            <v>2.3333333333333335</v>
          </cell>
        </row>
        <row r="781">
          <cell r="B781" t="str">
            <v>Hammer Mill Machine</v>
          </cell>
          <cell r="C781" t="str">
            <v>دستگاه نو</v>
          </cell>
          <cell r="P781" t="str">
            <v>صفحه</v>
          </cell>
          <cell r="AF781">
            <v>6.5</v>
          </cell>
        </row>
        <row r="782">
          <cell r="B782" t="str">
            <v>اصول 5S</v>
          </cell>
          <cell r="C782" t="str">
            <v>نظافت</v>
          </cell>
          <cell r="P782" t="str">
            <v>دستگاه</v>
          </cell>
          <cell r="AF782">
            <v>1</v>
          </cell>
        </row>
        <row r="783">
          <cell r="B783" t="str">
            <v xml:space="preserve">عقب پژو 405 </v>
          </cell>
          <cell r="C783" t="str">
            <v>قالب تعمیری</v>
          </cell>
          <cell r="P783" t="str">
            <v>mold</v>
          </cell>
          <cell r="AF783">
            <v>2</v>
          </cell>
        </row>
        <row r="784">
          <cell r="B784" t="str">
            <v>قالب پراید خاردار</v>
          </cell>
          <cell r="C784" t="str">
            <v>قالب تعمیری</v>
          </cell>
          <cell r="P784" t="str">
            <v>mold</v>
          </cell>
          <cell r="AF784">
            <v>2</v>
          </cell>
        </row>
        <row r="785">
          <cell r="B785" t="str">
            <v>اصول 5S</v>
          </cell>
          <cell r="C785" t="str">
            <v>نظافت</v>
          </cell>
          <cell r="P785" t="str">
            <v>دستگاه</v>
          </cell>
          <cell r="AF785">
            <v>1</v>
          </cell>
        </row>
        <row r="786">
          <cell r="B786" t="str">
            <v>قالب عقب F12</v>
          </cell>
          <cell r="C786" t="str">
            <v>قالب نو</v>
          </cell>
          <cell r="P786" t="str">
            <v>فریم</v>
          </cell>
          <cell r="AF786">
            <v>5</v>
          </cell>
        </row>
        <row r="787">
          <cell r="B787" t="str">
            <v>اصول 5S</v>
          </cell>
          <cell r="C787" t="str">
            <v>نظافت</v>
          </cell>
          <cell r="P787" t="str">
            <v>دستگاه</v>
          </cell>
          <cell r="AF787">
            <v>2.5</v>
          </cell>
        </row>
        <row r="788">
          <cell r="B788" t="str">
            <v>ویوینگ</v>
          </cell>
          <cell r="C788" t="str">
            <v>قطعه نو</v>
          </cell>
          <cell r="P788" t="str">
            <v>Bush</v>
          </cell>
          <cell r="AF788">
            <v>2</v>
          </cell>
        </row>
        <row r="789">
          <cell r="B789" t="str">
            <v>ساب کونیک</v>
          </cell>
          <cell r="C789" t="str">
            <v>قطعه نو</v>
          </cell>
          <cell r="P789" t="str">
            <v>مهره</v>
          </cell>
          <cell r="AF789">
            <v>2</v>
          </cell>
        </row>
        <row r="790">
          <cell r="B790" t="str">
            <v>پخت کلاچ پراید</v>
          </cell>
          <cell r="C790" t="str">
            <v>قالب تعمیری</v>
          </cell>
          <cell r="P790" t="str">
            <v>پیچ واسطه</v>
          </cell>
          <cell r="AF790">
            <v>1.5</v>
          </cell>
        </row>
        <row r="791">
          <cell r="B791" t="str">
            <v>قالب پخت کلاچ پیکان</v>
          </cell>
          <cell r="C791" t="str">
            <v>قالب تعمیری</v>
          </cell>
          <cell r="P791" t="str">
            <v>bottom plate</v>
          </cell>
          <cell r="AF791">
            <v>7.5</v>
          </cell>
        </row>
        <row r="792">
          <cell r="B792" t="str">
            <v>قالب پخت کلاچ پژو 405</v>
          </cell>
          <cell r="C792" t="str">
            <v>قالب تعمیری</v>
          </cell>
          <cell r="P792" t="str">
            <v>mandrel</v>
          </cell>
          <cell r="AF792">
            <v>7.5</v>
          </cell>
        </row>
        <row r="793">
          <cell r="B793" t="str">
            <v>Hammer Mill Machine</v>
          </cell>
          <cell r="C793" t="str">
            <v>دستگاه نو</v>
          </cell>
          <cell r="P793" t="str">
            <v>تیغه</v>
          </cell>
          <cell r="AF793">
            <v>7.5</v>
          </cell>
        </row>
        <row r="794">
          <cell r="B794" t="str">
            <v>آغشته کاری</v>
          </cell>
          <cell r="C794" t="str">
            <v>قطعه تعمیری</v>
          </cell>
          <cell r="P794" t="str">
            <v>Shaft همزن</v>
          </cell>
          <cell r="AF794">
            <v>1</v>
          </cell>
        </row>
        <row r="795">
          <cell r="B795" t="str">
            <v>قالب پراید خاردار</v>
          </cell>
          <cell r="C795" t="str">
            <v>قالب تعمیری</v>
          </cell>
          <cell r="P795" t="str">
            <v>mold</v>
          </cell>
          <cell r="AF795">
            <v>4</v>
          </cell>
        </row>
        <row r="796">
          <cell r="B796" t="str">
            <v>اصول 5S</v>
          </cell>
          <cell r="C796" t="str">
            <v>نظافت</v>
          </cell>
          <cell r="P796" t="str">
            <v>دستگاه</v>
          </cell>
          <cell r="AF796">
            <v>1</v>
          </cell>
        </row>
        <row r="797">
          <cell r="B797" t="str">
            <v>لودری 29935</v>
          </cell>
          <cell r="C797" t="str">
            <v>قالب تعمیری</v>
          </cell>
          <cell r="P797" t="str">
            <v>mold</v>
          </cell>
          <cell r="AF797">
            <v>4</v>
          </cell>
        </row>
        <row r="798">
          <cell r="B798" t="str">
            <v>قالب پراید خاردار</v>
          </cell>
          <cell r="C798" t="str">
            <v>قالب تعمیری</v>
          </cell>
          <cell r="P798" t="str">
            <v>mold</v>
          </cell>
          <cell r="AF798">
            <v>4</v>
          </cell>
        </row>
        <row r="799">
          <cell r="B799" t="str">
            <v>قالب پژو 405 دیسکی</v>
          </cell>
          <cell r="C799" t="str">
            <v>قالب تعمیری</v>
          </cell>
          <cell r="P799" t="str">
            <v>صفحه</v>
          </cell>
          <cell r="AF799">
            <v>2</v>
          </cell>
        </row>
        <row r="800">
          <cell r="AF800">
            <v>0</v>
          </cell>
        </row>
        <row r="801">
          <cell r="AF801">
            <v>0</v>
          </cell>
        </row>
        <row r="802">
          <cell r="AF802">
            <v>0</v>
          </cell>
        </row>
        <row r="803">
          <cell r="AF803">
            <v>0</v>
          </cell>
        </row>
        <row r="804">
          <cell r="AF804">
            <v>0</v>
          </cell>
        </row>
        <row r="805">
          <cell r="AF805">
            <v>0</v>
          </cell>
        </row>
      </sheetData>
      <sheetData sheetId="2">
        <row r="2">
          <cell r="B2" t="str">
            <v>دستگاه پشم فلز چینی</v>
          </cell>
          <cell r="C2" t="str">
            <v>قطعه نو</v>
          </cell>
          <cell r="P2" t="str">
            <v>لنگی</v>
          </cell>
          <cell r="AF2">
            <v>2.8333333333333335</v>
          </cell>
        </row>
        <row r="3">
          <cell r="B3" t="str">
            <v>شابلون پراید دیسکی</v>
          </cell>
          <cell r="C3" t="str">
            <v>قطعه تعمیری</v>
          </cell>
          <cell r="P3" t="str">
            <v>شابلون</v>
          </cell>
          <cell r="AF3">
            <v>1.75</v>
          </cell>
        </row>
        <row r="4">
          <cell r="B4" t="str">
            <v>شابلون پژو 405 دیسکی</v>
          </cell>
          <cell r="C4" t="str">
            <v>قطعه تعمیری</v>
          </cell>
          <cell r="P4" t="str">
            <v>شابلون</v>
          </cell>
          <cell r="AF4">
            <v>1.8333333333333333</v>
          </cell>
        </row>
        <row r="5">
          <cell r="B5" t="str">
            <v>برش جمعی عقب ریو</v>
          </cell>
          <cell r="C5" t="str">
            <v>قطعه نو</v>
          </cell>
          <cell r="P5" t="str">
            <v>مهره</v>
          </cell>
          <cell r="AF5">
            <v>4.5</v>
          </cell>
        </row>
        <row r="6">
          <cell r="B6" t="str">
            <v>دستگاه پرس 600 تن</v>
          </cell>
          <cell r="C6" t="str">
            <v>قطعه تعمیری</v>
          </cell>
          <cell r="P6" t="str">
            <v>Shaft</v>
          </cell>
          <cell r="AF6">
            <v>3</v>
          </cell>
        </row>
        <row r="7">
          <cell r="B7" t="str">
            <v>Hammer Mill Machine</v>
          </cell>
          <cell r="C7" t="str">
            <v>دستگاه نو</v>
          </cell>
          <cell r="P7" t="str">
            <v>تیغه</v>
          </cell>
          <cell r="AF7">
            <v>6.5</v>
          </cell>
        </row>
        <row r="8">
          <cell r="B8" t="str">
            <v>Hammer Mill Machine</v>
          </cell>
          <cell r="C8" t="str">
            <v>دستگاه نو</v>
          </cell>
          <cell r="P8" t="str">
            <v>تیغه</v>
          </cell>
          <cell r="AF8">
            <v>9</v>
          </cell>
        </row>
        <row r="9">
          <cell r="B9" t="str">
            <v>برش جمعی عقب ریو</v>
          </cell>
          <cell r="C9" t="str">
            <v>قطعه نو</v>
          </cell>
          <cell r="P9" t="str">
            <v>مهره</v>
          </cell>
          <cell r="AF9">
            <v>1</v>
          </cell>
        </row>
        <row r="10">
          <cell r="B10" t="str">
            <v>بمبوری</v>
          </cell>
          <cell r="C10" t="str">
            <v>قطعه تعمیری</v>
          </cell>
          <cell r="P10" t="str">
            <v>برنجی</v>
          </cell>
          <cell r="AF10">
            <v>1</v>
          </cell>
        </row>
        <row r="11">
          <cell r="B11" t="str">
            <v>Hammer Mill Machine</v>
          </cell>
          <cell r="C11" t="str">
            <v>دستگاه نو</v>
          </cell>
          <cell r="P11" t="str">
            <v>قطعه</v>
          </cell>
          <cell r="AF11">
            <v>7</v>
          </cell>
        </row>
        <row r="12">
          <cell r="B12" t="str">
            <v>Hammer Mill Machine</v>
          </cell>
          <cell r="C12" t="str">
            <v>دستگاه نو</v>
          </cell>
          <cell r="P12" t="str">
            <v>قطعه</v>
          </cell>
          <cell r="AF12">
            <v>3</v>
          </cell>
        </row>
        <row r="13">
          <cell r="B13" t="str">
            <v>قالب پژو 405 دیسکی</v>
          </cell>
          <cell r="C13" t="str">
            <v>قالب تعمیری</v>
          </cell>
          <cell r="P13" t="str">
            <v>بلوک</v>
          </cell>
          <cell r="AF13">
            <v>7</v>
          </cell>
        </row>
        <row r="14">
          <cell r="B14" t="str">
            <v>Hammer Mill Machine</v>
          </cell>
          <cell r="C14" t="str">
            <v>دستگاه نو</v>
          </cell>
          <cell r="P14" t="str">
            <v>قطعه</v>
          </cell>
          <cell r="AF14">
            <v>7</v>
          </cell>
        </row>
        <row r="15">
          <cell r="B15" t="str">
            <v>قالب پخت کلاچ پیکان آرژانتینی</v>
          </cell>
          <cell r="C15" t="str">
            <v>قالب تعمیری</v>
          </cell>
          <cell r="P15" t="str">
            <v>Mandrel</v>
          </cell>
          <cell r="AF15">
            <v>4</v>
          </cell>
        </row>
        <row r="16">
          <cell r="B16" t="str">
            <v>Hammer Mill Machine</v>
          </cell>
          <cell r="C16" t="str">
            <v>دستگاه نو</v>
          </cell>
          <cell r="P16" t="str">
            <v>قطعه</v>
          </cell>
          <cell r="AF16">
            <v>12</v>
          </cell>
        </row>
        <row r="17">
          <cell r="B17" t="str">
            <v>قالب پخت کلاچ پیکان آرژانتینی</v>
          </cell>
          <cell r="C17" t="str">
            <v>قالب تعمیری</v>
          </cell>
          <cell r="P17" t="str">
            <v>Mandrel</v>
          </cell>
          <cell r="AF17">
            <v>5</v>
          </cell>
        </row>
        <row r="18">
          <cell r="B18" t="str">
            <v>قالب پژو 405 دیسکی</v>
          </cell>
          <cell r="C18" t="str">
            <v>قالب تعمیری</v>
          </cell>
          <cell r="P18" t="str">
            <v>بلوک</v>
          </cell>
          <cell r="AF18">
            <v>12</v>
          </cell>
        </row>
        <row r="19">
          <cell r="B19" t="str">
            <v>Hammer Mill Machine</v>
          </cell>
          <cell r="C19" t="str">
            <v>دستگاه نو</v>
          </cell>
          <cell r="P19" t="str">
            <v>قطعه</v>
          </cell>
          <cell r="AF19">
            <v>12</v>
          </cell>
        </row>
        <row r="20">
          <cell r="B20" t="str">
            <v>قالب پژو 405 دیسکی</v>
          </cell>
          <cell r="C20" t="str">
            <v>قالب تعمیری</v>
          </cell>
          <cell r="P20" t="str">
            <v>بلوک</v>
          </cell>
          <cell r="AF20">
            <v>7</v>
          </cell>
        </row>
        <row r="21">
          <cell r="B21" t="str">
            <v>لیفتراک</v>
          </cell>
          <cell r="C21" t="str">
            <v>قطعه تعمیری</v>
          </cell>
          <cell r="P21" t="str">
            <v>پین</v>
          </cell>
          <cell r="AF21">
            <v>5</v>
          </cell>
        </row>
        <row r="22">
          <cell r="B22" t="str">
            <v>برش جمعی عقب ریو</v>
          </cell>
          <cell r="C22" t="str">
            <v>قطعه نو</v>
          </cell>
          <cell r="P22" t="str">
            <v>مهره</v>
          </cell>
          <cell r="AF22">
            <v>3.3333333333333335</v>
          </cell>
        </row>
        <row r="23">
          <cell r="B23" t="str">
            <v>قالب پخت کلاچ پیکان آرژانتینی</v>
          </cell>
          <cell r="C23" t="str">
            <v>قالب تعمیری</v>
          </cell>
          <cell r="P23" t="str">
            <v>پیچ واسطه</v>
          </cell>
          <cell r="AF23">
            <v>2.6666666666666665</v>
          </cell>
        </row>
        <row r="24">
          <cell r="B24" t="str">
            <v>Hammer Mill Machine</v>
          </cell>
          <cell r="C24" t="str">
            <v>دستگاه نو</v>
          </cell>
          <cell r="P24" t="str">
            <v>صفحه</v>
          </cell>
          <cell r="AF24">
            <v>6.5</v>
          </cell>
        </row>
        <row r="25">
          <cell r="B25" t="str">
            <v>پخت کلاچ پراید</v>
          </cell>
          <cell r="C25" t="str">
            <v>قالب تعمیری</v>
          </cell>
          <cell r="P25" t="str">
            <v>Matrix</v>
          </cell>
          <cell r="AF25">
            <v>9</v>
          </cell>
        </row>
        <row r="26">
          <cell r="B26" t="str">
            <v>قالب لودری 70028</v>
          </cell>
          <cell r="C26" t="str">
            <v>قالب تعمیری</v>
          </cell>
          <cell r="P26" t="str">
            <v>Matrix</v>
          </cell>
          <cell r="AF26">
            <v>2</v>
          </cell>
        </row>
        <row r="27">
          <cell r="B27" t="str">
            <v>قالب پخت کلاچ پیکان آرژانتینی</v>
          </cell>
          <cell r="C27" t="str">
            <v>قالب تعمیری</v>
          </cell>
          <cell r="P27" t="str">
            <v>Mold</v>
          </cell>
          <cell r="AF27">
            <v>2</v>
          </cell>
        </row>
        <row r="28">
          <cell r="B28" t="str">
            <v>قالب شمشی عقب ریو</v>
          </cell>
          <cell r="C28" t="str">
            <v>قالب نو</v>
          </cell>
          <cell r="P28" t="str">
            <v>Mold</v>
          </cell>
          <cell r="AF28">
            <v>4</v>
          </cell>
        </row>
        <row r="29">
          <cell r="B29" t="str">
            <v>قالب پراید خاردار</v>
          </cell>
          <cell r="C29" t="str">
            <v>قالب تعمیری</v>
          </cell>
          <cell r="P29" t="str">
            <v>mold</v>
          </cell>
          <cell r="AF29">
            <v>4</v>
          </cell>
        </row>
        <row r="30">
          <cell r="B30" t="str">
            <v>قالب عقب F12</v>
          </cell>
          <cell r="C30" t="str">
            <v>قالب نو</v>
          </cell>
          <cell r="P30" t="str">
            <v>فریم</v>
          </cell>
          <cell r="AF30">
            <v>11</v>
          </cell>
        </row>
        <row r="31">
          <cell r="B31" t="str">
            <v>ساب کونیک</v>
          </cell>
          <cell r="C31" t="str">
            <v>قطعه نو</v>
          </cell>
          <cell r="P31" t="str">
            <v>مهره</v>
          </cell>
          <cell r="AF31">
            <v>3</v>
          </cell>
        </row>
        <row r="32">
          <cell r="B32" t="str">
            <v>ساب کونیک</v>
          </cell>
          <cell r="C32" t="str">
            <v>قطعه نو</v>
          </cell>
          <cell r="P32" t="str">
            <v>مهره</v>
          </cell>
          <cell r="AF32">
            <v>3</v>
          </cell>
        </row>
        <row r="33">
          <cell r="B33" t="str">
            <v>برش جمعی عقب ریو</v>
          </cell>
          <cell r="C33" t="str">
            <v>قطعه نو</v>
          </cell>
          <cell r="P33" t="str">
            <v>مهره</v>
          </cell>
          <cell r="AF33">
            <v>3</v>
          </cell>
        </row>
        <row r="34">
          <cell r="B34" t="str">
            <v>بمبوری</v>
          </cell>
          <cell r="C34" t="str">
            <v>قطعه تعمیری</v>
          </cell>
          <cell r="P34" t="str">
            <v>برنجی</v>
          </cell>
          <cell r="AF34">
            <v>3</v>
          </cell>
        </row>
        <row r="35">
          <cell r="B35" t="str">
            <v>بمبوری</v>
          </cell>
          <cell r="C35" t="str">
            <v>قطعه تعمیری</v>
          </cell>
          <cell r="P35" t="str">
            <v>برنجی</v>
          </cell>
          <cell r="AF35">
            <v>5</v>
          </cell>
        </row>
        <row r="36">
          <cell r="B36" t="str">
            <v>ساب سمباده ای</v>
          </cell>
          <cell r="C36" t="str">
            <v>قطعه تعمیری</v>
          </cell>
          <cell r="P36" t="str">
            <v>Shaft</v>
          </cell>
          <cell r="AF36">
            <v>2</v>
          </cell>
        </row>
        <row r="37">
          <cell r="B37" t="str">
            <v>ساب سمباده ای</v>
          </cell>
          <cell r="C37" t="str">
            <v>قطعه تعمیری</v>
          </cell>
          <cell r="P37" t="str">
            <v>غلطک</v>
          </cell>
          <cell r="AF37">
            <v>2.5</v>
          </cell>
        </row>
        <row r="38">
          <cell r="B38" t="str">
            <v>برش جمعی عقب ریو</v>
          </cell>
          <cell r="C38" t="str">
            <v>قطعه نو</v>
          </cell>
          <cell r="P38" t="str">
            <v>مهره</v>
          </cell>
          <cell r="AF38">
            <v>1.5</v>
          </cell>
        </row>
        <row r="39">
          <cell r="B39" t="str">
            <v>قالب پخت کلاچ پژو 405</v>
          </cell>
          <cell r="C39" t="str">
            <v>قالب تعمیری</v>
          </cell>
          <cell r="P39" t="str">
            <v>Bottom Plate</v>
          </cell>
          <cell r="AF39">
            <v>6.5</v>
          </cell>
        </row>
        <row r="40">
          <cell r="B40" t="str">
            <v>قالب پخت کلاچ پژو 405</v>
          </cell>
          <cell r="C40" t="str">
            <v>قالب تعمیری</v>
          </cell>
          <cell r="P40" t="str">
            <v>Mandrel</v>
          </cell>
          <cell r="AF40">
            <v>5.5</v>
          </cell>
        </row>
        <row r="41">
          <cell r="B41" t="str">
            <v>قالب پخت کلاچ پژو 405</v>
          </cell>
          <cell r="C41" t="str">
            <v>قالب تعمیری</v>
          </cell>
          <cell r="P41" t="str">
            <v>Mandrel</v>
          </cell>
          <cell r="AF41">
            <v>10</v>
          </cell>
        </row>
        <row r="42">
          <cell r="B42" t="str">
            <v>Hammer Mill Machine</v>
          </cell>
          <cell r="C42" t="str">
            <v>دستگاه نو</v>
          </cell>
          <cell r="P42" t="str">
            <v>تیغه</v>
          </cell>
          <cell r="AF42">
            <v>5.5</v>
          </cell>
        </row>
        <row r="43">
          <cell r="B43" t="str">
            <v>Hammer Mill Machine</v>
          </cell>
          <cell r="C43" t="str">
            <v>دستگاه نو</v>
          </cell>
          <cell r="P43" t="str">
            <v>تیغه</v>
          </cell>
          <cell r="AF43">
            <v>3</v>
          </cell>
        </row>
        <row r="44">
          <cell r="B44" t="str">
            <v>ساب کونیک</v>
          </cell>
          <cell r="C44" t="str">
            <v>قطعه نو</v>
          </cell>
          <cell r="P44" t="str">
            <v>کشویی</v>
          </cell>
          <cell r="AF44">
            <v>2</v>
          </cell>
        </row>
        <row r="45">
          <cell r="B45" t="str">
            <v>قالب پخت کلاچ پیکان آرژانتینی</v>
          </cell>
          <cell r="C45" t="str">
            <v>قالب تعمیری</v>
          </cell>
          <cell r="P45" t="str">
            <v>Mold</v>
          </cell>
          <cell r="AF45">
            <v>2</v>
          </cell>
        </row>
        <row r="46">
          <cell r="B46" t="str">
            <v>قالب شمشی عقب ریو</v>
          </cell>
          <cell r="C46" t="str">
            <v>قالب نو</v>
          </cell>
          <cell r="P46" t="str">
            <v>Mold</v>
          </cell>
          <cell r="AF46">
            <v>4</v>
          </cell>
        </row>
        <row r="47">
          <cell r="B47" t="str">
            <v>قالب پراید خاردار</v>
          </cell>
          <cell r="C47" t="str">
            <v>قالب تعمیری</v>
          </cell>
          <cell r="P47" t="str">
            <v>mold</v>
          </cell>
          <cell r="AF47">
            <v>4</v>
          </cell>
        </row>
        <row r="48">
          <cell r="B48" t="str">
            <v>دستگاه پشم فلز چینی</v>
          </cell>
          <cell r="C48" t="str">
            <v>قطعه نو</v>
          </cell>
          <cell r="P48" t="str">
            <v>لنگی</v>
          </cell>
          <cell r="AF48">
            <v>5.833333333333333</v>
          </cell>
        </row>
        <row r="49">
          <cell r="B49" t="str">
            <v>قالب عقب F12</v>
          </cell>
          <cell r="C49" t="str">
            <v>قالب نو</v>
          </cell>
          <cell r="P49" t="str">
            <v>top Plate</v>
          </cell>
          <cell r="AF49">
            <v>11</v>
          </cell>
        </row>
        <row r="50">
          <cell r="B50" t="str">
            <v>دستگاه پرس 600 تن</v>
          </cell>
          <cell r="C50" t="str">
            <v>قطعه تعمیری</v>
          </cell>
          <cell r="P50" t="str">
            <v>Shaft</v>
          </cell>
          <cell r="AF50">
            <v>7.5</v>
          </cell>
        </row>
        <row r="51">
          <cell r="B51" t="str">
            <v>قالب لودری 70028</v>
          </cell>
          <cell r="C51" t="str">
            <v>قالب تعمیری</v>
          </cell>
          <cell r="P51" t="str">
            <v>Matrix</v>
          </cell>
          <cell r="AF51">
            <v>5</v>
          </cell>
        </row>
        <row r="52">
          <cell r="B52" t="str">
            <v>قالب پخت کلاچ پژو 405</v>
          </cell>
          <cell r="C52" t="str">
            <v>قالب تعمیری</v>
          </cell>
          <cell r="P52" t="str">
            <v>Matrix</v>
          </cell>
          <cell r="AF52">
            <v>6</v>
          </cell>
        </row>
        <row r="53">
          <cell r="B53" t="str">
            <v>Hammer Mill Machine</v>
          </cell>
          <cell r="C53" t="str">
            <v>دستگاه نو</v>
          </cell>
          <cell r="P53" t="str">
            <v>صفحات</v>
          </cell>
          <cell r="AF53">
            <v>6.5</v>
          </cell>
        </row>
        <row r="54">
          <cell r="B54" t="str">
            <v>قالب شمشی عقب ریو</v>
          </cell>
          <cell r="C54" t="str">
            <v>قالب نو</v>
          </cell>
          <cell r="P54" t="str">
            <v>Bottom Plate</v>
          </cell>
          <cell r="AF54">
            <v>7.5</v>
          </cell>
        </row>
        <row r="55">
          <cell r="B55" t="str">
            <v>Hammer Mill Machine</v>
          </cell>
          <cell r="C55" t="str">
            <v>دستگاه نو</v>
          </cell>
          <cell r="P55" t="str">
            <v>صفحات</v>
          </cell>
          <cell r="AF55">
            <v>3.5</v>
          </cell>
        </row>
        <row r="56">
          <cell r="B56" t="str">
            <v>ویوینگ</v>
          </cell>
          <cell r="C56" t="str">
            <v>قطعه تعمیری</v>
          </cell>
          <cell r="P56" t="str">
            <v>پیچ راهنما</v>
          </cell>
          <cell r="AF56">
            <v>5</v>
          </cell>
        </row>
        <row r="57">
          <cell r="B57" t="str">
            <v>سری نقطه جوش</v>
          </cell>
          <cell r="C57" t="str">
            <v>قطعه تعمیری</v>
          </cell>
          <cell r="P57" t="str">
            <v>مسی</v>
          </cell>
          <cell r="AF57">
            <v>1</v>
          </cell>
        </row>
        <row r="58">
          <cell r="B58" t="str">
            <v>پخت کلاچ 911 دور بزرگ</v>
          </cell>
          <cell r="C58" t="str">
            <v>قالب تعمیری</v>
          </cell>
          <cell r="P58" t="str">
            <v>guide Rod</v>
          </cell>
          <cell r="AF58">
            <v>3</v>
          </cell>
        </row>
        <row r="59">
          <cell r="B59" t="str">
            <v>بمبوری</v>
          </cell>
          <cell r="C59" t="str">
            <v>قطعه تعمیری</v>
          </cell>
          <cell r="P59" t="str">
            <v>برنجی</v>
          </cell>
          <cell r="AF59">
            <v>5</v>
          </cell>
        </row>
        <row r="60">
          <cell r="B60" t="str">
            <v>قالب پراید خاردار</v>
          </cell>
          <cell r="C60" t="str">
            <v>قالب تعمیری</v>
          </cell>
          <cell r="P60" t="str">
            <v>guide Rod</v>
          </cell>
          <cell r="AF60">
            <v>2.5</v>
          </cell>
        </row>
        <row r="61">
          <cell r="B61" t="str">
            <v>قالب پخت کلاچ پژو 405</v>
          </cell>
          <cell r="C61" t="str">
            <v>قالب تعمیری</v>
          </cell>
          <cell r="P61" t="str">
            <v>guide Rod</v>
          </cell>
          <cell r="AF61">
            <v>2.5</v>
          </cell>
        </row>
        <row r="62">
          <cell r="B62" t="str">
            <v>ویوینگ</v>
          </cell>
          <cell r="C62" t="str">
            <v>قطعه تعمیری</v>
          </cell>
          <cell r="P62" t="str">
            <v>تیغه</v>
          </cell>
          <cell r="AF62">
            <v>12</v>
          </cell>
        </row>
        <row r="63">
          <cell r="B63" t="str">
            <v>قالب پراید خاردار</v>
          </cell>
          <cell r="C63" t="str">
            <v>قالب تعمیری</v>
          </cell>
          <cell r="P63" t="str">
            <v>قالب</v>
          </cell>
          <cell r="AF63">
            <v>12</v>
          </cell>
        </row>
        <row r="64">
          <cell r="B64" t="str">
            <v>Hammer Mill Machine</v>
          </cell>
          <cell r="C64" t="str">
            <v>دستگاه نو</v>
          </cell>
          <cell r="P64" t="str">
            <v>قطعه</v>
          </cell>
          <cell r="AF64">
            <v>12</v>
          </cell>
        </row>
        <row r="65">
          <cell r="B65" t="str">
            <v>قالب پژو 405 دیسکی</v>
          </cell>
          <cell r="C65" t="str">
            <v>قالب تعمیری</v>
          </cell>
          <cell r="P65" t="str">
            <v>بلوک</v>
          </cell>
          <cell r="AF65">
            <v>12</v>
          </cell>
        </row>
        <row r="66">
          <cell r="B66" t="str">
            <v>قالب لودری 70028</v>
          </cell>
          <cell r="C66" t="str">
            <v>قالب تعمیری</v>
          </cell>
          <cell r="P66" t="str">
            <v>mold</v>
          </cell>
          <cell r="AF66">
            <v>2</v>
          </cell>
        </row>
        <row r="67">
          <cell r="B67" t="str">
            <v>قالب پژو 405 دیسکی</v>
          </cell>
          <cell r="C67" t="str">
            <v>قالب تعمیری</v>
          </cell>
          <cell r="P67" t="str">
            <v>Bottom Plate</v>
          </cell>
          <cell r="AF67">
            <v>2</v>
          </cell>
        </row>
        <row r="68">
          <cell r="B68" t="str">
            <v>پخت کلاچ 911 دور بزرگ</v>
          </cell>
          <cell r="C68" t="str">
            <v>قالب تعمیری</v>
          </cell>
          <cell r="P68" t="str">
            <v>guide Rod</v>
          </cell>
          <cell r="AF68">
            <v>2</v>
          </cell>
        </row>
        <row r="69">
          <cell r="B69" t="str">
            <v>پخت کلاچ 911 دور بزرگ</v>
          </cell>
          <cell r="C69" t="str">
            <v>قالب تعمیری</v>
          </cell>
          <cell r="P69" t="str">
            <v>Mold</v>
          </cell>
          <cell r="AF69">
            <v>3</v>
          </cell>
        </row>
        <row r="70">
          <cell r="B70" t="str">
            <v>قالب نیسان آریا</v>
          </cell>
          <cell r="C70" t="str">
            <v>قالب تعمیری</v>
          </cell>
          <cell r="P70" t="str">
            <v>top Plate</v>
          </cell>
          <cell r="AF70">
            <v>3</v>
          </cell>
        </row>
        <row r="71">
          <cell r="B71" t="str">
            <v>قالب پژو 405 دیسکی</v>
          </cell>
          <cell r="C71" t="str">
            <v>قالب تعمیری</v>
          </cell>
          <cell r="P71" t="str">
            <v>Bottom Plate</v>
          </cell>
          <cell r="AF71">
            <v>2.5</v>
          </cell>
        </row>
        <row r="72">
          <cell r="B72" t="str">
            <v>قالب لودری 70028</v>
          </cell>
          <cell r="C72" t="str">
            <v>قالب تعمیری</v>
          </cell>
          <cell r="P72" t="str">
            <v>mold</v>
          </cell>
          <cell r="AF72">
            <v>3</v>
          </cell>
        </row>
        <row r="73">
          <cell r="B73" t="str">
            <v>قالب پخت کلاچ پژو 405</v>
          </cell>
          <cell r="C73" t="str">
            <v>قالب تعمیری</v>
          </cell>
          <cell r="P73" t="str">
            <v>Matrix</v>
          </cell>
          <cell r="AF73">
            <v>11</v>
          </cell>
        </row>
        <row r="74">
          <cell r="B74" t="str">
            <v>دستگاه پشم فلز چینی</v>
          </cell>
          <cell r="C74" t="str">
            <v>قطعه نو</v>
          </cell>
          <cell r="P74" t="str">
            <v>لنگی</v>
          </cell>
          <cell r="AF74">
            <v>6.5</v>
          </cell>
        </row>
        <row r="75">
          <cell r="B75" t="str">
            <v>قالب عقب F12</v>
          </cell>
          <cell r="C75" t="str">
            <v>قالب نو</v>
          </cell>
          <cell r="P75" t="str">
            <v>top Plate</v>
          </cell>
          <cell r="AF75">
            <v>5.5</v>
          </cell>
        </row>
        <row r="76">
          <cell r="B76" t="str">
            <v>عقب بنز 74</v>
          </cell>
          <cell r="C76" t="str">
            <v>قالب تعمیری</v>
          </cell>
          <cell r="P76" t="str">
            <v>top Plate</v>
          </cell>
          <cell r="AF76">
            <v>5.5</v>
          </cell>
        </row>
        <row r="77">
          <cell r="B77" t="str">
            <v>دستگاه پشم فلز</v>
          </cell>
          <cell r="C77" t="str">
            <v>قطعه تعمیری</v>
          </cell>
          <cell r="P77" t="str">
            <v>Shaft</v>
          </cell>
          <cell r="AF77">
            <v>5</v>
          </cell>
        </row>
        <row r="78">
          <cell r="B78" t="str">
            <v>دستگاه پشم فلز</v>
          </cell>
          <cell r="C78" t="str">
            <v>قطعه تعمیری</v>
          </cell>
          <cell r="P78" t="str">
            <v>Shaft</v>
          </cell>
          <cell r="AF78">
            <v>4</v>
          </cell>
        </row>
        <row r="79">
          <cell r="B79" t="str">
            <v>قالب پخت کلاچ پژو 405</v>
          </cell>
          <cell r="C79" t="str">
            <v>قالب تعمیری</v>
          </cell>
          <cell r="P79" t="str">
            <v>پیچ واسطه</v>
          </cell>
          <cell r="AF79">
            <v>2</v>
          </cell>
        </row>
        <row r="80">
          <cell r="B80" t="str">
            <v>دستگاه ساب الماسه</v>
          </cell>
          <cell r="C80" t="str">
            <v>قطعه تعمیری</v>
          </cell>
          <cell r="P80" t="str">
            <v>توپی</v>
          </cell>
          <cell r="AF80">
            <v>3</v>
          </cell>
        </row>
        <row r="81">
          <cell r="B81" t="str">
            <v>قالب پخت کلاچ پیکان آرژانتینی</v>
          </cell>
          <cell r="C81" t="str">
            <v>قالب تعمیری</v>
          </cell>
          <cell r="P81" t="str">
            <v>واسطه</v>
          </cell>
          <cell r="AF81">
            <v>2</v>
          </cell>
        </row>
        <row r="82">
          <cell r="B82" t="str">
            <v>بمبوری</v>
          </cell>
          <cell r="C82" t="str">
            <v>قطعه تعمیری</v>
          </cell>
          <cell r="P82" t="str">
            <v>برنجی</v>
          </cell>
          <cell r="AF82">
            <v>2.5</v>
          </cell>
        </row>
        <row r="83">
          <cell r="B83" t="str">
            <v>Hammer Mill Machine</v>
          </cell>
          <cell r="C83" t="str">
            <v>دستگاه نو</v>
          </cell>
          <cell r="P83" t="str">
            <v>صفحه</v>
          </cell>
          <cell r="AF83">
            <v>1.5</v>
          </cell>
        </row>
        <row r="84">
          <cell r="B84" t="str">
            <v>دستگاه پرس 600 تن</v>
          </cell>
          <cell r="C84" t="str">
            <v>قطعه تعمیری</v>
          </cell>
          <cell r="P84" t="str">
            <v>Shaft</v>
          </cell>
          <cell r="AF84">
            <v>4.5</v>
          </cell>
        </row>
        <row r="85">
          <cell r="B85" t="str">
            <v>پین عقب L90 معمولی</v>
          </cell>
          <cell r="C85" t="str">
            <v>قطعه نو</v>
          </cell>
          <cell r="P85" t="str">
            <v>عقب L90 معمولی</v>
          </cell>
          <cell r="AF85">
            <v>7.5</v>
          </cell>
        </row>
        <row r="86">
          <cell r="B86" t="str">
            <v>ویوینگ</v>
          </cell>
          <cell r="C86" t="str">
            <v>قطعه تعمیری</v>
          </cell>
          <cell r="P86" t="str">
            <v>تیغه</v>
          </cell>
          <cell r="AF86">
            <v>11</v>
          </cell>
        </row>
        <row r="87">
          <cell r="B87" t="str">
            <v>قالب پراید خاردار</v>
          </cell>
          <cell r="C87" t="str">
            <v>قالب تعمیری</v>
          </cell>
          <cell r="P87" t="str">
            <v>قالب</v>
          </cell>
          <cell r="AF87">
            <v>4</v>
          </cell>
        </row>
        <row r="88">
          <cell r="B88" t="str">
            <v>قلم پین L90</v>
          </cell>
          <cell r="C88" t="str">
            <v>قطعه تعمیری</v>
          </cell>
          <cell r="P88" t="str">
            <v>قلم</v>
          </cell>
          <cell r="AF88">
            <v>2</v>
          </cell>
        </row>
        <row r="89">
          <cell r="B89" t="str">
            <v>ابزار زنی</v>
          </cell>
          <cell r="C89" t="str">
            <v>قطعه نو</v>
          </cell>
          <cell r="P89" t="str">
            <v>کلمپ</v>
          </cell>
          <cell r="AF89">
            <v>5</v>
          </cell>
        </row>
        <row r="90">
          <cell r="B90" t="str">
            <v>قالب پخت کلاچ پیکان آرژانتینی</v>
          </cell>
          <cell r="C90" t="str">
            <v>قالب تعمیری</v>
          </cell>
          <cell r="P90" t="str">
            <v>Mandrel</v>
          </cell>
          <cell r="AF90">
            <v>7</v>
          </cell>
        </row>
        <row r="91">
          <cell r="B91" t="str">
            <v>ابزار زنی</v>
          </cell>
          <cell r="C91" t="str">
            <v>قطعه نو</v>
          </cell>
          <cell r="P91" t="str">
            <v>کلمپ</v>
          </cell>
          <cell r="AF91">
            <v>4</v>
          </cell>
        </row>
        <row r="92">
          <cell r="B92" t="str">
            <v>ابزار زنی</v>
          </cell>
          <cell r="C92" t="str">
            <v>قطعه نو</v>
          </cell>
          <cell r="P92" t="str">
            <v>کلمپ</v>
          </cell>
          <cell r="AF92">
            <v>11</v>
          </cell>
        </row>
        <row r="93">
          <cell r="B93" t="str">
            <v>قالب پخت کلاچ پژو 405</v>
          </cell>
          <cell r="C93" t="str">
            <v>قالب تعمیری</v>
          </cell>
          <cell r="P93" t="str">
            <v>Matrix</v>
          </cell>
          <cell r="AF93">
            <v>11</v>
          </cell>
        </row>
        <row r="94">
          <cell r="B94" t="str">
            <v>Hammer Mill Machine</v>
          </cell>
          <cell r="C94" t="str">
            <v>دستگاه نو</v>
          </cell>
          <cell r="P94" t="str">
            <v>Matrix</v>
          </cell>
          <cell r="AF94">
            <v>2</v>
          </cell>
        </row>
        <row r="95">
          <cell r="B95" t="str">
            <v>قالب پخت کلاچ پژو 405</v>
          </cell>
          <cell r="C95" t="str">
            <v>قالب تعمیری</v>
          </cell>
          <cell r="P95" t="str">
            <v>Matrix</v>
          </cell>
          <cell r="AF95">
            <v>11</v>
          </cell>
        </row>
        <row r="96">
          <cell r="B96" t="str">
            <v>Hammer Mill Machine</v>
          </cell>
          <cell r="C96" t="str">
            <v>دستگاه نو</v>
          </cell>
          <cell r="P96" t="str">
            <v>صفحات</v>
          </cell>
          <cell r="AF96">
            <v>1</v>
          </cell>
        </row>
        <row r="97">
          <cell r="B97" t="str">
            <v>قالب لودری 70028</v>
          </cell>
          <cell r="C97" t="str">
            <v>قالب تعمیری</v>
          </cell>
          <cell r="P97" t="str">
            <v>mold</v>
          </cell>
          <cell r="AF97">
            <v>3</v>
          </cell>
        </row>
        <row r="98">
          <cell r="B98" t="str">
            <v>بمبوری</v>
          </cell>
          <cell r="C98" t="str">
            <v>قطعه تعمیری</v>
          </cell>
          <cell r="P98" t="str">
            <v>برنجی</v>
          </cell>
          <cell r="AF98">
            <v>1</v>
          </cell>
        </row>
        <row r="99">
          <cell r="B99" t="str">
            <v>بمبوری</v>
          </cell>
          <cell r="C99" t="str">
            <v>قطعه تعمیری</v>
          </cell>
          <cell r="P99" t="str">
            <v>برنجی</v>
          </cell>
          <cell r="AF99">
            <v>1</v>
          </cell>
        </row>
        <row r="100">
          <cell r="B100" t="str">
            <v>پخت کلاچ پژو 206 TU5</v>
          </cell>
          <cell r="C100" t="str">
            <v>قالب تعمیری</v>
          </cell>
          <cell r="P100" t="str">
            <v>قالب</v>
          </cell>
          <cell r="AF100">
            <v>4</v>
          </cell>
        </row>
        <row r="101">
          <cell r="B101" t="str">
            <v>قالب پخت کلاچ پژو 405</v>
          </cell>
          <cell r="C101" t="str">
            <v>قالب تعمیری</v>
          </cell>
          <cell r="P101" t="str">
            <v>Mandrel</v>
          </cell>
          <cell r="AF101">
            <v>0.5</v>
          </cell>
        </row>
        <row r="102">
          <cell r="B102" t="str">
            <v>Hammer Mill Machine</v>
          </cell>
          <cell r="C102" t="str">
            <v>دستگاه نو</v>
          </cell>
          <cell r="P102" t="str">
            <v>صفحات</v>
          </cell>
          <cell r="AF102">
            <v>7.5</v>
          </cell>
        </row>
        <row r="103">
          <cell r="B103" t="str">
            <v>قالب پخت کلاچ پژو 405</v>
          </cell>
          <cell r="C103" t="str">
            <v>قالب تعمیری</v>
          </cell>
          <cell r="P103" t="str">
            <v>Matrix</v>
          </cell>
          <cell r="AF103">
            <v>3.5</v>
          </cell>
        </row>
        <row r="104">
          <cell r="B104" t="str">
            <v>قالب پخت کلاچ پژو 405</v>
          </cell>
          <cell r="C104" t="str">
            <v>قالب تعمیری</v>
          </cell>
          <cell r="P104" t="str">
            <v>پین واسطه</v>
          </cell>
          <cell r="AF104">
            <v>4.5</v>
          </cell>
        </row>
        <row r="105">
          <cell r="B105" t="str">
            <v>دستگاه پرس پخت</v>
          </cell>
          <cell r="C105" t="str">
            <v>قطعه تعمیری</v>
          </cell>
          <cell r="P105" t="str">
            <v>Shaft</v>
          </cell>
          <cell r="AF105">
            <v>3</v>
          </cell>
        </row>
        <row r="106">
          <cell r="B106" t="str">
            <v>دستگاه ساب الماسه</v>
          </cell>
          <cell r="C106" t="str">
            <v>قطعه تعمیری</v>
          </cell>
          <cell r="P106" t="str">
            <v>توپی</v>
          </cell>
          <cell r="AF106">
            <v>3.5</v>
          </cell>
        </row>
        <row r="107">
          <cell r="B107" t="str">
            <v>پخت کلاچ پژو 206 TU5</v>
          </cell>
          <cell r="C107" t="str">
            <v>قالب تعمیری</v>
          </cell>
          <cell r="P107" t="str">
            <v>قالب</v>
          </cell>
          <cell r="AF107">
            <v>2</v>
          </cell>
        </row>
        <row r="108">
          <cell r="B108" t="str">
            <v>قالب پراید خاردار</v>
          </cell>
          <cell r="C108" t="str">
            <v>قالب تعمیری</v>
          </cell>
          <cell r="P108" t="str">
            <v>قالب</v>
          </cell>
          <cell r="AF108">
            <v>4</v>
          </cell>
        </row>
        <row r="109">
          <cell r="B109" t="str">
            <v>قالب پخت کلاچ پیکان آرژانتینی</v>
          </cell>
          <cell r="C109" t="str">
            <v>قالب تعمیری</v>
          </cell>
          <cell r="P109" t="str">
            <v>قالب</v>
          </cell>
          <cell r="AF109">
            <v>2</v>
          </cell>
        </row>
        <row r="110">
          <cell r="B110" t="str">
            <v>عقب بنز 74</v>
          </cell>
          <cell r="C110" t="str">
            <v>قالب تعمیری</v>
          </cell>
          <cell r="P110" t="str">
            <v>top Plate</v>
          </cell>
          <cell r="AF110">
            <v>11</v>
          </cell>
        </row>
        <row r="111">
          <cell r="B111" t="str">
            <v>قالب پخت کلاچ پژو 405</v>
          </cell>
          <cell r="C111" t="str">
            <v>قالب تعمیری</v>
          </cell>
          <cell r="P111" t="str">
            <v>Matrix</v>
          </cell>
          <cell r="AF111">
            <v>11</v>
          </cell>
        </row>
        <row r="112">
          <cell r="B112" t="str">
            <v>قالب پخت کلاچ پژو 405</v>
          </cell>
          <cell r="C112" t="str">
            <v>قالب تعمیری</v>
          </cell>
          <cell r="P112" t="str">
            <v>Matrix</v>
          </cell>
          <cell r="AF112">
            <v>7</v>
          </cell>
        </row>
        <row r="113">
          <cell r="B113" t="str">
            <v>قالب پخت کلاچ پیکان</v>
          </cell>
          <cell r="C113" t="str">
            <v>قالب تعمیری</v>
          </cell>
          <cell r="P113" t="str">
            <v>Mandrel</v>
          </cell>
          <cell r="AF113">
            <v>11</v>
          </cell>
        </row>
        <row r="114">
          <cell r="B114" t="str">
            <v>ویوینگ</v>
          </cell>
          <cell r="C114" t="str">
            <v>قطعه تعمیری</v>
          </cell>
          <cell r="P114" t="str">
            <v>تیغه</v>
          </cell>
          <cell r="AF114">
            <v>5</v>
          </cell>
        </row>
        <row r="115">
          <cell r="B115" t="str">
            <v>ابزار زنی</v>
          </cell>
          <cell r="C115" t="str">
            <v>قطعه نو</v>
          </cell>
          <cell r="P115" t="str">
            <v>کلمپ</v>
          </cell>
          <cell r="AF115">
            <v>12</v>
          </cell>
        </row>
        <row r="116">
          <cell r="B116" t="str">
            <v>ابزار زنی</v>
          </cell>
          <cell r="C116" t="str">
            <v>قطعه نو</v>
          </cell>
          <cell r="P116" t="str">
            <v>کلمپ</v>
          </cell>
          <cell r="AF116">
            <v>12</v>
          </cell>
        </row>
        <row r="117">
          <cell r="B117" t="str">
            <v>ابزار زنی</v>
          </cell>
          <cell r="C117" t="str">
            <v>قطعه نو</v>
          </cell>
          <cell r="P117" t="str">
            <v>کلمپ</v>
          </cell>
          <cell r="AF117">
            <v>12</v>
          </cell>
        </row>
        <row r="118">
          <cell r="B118" t="str">
            <v>پین عقب L90 معمولی</v>
          </cell>
          <cell r="C118" t="str">
            <v>قطعه نو</v>
          </cell>
          <cell r="P118" t="str">
            <v>عقب L90 معمولی</v>
          </cell>
          <cell r="AF118">
            <v>7.5</v>
          </cell>
        </row>
        <row r="119">
          <cell r="B119" t="str">
            <v>قالب پخت کلاچ پژو 405</v>
          </cell>
          <cell r="C119" t="str">
            <v>قالب تعمیری</v>
          </cell>
          <cell r="P119" t="str">
            <v>Matrix</v>
          </cell>
          <cell r="AF119">
            <v>11</v>
          </cell>
        </row>
        <row r="120">
          <cell r="B120" t="str">
            <v>قالب پخت کلاچ پژو 405</v>
          </cell>
          <cell r="C120" t="str">
            <v>قالب تعمیری</v>
          </cell>
          <cell r="P120" t="str">
            <v>Matrix</v>
          </cell>
          <cell r="AF120">
            <v>7.5</v>
          </cell>
        </row>
        <row r="121">
          <cell r="B121" t="str">
            <v>قالب لودری 70028</v>
          </cell>
          <cell r="C121" t="str">
            <v>قالب تعمیری</v>
          </cell>
          <cell r="P121" t="str">
            <v>ورقگیر</v>
          </cell>
          <cell r="AF121">
            <v>1.5</v>
          </cell>
        </row>
        <row r="122">
          <cell r="B122" t="str">
            <v>دستگاه پشم فلز چینی</v>
          </cell>
          <cell r="C122" t="str">
            <v>قطعه نو</v>
          </cell>
          <cell r="P122" t="str">
            <v>لنگی</v>
          </cell>
          <cell r="AF122">
            <v>5</v>
          </cell>
        </row>
        <row r="123">
          <cell r="B123" t="str">
            <v>قالب پخت کلاچ پژو 405</v>
          </cell>
          <cell r="C123" t="str">
            <v>قالب تعمیری</v>
          </cell>
          <cell r="P123" t="str">
            <v>top Plate</v>
          </cell>
          <cell r="AF123">
            <v>7</v>
          </cell>
        </row>
        <row r="124">
          <cell r="B124" t="str">
            <v>اصول 5S</v>
          </cell>
          <cell r="C124" t="str">
            <v>نظافت</v>
          </cell>
          <cell r="P124" t="str">
            <v>دستگاه</v>
          </cell>
          <cell r="AF124">
            <v>0.5</v>
          </cell>
        </row>
        <row r="125">
          <cell r="B125" t="str">
            <v>قالب پخت کلاچ پژو 405</v>
          </cell>
          <cell r="C125" t="str">
            <v>قالب تعمیری</v>
          </cell>
          <cell r="P125" t="str">
            <v>Matrix</v>
          </cell>
          <cell r="AF125">
            <v>7</v>
          </cell>
        </row>
        <row r="126">
          <cell r="B126" t="str">
            <v>اصول 5S</v>
          </cell>
          <cell r="C126" t="str">
            <v>نظافت</v>
          </cell>
          <cell r="P126" t="str">
            <v>دستگاه</v>
          </cell>
          <cell r="AF126">
            <v>0.5</v>
          </cell>
        </row>
        <row r="127">
          <cell r="B127" t="str">
            <v>ویوینگ</v>
          </cell>
          <cell r="C127" t="str">
            <v>قطعه تعمیری</v>
          </cell>
          <cell r="P127" t="str">
            <v>Shaft</v>
          </cell>
          <cell r="AF127">
            <v>1</v>
          </cell>
        </row>
        <row r="128">
          <cell r="B128" t="str">
            <v>قالب پخت کلاچ پیکان آرژانتینی</v>
          </cell>
          <cell r="C128" t="str">
            <v>قالب تعمیری</v>
          </cell>
          <cell r="P128" t="str">
            <v>Mold</v>
          </cell>
          <cell r="AF128">
            <v>2</v>
          </cell>
        </row>
        <row r="129">
          <cell r="B129" t="str">
            <v>قالب جلو ریو</v>
          </cell>
          <cell r="C129" t="str">
            <v>قالب تعمیری</v>
          </cell>
          <cell r="P129" t="str">
            <v>پشت سمبه ای</v>
          </cell>
          <cell r="AF129">
            <v>2</v>
          </cell>
        </row>
        <row r="130">
          <cell r="B130" t="str">
            <v>اصول 5S</v>
          </cell>
          <cell r="C130" t="str">
            <v>نظافت</v>
          </cell>
          <cell r="P130" t="str">
            <v>دستگاه</v>
          </cell>
          <cell r="AF130">
            <v>1</v>
          </cell>
        </row>
        <row r="131">
          <cell r="B131" t="str">
            <v>پین عقب L90 معمولی</v>
          </cell>
          <cell r="C131" t="str">
            <v>قطعه نو</v>
          </cell>
          <cell r="P131" t="str">
            <v>عقب L90 معمولی</v>
          </cell>
          <cell r="AF131">
            <v>7.5</v>
          </cell>
        </row>
        <row r="132">
          <cell r="B132" t="str">
            <v>اصول 5S</v>
          </cell>
          <cell r="C132" t="str">
            <v>نظافت</v>
          </cell>
          <cell r="P132" t="str">
            <v>دستگاه</v>
          </cell>
          <cell r="AF132">
            <v>0.5</v>
          </cell>
        </row>
        <row r="133">
          <cell r="B133" t="str">
            <v>دستگاه ساب الماسه</v>
          </cell>
          <cell r="C133" t="str">
            <v>قطعه تعمیری</v>
          </cell>
          <cell r="P133" t="str">
            <v>توپی</v>
          </cell>
          <cell r="AF133">
            <v>2</v>
          </cell>
        </row>
        <row r="134">
          <cell r="B134" t="str">
            <v>ویوینگ</v>
          </cell>
          <cell r="C134" t="str">
            <v>قطعه تعمیری</v>
          </cell>
          <cell r="P134" t="str">
            <v>Shaft</v>
          </cell>
          <cell r="AF134">
            <v>2</v>
          </cell>
        </row>
        <row r="135">
          <cell r="B135" t="str">
            <v xml:space="preserve">وایر کات </v>
          </cell>
          <cell r="C135" t="str">
            <v>دستگاه تعمیری</v>
          </cell>
          <cell r="P135">
            <v>7604</v>
          </cell>
          <cell r="AF135">
            <v>2</v>
          </cell>
        </row>
        <row r="136">
          <cell r="B136" t="str">
            <v>اصول 5S</v>
          </cell>
          <cell r="C136" t="str">
            <v>نظافت</v>
          </cell>
          <cell r="P136" t="str">
            <v>دستگاه</v>
          </cell>
          <cell r="AF136">
            <v>0.5</v>
          </cell>
        </row>
        <row r="137">
          <cell r="B137" t="str">
            <v>ابزار زنی</v>
          </cell>
          <cell r="C137" t="str">
            <v>قطعه نو</v>
          </cell>
          <cell r="P137" t="str">
            <v>کلمپ</v>
          </cell>
          <cell r="AF137">
            <v>4</v>
          </cell>
        </row>
        <row r="138">
          <cell r="B138" t="str">
            <v>ابزار زنی</v>
          </cell>
          <cell r="C138" t="str">
            <v>قطعه نو</v>
          </cell>
          <cell r="P138" t="str">
            <v>کلمپ</v>
          </cell>
          <cell r="AF138">
            <v>4</v>
          </cell>
        </row>
        <row r="139">
          <cell r="B139" t="str">
            <v>قالب پخت کلاچ پژو 405</v>
          </cell>
          <cell r="C139" t="str">
            <v>قالب تعمیری</v>
          </cell>
          <cell r="P139" t="str">
            <v>Matrix</v>
          </cell>
          <cell r="AF139">
            <v>7.5</v>
          </cell>
        </row>
        <row r="140">
          <cell r="B140" t="str">
            <v>پخت کلاچ پراید</v>
          </cell>
          <cell r="C140" t="str">
            <v>قالب تعمیری</v>
          </cell>
          <cell r="P140" t="str">
            <v>Matrix</v>
          </cell>
          <cell r="AF140">
            <v>7.5</v>
          </cell>
        </row>
        <row r="141">
          <cell r="B141" t="str">
            <v>پخت کلاچ پراید</v>
          </cell>
          <cell r="C141" t="str">
            <v>قالب تعمیری</v>
          </cell>
          <cell r="P141" t="str">
            <v>Matrix</v>
          </cell>
          <cell r="AF141">
            <v>10</v>
          </cell>
        </row>
        <row r="142">
          <cell r="B142" t="str">
            <v>قالب پخت کلاچ پژو 405</v>
          </cell>
          <cell r="C142" t="str">
            <v>قالب تعمیری</v>
          </cell>
          <cell r="P142" t="str">
            <v>Matrix</v>
          </cell>
          <cell r="AF142">
            <v>10</v>
          </cell>
        </row>
        <row r="143">
          <cell r="B143" t="str">
            <v>پین عقب L90 معمولی</v>
          </cell>
          <cell r="C143" t="str">
            <v>قطعه نو</v>
          </cell>
          <cell r="P143" t="str">
            <v>عقب L90 معمولی</v>
          </cell>
          <cell r="AF143">
            <v>7.5</v>
          </cell>
        </row>
        <row r="144">
          <cell r="B144" t="str">
            <v>دستگاه پشم فلز چینی</v>
          </cell>
          <cell r="C144" t="str">
            <v>قطعه نو</v>
          </cell>
          <cell r="P144" t="str">
            <v>لنگی</v>
          </cell>
          <cell r="AF144">
            <v>7.333333333333333</v>
          </cell>
        </row>
        <row r="145">
          <cell r="B145" t="str">
            <v>پخت کلاچ پراید</v>
          </cell>
          <cell r="C145" t="str">
            <v>قالب تعمیری</v>
          </cell>
          <cell r="P145" t="str">
            <v>top Plate</v>
          </cell>
          <cell r="AF145">
            <v>10</v>
          </cell>
        </row>
        <row r="146">
          <cell r="B146" t="str">
            <v>قالب جلو ریو</v>
          </cell>
          <cell r="C146" t="str">
            <v>قالب تعمیری</v>
          </cell>
          <cell r="P146" t="str">
            <v>قالب</v>
          </cell>
          <cell r="AF146">
            <v>2</v>
          </cell>
        </row>
        <row r="147">
          <cell r="B147" t="str">
            <v>ابزار زنی</v>
          </cell>
          <cell r="C147" t="str">
            <v>قطعه نو</v>
          </cell>
          <cell r="P147" t="str">
            <v>تسمه</v>
          </cell>
          <cell r="AF147">
            <v>7</v>
          </cell>
        </row>
        <row r="148">
          <cell r="B148" t="str">
            <v>قالب پخت کلاچ پژو 405</v>
          </cell>
          <cell r="C148" t="str">
            <v>قالب تعمیری</v>
          </cell>
          <cell r="P148" t="str">
            <v>Matrix</v>
          </cell>
          <cell r="AF148">
            <v>3</v>
          </cell>
        </row>
        <row r="149">
          <cell r="B149" t="str">
            <v>دستگاه پشم فلز چینی</v>
          </cell>
          <cell r="C149" t="str">
            <v>قطعه نو</v>
          </cell>
          <cell r="P149" t="str">
            <v>guide</v>
          </cell>
          <cell r="AF149">
            <v>3</v>
          </cell>
        </row>
        <row r="150">
          <cell r="B150" t="str">
            <v>برش توری SAF</v>
          </cell>
          <cell r="C150" t="str">
            <v>قالب تعمیری</v>
          </cell>
          <cell r="P150" t="str">
            <v>Mold</v>
          </cell>
          <cell r="AF150">
            <v>1</v>
          </cell>
        </row>
        <row r="151">
          <cell r="B151" t="str">
            <v>قالب پخت کلاچ پیکان</v>
          </cell>
          <cell r="C151" t="str">
            <v>قالب تعمیری</v>
          </cell>
          <cell r="P151" t="str">
            <v>top Plate</v>
          </cell>
          <cell r="AF151">
            <v>3</v>
          </cell>
        </row>
        <row r="152">
          <cell r="B152" t="str">
            <v>آغشته کاری</v>
          </cell>
          <cell r="C152" t="str">
            <v>قطعه نو</v>
          </cell>
          <cell r="P152" t="str">
            <v>Bush</v>
          </cell>
          <cell r="AF152">
            <v>3</v>
          </cell>
        </row>
        <row r="153">
          <cell r="B153" t="str">
            <v xml:space="preserve">وایر کات </v>
          </cell>
          <cell r="C153" t="str">
            <v>دستگاه تعمیری</v>
          </cell>
          <cell r="P153" t="str">
            <v>پیچ</v>
          </cell>
          <cell r="AF153">
            <v>1.5</v>
          </cell>
        </row>
        <row r="154">
          <cell r="B154" t="str">
            <v>دریل رادیال</v>
          </cell>
          <cell r="C154" t="str">
            <v>دستگاه تعمیری</v>
          </cell>
          <cell r="P154" t="str">
            <v>واسطه</v>
          </cell>
          <cell r="AF154">
            <v>1.5</v>
          </cell>
        </row>
        <row r="155">
          <cell r="B155" t="str">
            <v>Hammer Mill Machine</v>
          </cell>
          <cell r="C155" t="str">
            <v>دستگاه نو</v>
          </cell>
          <cell r="P155" t="str">
            <v>تیغه</v>
          </cell>
          <cell r="AF155">
            <v>9</v>
          </cell>
        </row>
        <row r="156">
          <cell r="B156" t="str">
            <v>بمبوری</v>
          </cell>
          <cell r="C156" t="str">
            <v>قطعه تعمیری</v>
          </cell>
          <cell r="P156" t="str">
            <v>برنجی</v>
          </cell>
          <cell r="AF156">
            <v>2</v>
          </cell>
        </row>
        <row r="157">
          <cell r="B157" t="str">
            <v>ابزار زنی</v>
          </cell>
          <cell r="C157" t="str">
            <v>قطعه تعمیری</v>
          </cell>
          <cell r="P157" t="str">
            <v>سنبه</v>
          </cell>
          <cell r="AF157">
            <v>2</v>
          </cell>
        </row>
        <row r="158">
          <cell r="B158" t="str">
            <v xml:space="preserve">دستگاه بسته بندی </v>
          </cell>
          <cell r="C158" t="str">
            <v>قطعه تعمیری</v>
          </cell>
          <cell r="P158" t="str">
            <v>غلطک</v>
          </cell>
          <cell r="AF158">
            <v>3</v>
          </cell>
        </row>
        <row r="159">
          <cell r="B159" t="str">
            <v>آغشته کاری</v>
          </cell>
          <cell r="C159" t="str">
            <v>قطعه تعمیری</v>
          </cell>
          <cell r="P159" t="str">
            <v>جای خار</v>
          </cell>
          <cell r="AF159">
            <v>12</v>
          </cell>
        </row>
        <row r="160">
          <cell r="B160" t="str">
            <v>دستگاه CNC</v>
          </cell>
          <cell r="C160" t="str">
            <v>قطعه نو</v>
          </cell>
          <cell r="P160" t="str">
            <v>روبند</v>
          </cell>
          <cell r="AF160">
            <v>12</v>
          </cell>
        </row>
        <row r="161">
          <cell r="B161" t="str">
            <v>دستگاه وایر 7604</v>
          </cell>
          <cell r="C161" t="str">
            <v>دستگاه تعمیری</v>
          </cell>
          <cell r="P161">
            <v>7604</v>
          </cell>
          <cell r="AF161">
            <v>12</v>
          </cell>
        </row>
        <row r="162">
          <cell r="B162" t="str">
            <v>پخت کلاچ پراید</v>
          </cell>
          <cell r="C162" t="str">
            <v>قالب تعمیری</v>
          </cell>
          <cell r="P162" t="str">
            <v>Mold</v>
          </cell>
          <cell r="AF162">
            <v>1</v>
          </cell>
        </row>
        <row r="163">
          <cell r="B163" t="str">
            <v>قالب جلو ریو</v>
          </cell>
          <cell r="C163" t="str">
            <v>قالب تعمیری</v>
          </cell>
          <cell r="P163" t="str">
            <v>top Plate</v>
          </cell>
          <cell r="AF163">
            <v>1</v>
          </cell>
        </row>
        <row r="164">
          <cell r="B164" t="str">
            <v>قالب جلو ریو</v>
          </cell>
          <cell r="C164" t="str">
            <v>قالب تعمیری</v>
          </cell>
          <cell r="P164" t="str">
            <v>MOLd</v>
          </cell>
          <cell r="AF164">
            <v>8</v>
          </cell>
        </row>
        <row r="165">
          <cell r="B165" t="str">
            <v>قالب پخت کلاچ پژو 405</v>
          </cell>
          <cell r="C165" t="str">
            <v>قالب تعمیری</v>
          </cell>
          <cell r="P165" t="str">
            <v>Matrix</v>
          </cell>
          <cell r="AF165">
            <v>2.5</v>
          </cell>
        </row>
        <row r="166">
          <cell r="B166" t="str">
            <v>شابلون پژو 405 دیسکی</v>
          </cell>
          <cell r="C166" t="str">
            <v>قطعه تعمیری</v>
          </cell>
          <cell r="P166" t="str">
            <v>شابلون</v>
          </cell>
          <cell r="AF166">
            <v>5</v>
          </cell>
        </row>
        <row r="167">
          <cell r="B167" t="str">
            <v>بمبوری</v>
          </cell>
          <cell r="C167" t="str">
            <v>قطعه تعمیری</v>
          </cell>
          <cell r="P167" t="str">
            <v>برنجی</v>
          </cell>
          <cell r="AF167">
            <v>7.5</v>
          </cell>
        </row>
        <row r="168">
          <cell r="B168" t="str">
            <v>دستگاه پرس</v>
          </cell>
          <cell r="C168" t="str">
            <v>قطعه تعمیری</v>
          </cell>
          <cell r="P168" t="str">
            <v>لنت</v>
          </cell>
          <cell r="AF168">
            <v>11</v>
          </cell>
        </row>
        <row r="169">
          <cell r="B169" t="str">
            <v>دستگاه پرس 600 تن</v>
          </cell>
          <cell r="C169" t="str">
            <v>قطعه تعمیری</v>
          </cell>
          <cell r="P169" t="str">
            <v>بلوک</v>
          </cell>
          <cell r="AF169">
            <v>11</v>
          </cell>
        </row>
        <row r="170">
          <cell r="B170" t="str">
            <v>ابزار زنی</v>
          </cell>
          <cell r="C170" t="str">
            <v>قطعه نو</v>
          </cell>
          <cell r="P170" t="str">
            <v>تسمه</v>
          </cell>
          <cell r="AF170">
            <v>9</v>
          </cell>
        </row>
        <row r="171">
          <cell r="B171" t="str">
            <v xml:space="preserve">پخت کلاچ پراید سکو </v>
          </cell>
          <cell r="C171" t="str">
            <v>قالب تعمیری</v>
          </cell>
          <cell r="P171" t="str">
            <v>Mold</v>
          </cell>
          <cell r="AF171">
            <v>2</v>
          </cell>
        </row>
        <row r="172">
          <cell r="B172" t="str">
            <v>قالب پخت کلاچ پیکان</v>
          </cell>
          <cell r="C172" t="str">
            <v>قالب تعمیری</v>
          </cell>
          <cell r="P172" t="str">
            <v>top Plate</v>
          </cell>
          <cell r="AF172">
            <v>9</v>
          </cell>
        </row>
        <row r="173">
          <cell r="B173" t="str">
            <v>پخت کلاچ پراید</v>
          </cell>
          <cell r="C173" t="str">
            <v>قالب تعمیری</v>
          </cell>
          <cell r="P173" t="str">
            <v>Matrix</v>
          </cell>
          <cell r="AF173">
            <v>2</v>
          </cell>
        </row>
        <row r="174">
          <cell r="B174" t="str">
            <v>دستگاه پشم فلز چینی</v>
          </cell>
          <cell r="C174" t="str">
            <v>قطعه نو</v>
          </cell>
          <cell r="P174" t="str">
            <v>لنگی</v>
          </cell>
          <cell r="AF174">
            <v>3</v>
          </cell>
        </row>
        <row r="175">
          <cell r="B175" t="str">
            <v>صنایع مس</v>
          </cell>
          <cell r="C175" t="str">
            <v>قطعه نو</v>
          </cell>
          <cell r="P175" t="str">
            <v>کانورتور</v>
          </cell>
          <cell r="AF175">
            <v>3.3333333333333335</v>
          </cell>
        </row>
        <row r="176">
          <cell r="B176" t="str">
            <v>ساب کلاچ</v>
          </cell>
          <cell r="C176" t="str">
            <v>قطعه نو</v>
          </cell>
          <cell r="P176" t="str">
            <v>نگهدارنده U</v>
          </cell>
          <cell r="AF176">
            <v>5.5</v>
          </cell>
        </row>
        <row r="177">
          <cell r="B177" t="str">
            <v>قالب پخت کلاچ پیکان</v>
          </cell>
          <cell r="C177" t="str">
            <v>قالب تعمیری</v>
          </cell>
          <cell r="P177" t="str">
            <v>صفحات</v>
          </cell>
          <cell r="AF177">
            <v>5.5</v>
          </cell>
        </row>
        <row r="178">
          <cell r="B178" t="str">
            <v>دستگاه پرس 600 تن</v>
          </cell>
          <cell r="C178" t="str">
            <v>قطعه تعمیری</v>
          </cell>
          <cell r="P178" t="str">
            <v>بلوک</v>
          </cell>
          <cell r="AF178">
            <v>11</v>
          </cell>
        </row>
        <row r="179">
          <cell r="B179" t="str">
            <v>قالب پخت کلاچ پیکان آرژانتینی</v>
          </cell>
          <cell r="C179" t="str">
            <v>قالب تعمیری</v>
          </cell>
          <cell r="P179" t="str">
            <v>جا  میل راهنما</v>
          </cell>
          <cell r="AF179">
            <v>9</v>
          </cell>
        </row>
        <row r="180">
          <cell r="B180" t="str">
            <v>دستگاه CNC</v>
          </cell>
          <cell r="C180" t="str">
            <v>قطعه تعمیری</v>
          </cell>
          <cell r="P180" t="str">
            <v>تیغه</v>
          </cell>
          <cell r="AF180">
            <v>9</v>
          </cell>
        </row>
        <row r="181">
          <cell r="B181" t="str">
            <v>شرکت فرش</v>
          </cell>
          <cell r="C181" t="str">
            <v>قطعه تعمیری</v>
          </cell>
          <cell r="P181" t="str">
            <v>قیچی</v>
          </cell>
          <cell r="AF181">
            <v>5</v>
          </cell>
        </row>
        <row r="182">
          <cell r="B182" t="str">
            <v>شرکت فرش</v>
          </cell>
          <cell r="C182" t="str">
            <v>قطعه تعمیری</v>
          </cell>
          <cell r="P182" t="str">
            <v>قیچی</v>
          </cell>
          <cell r="AF182">
            <v>3</v>
          </cell>
        </row>
        <row r="183">
          <cell r="B183" t="str">
            <v>کولر سالن</v>
          </cell>
          <cell r="C183" t="str">
            <v>قطعه تعمیری</v>
          </cell>
          <cell r="P183" t="str">
            <v>بوش</v>
          </cell>
          <cell r="AF183">
            <v>1.5</v>
          </cell>
        </row>
        <row r="184">
          <cell r="B184" t="str">
            <v>آغشته کاری</v>
          </cell>
          <cell r="C184" t="str">
            <v>قطعه نو</v>
          </cell>
          <cell r="P184" t="str">
            <v>Bush</v>
          </cell>
          <cell r="AF184">
            <v>1</v>
          </cell>
        </row>
        <row r="185">
          <cell r="B185" t="str">
            <v>قالب جلو ریو</v>
          </cell>
          <cell r="C185" t="str">
            <v>قالب تعمیری</v>
          </cell>
          <cell r="P185" t="str">
            <v>Bottom Plate</v>
          </cell>
          <cell r="AF185">
            <v>2.5</v>
          </cell>
        </row>
        <row r="186">
          <cell r="B186" t="str">
            <v xml:space="preserve">پخت کلاچ پراید سکو </v>
          </cell>
          <cell r="C186" t="str">
            <v>قالب تعمیری</v>
          </cell>
          <cell r="P186" t="str">
            <v>Mold</v>
          </cell>
          <cell r="AF186">
            <v>0.5</v>
          </cell>
        </row>
        <row r="187">
          <cell r="B187" t="str">
            <v>پخت کلاچ پیکان المانی</v>
          </cell>
          <cell r="C187" t="str">
            <v>قالب تعمیری</v>
          </cell>
          <cell r="P187" t="str">
            <v>Mold</v>
          </cell>
          <cell r="AF187">
            <v>2</v>
          </cell>
        </row>
        <row r="188">
          <cell r="B188" t="str">
            <v>پخت کلاچ پیکان انگلیسی</v>
          </cell>
          <cell r="C188" t="str">
            <v>قالب تعمیری</v>
          </cell>
          <cell r="P188" t="str">
            <v>Mold</v>
          </cell>
          <cell r="AF188">
            <v>1</v>
          </cell>
        </row>
        <row r="189">
          <cell r="B189" t="str">
            <v>پرس پخت کلاچ</v>
          </cell>
          <cell r="C189" t="str">
            <v>قطعه نو</v>
          </cell>
          <cell r="P189" t="str">
            <v>Shaft</v>
          </cell>
          <cell r="AF189">
            <v>4</v>
          </cell>
        </row>
        <row r="190">
          <cell r="B190" t="str">
            <v>برش جمعی عقب پیکان</v>
          </cell>
          <cell r="C190" t="str">
            <v>قطعه تعمیری</v>
          </cell>
          <cell r="P190" t="str">
            <v>تیغه</v>
          </cell>
          <cell r="AF190">
            <v>1.5</v>
          </cell>
        </row>
        <row r="191">
          <cell r="B191" t="str">
            <v>ویوینگ</v>
          </cell>
          <cell r="C191" t="str">
            <v>قطعه تعمیری</v>
          </cell>
          <cell r="P191" t="str">
            <v>Shaft</v>
          </cell>
          <cell r="AF191">
            <v>2</v>
          </cell>
        </row>
        <row r="192">
          <cell r="B192" t="str">
            <v>پین عقب L90 معمولی</v>
          </cell>
          <cell r="C192" t="str">
            <v>قطعه نو</v>
          </cell>
          <cell r="P192" t="str">
            <v>عقب L90 معمولی</v>
          </cell>
          <cell r="AF192">
            <v>7.5</v>
          </cell>
        </row>
        <row r="193">
          <cell r="B193" t="str">
            <v>ابزار زنی</v>
          </cell>
          <cell r="C193" t="str">
            <v>قطعه نو</v>
          </cell>
          <cell r="P193" t="str">
            <v>تسمه</v>
          </cell>
          <cell r="AF193">
            <v>11</v>
          </cell>
        </row>
        <row r="194">
          <cell r="B194" t="str">
            <v>صنایع مس</v>
          </cell>
          <cell r="C194" t="str">
            <v>قطعه نو</v>
          </cell>
          <cell r="P194" t="str">
            <v>کانورتور</v>
          </cell>
          <cell r="AF194">
            <v>3.5</v>
          </cell>
        </row>
        <row r="195">
          <cell r="B195" t="str">
            <v>پخت کلاچ پراید</v>
          </cell>
          <cell r="C195" t="str">
            <v>قالب تعمیری</v>
          </cell>
          <cell r="P195" t="str">
            <v>Matrix</v>
          </cell>
          <cell r="AF195">
            <v>10</v>
          </cell>
        </row>
        <row r="196">
          <cell r="B196" t="str">
            <v>قالب توری بادسان</v>
          </cell>
          <cell r="C196" t="str">
            <v>قالب تعمیری</v>
          </cell>
          <cell r="P196" t="str">
            <v>Mandrel</v>
          </cell>
          <cell r="AF196">
            <v>1</v>
          </cell>
        </row>
        <row r="197">
          <cell r="B197" t="str">
            <v>بمبوری</v>
          </cell>
          <cell r="C197" t="str">
            <v>قطعه تعمیری</v>
          </cell>
          <cell r="P197" t="str">
            <v>برنجی</v>
          </cell>
          <cell r="AF197">
            <v>4.5</v>
          </cell>
        </row>
        <row r="198">
          <cell r="B198" t="str">
            <v>دستگاه پشم فلز چینی</v>
          </cell>
          <cell r="C198" t="str">
            <v>قطعه نو</v>
          </cell>
          <cell r="P198" t="str">
            <v>لنگی</v>
          </cell>
          <cell r="AF198">
            <v>6.5</v>
          </cell>
        </row>
        <row r="199">
          <cell r="B199" t="str">
            <v>دستگاه ساب الماسه</v>
          </cell>
          <cell r="C199" t="str">
            <v>قطعه نو</v>
          </cell>
          <cell r="P199" t="str">
            <v>پولکی</v>
          </cell>
          <cell r="AF199">
            <v>4</v>
          </cell>
        </row>
        <row r="200">
          <cell r="B200" t="str">
            <v>دریل یزدخواستی کلاچ</v>
          </cell>
          <cell r="C200" t="str">
            <v>قطعه نو</v>
          </cell>
          <cell r="P200" t="str">
            <v>Shaft</v>
          </cell>
          <cell r="AF200">
            <v>6</v>
          </cell>
        </row>
        <row r="201">
          <cell r="B201" t="str">
            <v>دستگاه چسب زنی</v>
          </cell>
          <cell r="C201" t="str">
            <v>قطعه تعمیری</v>
          </cell>
          <cell r="P201" t="str">
            <v>Shaft</v>
          </cell>
          <cell r="AF201">
            <v>1</v>
          </cell>
        </row>
        <row r="202">
          <cell r="B202" t="str">
            <v>ساب کلاچ</v>
          </cell>
          <cell r="C202" t="str">
            <v>قطعه نو</v>
          </cell>
          <cell r="P202" t="str">
            <v>نگهدارنده U</v>
          </cell>
          <cell r="AF202">
            <v>4.5</v>
          </cell>
        </row>
        <row r="203">
          <cell r="B203" t="str">
            <v>ساب کلاچ</v>
          </cell>
          <cell r="C203" t="str">
            <v>قطعه نو</v>
          </cell>
          <cell r="P203" t="str">
            <v>نگهدارنده U</v>
          </cell>
          <cell r="AF203">
            <v>5.5</v>
          </cell>
        </row>
        <row r="204">
          <cell r="B204" t="str">
            <v>دستگاه مهر زنی</v>
          </cell>
          <cell r="C204" t="str">
            <v>قطعه تعمیری</v>
          </cell>
          <cell r="P204" t="str">
            <v>کشویی</v>
          </cell>
          <cell r="AF204">
            <v>9</v>
          </cell>
        </row>
        <row r="205">
          <cell r="B205" t="str">
            <v>دستگاه چسب زنی</v>
          </cell>
          <cell r="C205" t="str">
            <v>قطعه تعمیری</v>
          </cell>
          <cell r="P205" t="str">
            <v>چرخ دنده</v>
          </cell>
          <cell r="AF205">
            <v>5</v>
          </cell>
        </row>
        <row r="206">
          <cell r="B206" t="str">
            <v>قلم ریو</v>
          </cell>
          <cell r="C206" t="str">
            <v>قطعه تعمیری</v>
          </cell>
          <cell r="P206" t="str">
            <v>قلم</v>
          </cell>
          <cell r="AF206">
            <v>2</v>
          </cell>
        </row>
        <row r="207">
          <cell r="B207" t="str">
            <v>دستگاه چسب زنی</v>
          </cell>
          <cell r="C207" t="str">
            <v>قطعه تعمیری</v>
          </cell>
          <cell r="P207" t="str">
            <v>شانه</v>
          </cell>
          <cell r="AF207">
            <v>4</v>
          </cell>
        </row>
        <row r="208">
          <cell r="B208" t="str">
            <v>آغشته کاری</v>
          </cell>
          <cell r="C208" t="str">
            <v>قطعه نو</v>
          </cell>
          <cell r="P208" t="str">
            <v>Bush</v>
          </cell>
          <cell r="AF208">
            <v>1</v>
          </cell>
        </row>
        <row r="209">
          <cell r="B209" t="str">
            <v>قالب پخت کلاچ پژو 405</v>
          </cell>
          <cell r="C209" t="str">
            <v>قالب تعمیری</v>
          </cell>
          <cell r="P209" t="str">
            <v>Bottom Plate</v>
          </cell>
          <cell r="AF209">
            <v>1</v>
          </cell>
        </row>
        <row r="210">
          <cell r="B210" t="str">
            <v>پخت کلاچ پیکان المانی</v>
          </cell>
          <cell r="C210" t="str">
            <v>قالب تعمیری</v>
          </cell>
          <cell r="P210" t="str">
            <v>Mold</v>
          </cell>
          <cell r="AF210">
            <v>2.5</v>
          </cell>
        </row>
        <row r="211">
          <cell r="B211" t="str">
            <v>پخت کلاچ تیبا راست</v>
          </cell>
          <cell r="C211" t="str">
            <v>قالب تعمیری</v>
          </cell>
          <cell r="P211" t="str">
            <v>Mold</v>
          </cell>
          <cell r="AF211">
            <v>2.5</v>
          </cell>
        </row>
        <row r="212">
          <cell r="B212" t="str">
            <v>قالب توری بادسان</v>
          </cell>
          <cell r="C212" t="str">
            <v>قالب تعمیری</v>
          </cell>
          <cell r="P212" t="str">
            <v>Mold</v>
          </cell>
          <cell r="AF212">
            <v>0.5</v>
          </cell>
        </row>
        <row r="213">
          <cell r="B213" t="str">
            <v>قالب توری بادسان</v>
          </cell>
          <cell r="C213" t="str">
            <v>قالب تعمیری</v>
          </cell>
          <cell r="P213" t="str">
            <v>Mold</v>
          </cell>
          <cell r="AF213">
            <v>2</v>
          </cell>
        </row>
        <row r="214">
          <cell r="B214" t="str">
            <v>پخت کلاچ پراید</v>
          </cell>
          <cell r="C214" t="str">
            <v>قالب تعمیری</v>
          </cell>
          <cell r="P214" t="str">
            <v>Matrix</v>
          </cell>
          <cell r="AF214">
            <v>11</v>
          </cell>
        </row>
        <row r="215">
          <cell r="B215" t="str">
            <v>پخت کلاچ پراید</v>
          </cell>
          <cell r="C215" t="str">
            <v>قالب تعمیری</v>
          </cell>
          <cell r="P215" t="str">
            <v>Matrix</v>
          </cell>
          <cell r="AF215">
            <v>11</v>
          </cell>
        </row>
        <row r="216">
          <cell r="B216" t="str">
            <v>دستگاه پشم فلز چینی</v>
          </cell>
          <cell r="C216" t="str">
            <v>قطعه نو</v>
          </cell>
          <cell r="P216" t="str">
            <v>لنگی</v>
          </cell>
          <cell r="AF216">
            <v>11</v>
          </cell>
        </row>
        <row r="217">
          <cell r="B217" t="str">
            <v>قالب پخت کلاچ پیکان</v>
          </cell>
          <cell r="C217" t="str">
            <v>قالب تعمیری</v>
          </cell>
          <cell r="P217" t="str">
            <v>Matrix</v>
          </cell>
          <cell r="AF217">
            <v>9</v>
          </cell>
        </row>
        <row r="218">
          <cell r="B218" t="str">
            <v>ابزار زنی</v>
          </cell>
          <cell r="C218" t="str">
            <v>قطعه نو</v>
          </cell>
          <cell r="P218" t="str">
            <v>تسمه</v>
          </cell>
          <cell r="AF218">
            <v>11</v>
          </cell>
        </row>
        <row r="219">
          <cell r="B219" t="str">
            <v>دریل یزدخواستی کلاچ</v>
          </cell>
          <cell r="C219" t="str">
            <v>قطعه نو</v>
          </cell>
          <cell r="P219" t="str">
            <v>راهنما</v>
          </cell>
          <cell r="AF219">
            <v>10</v>
          </cell>
        </row>
        <row r="220">
          <cell r="B220" t="str">
            <v>دستگاه پرس 600 تن</v>
          </cell>
          <cell r="C220" t="str">
            <v>قطعه تعمیری</v>
          </cell>
          <cell r="P220" t="str">
            <v>بلوک</v>
          </cell>
          <cell r="AF220">
            <v>11</v>
          </cell>
        </row>
        <row r="221">
          <cell r="B221" t="str">
            <v>صنایع مس</v>
          </cell>
          <cell r="C221" t="str">
            <v>قطعه نو</v>
          </cell>
          <cell r="P221" t="str">
            <v>کانورتور</v>
          </cell>
          <cell r="AF221">
            <v>4</v>
          </cell>
        </row>
        <row r="222">
          <cell r="B222" t="str">
            <v>دستگاه پشم فلز چینی</v>
          </cell>
          <cell r="C222" t="str">
            <v>قطعه نو</v>
          </cell>
          <cell r="P222" t="str">
            <v>لنگی</v>
          </cell>
          <cell r="AF222">
            <v>1.8333333333333333</v>
          </cell>
        </row>
        <row r="223">
          <cell r="B223" t="str">
            <v>پین عقب ریو</v>
          </cell>
          <cell r="C223" t="str">
            <v>قطعه نو</v>
          </cell>
          <cell r="P223" t="str">
            <v>عقب ریو</v>
          </cell>
          <cell r="AF223">
            <v>7.5</v>
          </cell>
        </row>
        <row r="224">
          <cell r="B224" t="str">
            <v>دستگاه پشم فلز چینی</v>
          </cell>
          <cell r="C224" t="str">
            <v>قطعه نو</v>
          </cell>
          <cell r="P224" t="str">
            <v>قرقره</v>
          </cell>
          <cell r="AF224">
            <v>2</v>
          </cell>
        </row>
        <row r="225">
          <cell r="B225" t="str">
            <v>ساب کلاچ</v>
          </cell>
          <cell r="C225" t="str">
            <v>قطعه نو</v>
          </cell>
          <cell r="P225" t="str">
            <v>نگهدارنده U</v>
          </cell>
          <cell r="AF225">
            <v>3.5</v>
          </cell>
        </row>
        <row r="226">
          <cell r="B226" t="str">
            <v>قالب شمشی عقب پیکان</v>
          </cell>
          <cell r="C226" t="str">
            <v>قالب نو</v>
          </cell>
          <cell r="P226" t="str">
            <v>Mold</v>
          </cell>
          <cell r="AF226">
            <v>5.5</v>
          </cell>
        </row>
        <row r="227">
          <cell r="B227" t="str">
            <v>پخت کلاچ پراید</v>
          </cell>
          <cell r="C227" t="str">
            <v>قالب تعمیری</v>
          </cell>
          <cell r="P227" t="str">
            <v>Matrix</v>
          </cell>
          <cell r="AF227">
            <v>7.5</v>
          </cell>
        </row>
        <row r="228">
          <cell r="B228" t="str">
            <v>صنایع مس</v>
          </cell>
          <cell r="C228" t="str">
            <v>قطعه نو</v>
          </cell>
          <cell r="P228" t="str">
            <v>کانورتور</v>
          </cell>
          <cell r="AF228">
            <v>3.5</v>
          </cell>
        </row>
        <row r="229">
          <cell r="B229" t="str">
            <v>پخت کلاچ پراید</v>
          </cell>
          <cell r="C229" t="str">
            <v>قالب تعمیری</v>
          </cell>
          <cell r="P229" t="str">
            <v>Matrix</v>
          </cell>
          <cell r="AF229">
            <v>4</v>
          </cell>
        </row>
        <row r="230">
          <cell r="B230" t="str">
            <v>قالب BPW تاجدار</v>
          </cell>
          <cell r="C230" t="str">
            <v>قالب تعمیری</v>
          </cell>
          <cell r="P230" t="str">
            <v>Mandrel</v>
          </cell>
          <cell r="AF230">
            <v>2</v>
          </cell>
        </row>
        <row r="231">
          <cell r="B231" t="str">
            <v>قالب پخت کلاچ پژو 405</v>
          </cell>
          <cell r="C231" t="str">
            <v>قالب تعمیری</v>
          </cell>
          <cell r="P231" t="str">
            <v>Matrix</v>
          </cell>
          <cell r="AF231">
            <v>5</v>
          </cell>
        </row>
        <row r="232">
          <cell r="B232" t="str">
            <v>دستگاه مهر زنی</v>
          </cell>
          <cell r="C232" t="str">
            <v>قطعه تعمیری</v>
          </cell>
          <cell r="P232" t="str">
            <v>کشویی</v>
          </cell>
          <cell r="AF232">
            <v>8</v>
          </cell>
        </row>
        <row r="233">
          <cell r="B233" t="str">
            <v>قالب BPW تاجدار</v>
          </cell>
          <cell r="C233" t="str">
            <v>قالب تعمیری</v>
          </cell>
          <cell r="P233" t="str">
            <v>Mandrel</v>
          </cell>
          <cell r="AF233">
            <v>6</v>
          </cell>
        </row>
        <row r="234">
          <cell r="B234" t="str">
            <v>پرس 50 تن</v>
          </cell>
          <cell r="C234" t="str">
            <v>قطعه نو</v>
          </cell>
          <cell r="P234" t="str">
            <v>Matrix</v>
          </cell>
          <cell r="AF234">
            <v>6</v>
          </cell>
        </row>
        <row r="235">
          <cell r="B235" t="str">
            <v>پخت کلاچ پیکان انگلیسی</v>
          </cell>
          <cell r="C235" t="str">
            <v>قالب تعمیری</v>
          </cell>
          <cell r="P235" t="str">
            <v>Mold</v>
          </cell>
          <cell r="AF235">
            <v>2.5</v>
          </cell>
        </row>
        <row r="236">
          <cell r="B236" t="str">
            <v>قالب پیلسان</v>
          </cell>
          <cell r="C236" t="str">
            <v>قالب تعمیری</v>
          </cell>
          <cell r="P236" t="str">
            <v>Mold</v>
          </cell>
          <cell r="AF236">
            <v>4</v>
          </cell>
        </row>
        <row r="237">
          <cell r="B237" t="str">
            <v>ساب کونیک</v>
          </cell>
          <cell r="C237" t="str">
            <v>قطعه تعمیری</v>
          </cell>
          <cell r="P237" t="str">
            <v>درام ساب</v>
          </cell>
          <cell r="AF237">
            <v>1</v>
          </cell>
        </row>
        <row r="238">
          <cell r="B238" t="str">
            <v>ساب الماس</v>
          </cell>
          <cell r="C238" t="str">
            <v>قطعه تعمیری</v>
          </cell>
          <cell r="P238" t="str">
            <v>فلنچ</v>
          </cell>
          <cell r="AF238">
            <v>1.5</v>
          </cell>
        </row>
        <row r="239">
          <cell r="B239" t="str">
            <v>قالب پخت کلاچ پیکان</v>
          </cell>
          <cell r="C239" t="str">
            <v>قالب تعمیری</v>
          </cell>
          <cell r="P239" t="str">
            <v>Matrix</v>
          </cell>
          <cell r="AF239">
            <v>11</v>
          </cell>
        </row>
        <row r="240">
          <cell r="B240" t="str">
            <v>صنایع مس</v>
          </cell>
          <cell r="C240" t="str">
            <v>قطعه نو</v>
          </cell>
          <cell r="P240" t="str">
            <v>کانورتور</v>
          </cell>
          <cell r="AF240">
            <v>11</v>
          </cell>
        </row>
        <row r="241">
          <cell r="B241" t="str">
            <v>دستگاه پشم فلز چینی</v>
          </cell>
          <cell r="C241" t="str">
            <v>قطعه نو</v>
          </cell>
          <cell r="P241" t="str">
            <v>چهار سو</v>
          </cell>
          <cell r="AF241">
            <v>6.333333333333333</v>
          </cell>
        </row>
        <row r="242">
          <cell r="B242" t="str">
            <v>قالب پخت کلاچ پژو 405</v>
          </cell>
          <cell r="C242" t="str">
            <v>قالب تعمیری</v>
          </cell>
          <cell r="P242" t="str">
            <v>top Plate</v>
          </cell>
          <cell r="AF242">
            <v>11</v>
          </cell>
        </row>
        <row r="243">
          <cell r="B243" t="str">
            <v>قالب پخت کلاچ پژو 405</v>
          </cell>
          <cell r="C243" t="str">
            <v>قالب تعمیری</v>
          </cell>
          <cell r="P243" t="str">
            <v>Matrix</v>
          </cell>
          <cell r="AF243">
            <v>11</v>
          </cell>
        </row>
        <row r="244">
          <cell r="B244" t="str">
            <v>دستگاه پشم فلز چینی</v>
          </cell>
          <cell r="C244" t="str">
            <v>قطعه نو</v>
          </cell>
          <cell r="P244" t="str">
            <v>لنگی</v>
          </cell>
          <cell r="AF244">
            <v>11</v>
          </cell>
        </row>
        <row r="245">
          <cell r="B245" t="str">
            <v>پین عقب ریو</v>
          </cell>
          <cell r="C245" t="str">
            <v>قطعه نو</v>
          </cell>
          <cell r="P245" t="str">
            <v>عقب ریو</v>
          </cell>
          <cell r="AF245">
            <v>7.5</v>
          </cell>
        </row>
        <row r="246">
          <cell r="B246" t="str">
            <v>دستگاه پشم فلز چینی</v>
          </cell>
          <cell r="C246" t="str">
            <v>قطعه نو</v>
          </cell>
          <cell r="P246" t="str">
            <v>قرقره</v>
          </cell>
          <cell r="AF246">
            <v>7.5</v>
          </cell>
        </row>
        <row r="247">
          <cell r="B247" t="str">
            <v>ابزار زنی</v>
          </cell>
          <cell r="C247" t="str">
            <v>قطعه نو</v>
          </cell>
          <cell r="P247" t="str">
            <v>تسمه</v>
          </cell>
          <cell r="AF247">
            <v>3.5</v>
          </cell>
        </row>
        <row r="248">
          <cell r="B248" t="str">
            <v>دستگاه پشم فلز چینی</v>
          </cell>
          <cell r="C248" t="str">
            <v>قطعه نو</v>
          </cell>
          <cell r="P248" t="str">
            <v>صفحه</v>
          </cell>
          <cell r="AF248">
            <v>7.5</v>
          </cell>
        </row>
        <row r="249">
          <cell r="B249" t="str">
            <v>کلمپ زنی</v>
          </cell>
          <cell r="C249" t="str">
            <v>دستگاه تعمیری</v>
          </cell>
          <cell r="P249" t="str">
            <v>میز</v>
          </cell>
          <cell r="AF249">
            <v>7.5</v>
          </cell>
        </row>
        <row r="250">
          <cell r="B250" t="str">
            <v>ویوینگ</v>
          </cell>
          <cell r="C250" t="str">
            <v>قطعه تعمیری</v>
          </cell>
          <cell r="P250" t="str">
            <v>Shaft</v>
          </cell>
          <cell r="AF250">
            <v>1.5</v>
          </cell>
        </row>
        <row r="251">
          <cell r="B251" t="str">
            <v>ابزار زنی</v>
          </cell>
          <cell r="C251" t="str">
            <v>قطعه نو</v>
          </cell>
          <cell r="P251" t="str">
            <v>تسمه</v>
          </cell>
          <cell r="AF251">
            <v>2</v>
          </cell>
        </row>
        <row r="252">
          <cell r="B252" t="str">
            <v>دریل یزدخواستی کلاچ</v>
          </cell>
          <cell r="C252" t="str">
            <v>قطعه نو</v>
          </cell>
          <cell r="P252" t="str">
            <v>راهنما</v>
          </cell>
          <cell r="AF252">
            <v>6.5</v>
          </cell>
        </row>
        <row r="253">
          <cell r="B253" t="str">
            <v>شات پلاس</v>
          </cell>
          <cell r="C253" t="str">
            <v>قطعه تعمیری</v>
          </cell>
          <cell r="P253" t="str">
            <v>روتور</v>
          </cell>
          <cell r="AF253">
            <v>1.5</v>
          </cell>
        </row>
        <row r="254">
          <cell r="B254" t="str">
            <v>ویوینگ</v>
          </cell>
          <cell r="C254" t="str">
            <v>قطعه تعمیری</v>
          </cell>
          <cell r="P254" t="str">
            <v>Shaft</v>
          </cell>
          <cell r="AF254">
            <v>3</v>
          </cell>
        </row>
        <row r="255">
          <cell r="B255" t="str">
            <v>دستگاه مهر زنی</v>
          </cell>
          <cell r="C255" t="str">
            <v>قطعه تعمیری</v>
          </cell>
          <cell r="P255" t="str">
            <v>کشویی</v>
          </cell>
          <cell r="AF255">
            <v>12</v>
          </cell>
        </row>
        <row r="256">
          <cell r="B256" t="str">
            <v>ویوینگ</v>
          </cell>
          <cell r="C256" t="str">
            <v>قطعه تعمیری</v>
          </cell>
          <cell r="P256" t="str">
            <v>مهره</v>
          </cell>
          <cell r="AF256">
            <v>6</v>
          </cell>
        </row>
        <row r="257">
          <cell r="B257" t="str">
            <v>دستگاه مهر زنی</v>
          </cell>
          <cell r="C257" t="str">
            <v>قطعه تعمیری</v>
          </cell>
          <cell r="P257" t="str">
            <v>دستگاه</v>
          </cell>
          <cell r="AF257">
            <v>9</v>
          </cell>
        </row>
        <row r="258">
          <cell r="B258" t="str">
            <v xml:space="preserve">پخت کلاچ پراید سکو </v>
          </cell>
          <cell r="C258" t="str">
            <v>قالب تعمیری</v>
          </cell>
          <cell r="P258" t="str">
            <v>Mold</v>
          </cell>
          <cell r="AF258">
            <v>3</v>
          </cell>
        </row>
        <row r="259">
          <cell r="B259" t="str">
            <v>پخت کلاچ 911 دور بزرگ</v>
          </cell>
          <cell r="C259" t="str">
            <v>قالب تعمیری</v>
          </cell>
          <cell r="P259" t="str">
            <v>Mold</v>
          </cell>
          <cell r="AF259">
            <v>6</v>
          </cell>
        </row>
        <row r="260">
          <cell r="B260" t="str">
            <v>قالب پخت کلاچ پیکان آرژانتینی</v>
          </cell>
          <cell r="C260" t="str">
            <v>قالب تعمیری</v>
          </cell>
          <cell r="P260" t="str">
            <v>Mold</v>
          </cell>
          <cell r="AF260">
            <v>1</v>
          </cell>
        </row>
        <row r="261">
          <cell r="B261" t="str">
            <v>پخت کلاچ 911 دور بزرگ</v>
          </cell>
          <cell r="C261" t="str">
            <v>قالب تعمیری</v>
          </cell>
          <cell r="P261" t="str">
            <v>Mold</v>
          </cell>
          <cell r="AF261">
            <v>1</v>
          </cell>
        </row>
        <row r="262">
          <cell r="B262" t="str">
            <v>قالب پخت کلاچ پیکان</v>
          </cell>
          <cell r="C262" t="str">
            <v>قالب تعمیری</v>
          </cell>
          <cell r="P262" t="str">
            <v>Matrix</v>
          </cell>
          <cell r="AF262">
            <v>11</v>
          </cell>
        </row>
        <row r="263">
          <cell r="B263" t="str">
            <v>پین عقب ریو</v>
          </cell>
          <cell r="C263" t="str">
            <v>قطعه نو</v>
          </cell>
          <cell r="P263" t="str">
            <v>عقب ریو</v>
          </cell>
          <cell r="AF263">
            <v>7.5</v>
          </cell>
        </row>
        <row r="264">
          <cell r="B264" t="str">
            <v>دستگاه پشم فلز چینی</v>
          </cell>
          <cell r="C264" t="str">
            <v>قطعه نو</v>
          </cell>
          <cell r="P264" t="str">
            <v>چهار سو</v>
          </cell>
          <cell r="AF264">
            <v>6.333333333333333</v>
          </cell>
        </row>
        <row r="265">
          <cell r="B265" t="str">
            <v>قالب پخت کلاچ پژو 405</v>
          </cell>
          <cell r="C265" t="str">
            <v>قالب تعمیری</v>
          </cell>
          <cell r="P265" t="str">
            <v>top Plate</v>
          </cell>
          <cell r="AF265">
            <v>11</v>
          </cell>
        </row>
        <row r="266">
          <cell r="B266" t="str">
            <v>Hammer Mill Machine</v>
          </cell>
          <cell r="C266" t="str">
            <v>دستگاه نو</v>
          </cell>
          <cell r="P266" t="str">
            <v>صفحات</v>
          </cell>
          <cell r="AF266">
            <v>11</v>
          </cell>
        </row>
        <row r="267">
          <cell r="B267" t="str">
            <v>دستگاه پشم فلز چینی</v>
          </cell>
          <cell r="C267" t="str">
            <v>قطعه نو</v>
          </cell>
          <cell r="P267" t="str">
            <v>لنگی</v>
          </cell>
          <cell r="AF267">
            <v>4.5</v>
          </cell>
        </row>
        <row r="268">
          <cell r="B268" t="str">
            <v>دستگاه CNC 7204</v>
          </cell>
          <cell r="C268" t="str">
            <v>دستگاه تعمیری</v>
          </cell>
          <cell r="P268">
            <v>7204</v>
          </cell>
          <cell r="AF268">
            <v>6.5</v>
          </cell>
        </row>
        <row r="269">
          <cell r="B269" t="str">
            <v>شابلون پراید دیسکی</v>
          </cell>
          <cell r="C269" t="str">
            <v>قطعه تعمیری</v>
          </cell>
          <cell r="P269" t="str">
            <v>شابلون</v>
          </cell>
          <cell r="AF269">
            <v>4.5</v>
          </cell>
        </row>
        <row r="270">
          <cell r="B270" t="str">
            <v>دستگاه مهر زنی</v>
          </cell>
          <cell r="C270" t="str">
            <v>قطعه تعمیری</v>
          </cell>
          <cell r="P270" t="str">
            <v>قطعه</v>
          </cell>
          <cell r="AF270">
            <v>6.5</v>
          </cell>
        </row>
        <row r="271">
          <cell r="B271" t="str">
            <v>صنایع مس</v>
          </cell>
          <cell r="C271" t="str">
            <v>قطعه نو</v>
          </cell>
          <cell r="P271" t="str">
            <v>کانورتور</v>
          </cell>
          <cell r="AF271">
            <v>5.5</v>
          </cell>
        </row>
        <row r="272">
          <cell r="B272" t="str">
            <v>دستگاه CNC 7203</v>
          </cell>
          <cell r="C272" t="str">
            <v>دستگاه تعمیری</v>
          </cell>
          <cell r="P272">
            <v>7203</v>
          </cell>
          <cell r="AF272">
            <v>3.5</v>
          </cell>
        </row>
        <row r="273">
          <cell r="B273" t="str">
            <v>صنایع مس</v>
          </cell>
          <cell r="C273" t="str">
            <v>قطعه نو</v>
          </cell>
          <cell r="P273" t="str">
            <v>کانورتور</v>
          </cell>
          <cell r="AF273">
            <v>2</v>
          </cell>
        </row>
        <row r="274">
          <cell r="B274" t="str">
            <v>قالب پخت کلاچ پیکان</v>
          </cell>
          <cell r="C274" t="str">
            <v>قالب تعمیری</v>
          </cell>
          <cell r="P274" t="str">
            <v>Matrix</v>
          </cell>
          <cell r="AF274">
            <v>8</v>
          </cell>
        </row>
        <row r="275">
          <cell r="B275" t="str">
            <v>ساب کلاچ</v>
          </cell>
          <cell r="C275" t="str">
            <v>قطعه نو</v>
          </cell>
          <cell r="P275" t="str">
            <v>نگهدارنده U</v>
          </cell>
          <cell r="AF275">
            <v>2</v>
          </cell>
        </row>
        <row r="276">
          <cell r="B276" t="str">
            <v>برش جمعی عقب ریو</v>
          </cell>
          <cell r="C276" t="str">
            <v>قطعه نو</v>
          </cell>
          <cell r="P276" t="str">
            <v>تسمه</v>
          </cell>
          <cell r="AF276">
            <v>1</v>
          </cell>
        </row>
        <row r="277">
          <cell r="B277" t="str">
            <v>دستگاه پشم فلز</v>
          </cell>
          <cell r="C277" t="str">
            <v>قطعه تعمیری</v>
          </cell>
          <cell r="P277" t="str">
            <v>کوبلینگ</v>
          </cell>
          <cell r="AF277">
            <v>2</v>
          </cell>
        </row>
        <row r="278">
          <cell r="B278" t="str">
            <v>دریل یزدخواستی کلاچ</v>
          </cell>
          <cell r="C278" t="str">
            <v>قطعه نو</v>
          </cell>
          <cell r="P278" t="str">
            <v>راهنما</v>
          </cell>
          <cell r="AF278">
            <v>7.5</v>
          </cell>
        </row>
        <row r="279">
          <cell r="B279" t="str">
            <v>دریل یزدخواستی کلاچ</v>
          </cell>
          <cell r="C279" t="str">
            <v>قطعه نو</v>
          </cell>
          <cell r="P279" t="str">
            <v>Shaft</v>
          </cell>
          <cell r="AF279">
            <v>1.5</v>
          </cell>
        </row>
        <row r="280">
          <cell r="B280" t="str">
            <v>قالب پخت کلاچ پیکان آرژانتینی</v>
          </cell>
          <cell r="C280" t="str">
            <v>قالب تعمیری</v>
          </cell>
          <cell r="P280" t="str">
            <v>Mold</v>
          </cell>
          <cell r="AF280">
            <v>12</v>
          </cell>
        </row>
        <row r="281">
          <cell r="B281" t="str">
            <v>دستگاه مهر زنی</v>
          </cell>
          <cell r="C281" t="str">
            <v>قطعه تعمیری</v>
          </cell>
          <cell r="P281" t="str">
            <v>کشویی</v>
          </cell>
          <cell r="AF281">
            <v>10</v>
          </cell>
        </row>
        <row r="282">
          <cell r="B282" t="str">
            <v>صنایع مس</v>
          </cell>
          <cell r="C282" t="str">
            <v>قطعه نو</v>
          </cell>
          <cell r="P282" t="str">
            <v>کانورتور</v>
          </cell>
          <cell r="AF282">
            <v>2</v>
          </cell>
        </row>
        <row r="283">
          <cell r="B283" t="str">
            <v>دستگاه پرس 600 تن</v>
          </cell>
          <cell r="C283" t="str">
            <v>قطعه تعمیری</v>
          </cell>
          <cell r="P283" t="str">
            <v>بلوک</v>
          </cell>
          <cell r="AF283">
            <v>9</v>
          </cell>
        </row>
        <row r="284">
          <cell r="B284" t="str">
            <v>پخت کلاچ 911 دور بزرگ</v>
          </cell>
          <cell r="C284" t="str">
            <v>قالب تعمیری</v>
          </cell>
          <cell r="P284" t="str">
            <v>Mold</v>
          </cell>
          <cell r="AF284">
            <v>0.5</v>
          </cell>
        </row>
        <row r="285">
          <cell r="B285" t="str">
            <v xml:space="preserve">پخت کلاچ پراید سکو </v>
          </cell>
          <cell r="C285" t="str">
            <v>قالب تعمیری</v>
          </cell>
          <cell r="P285" t="str">
            <v>Mold</v>
          </cell>
          <cell r="AF285">
            <v>0.5</v>
          </cell>
        </row>
        <row r="286">
          <cell r="B286" t="str">
            <v>پخت کلاچ تیبا راست</v>
          </cell>
          <cell r="C286" t="str">
            <v>قالب تعمیری</v>
          </cell>
          <cell r="P286" t="str">
            <v>Mold</v>
          </cell>
          <cell r="AF286">
            <v>0.5</v>
          </cell>
        </row>
        <row r="287">
          <cell r="B287" t="str">
            <v>پخت کلاچ پیکان المانی</v>
          </cell>
          <cell r="C287" t="str">
            <v>قالب تعمیری</v>
          </cell>
          <cell r="P287" t="str">
            <v>Mold</v>
          </cell>
          <cell r="AF287">
            <v>0.5</v>
          </cell>
        </row>
        <row r="288">
          <cell r="B288" t="str">
            <v>پخت کلاچ پیکان انگلیسی</v>
          </cell>
          <cell r="C288" t="str">
            <v>قالب تعمیری</v>
          </cell>
          <cell r="P288" t="str">
            <v>Mold</v>
          </cell>
          <cell r="AF288">
            <v>0.5</v>
          </cell>
        </row>
        <row r="289">
          <cell r="B289" t="str">
            <v>قالب پخت کلاچ پیکان آرژانتینی</v>
          </cell>
          <cell r="C289" t="str">
            <v>قالب تعمیری</v>
          </cell>
          <cell r="P289" t="str">
            <v>Mold</v>
          </cell>
          <cell r="AF289">
            <v>2</v>
          </cell>
        </row>
        <row r="290">
          <cell r="B290" t="str">
            <v>قالب پخت کلاچ پیکان آرژانتینی</v>
          </cell>
          <cell r="C290" t="str">
            <v>قالب تعمیری</v>
          </cell>
          <cell r="P290" t="str">
            <v>top Plate</v>
          </cell>
          <cell r="AF290">
            <v>1</v>
          </cell>
        </row>
        <row r="291">
          <cell r="B291" t="str">
            <v>صنایع مس</v>
          </cell>
          <cell r="C291" t="str">
            <v>قطعه نو</v>
          </cell>
          <cell r="P291" t="str">
            <v>کانورتور</v>
          </cell>
          <cell r="AF291">
            <v>1</v>
          </cell>
        </row>
        <row r="292">
          <cell r="B292" t="str">
            <v>ابزار زنی</v>
          </cell>
          <cell r="C292" t="str">
            <v>قطعه نو</v>
          </cell>
          <cell r="P292" t="str">
            <v>تسمه</v>
          </cell>
          <cell r="AF292">
            <v>3</v>
          </cell>
        </row>
        <row r="293">
          <cell r="B293" t="str">
            <v>دستگاه پشم فلز چینی</v>
          </cell>
          <cell r="C293" t="str">
            <v>قطعه نو</v>
          </cell>
          <cell r="P293" t="str">
            <v>لنگی</v>
          </cell>
          <cell r="AF293">
            <v>3</v>
          </cell>
        </row>
        <row r="294">
          <cell r="B294" t="str">
            <v>قالب پخت کلاچ پیکان</v>
          </cell>
          <cell r="C294" t="str">
            <v>قالب تعمیری</v>
          </cell>
          <cell r="P294" t="str">
            <v>Matrix</v>
          </cell>
          <cell r="AF294">
            <v>9</v>
          </cell>
        </row>
        <row r="295">
          <cell r="B295" t="str">
            <v>پین عقب ریو</v>
          </cell>
          <cell r="C295" t="str">
            <v>قطعه نو</v>
          </cell>
          <cell r="P295" t="str">
            <v>عقب ریو</v>
          </cell>
          <cell r="AF295">
            <v>7.5</v>
          </cell>
        </row>
        <row r="296">
          <cell r="B296" t="str">
            <v>دستگاه پشم فلز چینی</v>
          </cell>
          <cell r="C296" t="str">
            <v>قطعه نو</v>
          </cell>
          <cell r="P296" t="str">
            <v>چهار سو</v>
          </cell>
          <cell r="AF296">
            <v>6.333333333333333</v>
          </cell>
        </row>
        <row r="297">
          <cell r="B297" t="str">
            <v>پخت کلاچ پراید</v>
          </cell>
          <cell r="C297" t="str">
            <v>قالب تعمیری</v>
          </cell>
          <cell r="P297" t="str">
            <v>Matrix</v>
          </cell>
          <cell r="AF297">
            <v>11</v>
          </cell>
        </row>
        <row r="298">
          <cell r="B298" t="str">
            <v>قالب پخت کلاچ پژو 405</v>
          </cell>
          <cell r="C298" t="str">
            <v>قالب تعمیری</v>
          </cell>
          <cell r="P298" t="str">
            <v>Bottom Plate</v>
          </cell>
          <cell r="AF298">
            <v>5.5</v>
          </cell>
        </row>
        <row r="299">
          <cell r="B299" t="str">
            <v>برش جمعی عقب ریو</v>
          </cell>
          <cell r="C299" t="str">
            <v>قطعه نو</v>
          </cell>
          <cell r="P299" t="str">
            <v>تسمه</v>
          </cell>
          <cell r="AF299">
            <v>5.5</v>
          </cell>
        </row>
        <row r="300">
          <cell r="B300" t="str">
            <v>پرس 50 تن</v>
          </cell>
          <cell r="C300" t="str">
            <v>قطعه نو</v>
          </cell>
          <cell r="P300" t="str">
            <v>Shaft</v>
          </cell>
          <cell r="AF300">
            <v>2</v>
          </cell>
        </row>
        <row r="301">
          <cell r="B301" t="str">
            <v>سری نقطه جوش</v>
          </cell>
          <cell r="C301" t="str">
            <v>قطعه تعمیری</v>
          </cell>
          <cell r="P301" t="str">
            <v>مسی</v>
          </cell>
          <cell r="AF301">
            <v>1</v>
          </cell>
        </row>
        <row r="302">
          <cell r="B302" t="str">
            <v>ابزار زنی</v>
          </cell>
          <cell r="C302" t="str">
            <v>قطعه نو</v>
          </cell>
          <cell r="P302" t="str">
            <v>ابزار</v>
          </cell>
          <cell r="AF302">
            <v>4</v>
          </cell>
        </row>
        <row r="303">
          <cell r="B303" t="str">
            <v>ابزار زنی</v>
          </cell>
          <cell r="C303" t="str">
            <v>قطعه نو</v>
          </cell>
          <cell r="P303" t="str">
            <v>ابزار</v>
          </cell>
          <cell r="AF303">
            <v>4</v>
          </cell>
        </row>
        <row r="304">
          <cell r="B304" t="str">
            <v>دستگاه مهر زنی</v>
          </cell>
          <cell r="C304" t="str">
            <v>قطعه تعمیری</v>
          </cell>
          <cell r="P304" t="str">
            <v>قطعه</v>
          </cell>
          <cell r="AF304">
            <v>2.5</v>
          </cell>
        </row>
        <row r="305">
          <cell r="B305" t="str">
            <v>کلمپ زنی</v>
          </cell>
          <cell r="C305" t="str">
            <v>دستگاه تعمیری</v>
          </cell>
          <cell r="P305" t="str">
            <v>میز</v>
          </cell>
          <cell r="AF305">
            <v>5</v>
          </cell>
        </row>
        <row r="306">
          <cell r="B306" t="str">
            <v>دستگاه ساب کلاچ</v>
          </cell>
          <cell r="C306" t="str">
            <v>قطعه تعمیری</v>
          </cell>
          <cell r="P306" t="str">
            <v>میز</v>
          </cell>
          <cell r="AF306">
            <v>3.5</v>
          </cell>
        </row>
        <row r="307">
          <cell r="B307" t="str">
            <v>دستگاه مهر زنی</v>
          </cell>
          <cell r="C307" t="str">
            <v>قطعه تعمیری</v>
          </cell>
          <cell r="P307" t="str">
            <v>دستگاه</v>
          </cell>
          <cell r="AF307">
            <v>2</v>
          </cell>
        </row>
        <row r="308">
          <cell r="B308" t="str">
            <v>دستگاه پشم فلز چینی</v>
          </cell>
          <cell r="C308" t="str">
            <v>قطعه نو</v>
          </cell>
          <cell r="P308" t="str">
            <v>Shaft</v>
          </cell>
          <cell r="AF308">
            <v>2</v>
          </cell>
        </row>
        <row r="309">
          <cell r="B309" t="str">
            <v>ابزار زنی</v>
          </cell>
          <cell r="C309" t="str">
            <v>قطعه نو</v>
          </cell>
          <cell r="P309" t="str">
            <v>تسمه</v>
          </cell>
          <cell r="AF309">
            <v>2</v>
          </cell>
        </row>
        <row r="310">
          <cell r="B310" t="str">
            <v>قالب پخت کلاچ پیکان آرژانتینی</v>
          </cell>
          <cell r="C310" t="str">
            <v>قالب تعمیری</v>
          </cell>
          <cell r="P310" t="str">
            <v>Mold</v>
          </cell>
          <cell r="AF310">
            <v>3</v>
          </cell>
        </row>
        <row r="311">
          <cell r="B311" t="str">
            <v>قالب پخت کلاچ پیکان آرژانتینی</v>
          </cell>
          <cell r="C311" t="str">
            <v>قالب تعمیری</v>
          </cell>
          <cell r="P311" t="str">
            <v>Stop</v>
          </cell>
          <cell r="AF311">
            <v>9</v>
          </cell>
        </row>
        <row r="312">
          <cell r="B312" t="str">
            <v>صنایع مس</v>
          </cell>
          <cell r="C312" t="str">
            <v>قطعه نو</v>
          </cell>
          <cell r="P312" t="str">
            <v>کانورتور</v>
          </cell>
          <cell r="AF312">
            <v>12</v>
          </cell>
        </row>
        <row r="313">
          <cell r="B313" t="str">
            <v>دستگاه پرس 600 تن</v>
          </cell>
          <cell r="C313" t="str">
            <v>قطعه تعمیری</v>
          </cell>
          <cell r="P313" t="str">
            <v>بلوک</v>
          </cell>
          <cell r="AF313">
            <v>12</v>
          </cell>
        </row>
        <row r="314">
          <cell r="B314" t="str">
            <v>قالب سوراخکاری 70028</v>
          </cell>
          <cell r="C314" t="str">
            <v>قالب تعمیری</v>
          </cell>
          <cell r="P314" t="str">
            <v>Mandrel</v>
          </cell>
          <cell r="AF314">
            <v>8</v>
          </cell>
        </row>
        <row r="315">
          <cell r="B315" t="str">
            <v>قالب جلو ریو</v>
          </cell>
          <cell r="C315" t="str">
            <v>قالب تعمیری</v>
          </cell>
          <cell r="P315" t="str">
            <v>Bottom Plate</v>
          </cell>
          <cell r="AF315">
            <v>2</v>
          </cell>
        </row>
        <row r="316">
          <cell r="B316" t="str">
            <v>قالب تیبا خزینه چپ</v>
          </cell>
          <cell r="C316" t="str">
            <v>قالب تعمیری</v>
          </cell>
          <cell r="P316" t="str">
            <v>guaid Road</v>
          </cell>
          <cell r="AF316">
            <v>5</v>
          </cell>
        </row>
        <row r="317">
          <cell r="B317" t="str">
            <v>قالب پخت کلاچ پیکان آرژانتینی</v>
          </cell>
          <cell r="C317" t="str">
            <v>قالب تعمیری</v>
          </cell>
          <cell r="P317" t="str">
            <v>Mold</v>
          </cell>
          <cell r="AF317">
            <v>2.5</v>
          </cell>
        </row>
        <row r="318">
          <cell r="B318" t="str">
            <v>ابزار زنی</v>
          </cell>
          <cell r="C318" t="str">
            <v>قطعه نو</v>
          </cell>
          <cell r="P318" t="str">
            <v>تسمه</v>
          </cell>
          <cell r="AF318">
            <v>1</v>
          </cell>
        </row>
        <row r="319">
          <cell r="B319" t="str">
            <v>صنایع مس</v>
          </cell>
          <cell r="C319" t="str">
            <v>قطعه نو</v>
          </cell>
          <cell r="P319" t="str">
            <v>کانورتور</v>
          </cell>
          <cell r="AF319">
            <v>11</v>
          </cell>
        </row>
        <row r="320">
          <cell r="B320" t="str">
            <v>دستگاه ساب کلاچ</v>
          </cell>
          <cell r="C320" t="str">
            <v>قطعه تعمیری</v>
          </cell>
          <cell r="P320" t="str">
            <v>میز</v>
          </cell>
          <cell r="AF320">
            <v>11</v>
          </cell>
        </row>
        <row r="321">
          <cell r="B321" t="str">
            <v>صنایع مس</v>
          </cell>
          <cell r="C321" t="str">
            <v>قطعه نو</v>
          </cell>
          <cell r="P321" t="str">
            <v>کنورتور</v>
          </cell>
          <cell r="AF321">
            <v>6.333333333333333</v>
          </cell>
        </row>
        <row r="322">
          <cell r="B322" t="str">
            <v>قالب پخت کلاچ پژو 405</v>
          </cell>
          <cell r="C322" t="str">
            <v>قالب تعمیری</v>
          </cell>
          <cell r="P322" t="str">
            <v>Mandrel</v>
          </cell>
          <cell r="AF322">
            <v>11</v>
          </cell>
        </row>
        <row r="323">
          <cell r="B323" t="str">
            <v>قالب سوراخکاری 70028</v>
          </cell>
          <cell r="C323" t="str">
            <v>قالب تعمیری</v>
          </cell>
          <cell r="P323" t="str">
            <v>آشغال ریز</v>
          </cell>
          <cell r="AF323">
            <v>11</v>
          </cell>
        </row>
        <row r="324">
          <cell r="B324" t="str">
            <v>برش جمعی عقب ریو</v>
          </cell>
          <cell r="C324" t="str">
            <v>قطعه نو</v>
          </cell>
          <cell r="P324" t="str">
            <v>تسمه</v>
          </cell>
          <cell r="AF324">
            <v>7.5</v>
          </cell>
        </row>
        <row r="325">
          <cell r="B325" t="str">
            <v>شمش پراید</v>
          </cell>
          <cell r="C325" t="str">
            <v>قالب نو</v>
          </cell>
          <cell r="P325" t="str">
            <v>تسمه</v>
          </cell>
          <cell r="AF325">
            <v>3.5</v>
          </cell>
        </row>
        <row r="326">
          <cell r="B326" t="str">
            <v>قالب پخت کلاچ پیکان</v>
          </cell>
          <cell r="C326" t="str">
            <v>قالب تعمیری</v>
          </cell>
          <cell r="P326" t="str">
            <v>Matrix</v>
          </cell>
          <cell r="AF326">
            <v>1</v>
          </cell>
        </row>
        <row r="327">
          <cell r="B327" t="str">
            <v>قالب پخت کلاچ پیکان آرژانتینی</v>
          </cell>
          <cell r="C327" t="str">
            <v>قالب تعمیری</v>
          </cell>
          <cell r="P327" t="str">
            <v>Matrix</v>
          </cell>
          <cell r="AF327">
            <v>10</v>
          </cell>
        </row>
        <row r="328">
          <cell r="B328" t="str">
            <v>ابزار زنی</v>
          </cell>
          <cell r="C328" t="str">
            <v>قطعه نو</v>
          </cell>
          <cell r="P328" t="str">
            <v>تسمه</v>
          </cell>
          <cell r="AF328">
            <v>7</v>
          </cell>
        </row>
        <row r="329">
          <cell r="B329" t="str">
            <v>شمش پراید</v>
          </cell>
          <cell r="C329" t="str">
            <v>قالب نو</v>
          </cell>
          <cell r="P329" t="str">
            <v>Mold</v>
          </cell>
          <cell r="AF329">
            <v>2</v>
          </cell>
        </row>
        <row r="330">
          <cell r="B330" t="str">
            <v>دستگاه پرس 600 تن</v>
          </cell>
          <cell r="C330" t="str">
            <v>قطعه تعمیری</v>
          </cell>
          <cell r="P330" t="str">
            <v>Shaft</v>
          </cell>
          <cell r="AF330">
            <v>2</v>
          </cell>
        </row>
        <row r="331">
          <cell r="B331" t="str">
            <v>پین عقب ریو</v>
          </cell>
          <cell r="C331" t="str">
            <v>قطعه نو</v>
          </cell>
          <cell r="P331" t="str">
            <v>عقب ریو</v>
          </cell>
          <cell r="AF331">
            <v>7.5</v>
          </cell>
        </row>
        <row r="332">
          <cell r="B332" t="str">
            <v>آغشته کاری</v>
          </cell>
          <cell r="C332" t="str">
            <v>قطعه نو</v>
          </cell>
          <cell r="P332" t="str">
            <v>کوبلینگ</v>
          </cell>
          <cell r="AF332">
            <v>2</v>
          </cell>
        </row>
        <row r="333">
          <cell r="B333" t="str">
            <v>قالب توری پگاسوز</v>
          </cell>
          <cell r="C333" t="str">
            <v>قالب تعمیری</v>
          </cell>
          <cell r="P333" t="str">
            <v>Mandrel</v>
          </cell>
          <cell r="AF333">
            <v>12</v>
          </cell>
        </row>
        <row r="334">
          <cell r="B334" t="str">
            <v>صنایع مس</v>
          </cell>
          <cell r="C334" t="str">
            <v>قطعه نو</v>
          </cell>
          <cell r="P334" t="str">
            <v>کانورتور</v>
          </cell>
          <cell r="AF334">
            <v>12</v>
          </cell>
        </row>
        <row r="335">
          <cell r="B335" t="str">
            <v>آغشته کاری</v>
          </cell>
          <cell r="C335" t="str">
            <v>قطعه نو</v>
          </cell>
          <cell r="P335" t="str">
            <v>کوبلینگ</v>
          </cell>
          <cell r="AF335">
            <v>1</v>
          </cell>
        </row>
        <row r="336">
          <cell r="B336" t="str">
            <v>قالب پخت کلاچ پیکان آرژانتینی</v>
          </cell>
          <cell r="C336" t="str">
            <v>قالب تعمیری</v>
          </cell>
          <cell r="P336" t="str">
            <v>Stop</v>
          </cell>
          <cell r="AF336">
            <v>3</v>
          </cell>
        </row>
        <row r="337">
          <cell r="B337" t="str">
            <v>قالب جلو ریو</v>
          </cell>
          <cell r="C337" t="str">
            <v>قالب تعمیری</v>
          </cell>
          <cell r="P337" t="str">
            <v>Mold</v>
          </cell>
          <cell r="AF337">
            <v>5</v>
          </cell>
        </row>
        <row r="338">
          <cell r="B338" t="str">
            <v>کلاچ مینی بوس 309 سوراخدار</v>
          </cell>
          <cell r="C338" t="str">
            <v>قالب تعمیری</v>
          </cell>
          <cell r="P338" t="str">
            <v>Matrix</v>
          </cell>
          <cell r="AF338">
            <v>3</v>
          </cell>
        </row>
        <row r="339">
          <cell r="B339" t="str">
            <v>دستگاه پشم فلز چینی</v>
          </cell>
          <cell r="C339" t="str">
            <v>قطعه نو</v>
          </cell>
          <cell r="P339" t="str">
            <v>قطعات</v>
          </cell>
          <cell r="AF339">
            <v>1</v>
          </cell>
        </row>
        <row r="340">
          <cell r="B340" t="str">
            <v>صنایع مس</v>
          </cell>
          <cell r="C340" t="str">
            <v>قطعه نو</v>
          </cell>
          <cell r="P340" t="str">
            <v>کانورتور</v>
          </cell>
          <cell r="AF340">
            <v>1</v>
          </cell>
        </row>
        <row r="341">
          <cell r="B341" t="str">
            <v>پخت کلاچ پراید</v>
          </cell>
          <cell r="C341" t="str">
            <v>قالب تعمیری</v>
          </cell>
          <cell r="P341" t="str">
            <v>Matrix</v>
          </cell>
          <cell r="AF341">
            <v>3</v>
          </cell>
        </row>
        <row r="342">
          <cell r="B342" t="str">
            <v>شمش پراید</v>
          </cell>
          <cell r="C342" t="str">
            <v>قالب نو</v>
          </cell>
          <cell r="P342" t="str">
            <v>تسمه</v>
          </cell>
          <cell r="AF342">
            <v>1</v>
          </cell>
        </row>
        <row r="343">
          <cell r="B343" t="str">
            <v>پخت کلاچ پراید</v>
          </cell>
          <cell r="C343" t="str">
            <v>قالب تعمیری</v>
          </cell>
          <cell r="P343" t="str">
            <v>Stop</v>
          </cell>
          <cell r="AF343">
            <v>2</v>
          </cell>
        </row>
        <row r="344">
          <cell r="B344" t="str">
            <v>قالب لودری 70028</v>
          </cell>
          <cell r="C344" t="str">
            <v>قالب تعمیری</v>
          </cell>
          <cell r="P344" t="str">
            <v>صفحه</v>
          </cell>
          <cell r="AF344">
            <v>1</v>
          </cell>
        </row>
        <row r="345">
          <cell r="B345" t="str">
            <v>Hammer Mill Machine</v>
          </cell>
          <cell r="C345" t="str">
            <v>دستگاه نو</v>
          </cell>
          <cell r="P345" t="str">
            <v>تیغه</v>
          </cell>
          <cell r="AF345">
            <v>4</v>
          </cell>
        </row>
        <row r="346">
          <cell r="B346" t="str">
            <v>قالب شمشی عقب پیکان</v>
          </cell>
          <cell r="C346" t="str">
            <v>قالب نو</v>
          </cell>
          <cell r="P346" t="str">
            <v>لچکی</v>
          </cell>
          <cell r="AF346">
            <v>11</v>
          </cell>
        </row>
        <row r="347">
          <cell r="B347" t="str">
            <v>قالب پخت کلاچ پژو 405</v>
          </cell>
          <cell r="C347" t="str">
            <v>قالب تعمیری</v>
          </cell>
          <cell r="P347" t="str">
            <v>Mandrel</v>
          </cell>
          <cell r="AF347">
            <v>11</v>
          </cell>
        </row>
        <row r="348">
          <cell r="B348" t="str">
            <v>قالب پخت کلاچ پیکان آرژانتینی</v>
          </cell>
          <cell r="C348" t="str">
            <v>قالب تعمیری</v>
          </cell>
          <cell r="P348" t="str">
            <v>Matrix</v>
          </cell>
          <cell r="AF348">
            <v>10.75</v>
          </cell>
        </row>
        <row r="349">
          <cell r="B349" t="str">
            <v>پین عقب ریو</v>
          </cell>
          <cell r="C349" t="str">
            <v>قطعه نو</v>
          </cell>
          <cell r="P349" t="str">
            <v>عقب ریو</v>
          </cell>
          <cell r="AF349">
            <v>7.5</v>
          </cell>
        </row>
        <row r="350">
          <cell r="B350" t="str">
            <v>صنایع مس</v>
          </cell>
          <cell r="C350" t="str">
            <v>قطعه نو</v>
          </cell>
          <cell r="P350" t="str">
            <v>کنورتور</v>
          </cell>
          <cell r="AF350">
            <v>6.5</v>
          </cell>
        </row>
        <row r="351">
          <cell r="B351" t="str">
            <v>Hammer Mill Machine</v>
          </cell>
          <cell r="C351" t="str">
            <v>دستگاه نو</v>
          </cell>
          <cell r="P351" t="str">
            <v>تیغه</v>
          </cell>
          <cell r="AF351">
            <v>11</v>
          </cell>
        </row>
        <row r="352">
          <cell r="B352" t="str">
            <v>شمش پراید</v>
          </cell>
          <cell r="C352" t="str">
            <v>قالب نو</v>
          </cell>
          <cell r="P352" t="str">
            <v>تسمه</v>
          </cell>
          <cell r="AF352">
            <v>11</v>
          </cell>
        </row>
        <row r="353">
          <cell r="B353" t="str">
            <v>دستگاه مهر زنی</v>
          </cell>
          <cell r="C353" t="str">
            <v>قطعه تعمیری</v>
          </cell>
          <cell r="P353" t="str">
            <v>کشویی</v>
          </cell>
          <cell r="AF353">
            <v>6</v>
          </cell>
        </row>
        <row r="354">
          <cell r="B354" t="str">
            <v>قالب پخت کلاچ پیکان آرژانتینی</v>
          </cell>
          <cell r="C354" t="str">
            <v>قالب تعمیری</v>
          </cell>
          <cell r="P354" t="str">
            <v>Stop</v>
          </cell>
          <cell r="AF354">
            <v>6</v>
          </cell>
        </row>
        <row r="355">
          <cell r="B355" t="str">
            <v>دستگاه پشم فلز چینی</v>
          </cell>
          <cell r="C355" t="str">
            <v>قطعه نو</v>
          </cell>
          <cell r="P355" t="str">
            <v>روبند</v>
          </cell>
          <cell r="AF355">
            <v>1</v>
          </cell>
        </row>
        <row r="356">
          <cell r="B356" t="str">
            <v>برش جمعی عقب ریو</v>
          </cell>
          <cell r="C356" t="str">
            <v>قطعه نو</v>
          </cell>
          <cell r="P356" t="str">
            <v>تسمه</v>
          </cell>
          <cell r="AF356">
            <v>7</v>
          </cell>
        </row>
        <row r="357">
          <cell r="B357" t="str">
            <v>ابزار زنی</v>
          </cell>
          <cell r="C357" t="str">
            <v>قطعه نو</v>
          </cell>
          <cell r="P357" t="str">
            <v>تسمه</v>
          </cell>
          <cell r="AF357">
            <v>2</v>
          </cell>
        </row>
        <row r="358">
          <cell r="B358" t="str">
            <v>ساب سمباده ای</v>
          </cell>
          <cell r="C358" t="str">
            <v>قطعه تعمیری</v>
          </cell>
          <cell r="P358" t="str">
            <v>پیچ تنظیم</v>
          </cell>
          <cell r="AF358">
            <v>2</v>
          </cell>
        </row>
        <row r="359">
          <cell r="B359" t="str">
            <v>ویوینگ</v>
          </cell>
          <cell r="C359" t="str">
            <v>قطعه تعمیری</v>
          </cell>
          <cell r="P359" t="str">
            <v>پیچ و کورسها</v>
          </cell>
          <cell r="AF359">
            <v>2</v>
          </cell>
        </row>
        <row r="360">
          <cell r="B360" t="str">
            <v>ابزار زنی</v>
          </cell>
          <cell r="C360" t="str">
            <v>قطعه نو</v>
          </cell>
          <cell r="P360" t="str">
            <v>ابزار</v>
          </cell>
          <cell r="AF360">
            <v>5</v>
          </cell>
        </row>
        <row r="361">
          <cell r="B361" t="str">
            <v>قالب پخت کلاچ پژو 405</v>
          </cell>
          <cell r="C361" t="str">
            <v>قالب تعمیری</v>
          </cell>
          <cell r="P361" t="str">
            <v>Mandrel</v>
          </cell>
          <cell r="AF361">
            <v>11</v>
          </cell>
        </row>
        <row r="362">
          <cell r="B362" t="str">
            <v>قالب پخت کلاچ پیکان آرژانتینی</v>
          </cell>
          <cell r="C362" t="str">
            <v>قالب تعمیری</v>
          </cell>
          <cell r="P362" t="str">
            <v>Matrix</v>
          </cell>
          <cell r="AF362">
            <v>11</v>
          </cell>
        </row>
        <row r="363">
          <cell r="B363" t="str">
            <v>قالب شمشی عقب پیکان</v>
          </cell>
          <cell r="C363" t="str">
            <v>قالب نو</v>
          </cell>
          <cell r="P363" t="str">
            <v>لچکی</v>
          </cell>
          <cell r="AF363">
            <v>11</v>
          </cell>
        </row>
        <row r="364">
          <cell r="B364" t="str">
            <v>Hammer Mill Machine</v>
          </cell>
          <cell r="C364" t="str">
            <v>دستگاه نو</v>
          </cell>
          <cell r="P364" t="str">
            <v>تیغه</v>
          </cell>
          <cell r="AF364">
            <v>11</v>
          </cell>
        </row>
        <row r="365">
          <cell r="B365" t="str">
            <v>ابزار زنی</v>
          </cell>
          <cell r="C365" t="str">
            <v>قطعه نو</v>
          </cell>
          <cell r="P365" t="str">
            <v>تسمه</v>
          </cell>
          <cell r="AF365">
            <v>11</v>
          </cell>
        </row>
        <row r="366">
          <cell r="B366" t="str">
            <v>شمش پراید</v>
          </cell>
          <cell r="C366" t="str">
            <v>قالب نو</v>
          </cell>
          <cell r="P366" t="str">
            <v>تسمه</v>
          </cell>
          <cell r="AF366">
            <v>5</v>
          </cell>
        </row>
        <row r="367">
          <cell r="B367" t="str">
            <v>قالب پخت کلاچ پیکان آرژانتینی</v>
          </cell>
          <cell r="C367" t="str">
            <v>قالب تعمیری</v>
          </cell>
          <cell r="P367" t="str">
            <v>Bottom Plate</v>
          </cell>
          <cell r="AF367">
            <v>6</v>
          </cell>
        </row>
        <row r="368">
          <cell r="B368" t="str">
            <v>پین عقب ریو</v>
          </cell>
          <cell r="C368" t="str">
            <v>قطعه نو</v>
          </cell>
          <cell r="P368" t="str">
            <v>عقب ریو</v>
          </cell>
          <cell r="AF368">
            <v>3.5</v>
          </cell>
        </row>
        <row r="369">
          <cell r="B369" t="str">
            <v>ساب سمباده ای</v>
          </cell>
          <cell r="C369" t="str">
            <v>قطعه نو</v>
          </cell>
          <cell r="P369" t="str">
            <v>بوش راهنما</v>
          </cell>
          <cell r="AF369">
            <v>1</v>
          </cell>
        </row>
        <row r="370">
          <cell r="B370" t="str">
            <v>ابزار زنی</v>
          </cell>
          <cell r="C370" t="str">
            <v>قطعه نو</v>
          </cell>
          <cell r="P370" t="str">
            <v>تسمه</v>
          </cell>
          <cell r="AF370">
            <v>3</v>
          </cell>
        </row>
        <row r="371">
          <cell r="B371" t="str">
            <v>ابزار زنی</v>
          </cell>
          <cell r="C371" t="str">
            <v>قطعه نو</v>
          </cell>
          <cell r="P371" t="str">
            <v>تسمه</v>
          </cell>
          <cell r="AF371">
            <v>7</v>
          </cell>
        </row>
        <row r="372">
          <cell r="B372" t="str">
            <v>Hammer Mill Machine</v>
          </cell>
          <cell r="C372" t="str">
            <v>دستگاه نو</v>
          </cell>
          <cell r="P372" t="str">
            <v>پین تثبیت</v>
          </cell>
          <cell r="AF372">
            <v>3</v>
          </cell>
        </row>
        <row r="373">
          <cell r="B373" t="str">
            <v>دستگاه مهر زنی</v>
          </cell>
          <cell r="C373" t="str">
            <v>قطعه تعمیری</v>
          </cell>
          <cell r="P373" t="str">
            <v>کشویی</v>
          </cell>
          <cell r="AF373">
            <v>10</v>
          </cell>
        </row>
        <row r="374">
          <cell r="B374" t="str">
            <v>دستگاه پشم فلز آلمانی</v>
          </cell>
          <cell r="C374" t="str">
            <v>قطعه نو</v>
          </cell>
          <cell r="P374" t="str">
            <v>Shaft</v>
          </cell>
          <cell r="AF374">
            <v>2</v>
          </cell>
        </row>
        <row r="375">
          <cell r="B375" t="str">
            <v>کلمپ زنی</v>
          </cell>
          <cell r="C375" t="str">
            <v>دستگاه تعمیری</v>
          </cell>
          <cell r="P375" t="str">
            <v>میز</v>
          </cell>
          <cell r="AF375">
            <v>10</v>
          </cell>
        </row>
        <row r="376">
          <cell r="B376" t="str">
            <v>Hammer Mill Machine</v>
          </cell>
          <cell r="C376" t="str">
            <v>دستگاه نو</v>
          </cell>
          <cell r="P376" t="str">
            <v>پین تثبیت</v>
          </cell>
          <cell r="AF376">
            <v>8</v>
          </cell>
        </row>
        <row r="377">
          <cell r="B377" t="str">
            <v>کلمپ زنی</v>
          </cell>
          <cell r="C377" t="str">
            <v>دستگاه تعمیری</v>
          </cell>
          <cell r="P377" t="str">
            <v>قطعه</v>
          </cell>
          <cell r="AF377">
            <v>4</v>
          </cell>
        </row>
        <row r="378">
          <cell r="B378" t="str">
            <v>کلمپ زنی</v>
          </cell>
          <cell r="C378" t="str">
            <v>دستگاه تعمیری</v>
          </cell>
          <cell r="P378" t="str">
            <v>بوش برنجی</v>
          </cell>
          <cell r="AF378">
            <v>2</v>
          </cell>
        </row>
        <row r="379">
          <cell r="B379" t="str">
            <v>کلمپ زنی</v>
          </cell>
          <cell r="C379" t="str">
            <v>دستگاه تعمیری</v>
          </cell>
          <cell r="P379" t="str">
            <v>Shaft</v>
          </cell>
          <cell r="AF379">
            <v>2</v>
          </cell>
        </row>
        <row r="380">
          <cell r="B380" t="str">
            <v>Hammer Mill Machine</v>
          </cell>
          <cell r="C380" t="str">
            <v>دستگاه نو</v>
          </cell>
          <cell r="P380" t="str">
            <v>صفحه</v>
          </cell>
          <cell r="AF380">
            <v>2</v>
          </cell>
        </row>
        <row r="381">
          <cell r="B381" t="str">
            <v>دستگاه پشم فلز چینی</v>
          </cell>
          <cell r="C381" t="str">
            <v>قطعه نو</v>
          </cell>
          <cell r="P381" t="str">
            <v>لنگی</v>
          </cell>
          <cell r="AF381">
            <v>6.333333333333333</v>
          </cell>
        </row>
        <row r="382">
          <cell r="B382" t="str">
            <v>Hammer Mill Machine</v>
          </cell>
          <cell r="C382" t="str">
            <v>دستگاه نو</v>
          </cell>
          <cell r="P382" t="str">
            <v>قطعه</v>
          </cell>
          <cell r="AF382">
            <v>7.5</v>
          </cell>
        </row>
        <row r="383">
          <cell r="B383" t="str">
            <v>دستگاه توزین مواد</v>
          </cell>
          <cell r="C383" t="str">
            <v>قطعه تعمیری</v>
          </cell>
          <cell r="P383" t="str">
            <v>شابلون</v>
          </cell>
          <cell r="AF383">
            <v>7.5</v>
          </cell>
        </row>
        <row r="384">
          <cell r="B384" t="str">
            <v>دستگاه توزین مواد</v>
          </cell>
          <cell r="C384" t="str">
            <v>قطعه تعمیری</v>
          </cell>
          <cell r="P384" t="str">
            <v>شابلون</v>
          </cell>
          <cell r="AF384">
            <v>6.5</v>
          </cell>
        </row>
        <row r="385">
          <cell r="B385" t="str">
            <v>قالب پخت کلاچ پیکان آرژانتینی</v>
          </cell>
          <cell r="C385" t="str">
            <v>قالب تعمیری</v>
          </cell>
          <cell r="P385" t="str">
            <v>Matrix</v>
          </cell>
          <cell r="AF385">
            <v>7.5</v>
          </cell>
        </row>
        <row r="386">
          <cell r="B386" t="str">
            <v>ابزار زنی</v>
          </cell>
          <cell r="C386" t="str">
            <v>قطعه نو</v>
          </cell>
          <cell r="P386" t="str">
            <v>تسمه</v>
          </cell>
          <cell r="AF386">
            <v>3</v>
          </cell>
        </row>
        <row r="387">
          <cell r="B387" t="str">
            <v>ابزار زنی</v>
          </cell>
          <cell r="C387" t="str">
            <v>قطعه نو</v>
          </cell>
          <cell r="P387" t="str">
            <v>تسمه</v>
          </cell>
          <cell r="AF387">
            <v>2</v>
          </cell>
        </row>
        <row r="388">
          <cell r="B388" t="str">
            <v>ابزار زنی</v>
          </cell>
          <cell r="C388" t="str">
            <v>قطعه نو</v>
          </cell>
          <cell r="P388" t="str">
            <v>تسمه</v>
          </cell>
          <cell r="AF388">
            <v>3</v>
          </cell>
        </row>
        <row r="389">
          <cell r="B389" t="str">
            <v>ابزار زنی</v>
          </cell>
          <cell r="C389" t="str">
            <v>قطعه نو</v>
          </cell>
          <cell r="P389" t="str">
            <v>تسمه</v>
          </cell>
          <cell r="AF389">
            <v>5</v>
          </cell>
        </row>
        <row r="390">
          <cell r="B390" t="str">
            <v>اصول 5S</v>
          </cell>
          <cell r="C390" t="str">
            <v>نظافت</v>
          </cell>
          <cell r="P390" t="str">
            <v>سالن</v>
          </cell>
          <cell r="AF390">
            <v>1</v>
          </cell>
        </row>
        <row r="391">
          <cell r="B391" t="str">
            <v>ابزار زنی</v>
          </cell>
          <cell r="C391" t="str">
            <v>قطعه نو</v>
          </cell>
          <cell r="P391" t="str">
            <v>تسمه</v>
          </cell>
          <cell r="AF391">
            <v>2</v>
          </cell>
        </row>
        <row r="392">
          <cell r="B392" t="str">
            <v>قالب پخت کلاچ پیکان آرژانتینی</v>
          </cell>
          <cell r="C392" t="str">
            <v>قالب تعمیری</v>
          </cell>
          <cell r="P392" t="str">
            <v>top Plate</v>
          </cell>
          <cell r="AF392">
            <v>2.5</v>
          </cell>
        </row>
        <row r="393">
          <cell r="B393" t="str">
            <v>قالب پخت کلاچ پیکان آرژانتینی</v>
          </cell>
          <cell r="C393" t="str">
            <v>قالب تعمیری</v>
          </cell>
          <cell r="P393" t="str">
            <v>MOld</v>
          </cell>
          <cell r="AF393">
            <v>1</v>
          </cell>
        </row>
        <row r="394">
          <cell r="B394" t="str">
            <v>Hammer Mill Machine</v>
          </cell>
          <cell r="C394" t="str">
            <v>دستگاه نو</v>
          </cell>
          <cell r="P394" t="str">
            <v>تیغه</v>
          </cell>
          <cell r="AF394">
            <v>5</v>
          </cell>
        </row>
        <row r="395">
          <cell r="B395" t="str">
            <v>پخت کلاچ پراید</v>
          </cell>
          <cell r="C395" t="str">
            <v>قالب تعمیری</v>
          </cell>
          <cell r="P395" t="str">
            <v>top Plate</v>
          </cell>
          <cell r="AF395">
            <v>2</v>
          </cell>
        </row>
        <row r="396">
          <cell r="B396" t="str">
            <v>شمش پراید</v>
          </cell>
          <cell r="C396" t="str">
            <v>قالب نو</v>
          </cell>
          <cell r="P396" t="str">
            <v>تسمه</v>
          </cell>
          <cell r="AF396">
            <v>2</v>
          </cell>
        </row>
        <row r="397">
          <cell r="B397" t="str">
            <v>برش جمعی</v>
          </cell>
          <cell r="C397" t="str">
            <v>قطعه تعمیری</v>
          </cell>
          <cell r="P397" t="str">
            <v>تیغه</v>
          </cell>
          <cell r="AF397">
            <v>1</v>
          </cell>
        </row>
        <row r="398">
          <cell r="B398" t="str">
            <v>ابزار زنی</v>
          </cell>
          <cell r="C398" t="str">
            <v>قطعه نو</v>
          </cell>
          <cell r="P398" t="str">
            <v>ابزار</v>
          </cell>
          <cell r="AF398">
            <v>5</v>
          </cell>
        </row>
        <row r="399">
          <cell r="B399" t="str">
            <v>اصول 5S</v>
          </cell>
          <cell r="C399" t="str">
            <v>نظافت</v>
          </cell>
          <cell r="P399" t="str">
            <v>دستگاه</v>
          </cell>
          <cell r="AF399">
            <v>0.5</v>
          </cell>
        </row>
        <row r="400">
          <cell r="B400" t="str">
            <v>ابزار زنی</v>
          </cell>
          <cell r="C400" t="str">
            <v>قطعه نو</v>
          </cell>
          <cell r="P400" t="str">
            <v>ابزار</v>
          </cell>
          <cell r="AF400">
            <v>3</v>
          </cell>
        </row>
        <row r="401">
          <cell r="B401" t="str">
            <v>Hammer Mill Machine</v>
          </cell>
          <cell r="C401" t="str">
            <v>دستگاه نو</v>
          </cell>
          <cell r="P401" t="str">
            <v>پین تثبیت</v>
          </cell>
          <cell r="AF401">
            <v>7</v>
          </cell>
        </row>
        <row r="402">
          <cell r="B402" t="str">
            <v>آغشته کاری</v>
          </cell>
          <cell r="C402" t="str">
            <v>قطعه تعمیری</v>
          </cell>
          <cell r="P402" t="str">
            <v>توربین</v>
          </cell>
          <cell r="AF402">
            <v>2</v>
          </cell>
        </row>
        <row r="403">
          <cell r="B403" t="str">
            <v>آغشته کاری</v>
          </cell>
          <cell r="C403" t="str">
            <v>قطعه تعمیری</v>
          </cell>
          <cell r="P403" t="str">
            <v>پین تثبیت</v>
          </cell>
          <cell r="AF403">
            <v>1</v>
          </cell>
        </row>
        <row r="404">
          <cell r="B404" t="str">
            <v>کلمپ زنی</v>
          </cell>
          <cell r="C404" t="str">
            <v>دستگاه تعمیری</v>
          </cell>
          <cell r="P404" t="str">
            <v>میز</v>
          </cell>
          <cell r="AF404">
            <v>6</v>
          </cell>
        </row>
        <row r="405">
          <cell r="B405" t="str">
            <v>ابزار زنی</v>
          </cell>
          <cell r="C405" t="str">
            <v>قطعه نو</v>
          </cell>
          <cell r="P405" t="str">
            <v>تسمه</v>
          </cell>
          <cell r="AF405">
            <v>3</v>
          </cell>
        </row>
        <row r="406">
          <cell r="B406" t="str">
            <v>Hammer Mill Machine</v>
          </cell>
          <cell r="C406" t="str">
            <v>دستگاه نو</v>
          </cell>
          <cell r="P406" t="str">
            <v>تیغه</v>
          </cell>
          <cell r="AF406">
            <v>2</v>
          </cell>
        </row>
        <row r="407">
          <cell r="B407" t="str">
            <v>Hammer Mill Machine</v>
          </cell>
          <cell r="C407" t="str">
            <v>دستگاه نو</v>
          </cell>
          <cell r="P407" t="str">
            <v>صفحه گرد</v>
          </cell>
          <cell r="AF407">
            <v>12</v>
          </cell>
        </row>
        <row r="408">
          <cell r="B408" t="str">
            <v>قالب پخت کلاچ پژو 405</v>
          </cell>
          <cell r="C408" t="str">
            <v>قالب تعمیری</v>
          </cell>
          <cell r="P408" t="str">
            <v>MOld</v>
          </cell>
          <cell r="AF408">
            <v>2</v>
          </cell>
        </row>
        <row r="409">
          <cell r="B409" t="str">
            <v>شمش پراید</v>
          </cell>
          <cell r="C409" t="str">
            <v>قالب نو</v>
          </cell>
          <cell r="P409" t="str">
            <v>تسمه</v>
          </cell>
          <cell r="AF409">
            <v>4</v>
          </cell>
        </row>
        <row r="410">
          <cell r="B410" t="str">
            <v>قالب تیبا خزینه چپ</v>
          </cell>
          <cell r="C410" t="str">
            <v>قالب تعمیری</v>
          </cell>
          <cell r="P410" t="str">
            <v>guaid Road</v>
          </cell>
          <cell r="AF410">
            <v>2</v>
          </cell>
        </row>
        <row r="411">
          <cell r="B411" t="str">
            <v>دستگاه پشم فلز آلمانی</v>
          </cell>
          <cell r="C411" t="str">
            <v>قطعه نو</v>
          </cell>
          <cell r="P411" t="str">
            <v>BHS001</v>
          </cell>
          <cell r="AF411">
            <v>8</v>
          </cell>
        </row>
        <row r="412">
          <cell r="B412" t="str">
            <v>Hammer Mill Machine</v>
          </cell>
          <cell r="C412" t="str">
            <v>دستگاه نو</v>
          </cell>
          <cell r="P412" t="str">
            <v>صفحه گرد</v>
          </cell>
          <cell r="AF412">
            <v>2</v>
          </cell>
        </row>
        <row r="413">
          <cell r="B413" t="str">
            <v>کلمپ زنی</v>
          </cell>
          <cell r="C413" t="str">
            <v>دستگاه تعمیری</v>
          </cell>
          <cell r="P413" t="str">
            <v>دستگاه</v>
          </cell>
          <cell r="AF413">
            <v>2</v>
          </cell>
        </row>
        <row r="414">
          <cell r="B414" t="str">
            <v>قالب پخت کلاچ پیکان آرژانتینی</v>
          </cell>
          <cell r="C414" t="str">
            <v>قالب تعمیری</v>
          </cell>
          <cell r="P414" t="str">
            <v>سوپاپ</v>
          </cell>
          <cell r="AF414">
            <v>5</v>
          </cell>
        </row>
        <row r="415">
          <cell r="B415" t="str">
            <v>قالب پخت کلاچ پیکان آرژانتینی</v>
          </cell>
          <cell r="C415" t="str">
            <v>قالب تعمیری</v>
          </cell>
          <cell r="P415" t="str">
            <v>MOld</v>
          </cell>
          <cell r="AF415">
            <v>2</v>
          </cell>
        </row>
        <row r="416">
          <cell r="B416" t="str">
            <v>صفحات 50*50 پخت کلاچ</v>
          </cell>
          <cell r="C416" t="str">
            <v>قالب تعمیری</v>
          </cell>
          <cell r="P416" t="str">
            <v>top Plate</v>
          </cell>
          <cell r="AF416">
            <v>7.5</v>
          </cell>
        </row>
        <row r="417">
          <cell r="B417" t="str">
            <v>کلمپ زنی</v>
          </cell>
          <cell r="C417" t="str">
            <v>دستگاه تعمیری</v>
          </cell>
          <cell r="P417" t="str">
            <v>تسمه</v>
          </cell>
          <cell r="AF417">
            <v>4.5</v>
          </cell>
        </row>
        <row r="418">
          <cell r="B418" t="str">
            <v>دستگاه پشم فلز آلمانی</v>
          </cell>
          <cell r="C418" t="str">
            <v>قطعه نو</v>
          </cell>
          <cell r="P418" t="str">
            <v>تیغه بند</v>
          </cell>
          <cell r="AF418">
            <v>2</v>
          </cell>
        </row>
        <row r="419">
          <cell r="B419" t="str">
            <v>اصول 5S</v>
          </cell>
          <cell r="C419" t="str">
            <v>نظافت</v>
          </cell>
          <cell r="P419" t="str">
            <v>دستگاه</v>
          </cell>
          <cell r="AF419">
            <v>1</v>
          </cell>
        </row>
        <row r="420">
          <cell r="B420" t="str">
            <v>Hammer Mill Machine</v>
          </cell>
          <cell r="C420" t="str">
            <v>دستگاه نو</v>
          </cell>
          <cell r="P420" t="str">
            <v>پیچ دوسر رزوه</v>
          </cell>
          <cell r="AF420">
            <v>2</v>
          </cell>
        </row>
        <row r="421">
          <cell r="B421" t="str">
            <v>قالب پخت کلاچ پیکان آرژانتینی</v>
          </cell>
          <cell r="C421" t="str">
            <v>قالب تعمیری</v>
          </cell>
          <cell r="P421" t="str">
            <v>MOld</v>
          </cell>
          <cell r="AF421">
            <v>1</v>
          </cell>
        </row>
        <row r="422">
          <cell r="B422" t="str">
            <v>قالب پخت کلاچ پیکان آرژانتینی</v>
          </cell>
          <cell r="C422" t="str">
            <v>قالب تعمیری</v>
          </cell>
          <cell r="P422" t="str">
            <v>Mold</v>
          </cell>
          <cell r="AF422">
            <v>2</v>
          </cell>
        </row>
        <row r="423">
          <cell r="B423" t="str">
            <v>قالب پخت کلاچ پژو 405</v>
          </cell>
          <cell r="C423" t="str">
            <v>قالب تعمیری</v>
          </cell>
          <cell r="P423" t="str">
            <v>MOld</v>
          </cell>
          <cell r="AF423">
            <v>0.5</v>
          </cell>
        </row>
        <row r="424">
          <cell r="B424" t="str">
            <v>پین عقب آلستوم</v>
          </cell>
          <cell r="C424" t="str">
            <v>قطعه نو</v>
          </cell>
          <cell r="P424" t="str">
            <v>آلستوم</v>
          </cell>
          <cell r="AF424">
            <v>7.5</v>
          </cell>
        </row>
        <row r="425">
          <cell r="B425" t="str">
            <v>Hammer Mill Machine</v>
          </cell>
          <cell r="C425" t="str">
            <v>دستگاه نو</v>
          </cell>
          <cell r="P425" t="str">
            <v>قطعه</v>
          </cell>
          <cell r="AF425">
            <v>11</v>
          </cell>
        </row>
        <row r="426">
          <cell r="B426" t="str">
            <v>پخت کلاچ پراید</v>
          </cell>
          <cell r="C426" t="str">
            <v>قالب تعمیری</v>
          </cell>
          <cell r="P426" t="str">
            <v>Matrix</v>
          </cell>
          <cell r="AF426">
            <v>11</v>
          </cell>
        </row>
        <row r="427">
          <cell r="B427" t="str">
            <v>صفحات 50*50 پخت کلاچ</v>
          </cell>
          <cell r="C427" t="str">
            <v>قالب تعمیری</v>
          </cell>
          <cell r="P427" t="str">
            <v>top Plate</v>
          </cell>
          <cell r="AF427">
            <v>11</v>
          </cell>
        </row>
        <row r="428">
          <cell r="B428" t="str">
            <v>دستگاه پشم فلز چینی</v>
          </cell>
          <cell r="C428" t="str">
            <v>قطعه نو</v>
          </cell>
          <cell r="P428" t="str">
            <v>لنگی</v>
          </cell>
          <cell r="AF428">
            <v>4.166666666666667</v>
          </cell>
        </row>
        <row r="429">
          <cell r="B429" t="str">
            <v>دریل یزدخواستی کلاچ</v>
          </cell>
          <cell r="C429" t="str">
            <v>قطعه نو</v>
          </cell>
          <cell r="P429" t="str">
            <v>Shaft</v>
          </cell>
          <cell r="AF429">
            <v>7</v>
          </cell>
        </row>
        <row r="430">
          <cell r="B430" t="str">
            <v>قالب پخت کلاچ پژو 405</v>
          </cell>
          <cell r="C430" t="str">
            <v>قالب تعمیری</v>
          </cell>
          <cell r="P430" t="str">
            <v>پیچ واسطه</v>
          </cell>
          <cell r="AF430">
            <v>2</v>
          </cell>
        </row>
        <row r="431">
          <cell r="B431" t="str">
            <v>ابزار زنی</v>
          </cell>
          <cell r="C431" t="str">
            <v>قطعه نو</v>
          </cell>
          <cell r="P431" t="str">
            <v>سنبه</v>
          </cell>
          <cell r="AF431">
            <v>1.6666666666666667</v>
          </cell>
        </row>
        <row r="432">
          <cell r="B432" t="str">
            <v>قالب توری پگاسوز</v>
          </cell>
          <cell r="C432" t="str">
            <v>قالب تعمیری</v>
          </cell>
          <cell r="P432" t="str">
            <v>MOld</v>
          </cell>
          <cell r="AF432">
            <v>2</v>
          </cell>
        </row>
        <row r="433">
          <cell r="B433" t="str">
            <v>ابزار زنی</v>
          </cell>
          <cell r="C433" t="str">
            <v>قطعه نو</v>
          </cell>
          <cell r="P433" t="str">
            <v>تسمه</v>
          </cell>
          <cell r="AF433">
            <v>3</v>
          </cell>
        </row>
        <row r="434">
          <cell r="B434" t="str">
            <v>قالب نیسان آریا</v>
          </cell>
          <cell r="C434" t="str">
            <v>قالب نو</v>
          </cell>
          <cell r="P434" t="str">
            <v>Matrix</v>
          </cell>
          <cell r="AF434">
            <v>6</v>
          </cell>
        </row>
        <row r="435">
          <cell r="B435" t="str">
            <v>ابزار زنی</v>
          </cell>
          <cell r="C435" t="str">
            <v>قطعه نو</v>
          </cell>
          <cell r="P435" t="str">
            <v>سنبه</v>
          </cell>
          <cell r="AF435">
            <v>1</v>
          </cell>
        </row>
        <row r="436">
          <cell r="B436" t="str">
            <v>ابزار زنی</v>
          </cell>
          <cell r="C436" t="str">
            <v>قطعه نو</v>
          </cell>
          <cell r="P436" t="str">
            <v>Shaft</v>
          </cell>
          <cell r="AF436">
            <v>3</v>
          </cell>
        </row>
        <row r="437">
          <cell r="B437" t="str">
            <v>کلمپ زنی</v>
          </cell>
          <cell r="C437" t="str">
            <v>قطعه نو</v>
          </cell>
          <cell r="P437" t="str">
            <v>ابزار</v>
          </cell>
          <cell r="AF437">
            <v>7</v>
          </cell>
        </row>
        <row r="438">
          <cell r="B438" t="str">
            <v>دستگاه توزین مواد</v>
          </cell>
          <cell r="C438" t="str">
            <v>قطعه تعمیری</v>
          </cell>
          <cell r="P438" t="str">
            <v>شابلون</v>
          </cell>
          <cell r="AF438">
            <v>1.5</v>
          </cell>
        </row>
        <row r="439">
          <cell r="B439" t="str">
            <v>قالب توری پگاسوز</v>
          </cell>
          <cell r="C439" t="str">
            <v>قالب تعمیری</v>
          </cell>
          <cell r="P439" t="str">
            <v>Mandrel</v>
          </cell>
          <cell r="AF439">
            <v>6.5</v>
          </cell>
        </row>
        <row r="440">
          <cell r="B440" t="str">
            <v>قالب پخت کلاچ پژو 405</v>
          </cell>
          <cell r="C440" t="str">
            <v>قالب تعمیری</v>
          </cell>
          <cell r="P440" t="str">
            <v>Bottom Plate</v>
          </cell>
          <cell r="AF440">
            <v>3</v>
          </cell>
        </row>
        <row r="441">
          <cell r="B441" t="str">
            <v>شمش پراید</v>
          </cell>
          <cell r="C441" t="str">
            <v>قالب نو</v>
          </cell>
          <cell r="P441" t="str">
            <v xml:space="preserve">تسمه </v>
          </cell>
          <cell r="AF441">
            <v>4</v>
          </cell>
        </row>
        <row r="442">
          <cell r="B442" t="str">
            <v>پخت کلاچ پراید</v>
          </cell>
          <cell r="C442" t="str">
            <v>قالب تعمیری</v>
          </cell>
          <cell r="P442" t="str">
            <v>Bottom Plate</v>
          </cell>
          <cell r="AF442">
            <v>2</v>
          </cell>
        </row>
        <row r="443">
          <cell r="B443" t="str">
            <v>قالب توری پگاسوز</v>
          </cell>
          <cell r="C443" t="str">
            <v>قالب تعمیری</v>
          </cell>
          <cell r="P443" t="str">
            <v>سنبه و ماتریس</v>
          </cell>
          <cell r="AF443">
            <v>2</v>
          </cell>
        </row>
        <row r="444">
          <cell r="B444" t="str">
            <v>قالب پخت کلاچ پیکان آرژانتینی</v>
          </cell>
          <cell r="C444" t="str">
            <v>قالب تعمیری</v>
          </cell>
          <cell r="P444" t="str">
            <v>top Plate</v>
          </cell>
          <cell r="AF444">
            <v>9</v>
          </cell>
        </row>
        <row r="445">
          <cell r="B445" t="str">
            <v>Hammer Mill Machine</v>
          </cell>
          <cell r="C445" t="str">
            <v>دستگاه نو</v>
          </cell>
          <cell r="P445" t="str">
            <v>قطعه</v>
          </cell>
          <cell r="AF445">
            <v>10</v>
          </cell>
        </row>
        <row r="446">
          <cell r="B446" t="str">
            <v>دستگاه پشم فلز آلمانی</v>
          </cell>
          <cell r="C446" t="str">
            <v>قطعه نو</v>
          </cell>
          <cell r="P446" t="str">
            <v>تیغه</v>
          </cell>
          <cell r="AF446">
            <v>12</v>
          </cell>
        </row>
        <row r="447">
          <cell r="B447" t="str">
            <v>برش آلستوم</v>
          </cell>
          <cell r="C447" t="str">
            <v>قالب تعمیری</v>
          </cell>
          <cell r="P447" t="str">
            <v>Mandrel</v>
          </cell>
          <cell r="AF447">
            <v>2</v>
          </cell>
        </row>
        <row r="448">
          <cell r="B448" t="str">
            <v>قالب لودری 70021</v>
          </cell>
          <cell r="C448" t="str">
            <v>قالب تعمیری</v>
          </cell>
          <cell r="P448" t="str">
            <v>Mandrel</v>
          </cell>
          <cell r="AF448">
            <v>4</v>
          </cell>
        </row>
        <row r="449">
          <cell r="B449" t="str">
            <v>دستگاه پرس 600 تن</v>
          </cell>
          <cell r="C449" t="str">
            <v>قطعه تعمیری</v>
          </cell>
          <cell r="P449" t="str">
            <v>تقویتی</v>
          </cell>
          <cell r="AF449">
            <v>12</v>
          </cell>
        </row>
        <row r="450">
          <cell r="B450" t="str">
            <v>دستگاه پشم فلز آلمانی</v>
          </cell>
          <cell r="C450" t="str">
            <v>قطعه نو</v>
          </cell>
          <cell r="P450" t="str">
            <v>تیغه</v>
          </cell>
          <cell r="AF450">
            <v>10</v>
          </cell>
        </row>
        <row r="451">
          <cell r="B451" t="str">
            <v>Hammer Mill Machine</v>
          </cell>
          <cell r="C451" t="str">
            <v>دستگاه نو</v>
          </cell>
          <cell r="P451" t="str">
            <v>بوش پشم فلز و جای خار</v>
          </cell>
          <cell r="AF451">
            <v>2</v>
          </cell>
        </row>
        <row r="452">
          <cell r="B452" t="str">
            <v>کوبه نک قطاری</v>
          </cell>
          <cell r="C452" t="str">
            <v>قالب تعمیری</v>
          </cell>
          <cell r="P452" t="str">
            <v>Mandrel</v>
          </cell>
          <cell r="AF452">
            <v>12</v>
          </cell>
        </row>
        <row r="453">
          <cell r="B453" t="str">
            <v>تیغ فرز</v>
          </cell>
          <cell r="C453" t="str">
            <v>قطعه تعمیری</v>
          </cell>
          <cell r="P453" t="str">
            <v>تیغه</v>
          </cell>
          <cell r="AF453">
            <v>5</v>
          </cell>
        </row>
        <row r="454">
          <cell r="B454" t="str">
            <v>نگهدارنده پلاک قالب</v>
          </cell>
          <cell r="C454" t="str">
            <v>قطعه نو</v>
          </cell>
          <cell r="P454" t="str">
            <v>نگهدارنده U</v>
          </cell>
          <cell r="AF454">
            <v>4</v>
          </cell>
        </row>
        <row r="455">
          <cell r="B455" t="str">
            <v>پخت کلاچ پراید</v>
          </cell>
          <cell r="C455" t="str">
            <v>قالب تعمیری</v>
          </cell>
          <cell r="P455" t="str">
            <v>Matrix</v>
          </cell>
          <cell r="AF455">
            <v>7</v>
          </cell>
        </row>
        <row r="456">
          <cell r="B456" t="str">
            <v>پخت کلاچ پراید</v>
          </cell>
          <cell r="C456" t="str">
            <v>قالب تعمیری</v>
          </cell>
          <cell r="P456" t="str">
            <v>Matrix</v>
          </cell>
          <cell r="AF456">
            <v>6</v>
          </cell>
        </row>
        <row r="457">
          <cell r="B457" t="str">
            <v>دستگاه پشم فلز چینی</v>
          </cell>
          <cell r="C457" t="str">
            <v>قطعه نو</v>
          </cell>
          <cell r="P457" t="str">
            <v>لنگی</v>
          </cell>
          <cell r="AF457">
            <v>1</v>
          </cell>
        </row>
        <row r="458">
          <cell r="B458" t="str">
            <v>شمش پراید</v>
          </cell>
          <cell r="C458" t="str">
            <v>قالب نو</v>
          </cell>
          <cell r="P458" t="str">
            <v>Mold</v>
          </cell>
          <cell r="AF458">
            <v>4.833333333333333</v>
          </cell>
        </row>
        <row r="459">
          <cell r="B459" t="str">
            <v>صفحات 50*50 پخت کلاچ</v>
          </cell>
          <cell r="C459" t="str">
            <v>قالب تعمیری</v>
          </cell>
          <cell r="P459" t="str">
            <v>top Plate</v>
          </cell>
          <cell r="AF459">
            <v>11</v>
          </cell>
        </row>
        <row r="460">
          <cell r="B460" t="str">
            <v>قالب پخت کلاچ پژو 405</v>
          </cell>
          <cell r="C460" t="str">
            <v>قالب تعمیری</v>
          </cell>
          <cell r="P460" t="str">
            <v>Bottom Plate</v>
          </cell>
          <cell r="AF460">
            <v>11</v>
          </cell>
        </row>
        <row r="461">
          <cell r="B461" t="str">
            <v>قالب پخت کلاچ پژو 405</v>
          </cell>
          <cell r="C461" t="str">
            <v>قالب تعمیری</v>
          </cell>
          <cell r="P461" t="str">
            <v>top Plate</v>
          </cell>
          <cell r="AF461">
            <v>7</v>
          </cell>
        </row>
        <row r="462">
          <cell r="B462" t="str">
            <v>قالب پخت کلاچ پژو 405</v>
          </cell>
          <cell r="C462" t="str">
            <v>قالب تعمیری</v>
          </cell>
          <cell r="P462" t="str">
            <v>Mandrel</v>
          </cell>
          <cell r="AF462">
            <v>4</v>
          </cell>
        </row>
        <row r="463">
          <cell r="B463" t="str">
            <v>پین عقب آلستوم</v>
          </cell>
          <cell r="C463" t="str">
            <v>قطعه نو</v>
          </cell>
          <cell r="P463" t="str">
            <v>آلستوم</v>
          </cell>
          <cell r="AF463">
            <v>7.5</v>
          </cell>
        </row>
        <row r="464">
          <cell r="B464" t="str">
            <v>پین عقب آلستوم</v>
          </cell>
          <cell r="C464" t="str">
            <v>قطعه نو</v>
          </cell>
          <cell r="P464" t="str">
            <v>آلستوم</v>
          </cell>
          <cell r="AF464">
            <v>7.5</v>
          </cell>
        </row>
        <row r="465">
          <cell r="B465" t="str">
            <v>دستگاه پرس 600 تن</v>
          </cell>
          <cell r="C465" t="str">
            <v>قطعه تعمیری</v>
          </cell>
          <cell r="P465" t="str">
            <v>بلوک</v>
          </cell>
          <cell r="AF465">
            <v>11</v>
          </cell>
        </row>
        <row r="466">
          <cell r="B466" t="str">
            <v>قالب توری پگاسوز</v>
          </cell>
          <cell r="C466" t="str">
            <v>قالب تعمیری</v>
          </cell>
          <cell r="P466" t="str">
            <v>آشغال ریز</v>
          </cell>
          <cell r="AF466">
            <v>4.5</v>
          </cell>
        </row>
        <row r="467">
          <cell r="B467" t="str">
            <v>دریل یزدخواستی کلاچ</v>
          </cell>
          <cell r="C467" t="str">
            <v>قطعه نو</v>
          </cell>
          <cell r="P467" t="str">
            <v>فیکسچر پیکان</v>
          </cell>
          <cell r="AF467">
            <v>6.5</v>
          </cell>
        </row>
        <row r="468">
          <cell r="B468" t="str">
            <v>ابزار زنی</v>
          </cell>
          <cell r="C468" t="str">
            <v>قطعه نو</v>
          </cell>
          <cell r="P468" t="str">
            <v>ابزار</v>
          </cell>
          <cell r="AF468">
            <v>6</v>
          </cell>
        </row>
        <row r="469">
          <cell r="B469" t="str">
            <v>پرس پخت</v>
          </cell>
          <cell r="C469" t="str">
            <v>قطعه تعمیری</v>
          </cell>
          <cell r="P469" t="str">
            <v>Shaft</v>
          </cell>
          <cell r="AF469">
            <v>2</v>
          </cell>
        </row>
        <row r="470">
          <cell r="B470" t="str">
            <v>پرس پخت کلاچ</v>
          </cell>
          <cell r="C470" t="str">
            <v>قطعه تعمیری</v>
          </cell>
          <cell r="P470" t="str">
            <v>Shaft</v>
          </cell>
          <cell r="AF470">
            <v>1</v>
          </cell>
        </row>
        <row r="471">
          <cell r="B471" t="str">
            <v>پرس پخت کلاچ</v>
          </cell>
          <cell r="C471" t="str">
            <v>قطعه تعمیری</v>
          </cell>
          <cell r="P471" t="str">
            <v>مهره</v>
          </cell>
          <cell r="AF471">
            <v>1</v>
          </cell>
        </row>
        <row r="472">
          <cell r="B472" t="str">
            <v>قالب پخت کلاچ پیکان آرژانتینی</v>
          </cell>
          <cell r="C472" t="str">
            <v>قالب تعمیری</v>
          </cell>
          <cell r="P472" t="str">
            <v>Stop</v>
          </cell>
          <cell r="AF472">
            <v>1</v>
          </cell>
        </row>
        <row r="473">
          <cell r="B473" t="str">
            <v>Hammer Mill Machine</v>
          </cell>
          <cell r="C473" t="str">
            <v>دستگاه نو</v>
          </cell>
          <cell r="P473" t="str">
            <v>Bush</v>
          </cell>
          <cell r="AF473">
            <v>2</v>
          </cell>
        </row>
        <row r="474">
          <cell r="B474" t="str">
            <v>ساب سمباده ای</v>
          </cell>
          <cell r="C474" t="str">
            <v>قطعه نو</v>
          </cell>
          <cell r="P474" t="str">
            <v>Bush</v>
          </cell>
          <cell r="AF474">
            <v>2</v>
          </cell>
        </row>
        <row r="475">
          <cell r="B475" t="str">
            <v>ساب سمباده ای</v>
          </cell>
          <cell r="C475" t="str">
            <v>قطعه نو</v>
          </cell>
          <cell r="P475" t="str">
            <v>توپی</v>
          </cell>
          <cell r="AF475">
            <v>2</v>
          </cell>
        </row>
        <row r="476">
          <cell r="B476" t="str">
            <v>دریل یزدخواستی کلاچ</v>
          </cell>
          <cell r="C476" t="str">
            <v>قطعه نو</v>
          </cell>
          <cell r="P476" t="str">
            <v>فیکسچر پیکان</v>
          </cell>
          <cell r="AF476">
            <v>2</v>
          </cell>
        </row>
        <row r="477">
          <cell r="B477" t="str">
            <v>قالب پخت کلاچ پیکان آرژانتینی</v>
          </cell>
          <cell r="C477" t="str">
            <v>قالب تعمیری</v>
          </cell>
          <cell r="P477" t="str">
            <v>پیچ واسطه</v>
          </cell>
          <cell r="AF477">
            <v>4</v>
          </cell>
        </row>
        <row r="478">
          <cell r="B478" t="str">
            <v>قالب پخت کلاچ پیکان آرژانتینی</v>
          </cell>
          <cell r="C478" t="str">
            <v>قالب تعمیری</v>
          </cell>
          <cell r="P478" t="str">
            <v>Stop</v>
          </cell>
          <cell r="AF478">
            <v>4</v>
          </cell>
        </row>
        <row r="479">
          <cell r="B479" t="str">
            <v>سری نقطه جوش</v>
          </cell>
          <cell r="C479" t="str">
            <v>قطعه تعمیری</v>
          </cell>
          <cell r="P479" t="str">
            <v>مسی</v>
          </cell>
          <cell r="AF479">
            <v>2</v>
          </cell>
        </row>
        <row r="480">
          <cell r="B480" t="str">
            <v>قالب پخت کلاچ پیکان آرژانتینی</v>
          </cell>
          <cell r="C480" t="str">
            <v>قالب تعمیری</v>
          </cell>
          <cell r="P480" t="str">
            <v>Stop</v>
          </cell>
          <cell r="AF480">
            <v>7</v>
          </cell>
        </row>
        <row r="481">
          <cell r="B481" t="str">
            <v>قالب پخت کلاچ پژو 405</v>
          </cell>
          <cell r="C481" t="str">
            <v>قالب تعمیری</v>
          </cell>
          <cell r="P481" t="str">
            <v>پیچ واسطه</v>
          </cell>
          <cell r="AF481">
            <v>4</v>
          </cell>
        </row>
        <row r="482">
          <cell r="B482" t="str">
            <v>شمش پراید</v>
          </cell>
          <cell r="C482" t="str">
            <v>قالب نو</v>
          </cell>
          <cell r="P482" t="str">
            <v>Mold</v>
          </cell>
          <cell r="AF482">
            <v>2</v>
          </cell>
        </row>
        <row r="483">
          <cell r="B483" t="str">
            <v>قالب پخت کلاچ پیکان آرژانتینی</v>
          </cell>
          <cell r="C483" t="str">
            <v>قالب تعمیری</v>
          </cell>
          <cell r="P483" t="str">
            <v>سوپاپ</v>
          </cell>
          <cell r="AF483">
            <v>1.5</v>
          </cell>
        </row>
        <row r="484">
          <cell r="B484" t="str">
            <v>قالب پخت کلاچ پیکان آرژانتینی</v>
          </cell>
          <cell r="C484" t="str">
            <v>قالب تعمیری</v>
          </cell>
          <cell r="P484" t="str">
            <v>Stop</v>
          </cell>
          <cell r="AF484">
            <v>6.5</v>
          </cell>
        </row>
        <row r="485">
          <cell r="B485" t="str">
            <v>دستگاه مهر زنی</v>
          </cell>
          <cell r="C485" t="str">
            <v>قطعه تعمیری</v>
          </cell>
          <cell r="P485" t="str">
            <v>قطعه</v>
          </cell>
          <cell r="AF485">
            <v>4.5</v>
          </cell>
        </row>
        <row r="486">
          <cell r="B486" t="str">
            <v>قالب پخت کلاچ پژو 405</v>
          </cell>
          <cell r="C486" t="str">
            <v>قالب تعمیری</v>
          </cell>
          <cell r="P486" t="str">
            <v>Mold</v>
          </cell>
          <cell r="AF486">
            <v>3</v>
          </cell>
        </row>
        <row r="487">
          <cell r="B487" t="str">
            <v>پخت کلاچ پراید</v>
          </cell>
          <cell r="C487" t="str">
            <v>قالب تعمیری</v>
          </cell>
          <cell r="P487" t="str">
            <v>Mold</v>
          </cell>
          <cell r="AF487">
            <v>2</v>
          </cell>
        </row>
        <row r="488">
          <cell r="B488" t="str">
            <v>قالب پخت کلاچ پیکان آرژانتینی</v>
          </cell>
          <cell r="C488" t="str">
            <v>قالب تعمیری</v>
          </cell>
          <cell r="P488" t="str">
            <v>Mold</v>
          </cell>
          <cell r="AF488">
            <v>2</v>
          </cell>
        </row>
        <row r="489">
          <cell r="B489" t="str">
            <v>قالب پخت کلاچ پیکان آرژانتینی</v>
          </cell>
          <cell r="C489" t="str">
            <v>قالب تعمیری</v>
          </cell>
          <cell r="P489" t="str">
            <v>Stop</v>
          </cell>
          <cell r="AF489">
            <v>2</v>
          </cell>
        </row>
        <row r="490">
          <cell r="B490" t="str">
            <v>پخت کلاچ پراید</v>
          </cell>
          <cell r="C490" t="str">
            <v>قالب تعمیری</v>
          </cell>
          <cell r="P490" t="str">
            <v>Stop</v>
          </cell>
          <cell r="AF490">
            <v>2</v>
          </cell>
        </row>
        <row r="491">
          <cell r="B491" t="str">
            <v>قالب پخت کلاچ پژو 405</v>
          </cell>
          <cell r="C491" t="str">
            <v>قالب تعمیری</v>
          </cell>
          <cell r="P491" t="str">
            <v>Bottom Plate</v>
          </cell>
          <cell r="AF491">
            <v>3</v>
          </cell>
        </row>
        <row r="492">
          <cell r="B492" t="str">
            <v>دستگاه مهر زنی</v>
          </cell>
          <cell r="C492" t="str">
            <v>قطعه تعمیری</v>
          </cell>
          <cell r="P492" t="str">
            <v>صفحه</v>
          </cell>
          <cell r="AF492">
            <v>2</v>
          </cell>
        </row>
        <row r="493">
          <cell r="B493" t="str">
            <v>پخت کلاچ پراید</v>
          </cell>
          <cell r="C493" t="str">
            <v>قالب تعمیری</v>
          </cell>
          <cell r="P493" t="str">
            <v>رینگ</v>
          </cell>
          <cell r="AF493">
            <v>1</v>
          </cell>
        </row>
        <row r="494">
          <cell r="B494" t="str">
            <v>قالب پخت کلاچ پژو 405</v>
          </cell>
          <cell r="C494" t="str">
            <v>قالب تعمیری</v>
          </cell>
          <cell r="P494" t="str">
            <v>top Plate</v>
          </cell>
          <cell r="AF494">
            <v>3</v>
          </cell>
        </row>
        <row r="495">
          <cell r="B495" t="str">
            <v>قالب پیلسان</v>
          </cell>
          <cell r="C495" t="str">
            <v>قالب تعمیری</v>
          </cell>
          <cell r="P495" t="str">
            <v>Mold</v>
          </cell>
          <cell r="AF495">
            <v>2</v>
          </cell>
        </row>
        <row r="496">
          <cell r="B496" t="str">
            <v>قالب لودری 70021</v>
          </cell>
          <cell r="C496" t="str">
            <v>قالب تعمیری</v>
          </cell>
          <cell r="P496" t="str">
            <v>Matrix</v>
          </cell>
          <cell r="AF496">
            <v>1</v>
          </cell>
        </row>
        <row r="497">
          <cell r="B497" t="str">
            <v>قالب پخت کلاچ پیکان آرژانتینی</v>
          </cell>
          <cell r="C497" t="str">
            <v>قالب تعمیری</v>
          </cell>
          <cell r="P497" t="str">
            <v>top Plate</v>
          </cell>
          <cell r="AF497">
            <v>2</v>
          </cell>
        </row>
        <row r="498">
          <cell r="B498" t="str">
            <v>قالب پخت کلاچ پژو 405</v>
          </cell>
          <cell r="C498" t="str">
            <v>قالب تعمیری</v>
          </cell>
          <cell r="P498" t="str">
            <v>Bottom Plate</v>
          </cell>
          <cell r="AF498">
            <v>4</v>
          </cell>
        </row>
        <row r="499">
          <cell r="B499" t="str">
            <v>پخت کلاچ پراید</v>
          </cell>
          <cell r="C499" t="str">
            <v>قالب تعمیری</v>
          </cell>
          <cell r="P499" t="str">
            <v>Bottom Plate</v>
          </cell>
          <cell r="AF499">
            <v>4</v>
          </cell>
        </row>
        <row r="500">
          <cell r="B500" t="str">
            <v>پخت کلاچ پراید</v>
          </cell>
          <cell r="C500" t="str">
            <v>قالب تعمیری</v>
          </cell>
          <cell r="P500" t="str">
            <v>Bottom Plate</v>
          </cell>
          <cell r="AF500">
            <v>4</v>
          </cell>
        </row>
        <row r="501">
          <cell r="B501" t="str">
            <v>قالب پخت کلاچ پژو 405</v>
          </cell>
          <cell r="C501" t="str">
            <v>قالب تعمیری</v>
          </cell>
          <cell r="P501" t="str">
            <v>Bottom Plate</v>
          </cell>
          <cell r="AF501">
            <v>2</v>
          </cell>
        </row>
        <row r="502">
          <cell r="B502" t="str">
            <v>قالب پیلسان</v>
          </cell>
          <cell r="C502" t="str">
            <v>قالب تعمیری</v>
          </cell>
          <cell r="P502" t="str">
            <v>Matrix</v>
          </cell>
          <cell r="AF502">
            <v>1</v>
          </cell>
        </row>
        <row r="503">
          <cell r="B503" t="str">
            <v>قالب پخت کلاچ پژو 405</v>
          </cell>
          <cell r="C503" t="str">
            <v>قالب تعمیری</v>
          </cell>
          <cell r="P503" t="str">
            <v>top Plate</v>
          </cell>
          <cell r="AF503">
            <v>4</v>
          </cell>
        </row>
        <row r="504">
          <cell r="B504" t="str">
            <v>قالب تیبا خزینه چپ</v>
          </cell>
          <cell r="C504" t="str">
            <v>قالب تعمیری</v>
          </cell>
          <cell r="P504" t="str">
            <v>guaid Road</v>
          </cell>
          <cell r="AF504">
            <v>2</v>
          </cell>
        </row>
        <row r="505">
          <cell r="B505" t="str">
            <v>قالب پخت کلاچ پیکان آرژانتینی</v>
          </cell>
          <cell r="C505" t="str">
            <v>قالب تعمیری</v>
          </cell>
          <cell r="P505" t="str">
            <v>Bottom Plate</v>
          </cell>
          <cell r="AF505">
            <v>1</v>
          </cell>
        </row>
        <row r="506">
          <cell r="B506" t="str">
            <v>قالب پخت کلاچ پیکان آرژانتینی</v>
          </cell>
          <cell r="C506" t="str">
            <v>قالب تعمیری</v>
          </cell>
          <cell r="P506" t="str">
            <v>Mandrel</v>
          </cell>
          <cell r="AF506">
            <v>1</v>
          </cell>
        </row>
        <row r="507">
          <cell r="B507" t="str">
            <v>کلمپ زنی</v>
          </cell>
          <cell r="C507" t="str">
            <v>قطعه نو</v>
          </cell>
          <cell r="P507" t="str">
            <v>قطعه</v>
          </cell>
          <cell r="AF507">
            <v>2</v>
          </cell>
        </row>
        <row r="508">
          <cell r="B508" t="str">
            <v>قالب پخت کلاچ پیکان آرژانتینی</v>
          </cell>
          <cell r="C508" t="str">
            <v>قالب تعمیری</v>
          </cell>
          <cell r="P508" t="str">
            <v>سوپاپ</v>
          </cell>
          <cell r="AF508">
            <v>2</v>
          </cell>
        </row>
        <row r="509">
          <cell r="B509" t="str">
            <v>پخت کلاچ هوو</v>
          </cell>
          <cell r="C509" t="str">
            <v>قالب تعمیری</v>
          </cell>
          <cell r="P509" t="str">
            <v>guaid Road</v>
          </cell>
          <cell r="AF509">
            <v>1</v>
          </cell>
        </row>
        <row r="510">
          <cell r="B510" t="str">
            <v>پخت کلاچ ده تن سوراخدار</v>
          </cell>
          <cell r="C510" t="str">
            <v>قالب تعمیری</v>
          </cell>
          <cell r="P510" t="str">
            <v>guaid Road</v>
          </cell>
          <cell r="AF510">
            <v>1</v>
          </cell>
        </row>
        <row r="511">
          <cell r="B511" t="str">
            <v>قطاری باری</v>
          </cell>
          <cell r="C511" t="str">
            <v>قالب تعمیری</v>
          </cell>
          <cell r="P511" t="str">
            <v>صفحه</v>
          </cell>
          <cell r="AF511">
            <v>1</v>
          </cell>
        </row>
        <row r="512">
          <cell r="B512" t="str">
            <v>شمش پراید</v>
          </cell>
          <cell r="C512" t="str">
            <v>قالب نو</v>
          </cell>
          <cell r="P512" t="str">
            <v>Mold</v>
          </cell>
          <cell r="AF512">
            <v>6.333333333333333</v>
          </cell>
        </row>
        <row r="513">
          <cell r="B513" t="str">
            <v>پین عقب پژو 405</v>
          </cell>
          <cell r="C513" t="str">
            <v>قطعه نو</v>
          </cell>
          <cell r="P513" t="str">
            <v>عقب پژو 405</v>
          </cell>
          <cell r="AF513">
            <v>7.5</v>
          </cell>
        </row>
        <row r="514">
          <cell r="B514" t="str">
            <v>دریل یزدخواستی کلاچ</v>
          </cell>
          <cell r="C514" t="str">
            <v>قطعه نو</v>
          </cell>
          <cell r="P514" t="str">
            <v>فیکسچر پیکان</v>
          </cell>
          <cell r="AF514">
            <v>11</v>
          </cell>
        </row>
        <row r="515">
          <cell r="B515" t="str">
            <v>قالب پخت کلاچ پژو 405</v>
          </cell>
          <cell r="C515" t="str">
            <v>قالب تعمیری</v>
          </cell>
          <cell r="P515" t="str">
            <v>Stop</v>
          </cell>
          <cell r="AF515">
            <v>4</v>
          </cell>
        </row>
        <row r="516">
          <cell r="B516" t="str">
            <v>پخت کلاچ پراید</v>
          </cell>
          <cell r="C516" t="str">
            <v>قالب تعمیری</v>
          </cell>
          <cell r="P516" t="str">
            <v>Stop</v>
          </cell>
          <cell r="AF516">
            <v>4</v>
          </cell>
        </row>
        <row r="517">
          <cell r="B517" t="str">
            <v>صفحات 50*50 پخت کلاچ</v>
          </cell>
          <cell r="C517" t="str">
            <v>قالب تعمیری</v>
          </cell>
          <cell r="P517" t="str">
            <v>top Plate</v>
          </cell>
          <cell r="AF517">
            <v>5.5</v>
          </cell>
        </row>
        <row r="518">
          <cell r="B518" t="str">
            <v>پخت عقب پژو 405 شمشی پایه کوتاه</v>
          </cell>
          <cell r="C518" t="str">
            <v>قالب نو</v>
          </cell>
          <cell r="P518" t="str">
            <v>تسمه</v>
          </cell>
          <cell r="AF518">
            <v>5.5</v>
          </cell>
        </row>
        <row r="519">
          <cell r="B519" t="str">
            <v>پرس پخت کلاچ</v>
          </cell>
          <cell r="C519" t="str">
            <v>قطعه تعمیری</v>
          </cell>
          <cell r="P519" t="str">
            <v>Shaft</v>
          </cell>
          <cell r="AF519">
            <v>5</v>
          </cell>
        </row>
        <row r="520">
          <cell r="B520" t="str">
            <v>دستگاه CNC</v>
          </cell>
          <cell r="C520" t="str">
            <v>قطعه نو</v>
          </cell>
          <cell r="P520" t="str">
            <v>ابزار</v>
          </cell>
          <cell r="AF520">
            <v>2</v>
          </cell>
        </row>
        <row r="521">
          <cell r="B521" t="str">
            <v>قالب پخت کلاچ پیکان آرژانتینی</v>
          </cell>
          <cell r="C521" t="str">
            <v>قالب تعمیری</v>
          </cell>
          <cell r="P521" t="str">
            <v>میل راهنما</v>
          </cell>
          <cell r="AF521">
            <v>2</v>
          </cell>
        </row>
        <row r="522">
          <cell r="B522" t="str">
            <v>قالب پخت کلاچ پژو 405</v>
          </cell>
          <cell r="C522" t="str">
            <v>قالب تعمیری</v>
          </cell>
          <cell r="P522" t="str">
            <v>top Plate</v>
          </cell>
          <cell r="AF522">
            <v>4</v>
          </cell>
        </row>
        <row r="523">
          <cell r="B523" t="str">
            <v>شیم پژو 405</v>
          </cell>
          <cell r="C523" t="str">
            <v>قالب تعمیری</v>
          </cell>
          <cell r="P523" t="str">
            <v>Matrix</v>
          </cell>
          <cell r="AF523">
            <v>1</v>
          </cell>
        </row>
        <row r="524">
          <cell r="B524" t="str">
            <v>صفحات 50*50 پخت کلاچ</v>
          </cell>
          <cell r="C524" t="str">
            <v>قالب تعمیری</v>
          </cell>
          <cell r="P524" t="str">
            <v>bottom plate</v>
          </cell>
          <cell r="AF524">
            <v>6</v>
          </cell>
        </row>
        <row r="525">
          <cell r="B525" t="str">
            <v>پخت کلاچ پراید</v>
          </cell>
          <cell r="C525" t="str">
            <v>قالب تعمیری</v>
          </cell>
          <cell r="P525" t="str">
            <v>Mold</v>
          </cell>
          <cell r="AF525">
            <v>6.5</v>
          </cell>
        </row>
        <row r="526">
          <cell r="B526" t="str">
            <v>پخت کلاچ پراید</v>
          </cell>
          <cell r="C526" t="str">
            <v>قالب تعمیری</v>
          </cell>
          <cell r="P526" t="str">
            <v>تقویتی</v>
          </cell>
          <cell r="AF526">
            <v>1.5</v>
          </cell>
        </row>
        <row r="527">
          <cell r="B527" t="str">
            <v>Hammer Mill Machine</v>
          </cell>
          <cell r="C527" t="str">
            <v>دستگاه نو</v>
          </cell>
          <cell r="P527" t="str">
            <v>خار</v>
          </cell>
          <cell r="AF527">
            <v>1</v>
          </cell>
        </row>
        <row r="528">
          <cell r="B528" t="str">
            <v>قالب پخت کلاچ پژو 405</v>
          </cell>
          <cell r="C528" t="str">
            <v>قالب تعمیری</v>
          </cell>
          <cell r="P528" t="str">
            <v>Mold</v>
          </cell>
          <cell r="AF528">
            <v>1</v>
          </cell>
        </row>
        <row r="529">
          <cell r="B529" t="str">
            <v>stop</v>
          </cell>
          <cell r="C529" t="str">
            <v>قطعه نو</v>
          </cell>
          <cell r="P529" t="str">
            <v>Stop</v>
          </cell>
          <cell r="AF529">
            <v>2</v>
          </cell>
        </row>
        <row r="530">
          <cell r="B530" t="str">
            <v>قالب پخت کلاچ پژو 405</v>
          </cell>
          <cell r="C530" t="str">
            <v>قالب تعمیری</v>
          </cell>
          <cell r="P530" t="str">
            <v>top Plate</v>
          </cell>
          <cell r="AF530">
            <v>4</v>
          </cell>
        </row>
        <row r="531">
          <cell r="B531" t="str">
            <v>شیم ریو</v>
          </cell>
          <cell r="C531" t="str">
            <v>قالب تعمیری</v>
          </cell>
          <cell r="P531" t="str">
            <v>Mold</v>
          </cell>
          <cell r="AF531">
            <v>2</v>
          </cell>
        </row>
        <row r="532">
          <cell r="B532" t="str">
            <v>قالب پخت کلاچ پژو 405</v>
          </cell>
          <cell r="C532" t="str">
            <v>قالب تعمیری</v>
          </cell>
          <cell r="P532" t="str">
            <v>Mold</v>
          </cell>
          <cell r="AF532">
            <v>2</v>
          </cell>
        </row>
        <row r="533">
          <cell r="B533" t="str">
            <v>دستگاه پرس 600 تن</v>
          </cell>
          <cell r="C533" t="str">
            <v>قطعه تعمیری</v>
          </cell>
          <cell r="P533" t="str">
            <v>تقویتی</v>
          </cell>
          <cell r="AF533">
            <v>10</v>
          </cell>
        </row>
        <row r="534">
          <cell r="B534" t="str">
            <v>دستگاه پشم فلز</v>
          </cell>
          <cell r="C534" t="str">
            <v>قطعه نو</v>
          </cell>
          <cell r="P534" t="str">
            <v>Bush</v>
          </cell>
          <cell r="AF534">
            <v>3</v>
          </cell>
        </row>
        <row r="535">
          <cell r="B535" t="str">
            <v>نگهدارنده پلاک قالب</v>
          </cell>
          <cell r="C535" t="str">
            <v>قطعه نو</v>
          </cell>
          <cell r="P535" t="str">
            <v>نگهدارنده U</v>
          </cell>
          <cell r="AF535">
            <v>10</v>
          </cell>
        </row>
        <row r="536">
          <cell r="B536" t="str">
            <v>کوبه نک قطاری</v>
          </cell>
          <cell r="C536" t="str">
            <v>قالب تعمیری</v>
          </cell>
          <cell r="P536" t="str">
            <v>Mandrel</v>
          </cell>
          <cell r="AF536">
            <v>10</v>
          </cell>
        </row>
        <row r="537">
          <cell r="B537" t="str">
            <v>قلم پژو 405</v>
          </cell>
          <cell r="C537" t="str">
            <v>قطعه تعمیری</v>
          </cell>
          <cell r="P537" t="str">
            <v>قلم</v>
          </cell>
          <cell r="AF537">
            <v>5</v>
          </cell>
        </row>
        <row r="538">
          <cell r="B538" t="str">
            <v>قالب پخت کلاچ پیکان آرژانتینی</v>
          </cell>
          <cell r="C538" t="str">
            <v>قالب تعمیری</v>
          </cell>
          <cell r="P538" t="str">
            <v>top Plate</v>
          </cell>
          <cell r="AF538">
            <v>2.5</v>
          </cell>
        </row>
        <row r="539">
          <cell r="B539" t="str">
            <v>قالب پخت کلاچ پژو 405</v>
          </cell>
          <cell r="C539" t="str">
            <v>قالب تعمیری</v>
          </cell>
          <cell r="P539" t="str">
            <v>Mold</v>
          </cell>
          <cell r="AF539">
            <v>4</v>
          </cell>
        </row>
        <row r="540">
          <cell r="B540" t="str">
            <v>پخت کلاچ پراید</v>
          </cell>
          <cell r="C540" t="str">
            <v>قالب تعمیری</v>
          </cell>
          <cell r="P540" t="str">
            <v>Mold</v>
          </cell>
          <cell r="AF540">
            <v>4</v>
          </cell>
        </row>
        <row r="541">
          <cell r="B541" t="str">
            <v>قالب پیلسان</v>
          </cell>
          <cell r="C541" t="str">
            <v>قالب تعمیری</v>
          </cell>
          <cell r="P541" t="str">
            <v>top Plate</v>
          </cell>
          <cell r="AF541">
            <v>0.5</v>
          </cell>
        </row>
        <row r="542">
          <cell r="B542" t="str">
            <v>پخت کلاچ هوو</v>
          </cell>
          <cell r="C542" t="str">
            <v>قالب تعمیری</v>
          </cell>
          <cell r="P542" t="str">
            <v>guaid Road</v>
          </cell>
          <cell r="AF542">
            <v>2.5</v>
          </cell>
        </row>
        <row r="543">
          <cell r="B543" t="str">
            <v>پخت کلاچ ده تن سوراخدار</v>
          </cell>
          <cell r="C543" t="str">
            <v>قالب تعمیری</v>
          </cell>
          <cell r="P543" t="str">
            <v>guaid Road</v>
          </cell>
          <cell r="AF543">
            <v>2.5</v>
          </cell>
        </row>
        <row r="544">
          <cell r="B544" t="str">
            <v>قالب پخت کلاچ پژو 405</v>
          </cell>
          <cell r="C544" t="str">
            <v>قالب تعمیری</v>
          </cell>
          <cell r="P544" t="str">
            <v>top Plate</v>
          </cell>
          <cell r="AF544">
            <v>1</v>
          </cell>
        </row>
        <row r="545">
          <cell r="B545" t="str">
            <v>قالب پخت کلاچ پژو 405</v>
          </cell>
          <cell r="C545" t="str">
            <v>قالب تعمیری</v>
          </cell>
          <cell r="P545" t="str">
            <v>top Plate</v>
          </cell>
          <cell r="AF545">
            <v>1</v>
          </cell>
        </row>
        <row r="546">
          <cell r="B546" t="str">
            <v>قالب پخت کلاچ پژو 405</v>
          </cell>
          <cell r="C546" t="str">
            <v>قالب تعمیری</v>
          </cell>
          <cell r="P546" t="str">
            <v>Mandrel</v>
          </cell>
          <cell r="AF546">
            <v>11</v>
          </cell>
        </row>
        <row r="547">
          <cell r="B547" t="str">
            <v>دریل یزدخواستی کلاچ</v>
          </cell>
          <cell r="C547" t="str">
            <v>قطعه نو</v>
          </cell>
          <cell r="P547" t="str">
            <v>فیکسچر پیکان</v>
          </cell>
          <cell r="AF547">
            <v>2.5</v>
          </cell>
        </row>
        <row r="548">
          <cell r="B548" t="str">
            <v>دریل یزدخواستی کلاچ</v>
          </cell>
          <cell r="C548" t="str">
            <v>قطعه نو</v>
          </cell>
          <cell r="P548" t="str">
            <v>فیکسچر پیکان</v>
          </cell>
          <cell r="AF548">
            <v>4.5</v>
          </cell>
        </row>
        <row r="549">
          <cell r="B549" t="str">
            <v>قالب پخت کلاچ پژو 405</v>
          </cell>
          <cell r="C549" t="str">
            <v>قالب تعمیری</v>
          </cell>
          <cell r="P549" t="str">
            <v>Matrix</v>
          </cell>
          <cell r="AF549">
            <v>4.5</v>
          </cell>
        </row>
        <row r="550">
          <cell r="B550" t="str">
            <v>پین عقب پژو 405</v>
          </cell>
          <cell r="C550" t="str">
            <v>قطعه نو</v>
          </cell>
          <cell r="P550" t="str">
            <v>عقب پژو 405</v>
          </cell>
          <cell r="AF550">
            <v>7.5</v>
          </cell>
        </row>
        <row r="551">
          <cell r="B551" t="str">
            <v>قالب پخت کلاچ پژو 405</v>
          </cell>
          <cell r="C551" t="str">
            <v>قالب تعمیری</v>
          </cell>
          <cell r="P551" t="str">
            <v>Bottom Plate</v>
          </cell>
          <cell r="AF551">
            <v>5</v>
          </cell>
        </row>
        <row r="552">
          <cell r="B552" t="str">
            <v>صفحات 50*50 پخت کلاچ</v>
          </cell>
          <cell r="C552" t="str">
            <v>قالب تعمیری</v>
          </cell>
          <cell r="P552" t="str">
            <v>top Plate</v>
          </cell>
          <cell r="AF552">
            <v>6</v>
          </cell>
        </row>
        <row r="553">
          <cell r="B553" t="str">
            <v>دریل یزدخواستی کلاچ</v>
          </cell>
          <cell r="C553" t="str">
            <v>قطعه نو</v>
          </cell>
          <cell r="P553" t="str">
            <v>راهنما</v>
          </cell>
          <cell r="AF553">
            <v>5</v>
          </cell>
        </row>
        <row r="554">
          <cell r="B554" t="str">
            <v>قالب پخت کلاچ پژو 405</v>
          </cell>
          <cell r="C554" t="str">
            <v>قالب تعمیری</v>
          </cell>
          <cell r="P554" t="str">
            <v>پین واسطه</v>
          </cell>
          <cell r="AF554">
            <v>2</v>
          </cell>
        </row>
        <row r="555">
          <cell r="B555" t="str">
            <v>دریل یزدخواستی کلاچ</v>
          </cell>
          <cell r="C555" t="str">
            <v>قطعه تعمیری</v>
          </cell>
          <cell r="P555" t="str">
            <v>Shaft</v>
          </cell>
          <cell r="AF555">
            <v>2</v>
          </cell>
        </row>
        <row r="556">
          <cell r="B556" t="str">
            <v>قالب پخت کلاچ پژو 405</v>
          </cell>
          <cell r="C556" t="str">
            <v>قالب تعمیری</v>
          </cell>
          <cell r="P556" t="str">
            <v>Mandrel</v>
          </cell>
          <cell r="AF556">
            <v>6.5</v>
          </cell>
        </row>
        <row r="557">
          <cell r="B557" t="str">
            <v>قالب پخت کلاچ پژو 405</v>
          </cell>
          <cell r="C557" t="str">
            <v>قالب تعمیری</v>
          </cell>
          <cell r="P557" t="str">
            <v>bottom plate</v>
          </cell>
          <cell r="AF557">
            <v>2.5</v>
          </cell>
        </row>
        <row r="558">
          <cell r="B558" t="str">
            <v>پخت کلاچ پراید</v>
          </cell>
          <cell r="C558" t="str">
            <v>قالب تعمیری</v>
          </cell>
          <cell r="P558" t="str">
            <v>Mandrel</v>
          </cell>
          <cell r="AF558">
            <v>2</v>
          </cell>
        </row>
        <row r="559">
          <cell r="B559" t="str">
            <v>قالب پخت کلاچ پژو 405</v>
          </cell>
          <cell r="C559" t="str">
            <v>قالب تعمیری</v>
          </cell>
          <cell r="P559" t="str">
            <v>Mandrel</v>
          </cell>
          <cell r="AF559">
            <v>4</v>
          </cell>
        </row>
        <row r="560">
          <cell r="B560" t="str">
            <v>پخت کلاچ پراید</v>
          </cell>
          <cell r="C560" t="str">
            <v>قالب تعمیری</v>
          </cell>
          <cell r="P560" t="str">
            <v>Stop</v>
          </cell>
          <cell r="AF560">
            <v>4</v>
          </cell>
        </row>
        <row r="561">
          <cell r="B561" t="str">
            <v>پخت کلاچ پراید</v>
          </cell>
          <cell r="C561" t="str">
            <v>قالب تعمیری</v>
          </cell>
          <cell r="P561" t="str">
            <v>پیچ واسطه</v>
          </cell>
          <cell r="AF561">
            <v>3</v>
          </cell>
        </row>
        <row r="562">
          <cell r="B562" t="str">
            <v>Hammer Mill Machine</v>
          </cell>
          <cell r="C562" t="str">
            <v>دستگاه نو</v>
          </cell>
          <cell r="P562" t="str">
            <v>خار</v>
          </cell>
          <cell r="AF562">
            <v>2</v>
          </cell>
        </row>
        <row r="563">
          <cell r="B563" t="str">
            <v>قالب پخت کلاچ پیکان آرژانتینی</v>
          </cell>
          <cell r="C563" t="str">
            <v>قالب تعمیری</v>
          </cell>
          <cell r="P563" t="str">
            <v>سوپاپ</v>
          </cell>
          <cell r="AF563">
            <v>3.5</v>
          </cell>
        </row>
        <row r="564">
          <cell r="B564" t="str">
            <v>قالب پخت کلاچ پیکان آرژانتینی</v>
          </cell>
          <cell r="C564" t="str">
            <v>قالب تعمیری</v>
          </cell>
          <cell r="P564" t="str">
            <v>سوپاپ</v>
          </cell>
          <cell r="AF564">
            <v>3.5</v>
          </cell>
        </row>
        <row r="565">
          <cell r="B565" t="str">
            <v>پخت کلاچ پراید</v>
          </cell>
          <cell r="C565" t="str">
            <v>قالب تعمیری</v>
          </cell>
          <cell r="P565" t="str">
            <v>سوپاپ</v>
          </cell>
          <cell r="AF565">
            <v>2</v>
          </cell>
        </row>
        <row r="566">
          <cell r="B566" t="str">
            <v>پخت کلاچ ده تن سوراخدار</v>
          </cell>
          <cell r="C566" t="str">
            <v>قالب تعمیری</v>
          </cell>
          <cell r="P566" t="str">
            <v>guaid Road</v>
          </cell>
          <cell r="AF566">
            <v>2</v>
          </cell>
        </row>
        <row r="567">
          <cell r="B567" t="str">
            <v>پخت کلاچ هوو</v>
          </cell>
          <cell r="C567" t="str">
            <v>قالب تعمیری</v>
          </cell>
          <cell r="P567" t="str">
            <v>guaid Road</v>
          </cell>
          <cell r="AF567">
            <v>2</v>
          </cell>
        </row>
        <row r="568">
          <cell r="B568" t="str">
            <v>قالب پخت کلاچ پژو 405</v>
          </cell>
          <cell r="C568" t="str">
            <v>قالب تعمیری</v>
          </cell>
          <cell r="P568" t="str">
            <v>top Plate</v>
          </cell>
          <cell r="AF568">
            <v>3</v>
          </cell>
        </row>
        <row r="569">
          <cell r="B569" t="str">
            <v>پخت کلاچ پراید</v>
          </cell>
          <cell r="C569" t="str">
            <v>قالب تعمیری</v>
          </cell>
          <cell r="P569" t="str">
            <v>رینگ</v>
          </cell>
          <cell r="AF569">
            <v>2</v>
          </cell>
        </row>
        <row r="570">
          <cell r="B570" t="str">
            <v>پخت کلاچ ده تن سوراخدار</v>
          </cell>
          <cell r="C570" t="str">
            <v>قالب تعمیری</v>
          </cell>
          <cell r="P570" t="str">
            <v>guaid Road</v>
          </cell>
          <cell r="AF570">
            <v>2</v>
          </cell>
        </row>
        <row r="571">
          <cell r="B571" t="str">
            <v>پخت کلاچ هوو</v>
          </cell>
          <cell r="C571" t="str">
            <v>قالب تعمیری</v>
          </cell>
          <cell r="P571" t="str">
            <v>guaid Road</v>
          </cell>
          <cell r="AF571">
            <v>2</v>
          </cell>
        </row>
        <row r="572">
          <cell r="B572" t="str">
            <v>قالب پخت کلاچ پژو 405</v>
          </cell>
          <cell r="C572" t="str">
            <v>قالب تعمیری</v>
          </cell>
          <cell r="P572" t="str">
            <v>top Plate</v>
          </cell>
          <cell r="AF572">
            <v>2</v>
          </cell>
        </row>
        <row r="573">
          <cell r="B573" t="str">
            <v>پخت کلاچ پراید</v>
          </cell>
          <cell r="C573" t="str">
            <v>قالب تعمیری</v>
          </cell>
          <cell r="P573" t="str">
            <v>guaid Road</v>
          </cell>
          <cell r="AF573">
            <v>1</v>
          </cell>
        </row>
        <row r="574">
          <cell r="B574" t="str">
            <v>قالب پخت کلاچ پژو 405</v>
          </cell>
          <cell r="C574" t="str">
            <v>قالب تعمیری</v>
          </cell>
          <cell r="P574" t="str">
            <v>guaid Road</v>
          </cell>
          <cell r="AF574">
            <v>2</v>
          </cell>
        </row>
        <row r="575">
          <cell r="B575" t="str">
            <v>پخت کلاچ پراید</v>
          </cell>
          <cell r="C575" t="str">
            <v>قالب تعمیری</v>
          </cell>
          <cell r="P575" t="str">
            <v>top Plate</v>
          </cell>
          <cell r="AF575">
            <v>1</v>
          </cell>
        </row>
        <row r="576">
          <cell r="B576" t="str">
            <v>دستگاه پرس 600 تن</v>
          </cell>
          <cell r="C576" t="str">
            <v>قطعه تعمیری</v>
          </cell>
          <cell r="P576" t="str">
            <v>تقویتی</v>
          </cell>
          <cell r="AF576">
            <v>12</v>
          </cell>
        </row>
        <row r="577">
          <cell r="B577" t="str">
            <v>قالب پخت کلاچ پژو 405</v>
          </cell>
          <cell r="C577" t="str">
            <v>قالب تعمیری</v>
          </cell>
          <cell r="P577" t="str">
            <v>Mold</v>
          </cell>
          <cell r="AF577">
            <v>12</v>
          </cell>
        </row>
        <row r="578">
          <cell r="B578" t="str">
            <v>پخت کلاچ پراید</v>
          </cell>
          <cell r="C578" t="str">
            <v>قالب تعمیری</v>
          </cell>
          <cell r="P578" t="str">
            <v>Mold</v>
          </cell>
          <cell r="AF578">
            <v>12</v>
          </cell>
        </row>
        <row r="579">
          <cell r="B579" t="str">
            <v>نگهدارنده پلاک قالب</v>
          </cell>
          <cell r="C579" t="str">
            <v>قطعه نو</v>
          </cell>
          <cell r="P579" t="str">
            <v>نگهدارنده U</v>
          </cell>
          <cell r="AF579">
            <v>9</v>
          </cell>
        </row>
        <row r="580">
          <cell r="B580" t="str">
            <v>قالب پخت کلاچ پژو 405</v>
          </cell>
          <cell r="C580" t="str">
            <v>قالب تعمیری</v>
          </cell>
          <cell r="P580" t="str">
            <v>Mandrel</v>
          </cell>
          <cell r="AF580">
            <v>7</v>
          </cell>
        </row>
        <row r="581">
          <cell r="B581" t="str">
            <v>شمش پراید</v>
          </cell>
          <cell r="C581" t="str">
            <v>قالب نو</v>
          </cell>
          <cell r="P581" t="str">
            <v>Mold</v>
          </cell>
          <cell r="AF581">
            <v>6.5</v>
          </cell>
        </row>
        <row r="582">
          <cell r="B582" t="str">
            <v>دریل یزدخواستی کلاچ</v>
          </cell>
          <cell r="C582" t="str">
            <v>قطعه نو</v>
          </cell>
          <cell r="P582" t="str">
            <v>فیکسچر پیکان</v>
          </cell>
          <cell r="AF582">
            <v>6.5</v>
          </cell>
        </row>
        <row r="583">
          <cell r="B583" t="str">
            <v>قالب پخت کلاچ پژو 405</v>
          </cell>
          <cell r="C583" t="str">
            <v>قالب تعمیری</v>
          </cell>
          <cell r="P583" t="str">
            <v>Matrix</v>
          </cell>
          <cell r="AF583">
            <v>7.5</v>
          </cell>
        </row>
        <row r="584">
          <cell r="B584" t="str">
            <v>صفحات 50*50 پخت کلاچ</v>
          </cell>
          <cell r="C584" t="str">
            <v>قالب تعمیری</v>
          </cell>
          <cell r="P584" t="str">
            <v>top Plate</v>
          </cell>
          <cell r="AF584">
            <v>7.5</v>
          </cell>
        </row>
        <row r="585">
          <cell r="B585" t="str">
            <v>پین عقب پژو 405</v>
          </cell>
          <cell r="C585" t="str">
            <v>قطعه نو</v>
          </cell>
          <cell r="P585" t="str">
            <v>عقب پژو 405</v>
          </cell>
          <cell r="AF585">
            <v>7.5</v>
          </cell>
        </row>
        <row r="586">
          <cell r="B586" t="str">
            <v>Hammer Mill Machine</v>
          </cell>
          <cell r="C586" t="str">
            <v>دستگاه نو</v>
          </cell>
          <cell r="P586" t="str">
            <v>Bush</v>
          </cell>
          <cell r="AF586">
            <v>2</v>
          </cell>
        </row>
        <row r="587">
          <cell r="B587" t="str">
            <v>پخت عقب پژو 405 شمشی پایه کوتاه</v>
          </cell>
          <cell r="C587" t="str">
            <v>قالب نو</v>
          </cell>
          <cell r="P587" t="str">
            <v>تسمه</v>
          </cell>
          <cell r="AF587">
            <v>2.5</v>
          </cell>
        </row>
        <row r="588">
          <cell r="B588" t="str">
            <v>پخت عقب پژو 405 شمشی پایه کوتاه</v>
          </cell>
          <cell r="C588" t="str">
            <v>قالب نو</v>
          </cell>
          <cell r="P588" t="str">
            <v>Mandrel</v>
          </cell>
          <cell r="AF588">
            <v>8.5</v>
          </cell>
        </row>
        <row r="589">
          <cell r="B589" t="str">
            <v>صفحات 50*50 پخت کلاچ</v>
          </cell>
          <cell r="C589" t="str">
            <v>قالب تعمیری</v>
          </cell>
          <cell r="P589" t="str">
            <v>top Plate</v>
          </cell>
          <cell r="AF589">
            <v>7.5</v>
          </cell>
        </row>
        <row r="590">
          <cell r="B590" t="str">
            <v>پخت عقب پژو 405 شمشی پایه کوتاه</v>
          </cell>
          <cell r="C590" t="str">
            <v>قالب نو</v>
          </cell>
          <cell r="P590" t="str">
            <v>Mold</v>
          </cell>
          <cell r="AF590">
            <v>2</v>
          </cell>
        </row>
        <row r="591">
          <cell r="B591" t="str">
            <v>ابزار زنی</v>
          </cell>
          <cell r="C591" t="str">
            <v>قطعه تعمیری</v>
          </cell>
          <cell r="P591" t="str">
            <v>فیکسچر</v>
          </cell>
          <cell r="AF591">
            <v>1.5</v>
          </cell>
        </row>
        <row r="592">
          <cell r="B592" t="str">
            <v>ویوینگ</v>
          </cell>
          <cell r="C592" t="str">
            <v>قطعه تعمیری</v>
          </cell>
          <cell r="P592" t="str">
            <v>گوه</v>
          </cell>
          <cell r="AF592">
            <v>2</v>
          </cell>
        </row>
        <row r="593">
          <cell r="B593" t="str">
            <v>اصول 5S</v>
          </cell>
          <cell r="C593" t="str">
            <v>نظافت</v>
          </cell>
          <cell r="P593" t="str">
            <v>دستگاه</v>
          </cell>
          <cell r="AF593">
            <v>1</v>
          </cell>
        </row>
        <row r="594">
          <cell r="B594" t="str">
            <v>پخت کلاچ پراید</v>
          </cell>
          <cell r="C594" t="str">
            <v>قالب تعمیری</v>
          </cell>
          <cell r="P594" t="str">
            <v>Mold</v>
          </cell>
          <cell r="AF594">
            <v>2</v>
          </cell>
        </row>
        <row r="595">
          <cell r="B595" t="str">
            <v>قالب پخت کلاچ پیکان</v>
          </cell>
          <cell r="C595" t="str">
            <v>قالب تعمیری</v>
          </cell>
          <cell r="P595" t="str">
            <v>Mold</v>
          </cell>
          <cell r="AF595">
            <v>3</v>
          </cell>
        </row>
        <row r="596">
          <cell r="B596" t="str">
            <v>ابزار زنی</v>
          </cell>
          <cell r="C596" t="str">
            <v>قطعه نو</v>
          </cell>
          <cell r="P596" t="str">
            <v>Shaft</v>
          </cell>
          <cell r="AF596">
            <v>2</v>
          </cell>
        </row>
        <row r="597">
          <cell r="B597" t="str">
            <v>اصول 5S</v>
          </cell>
          <cell r="C597" t="str">
            <v>نظافت</v>
          </cell>
          <cell r="P597" t="str">
            <v>دستگاه</v>
          </cell>
          <cell r="AF597">
            <v>0.5</v>
          </cell>
        </row>
        <row r="598">
          <cell r="B598" t="str">
            <v>دریل یزدخواستی کلاچ</v>
          </cell>
          <cell r="C598" t="str">
            <v>قطعه نو</v>
          </cell>
          <cell r="P598" t="str">
            <v>فیکسچر پراید</v>
          </cell>
          <cell r="AF598">
            <v>3.5</v>
          </cell>
        </row>
        <row r="599">
          <cell r="B599" t="str">
            <v>دریل یزدخواستی کلاچ</v>
          </cell>
          <cell r="C599" t="str">
            <v>قطعه نو</v>
          </cell>
          <cell r="P599" t="str">
            <v>فیکسچر پیکان</v>
          </cell>
          <cell r="AF599">
            <v>3</v>
          </cell>
        </row>
        <row r="600">
          <cell r="B600" t="str">
            <v>اصول 5S</v>
          </cell>
          <cell r="C600" t="str">
            <v>نظافت</v>
          </cell>
          <cell r="P600" t="str">
            <v>دستگاه</v>
          </cell>
          <cell r="AF600">
            <v>0.5</v>
          </cell>
        </row>
        <row r="601">
          <cell r="B601" t="str">
            <v>دستگاه سنگ مغناطیسی</v>
          </cell>
          <cell r="C601" t="str">
            <v>دستگاه تعمیری</v>
          </cell>
          <cell r="P601" t="str">
            <v>Bush</v>
          </cell>
          <cell r="AF601">
            <v>2</v>
          </cell>
        </row>
        <row r="602">
          <cell r="B602" t="str">
            <v>دریل یزدخواستی کلاچ</v>
          </cell>
          <cell r="C602" t="str">
            <v>قطعه نو</v>
          </cell>
          <cell r="P602" t="str">
            <v>فیکسچر پراید</v>
          </cell>
          <cell r="AF602">
            <v>4</v>
          </cell>
        </row>
        <row r="603">
          <cell r="B603" t="str">
            <v>پخت عقب پژو 405 شمشی پایه کوتاه</v>
          </cell>
          <cell r="C603" t="str">
            <v>قالب نو</v>
          </cell>
          <cell r="P603" t="str">
            <v>Mold</v>
          </cell>
          <cell r="AF603">
            <v>4</v>
          </cell>
        </row>
        <row r="604">
          <cell r="B604" t="str">
            <v>قالب پخت کلاچ پیکان</v>
          </cell>
          <cell r="C604" t="str">
            <v>قالب تعمیری</v>
          </cell>
          <cell r="P604" t="str">
            <v>سوپاپ</v>
          </cell>
          <cell r="AF604">
            <v>3</v>
          </cell>
        </row>
        <row r="605">
          <cell r="B605" t="str">
            <v>اصول 5S</v>
          </cell>
          <cell r="C605" t="str">
            <v>نظافت</v>
          </cell>
          <cell r="P605" t="str">
            <v>دستگاه</v>
          </cell>
          <cell r="AF605">
            <v>0.5</v>
          </cell>
        </row>
        <row r="606">
          <cell r="B606" t="str">
            <v>دستگاه پرس 600 تن</v>
          </cell>
          <cell r="C606" t="str">
            <v>قطعه تعمیری</v>
          </cell>
          <cell r="P606" t="str">
            <v>قطعه</v>
          </cell>
          <cell r="AF606">
            <v>1</v>
          </cell>
        </row>
        <row r="607">
          <cell r="B607" t="str">
            <v>قالب پخت کلاچ پژو 405</v>
          </cell>
          <cell r="C607" t="str">
            <v>قالب تعمیری</v>
          </cell>
          <cell r="P607" t="str">
            <v>top Plate</v>
          </cell>
          <cell r="AF607">
            <v>1</v>
          </cell>
        </row>
        <row r="608">
          <cell r="B608" t="str">
            <v>دستگاه پرس 600 تن</v>
          </cell>
          <cell r="C608" t="str">
            <v>قطعه تعمیری</v>
          </cell>
          <cell r="P608" t="str">
            <v>قطعه</v>
          </cell>
          <cell r="AF608">
            <v>1</v>
          </cell>
        </row>
        <row r="609">
          <cell r="B609" t="str">
            <v>پخت کلاچ پراید</v>
          </cell>
          <cell r="C609" t="str">
            <v>قالب تعمیری</v>
          </cell>
          <cell r="P609" t="str">
            <v>Mold</v>
          </cell>
          <cell r="AF609">
            <v>3.5</v>
          </cell>
        </row>
        <row r="610">
          <cell r="B610" t="str">
            <v>تیغ فرز</v>
          </cell>
          <cell r="C610" t="str">
            <v>قطعه تعمیری</v>
          </cell>
          <cell r="P610" t="str">
            <v>تیغه</v>
          </cell>
          <cell r="AF610">
            <v>4</v>
          </cell>
        </row>
        <row r="611">
          <cell r="B611" t="str">
            <v>دریل یزدخواستی کلاچ</v>
          </cell>
          <cell r="C611" t="str">
            <v>قطعه نو</v>
          </cell>
          <cell r="P611" t="str">
            <v>تیغه نگهدارنده مته</v>
          </cell>
          <cell r="AF611">
            <v>4</v>
          </cell>
        </row>
        <row r="612">
          <cell r="B612" t="str">
            <v>پخت کلاچ پراید</v>
          </cell>
          <cell r="C612" t="str">
            <v>قالب تعمیری</v>
          </cell>
          <cell r="P612" t="str">
            <v>Mold</v>
          </cell>
          <cell r="AF612">
            <v>4</v>
          </cell>
        </row>
        <row r="613">
          <cell r="B613" t="str">
            <v>قالب پخت کلاچ پژو 405</v>
          </cell>
          <cell r="C613" t="str">
            <v>قالب تعمیری</v>
          </cell>
          <cell r="P613" t="str">
            <v>Mold</v>
          </cell>
          <cell r="AF613">
            <v>5</v>
          </cell>
        </row>
        <row r="614">
          <cell r="B614" t="str">
            <v>دریل یزدخواستی کلاچ</v>
          </cell>
          <cell r="C614" t="str">
            <v>قطعه نو</v>
          </cell>
          <cell r="P614" t="str">
            <v>فیکسچر پیکان</v>
          </cell>
          <cell r="AF614">
            <v>4</v>
          </cell>
        </row>
        <row r="615">
          <cell r="B615" t="str">
            <v>کوبه نک قطاری</v>
          </cell>
          <cell r="C615" t="str">
            <v>قالب تعمیری</v>
          </cell>
          <cell r="P615" t="str">
            <v>Mandrel</v>
          </cell>
          <cell r="AF615">
            <v>3</v>
          </cell>
        </row>
        <row r="616">
          <cell r="B616" t="str">
            <v>نگهدارنده پلاک قالب</v>
          </cell>
          <cell r="C616" t="str">
            <v>قطعه نو</v>
          </cell>
          <cell r="P616" t="str">
            <v>نگهدارنده U</v>
          </cell>
          <cell r="AF616">
            <v>8</v>
          </cell>
        </row>
        <row r="617">
          <cell r="B617" t="str">
            <v>پخت کلاچ پراید</v>
          </cell>
          <cell r="C617" t="str">
            <v>قالب تعمیری</v>
          </cell>
          <cell r="P617" t="str">
            <v>Mandrel</v>
          </cell>
          <cell r="AF617">
            <v>7.5</v>
          </cell>
        </row>
        <row r="618">
          <cell r="B618" t="str">
            <v>دستگاه پرس پخت</v>
          </cell>
          <cell r="C618" t="str">
            <v>قطعه تعمیری</v>
          </cell>
          <cell r="P618" t="str">
            <v>Shaft</v>
          </cell>
          <cell r="AF618">
            <v>5.75</v>
          </cell>
        </row>
        <row r="619">
          <cell r="B619" t="str">
            <v>دستگاه پشم فلز چینی</v>
          </cell>
          <cell r="C619" t="str">
            <v>قطعه نو</v>
          </cell>
          <cell r="P619" t="str">
            <v>پیچ</v>
          </cell>
          <cell r="AF619">
            <v>5.75</v>
          </cell>
        </row>
        <row r="620">
          <cell r="B620" t="str">
            <v>قالب پخت کلاچ پژو 405</v>
          </cell>
          <cell r="C620" t="str">
            <v>قالب تعمیری</v>
          </cell>
          <cell r="P620" t="str">
            <v>Matrix</v>
          </cell>
          <cell r="AF620">
            <v>5.5</v>
          </cell>
        </row>
        <row r="621">
          <cell r="B621" t="str">
            <v>پخت کلاچ پراید</v>
          </cell>
          <cell r="C621" t="str">
            <v>قالب تعمیری</v>
          </cell>
          <cell r="P621" t="str">
            <v>Matrix</v>
          </cell>
          <cell r="AF621">
            <v>5.5</v>
          </cell>
        </row>
        <row r="622">
          <cell r="B622" t="str">
            <v>قالب پخت کلاچ پژو 405</v>
          </cell>
          <cell r="C622" t="str">
            <v>قالب تعمیری</v>
          </cell>
          <cell r="P622" t="str">
            <v>Mandrel</v>
          </cell>
          <cell r="AF622">
            <v>11</v>
          </cell>
        </row>
        <row r="623">
          <cell r="B623" t="str">
            <v>دریل یزدخواستی کلاچ</v>
          </cell>
          <cell r="C623" t="str">
            <v>قطعه نو</v>
          </cell>
          <cell r="P623" t="str">
            <v>فیکسچر پیکان</v>
          </cell>
          <cell r="AF623">
            <v>11</v>
          </cell>
        </row>
        <row r="624">
          <cell r="B624" t="str">
            <v>دستگاه پشم فلز چینی</v>
          </cell>
          <cell r="C624" t="str">
            <v>قطعه نو</v>
          </cell>
          <cell r="P624" t="str">
            <v>لنگی</v>
          </cell>
          <cell r="AF624">
            <v>4.333333333333333</v>
          </cell>
        </row>
        <row r="625">
          <cell r="B625" t="str">
            <v>دستگاه پشم فلز چینی</v>
          </cell>
          <cell r="C625" t="str">
            <v>قطعه نو</v>
          </cell>
          <cell r="P625" t="str">
            <v>لنگی</v>
          </cell>
          <cell r="AF625">
            <v>1.5</v>
          </cell>
        </row>
        <row r="626">
          <cell r="B626" t="str">
            <v>صفحات 50*50 پخت کلاچ</v>
          </cell>
          <cell r="C626" t="str">
            <v>قالب تعمیری</v>
          </cell>
          <cell r="P626" t="str">
            <v>top Plate</v>
          </cell>
          <cell r="AF626">
            <v>11</v>
          </cell>
        </row>
        <row r="627">
          <cell r="B627" t="str">
            <v>پین عقب پژو 405</v>
          </cell>
          <cell r="C627" t="str">
            <v>قطعه نو</v>
          </cell>
          <cell r="P627" t="str">
            <v>عقب پژو 405</v>
          </cell>
          <cell r="AF627">
            <v>7.5</v>
          </cell>
        </row>
        <row r="628">
          <cell r="B628" t="str">
            <v>دستگاه پشم فلز چینی</v>
          </cell>
          <cell r="C628" t="str">
            <v>قطعه نو</v>
          </cell>
          <cell r="P628" t="str">
            <v>لنگی</v>
          </cell>
          <cell r="AF628">
            <v>3</v>
          </cell>
        </row>
        <row r="629">
          <cell r="B629" t="str">
            <v>دریل یزدخواستی کلاچ</v>
          </cell>
          <cell r="C629" t="str">
            <v>قطعه نو</v>
          </cell>
          <cell r="P629" t="str">
            <v>فیکسچر پراید</v>
          </cell>
          <cell r="AF629">
            <v>8</v>
          </cell>
        </row>
        <row r="630">
          <cell r="B630" t="str">
            <v>آغشته کاری</v>
          </cell>
          <cell r="C630" t="str">
            <v>قطعه تعمیری</v>
          </cell>
          <cell r="P630" t="str">
            <v>Shaft</v>
          </cell>
          <cell r="AF630">
            <v>3</v>
          </cell>
        </row>
        <row r="631">
          <cell r="B631" t="str">
            <v>صفحه 45*45</v>
          </cell>
          <cell r="C631" t="str">
            <v>قالب نو</v>
          </cell>
          <cell r="P631" t="str">
            <v>صفحه</v>
          </cell>
          <cell r="AF631">
            <v>11</v>
          </cell>
        </row>
        <row r="632">
          <cell r="B632" t="str">
            <v>دستگاه پشم فلز چینی</v>
          </cell>
          <cell r="C632" t="str">
            <v>قطعه نو</v>
          </cell>
          <cell r="P632" t="str">
            <v>پیچ پولی</v>
          </cell>
          <cell r="AF632">
            <v>2</v>
          </cell>
        </row>
        <row r="633">
          <cell r="B633" t="str">
            <v>دستگاه سنگ مغناطیسی</v>
          </cell>
          <cell r="C633" t="str">
            <v>دستگاه تعمیری</v>
          </cell>
          <cell r="P633" t="str">
            <v>Bush</v>
          </cell>
          <cell r="AF633">
            <v>2</v>
          </cell>
        </row>
        <row r="634">
          <cell r="B634" t="str">
            <v>سری نقطه جوش</v>
          </cell>
          <cell r="C634" t="str">
            <v>قطعه تعمیری</v>
          </cell>
          <cell r="P634" t="str">
            <v>مسی</v>
          </cell>
          <cell r="AF634">
            <v>1</v>
          </cell>
        </row>
        <row r="635">
          <cell r="B635" t="str">
            <v>قالب پخت کلاچ پیکان</v>
          </cell>
          <cell r="C635" t="str">
            <v>قالب تعمیری</v>
          </cell>
          <cell r="P635" t="str">
            <v>Mandrel</v>
          </cell>
          <cell r="AF635">
            <v>4</v>
          </cell>
        </row>
        <row r="636">
          <cell r="B636" t="str">
            <v>نگهدارنده پلاک قالب</v>
          </cell>
          <cell r="C636" t="str">
            <v>قطعه نو</v>
          </cell>
          <cell r="P636" t="str">
            <v>نگهدارنده U</v>
          </cell>
          <cell r="AF636">
            <v>12</v>
          </cell>
        </row>
        <row r="637">
          <cell r="B637" t="str">
            <v>کوبه نک قطاری</v>
          </cell>
          <cell r="C637" t="str">
            <v>قالب تعمیری</v>
          </cell>
          <cell r="P637" t="str">
            <v>Mandrel</v>
          </cell>
          <cell r="AF637">
            <v>10</v>
          </cell>
        </row>
        <row r="638">
          <cell r="B638" t="str">
            <v>Hammer Mill Machine</v>
          </cell>
          <cell r="C638" t="str">
            <v>دستگاه نو</v>
          </cell>
          <cell r="P638" t="str">
            <v>قطعه</v>
          </cell>
          <cell r="AF638">
            <v>7</v>
          </cell>
        </row>
        <row r="639">
          <cell r="B639" t="str">
            <v>پخت کلاچ ایویکو سوراخدار</v>
          </cell>
          <cell r="C639" t="str">
            <v>قالب تعمیری</v>
          </cell>
          <cell r="P639" t="str">
            <v>Mold</v>
          </cell>
          <cell r="AF639">
            <v>3</v>
          </cell>
        </row>
        <row r="640">
          <cell r="B640" t="str">
            <v>دستگاه پشم فلز چینی</v>
          </cell>
          <cell r="C640" t="str">
            <v>قطعه تعمیری</v>
          </cell>
          <cell r="P640" t="str">
            <v>لنگی</v>
          </cell>
          <cell r="AF640">
            <v>5</v>
          </cell>
        </row>
        <row r="641">
          <cell r="B641" t="str">
            <v>دستگاه پشم فلز چینی</v>
          </cell>
          <cell r="C641" t="str">
            <v>قطعه تعمیری</v>
          </cell>
          <cell r="P641" t="str">
            <v>Shaft</v>
          </cell>
          <cell r="AF641">
            <v>2</v>
          </cell>
        </row>
        <row r="642">
          <cell r="B642" t="str">
            <v>دستگاه مهر زنی</v>
          </cell>
          <cell r="C642" t="str">
            <v>قطعه تعمیری</v>
          </cell>
          <cell r="P642" t="str">
            <v>قطعه</v>
          </cell>
          <cell r="AF642">
            <v>3</v>
          </cell>
        </row>
        <row r="643">
          <cell r="B643" t="str">
            <v>Hammer Mill Machine</v>
          </cell>
          <cell r="C643" t="str">
            <v>دستگاه نو</v>
          </cell>
          <cell r="P643" t="str">
            <v>Shaft</v>
          </cell>
          <cell r="AF643">
            <v>4</v>
          </cell>
        </row>
        <row r="644">
          <cell r="B644" t="str">
            <v>دستگاه پرس 600 تن</v>
          </cell>
          <cell r="C644" t="str">
            <v>قطعه تعمیری</v>
          </cell>
          <cell r="P644" t="str">
            <v>بلوک</v>
          </cell>
          <cell r="AF644">
            <v>4</v>
          </cell>
        </row>
        <row r="645">
          <cell r="B645" t="str">
            <v>پخت کلاچ پراید</v>
          </cell>
          <cell r="C645" t="str">
            <v>قالب تعمیری</v>
          </cell>
          <cell r="P645" t="str">
            <v>Mold</v>
          </cell>
          <cell r="AF645">
            <v>3</v>
          </cell>
        </row>
        <row r="646">
          <cell r="B646" t="str">
            <v>Hammer Mill Machine</v>
          </cell>
          <cell r="C646" t="str">
            <v>دستگاه نو</v>
          </cell>
          <cell r="P646" t="str">
            <v>Shaft</v>
          </cell>
          <cell r="AF646">
            <v>1.5</v>
          </cell>
        </row>
        <row r="647">
          <cell r="B647" t="str">
            <v>دستگاه سنگ مغناطیسی</v>
          </cell>
          <cell r="C647" t="str">
            <v>دستگاه تعمیری</v>
          </cell>
          <cell r="P647" t="str">
            <v>دستگاه</v>
          </cell>
          <cell r="AF647">
            <v>1</v>
          </cell>
        </row>
        <row r="648">
          <cell r="B648" t="str">
            <v>پخت کلاچ ایویکو سوراخدار</v>
          </cell>
          <cell r="C648" t="str">
            <v>قالب تعمیری</v>
          </cell>
          <cell r="P648" t="str">
            <v>Mold</v>
          </cell>
          <cell r="AF648">
            <v>1</v>
          </cell>
        </row>
        <row r="649">
          <cell r="B649" t="str">
            <v>دستگاه پرس</v>
          </cell>
          <cell r="C649" t="str">
            <v>قطعه تعمیری</v>
          </cell>
          <cell r="P649" t="str">
            <v>کلید فرمان</v>
          </cell>
          <cell r="AF649">
            <v>1</v>
          </cell>
        </row>
        <row r="650">
          <cell r="B650" t="str">
            <v>پخت کلاچ ایویکو سوراخدار</v>
          </cell>
          <cell r="C650" t="str">
            <v>قالب تعمیری</v>
          </cell>
          <cell r="P650" t="str">
            <v>Mold</v>
          </cell>
          <cell r="AF650">
            <v>1</v>
          </cell>
        </row>
        <row r="651">
          <cell r="B651" t="str">
            <v>قالب پخت کلاچ پیکان</v>
          </cell>
          <cell r="C651" t="str">
            <v>قالب تعمیری</v>
          </cell>
          <cell r="P651" t="str">
            <v>سوپاپ</v>
          </cell>
          <cell r="AF651">
            <v>1</v>
          </cell>
        </row>
        <row r="652">
          <cell r="B652" t="str">
            <v>قالب پخت کلاچ پژو 405</v>
          </cell>
          <cell r="C652" t="str">
            <v>قالب تعمیری</v>
          </cell>
          <cell r="P652" t="str">
            <v>Mold</v>
          </cell>
          <cell r="AF652">
            <v>3</v>
          </cell>
        </row>
        <row r="653">
          <cell r="B653" t="str">
            <v>دستگاه پرس 600 تن</v>
          </cell>
          <cell r="C653" t="str">
            <v>قطعه تعمیری</v>
          </cell>
          <cell r="P653" t="str">
            <v>بلوک</v>
          </cell>
          <cell r="AF653">
            <v>4</v>
          </cell>
        </row>
        <row r="654">
          <cell r="B654" t="str">
            <v>برش جمعی عقب ریو</v>
          </cell>
          <cell r="C654" t="str">
            <v>قطعه نو</v>
          </cell>
          <cell r="P654" t="str">
            <v>قطعات</v>
          </cell>
          <cell r="AF654">
            <v>5</v>
          </cell>
        </row>
        <row r="655">
          <cell r="B655" t="str">
            <v>صفحات 50*50 پخت کلاچ</v>
          </cell>
          <cell r="C655" t="str">
            <v>قالب تعمیری</v>
          </cell>
          <cell r="P655" t="str">
            <v>top Plate</v>
          </cell>
          <cell r="AF655">
            <v>9</v>
          </cell>
        </row>
        <row r="656">
          <cell r="B656" t="str">
            <v>قالب پخت کلاچ پیکان آرژانتینی</v>
          </cell>
          <cell r="C656" t="str">
            <v>قالب تعمیری</v>
          </cell>
          <cell r="P656" t="str">
            <v>Stop</v>
          </cell>
          <cell r="AF656">
            <v>2</v>
          </cell>
        </row>
        <row r="657">
          <cell r="B657" t="str">
            <v>صفحه 45*45</v>
          </cell>
          <cell r="C657" t="str">
            <v>قالب نو</v>
          </cell>
          <cell r="P657" t="str">
            <v>صفحه</v>
          </cell>
          <cell r="AF657">
            <v>5.5</v>
          </cell>
        </row>
        <row r="658">
          <cell r="B658" t="str">
            <v>صفحه 25*30*50</v>
          </cell>
          <cell r="C658" t="str">
            <v>قالب نو</v>
          </cell>
          <cell r="P658" t="str">
            <v>صفحه</v>
          </cell>
          <cell r="AF658">
            <v>5.5</v>
          </cell>
        </row>
        <row r="659">
          <cell r="B659" t="str">
            <v>دستگاه پشم فلز چینی</v>
          </cell>
          <cell r="C659" t="str">
            <v>قطعه نو</v>
          </cell>
          <cell r="P659" t="str">
            <v>لنگی</v>
          </cell>
          <cell r="AF659">
            <v>11</v>
          </cell>
        </row>
        <row r="660">
          <cell r="B660" t="str">
            <v>پخت کلاچ پراید</v>
          </cell>
          <cell r="C660" t="str">
            <v>قالب تعمیری</v>
          </cell>
          <cell r="P660" t="str">
            <v>Matrix</v>
          </cell>
          <cell r="AF660">
            <v>11</v>
          </cell>
        </row>
        <row r="661">
          <cell r="B661" t="str">
            <v>دریل یزدخواستی کلاچ</v>
          </cell>
          <cell r="C661" t="str">
            <v>قطعه نو</v>
          </cell>
          <cell r="P661" t="str">
            <v>فیکسچر پیکان</v>
          </cell>
          <cell r="AF661">
            <v>8</v>
          </cell>
        </row>
        <row r="662">
          <cell r="B662" t="str">
            <v>دریل یزدخواستی کلاچ</v>
          </cell>
          <cell r="C662" t="str">
            <v>قطعه نو</v>
          </cell>
          <cell r="P662" t="str">
            <v>فیکسچر پژو 405</v>
          </cell>
          <cell r="AF662">
            <v>3</v>
          </cell>
        </row>
        <row r="663">
          <cell r="B663" t="str">
            <v>دریل یزدخواستی کلاچ</v>
          </cell>
          <cell r="C663" t="str">
            <v>قطعه نو</v>
          </cell>
          <cell r="P663" t="str">
            <v>فیکسچر پراید</v>
          </cell>
          <cell r="AF663">
            <v>7.5</v>
          </cell>
        </row>
        <row r="664">
          <cell r="B664" t="str">
            <v>دستگاه ساب الماسه</v>
          </cell>
          <cell r="C664" t="str">
            <v>قطعه تعمیری</v>
          </cell>
          <cell r="P664" t="str">
            <v>Shaft</v>
          </cell>
          <cell r="AF664">
            <v>1.5</v>
          </cell>
        </row>
        <row r="665">
          <cell r="B665" t="str">
            <v>دستگاه ساب الماسه</v>
          </cell>
          <cell r="C665" t="str">
            <v>قطعه تعمیری</v>
          </cell>
          <cell r="P665" t="str">
            <v>پیچ</v>
          </cell>
          <cell r="AF665">
            <v>2</v>
          </cell>
        </row>
        <row r="666">
          <cell r="B666" t="str">
            <v>نگهدارنده پلاک قالب</v>
          </cell>
          <cell r="C666" t="str">
            <v>قطعه نو</v>
          </cell>
          <cell r="P666" t="str">
            <v>نگهدارنده U</v>
          </cell>
          <cell r="AF666">
            <v>12</v>
          </cell>
        </row>
        <row r="667">
          <cell r="B667" t="str">
            <v>دستگاه پشم فلز چینی</v>
          </cell>
          <cell r="C667" t="str">
            <v>قطعه نو</v>
          </cell>
          <cell r="P667" t="str">
            <v>Bush</v>
          </cell>
          <cell r="AF667">
            <v>5</v>
          </cell>
        </row>
        <row r="668">
          <cell r="B668" t="str">
            <v>Hammer Mill Machine</v>
          </cell>
          <cell r="C668" t="str">
            <v>دستگاه نو</v>
          </cell>
          <cell r="P668" t="str">
            <v>قطعه</v>
          </cell>
          <cell r="AF668">
            <v>4</v>
          </cell>
        </row>
        <row r="669">
          <cell r="B669" t="str">
            <v>دستگاه پشم فلز چینی</v>
          </cell>
          <cell r="C669" t="str">
            <v>قطعه نو</v>
          </cell>
          <cell r="P669" t="str">
            <v>Bush</v>
          </cell>
          <cell r="AF669">
            <v>3</v>
          </cell>
        </row>
        <row r="670">
          <cell r="B670" t="str">
            <v>دستگاه پشم فلز چینی</v>
          </cell>
          <cell r="C670" t="str">
            <v>قطعه تعمیری</v>
          </cell>
          <cell r="P670" t="str">
            <v>Shaft</v>
          </cell>
          <cell r="AF670">
            <v>2</v>
          </cell>
        </row>
        <row r="671">
          <cell r="B671" t="str">
            <v>قالب پخت کلاچ پیکان</v>
          </cell>
          <cell r="C671" t="str">
            <v>قالب تعمیری</v>
          </cell>
          <cell r="P671" t="str">
            <v>سوپاپ</v>
          </cell>
          <cell r="AF671">
            <v>3</v>
          </cell>
        </row>
        <row r="672">
          <cell r="B672" t="str">
            <v>قالب پخت کلاچ پژو 405</v>
          </cell>
          <cell r="C672" t="str">
            <v>قالب تعمیری</v>
          </cell>
          <cell r="P672" t="str">
            <v>Mold</v>
          </cell>
          <cell r="AF672">
            <v>3</v>
          </cell>
        </row>
        <row r="673">
          <cell r="B673" t="str">
            <v>دستگاه پرس 600 تن</v>
          </cell>
          <cell r="C673" t="str">
            <v>قطعه تعمیری</v>
          </cell>
          <cell r="P673" t="str">
            <v>بلوک</v>
          </cell>
          <cell r="AF673">
            <v>3</v>
          </cell>
        </row>
        <row r="674">
          <cell r="B674" t="str">
            <v>قالب پخت کلاچ پیکان</v>
          </cell>
          <cell r="C674" t="str">
            <v>قالب تعمیری</v>
          </cell>
          <cell r="P674" t="str">
            <v>Stop</v>
          </cell>
          <cell r="AF674">
            <v>3</v>
          </cell>
        </row>
        <row r="675">
          <cell r="B675" t="str">
            <v>پخت کلاچ ایویکو سوراخدار</v>
          </cell>
          <cell r="C675" t="str">
            <v>قالب تعمیری</v>
          </cell>
          <cell r="P675" t="str">
            <v>میل راهنما</v>
          </cell>
          <cell r="AF675">
            <v>3</v>
          </cell>
        </row>
        <row r="676">
          <cell r="B676" t="str">
            <v>دستگاه پشم فلز چینی</v>
          </cell>
          <cell r="C676" t="str">
            <v>قطعه تعمیری</v>
          </cell>
          <cell r="P676" t="str">
            <v>پیچ</v>
          </cell>
          <cell r="AF676">
            <v>5</v>
          </cell>
        </row>
        <row r="677">
          <cell r="B677" t="str">
            <v>قالب پخت کلاچ پژو 405</v>
          </cell>
          <cell r="C677" t="str">
            <v>قالب تعمیری</v>
          </cell>
          <cell r="P677" t="str">
            <v>Mandrel</v>
          </cell>
          <cell r="AF677">
            <v>5.5</v>
          </cell>
        </row>
        <row r="678">
          <cell r="B678" t="str">
            <v>قالب پخت کلاچ پژو 405</v>
          </cell>
          <cell r="C678" t="str">
            <v>قالب تعمیری</v>
          </cell>
          <cell r="P678" t="str">
            <v>bottom plate</v>
          </cell>
          <cell r="AF678">
            <v>5.5</v>
          </cell>
        </row>
      </sheetData>
      <sheetData sheetId="3">
        <row r="2">
          <cell r="B2" t="str">
            <v>قالب پخت کلاچ پژو 405</v>
          </cell>
          <cell r="C2" t="str">
            <v>قالب تعمیری</v>
          </cell>
          <cell r="P2" t="str">
            <v>bottom plate</v>
          </cell>
          <cell r="AF2">
            <v>2</v>
          </cell>
        </row>
        <row r="3">
          <cell r="B3" t="str">
            <v>قالب پخت کلاچ پژو 405</v>
          </cell>
          <cell r="C3" t="str">
            <v>قالب تعمیری</v>
          </cell>
          <cell r="P3" t="str">
            <v>Mandrel</v>
          </cell>
          <cell r="AF3">
            <v>9</v>
          </cell>
        </row>
        <row r="4">
          <cell r="B4" t="str">
            <v>نگهدارنده پلاک قالب</v>
          </cell>
          <cell r="C4" t="str">
            <v>قطعه نو</v>
          </cell>
          <cell r="P4" t="str">
            <v>نگهدارنده U</v>
          </cell>
          <cell r="AF4">
            <v>10</v>
          </cell>
        </row>
        <row r="5">
          <cell r="B5" t="str">
            <v>برش جمعی عقب ریو</v>
          </cell>
          <cell r="C5" t="str">
            <v>قطعه نو</v>
          </cell>
          <cell r="P5" t="str">
            <v>تیغه</v>
          </cell>
          <cell r="AF5">
            <v>1</v>
          </cell>
        </row>
        <row r="6">
          <cell r="B6" t="str">
            <v>دستگاه پشم فلز چینی</v>
          </cell>
          <cell r="C6" t="str">
            <v>قطعه تعمیری</v>
          </cell>
          <cell r="P6" t="str">
            <v>لنگی</v>
          </cell>
          <cell r="AF6">
            <v>5.5</v>
          </cell>
        </row>
        <row r="7">
          <cell r="B7" t="str">
            <v>دستگاه پشم فلز چینی</v>
          </cell>
          <cell r="C7" t="str">
            <v>قطعه تعمیری</v>
          </cell>
          <cell r="P7" t="str">
            <v>لنگی</v>
          </cell>
          <cell r="AF7">
            <v>5.5</v>
          </cell>
        </row>
        <row r="8">
          <cell r="B8" t="str">
            <v>دریل یزدخواستی کلاچ</v>
          </cell>
          <cell r="C8" t="str">
            <v>قطعه نو</v>
          </cell>
          <cell r="P8" t="str">
            <v>فیکسچر پژو</v>
          </cell>
          <cell r="AF8">
            <v>10.333333333333334</v>
          </cell>
        </row>
        <row r="9">
          <cell r="B9" t="str">
            <v>صفحات 50*50 پخت کلاچ</v>
          </cell>
          <cell r="C9" t="str">
            <v>قالب تعمیری</v>
          </cell>
          <cell r="P9" t="str">
            <v>bottom plate</v>
          </cell>
          <cell r="AF9">
            <v>11</v>
          </cell>
        </row>
        <row r="10">
          <cell r="B10" t="str">
            <v>دستگاه چسب زنی</v>
          </cell>
          <cell r="C10" t="str">
            <v>قطعه تعمیری</v>
          </cell>
          <cell r="P10" t="str">
            <v>تیغه</v>
          </cell>
          <cell r="AF10">
            <v>2</v>
          </cell>
        </row>
        <row r="11">
          <cell r="B11" t="str">
            <v>Hammer Mill Machine</v>
          </cell>
          <cell r="C11" t="str">
            <v>دستگاه نو</v>
          </cell>
          <cell r="P11" t="str">
            <v>اتاقک</v>
          </cell>
          <cell r="AF11">
            <v>3</v>
          </cell>
        </row>
        <row r="12">
          <cell r="B12" t="str">
            <v>پخت کلاچ پراید</v>
          </cell>
          <cell r="C12" t="str">
            <v>قالب تعمیری</v>
          </cell>
          <cell r="P12" t="str">
            <v>MOLd</v>
          </cell>
          <cell r="AF12">
            <v>3</v>
          </cell>
        </row>
        <row r="13">
          <cell r="B13" t="str">
            <v>قالب پخت کلاچ پیکان</v>
          </cell>
          <cell r="C13" t="str">
            <v>قالب تعمیری</v>
          </cell>
          <cell r="P13" t="str">
            <v>MOLd</v>
          </cell>
          <cell r="AF13">
            <v>2</v>
          </cell>
        </row>
        <row r="14">
          <cell r="B14" t="str">
            <v>پخت کلاچ پراید</v>
          </cell>
          <cell r="C14" t="str">
            <v>قالب تعمیری</v>
          </cell>
          <cell r="P14" t="str">
            <v>MOLd</v>
          </cell>
          <cell r="AF14">
            <v>2</v>
          </cell>
        </row>
        <row r="15">
          <cell r="B15" t="str">
            <v>قالب پخت کلاچ پیکان</v>
          </cell>
          <cell r="C15" t="str">
            <v>قالب تعمیری</v>
          </cell>
          <cell r="P15" t="str">
            <v>MOLd</v>
          </cell>
          <cell r="AF15">
            <v>4</v>
          </cell>
        </row>
        <row r="16">
          <cell r="B16" t="str">
            <v>دستگاه پشم فلز چینی</v>
          </cell>
          <cell r="C16" t="str">
            <v>قطعه تعمیری</v>
          </cell>
          <cell r="P16" t="str">
            <v>Shaft</v>
          </cell>
          <cell r="AF16">
            <v>2</v>
          </cell>
        </row>
        <row r="17">
          <cell r="B17" t="str">
            <v>ماشین پژو پارس سفید</v>
          </cell>
          <cell r="C17" t="str">
            <v>قطعه تعمیری</v>
          </cell>
          <cell r="P17" t="str">
            <v>کاسه</v>
          </cell>
          <cell r="AF17">
            <v>2</v>
          </cell>
        </row>
        <row r="18">
          <cell r="B18" t="str">
            <v>ساب الماسه</v>
          </cell>
          <cell r="C18" t="str">
            <v>قطعه تعمیری</v>
          </cell>
          <cell r="P18" t="str">
            <v>Shaft</v>
          </cell>
          <cell r="AF18">
            <v>3.5</v>
          </cell>
        </row>
        <row r="19">
          <cell r="B19" t="str">
            <v>موتور</v>
          </cell>
          <cell r="C19" t="str">
            <v>قطعه تعمیری</v>
          </cell>
          <cell r="P19" t="str">
            <v>Bush</v>
          </cell>
          <cell r="AF19">
            <v>3.5</v>
          </cell>
        </row>
        <row r="20">
          <cell r="B20" t="str">
            <v>قالب پخت کلاچ پیکان</v>
          </cell>
          <cell r="C20" t="str">
            <v>قالب تعمیری</v>
          </cell>
          <cell r="P20" t="str">
            <v>سوپاپ</v>
          </cell>
          <cell r="AF20">
            <v>2</v>
          </cell>
        </row>
        <row r="21">
          <cell r="B21" t="str">
            <v>صفحه 25*30*50</v>
          </cell>
          <cell r="C21" t="str">
            <v>قالب نو</v>
          </cell>
          <cell r="P21" t="str">
            <v>صفحه</v>
          </cell>
          <cell r="AF21">
            <v>11</v>
          </cell>
        </row>
        <row r="22">
          <cell r="B22" t="str">
            <v>کلمپ زنی</v>
          </cell>
          <cell r="C22" t="str">
            <v>دستگاه تعمیری</v>
          </cell>
          <cell r="P22" t="str">
            <v>میز</v>
          </cell>
          <cell r="AF22">
            <v>6.333333333333333</v>
          </cell>
        </row>
        <row r="23">
          <cell r="B23" t="str">
            <v>دستگاه مهر زنی</v>
          </cell>
          <cell r="C23" t="str">
            <v>قطعه نو</v>
          </cell>
          <cell r="P23" t="str">
            <v>قفل کن</v>
          </cell>
          <cell r="AF23">
            <v>3.3333333333333335</v>
          </cell>
        </row>
        <row r="24">
          <cell r="B24" t="str">
            <v>دستگاه پشم فلز چینی</v>
          </cell>
          <cell r="C24" t="str">
            <v>قطعه تعمیری</v>
          </cell>
          <cell r="P24" t="str">
            <v>Shaft</v>
          </cell>
          <cell r="AF24">
            <v>7</v>
          </cell>
        </row>
        <row r="25">
          <cell r="B25" t="str">
            <v>پخت کلاچ پراید</v>
          </cell>
          <cell r="C25" t="str">
            <v>قالب تعمیری</v>
          </cell>
          <cell r="P25" t="str">
            <v>Stop</v>
          </cell>
          <cell r="AF25">
            <v>1</v>
          </cell>
        </row>
        <row r="26">
          <cell r="B26" t="str">
            <v>صفحه 25*30*50</v>
          </cell>
          <cell r="C26" t="str">
            <v>قالب نو</v>
          </cell>
          <cell r="P26" t="str">
            <v>صفحه</v>
          </cell>
          <cell r="AF26">
            <v>6</v>
          </cell>
        </row>
        <row r="27">
          <cell r="B27" t="str">
            <v>کلمپ زنی</v>
          </cell>
          <cell r="C27" t="str">
            <v>دستگاه تعمیری</v>
          </cell>
          <cell r="P27" t="str">
            <v>میز</v>
          </cell>
          <cell r="AF27">
            <v>5.833333333333333</v>
          </cell>
        </row>
        <row r="28">
          <cell r="B28" t="str">
            <v>برش جمعی عقب ریو</v>
          </cell>
          <cell r="C28" t="str">
            <v>قطعه نو</v>
          </cell>
          <cell r="P28" t="str">
            <v>پولکی</v>
          </cell>
          <cell r="AF28">
            <v>5</v>
          </cell>
        </row>
        <row r="29">
          <cell r="B29" t="str">
            <v>پخت کلاچ پراید</v>
          </cell>
          <cell r="C29" t="str">
            <v>قالب تعمیری</v>
          </cell>
          <cell r="P29" t="str">
            <v>Mandrel</v>
          </cell>
          <cell r="AF29">
            <v>9.5</v>
          </cell>
        </row>
        <row r="30">
          <cell r="B30" t="str">
            <v>دریل یزدخواستی کلاچ</v>
          </cell>
          <cell r="C30" t="str">
            <v>قطعه نو</v>
          </cell>
          <cell r="P30" t="str">
            <v>فیکسچر پژو</v>
          </cell>
          <cell r="AF30">
            <v>2.5</v>
          </cell>
        </row>
        <row r="31">
          <cell r="B31" t="str">
            <v>دریل یزدخواستی کلاچ</v>
          </cell>
          <cell r="C31" t="str">
            <v>قطعه نو</v>
          </cell>
          <cell r="P31" t="str">
            <v>فیکسچر پیکان</v>
          </cell>
          <cell r="AF31">
            <v>2.5</v>
          </cell>
        </row>
        <row r="32">
          <cell r="B32" t="str">
            <v>دریل یزدخواستی کلاچ</v>
          </cell>
          <cell r="C32" t="str">
            <v>قطعه نو</v>
          </cell>
          <cell r="P32" t="str">
            <v>فیکسچر پژو</v>
          </cell>
          <cell r="AF32">
            <v>8.5</v>
          </cell>
        </row>
        <row r="33">
          <cell r="B33" t="str">
            <v>دستگاه مهر زنی</v>
          </cell>
          <cell r="C33" t="str">
            <v>قطعه نو</v>
          </cell>
          <cell r="P33" t="str">
            <v>قطعه</v>
          </cell>
          <cell r="AF33">
            <v>4</v>
          </cell>
        </row>
        <row r="34">
          <cell r="B34" t="str">
            <v>دستگاه چسب زنی</v>
          </cell>
          <cell r="C34" t="str">
            <v>قطعه تعمیری</v>
          </cell>
          <cell r="P34" t="str">
            <v>تیغه</v>
          </cell>
          <cell r="AF34">
            <v>4</v>
          </cell>
        </row>
        <row r="35">
          <cell r="B35" t="str">
            <v>نگهدارنده پلاک قالب</v>
          </cell>
          <cell r="C35" t="str">
            <v>قطعه نو</v>
          </cell>
          <cell r="P35" t="str">
            <v>نگهدارنده U</v>
          </cell>
          <cell r="AF35">
            <v>4</v>
          </cell>
        </row>
        <row r="36">
          <cell r="B36" t="str">
            <v>قالب عقب F12</v>
          </cell>
          <cell r="C36" t="str">
            <v>قالب نو</v>
          </cell>
          <cell r="P36" t="str">
            <v>Matrix</v>
          </cell>
          <cell r="AF36">
            <v>4</v>
          </cell>
        </row>
        <row r="37">
          <cell r="B37" t="str">
            <v>دستگاه پرس پخت</v>
          </cell>
          <cell r="C37" t="str">
            <v>قطعه تعمیری</v>
          </cell>
          <cell r="P37" t="str">
            <v>واسطه جک</v>
          </cell>
          <cell r="AF37">
            <v>1.5</v>
          </cell>
        </row>
        <row r="38">
          <cell r="B38" t="str">
            <v>دستگاه پرس پخت</v>
          </cell>
          <cell r="C38" t="str">
            <v>قطعه تعمیری</v>
          </cell>
          <cell r="P38" t="str">
            <v>واسطه جک</v>
          </cell>
          <cell r="AF38">
            <v>1.5</v>
          </cell>
        </row>
        <row r="39">
          <cell r="B39" t="str">
            <v>دستگاه پرس پخت</v>
          </cell>
          <cell r="C39" t="str">
            <v>قطعه تعمیری</v>
          </cell>
          <cell r="P39" t="str">
            <v>کفی</v>
          </cell>
          <cell r="AF39">
            <v>2.5</v>
          </cell>
        </row>
        <row r="40">
          <cell r="B40" t="str">
            <v>صفحات 50*50 پخت کلاچ</v>
          </cell>
          <cell r="C40" t="str">
            <v>قالب تعمیری</v>
          </cell>
          <cell r="P40" t="str">
            <v>top Plate</v>
          </cell>
          <cell r="AF40">
            <v>9.5</v>
          </cell>
        </row>
        <row r="41">
          <cell r="B41" t="str">
            <v>دستگاه چسب زنی</v>
          </cell>
          <cell r="C41" t="str">
            <v>قطعه تعمیری</v>
          </cell>
          <cell r="P41" t="str">
            <v>تیغه</v>
          </cell>
          <cell r="AF41">
            <v>4</v>
          </cell>
        </row>
        <row r="42">
          <cell r="B42" t="str">
            <v>پخت کلاچ پراید</v>
          </cell>
          <cell r="C42" t="str">
            <v>قالب تعمیری</v>
          </cell>
          <cell r="P42" t="str">
            <v>Stop</v>
          </cell>
          <cell r="AF42">
            <v>1</v>
          </cell>
        </row>
        <row r="43">
          <cell r="B43" t="str">
            <v>قالب ترابوزا</v>
          </cell>
          <cell r="C43" t="str">
            <v>قالب تعمیری</v>
          </cell>
          <cell r="P43" t="str">
            <v>Mandrel</v>
          </cell>
          <cell r="AF43">
            <v>2</v>
          </cell>
        </row>
        <row r="44">
          <cell r="B44" t="str">
            <v>پخت کلاچ پراید</v>
          </cell>
          <cell r="C44" t="str">
            <v>قالب تعمیری</v>
          </cell>
          <cell r="P44" t="str">
            <v>Mold</v>
          </cell>
          <cell r="AF44">
            <v>2</v>
          </cell>
        </row>
        <row r="45">
          <cell r="B45" t="str">
            <v>پخت کلاچ پراید</v>
          </cell>
          <cell r="C45" t="str">
            <v>قالب تعمیری</v>
          </cell>
          <cell r="P45" t="str">
            <v>Mold</v>
          </cell>
          <cell r="AF45">
            <v>2</v>
          </cell>
        </row>
        <row r="46">
          <cell r="B46" t="str">
            <v xml:space="preserve">پخت کلاچ پراید سکو </v>
          </cell>
          <cell r="C46" t="str">
            <v>قالب تعمیری</v>
          </cell>
          <cell r="P46" t="str">
            <v>Mold</v>
          </cell>
          <cell r="AF46">
            <v>2</v>
          </cell>
        </row>
        <row r="47">
          <cell r="B47" t="str">
            <v>قالب پخت کلاچ پیکان</v>
          </cell>
          <cell r="C47" t="str">
            <v>قالب تعمیری</v>
          </cell>
          <cell r="P47" t="str">
            <v>MOLd</v>
          </cell>
          <cell r="AF47">
            <v>2</v>
          </cell>
        </row>
        <row r="48">
          <cell r="B48" t="str">
            <v>پخت کلاچ پراید</v>
          </cell>
          <cell r="C48" t="str">
            <v>قالب تعمیری</v>
          </cell>
          <cell r="P48" t="str">
            <v>Mold</v>
          </cell>
          <cell r="AF48">
            <v>1</v>
          </cell>
        </row>
        <row r="49">
          <cell r="B49" t="str">
            <v>پخت کلاچ پراید</v>
          </cell>
          <cell r="C49" t="str">
            <v>قالب تعمیری</v>
          </cell>
          <cell r="P49" t="str">
            <v>Mold</v>
          </cell>
          <cell r="AF49">
            <v>2</v>
          </cell>
        </row>
        <row r="50">
          <cell r="B50" t="str">
            <v>پخت کلاچ پراید</v>
          </cell>
          <cell r="C50" t="str">
            <v>قالب تعمیری</v>
          </cell>
          <cell r="P50" t="str">
            <v>Mold</v>
          </cell>
          <cell r="AF50">
            <v>2</v>
          </cell>
        </row>
        <row r="51">
          <cell r="B51" t="str">
            <v xml:space="preserve">پخت کلاچ پراید سکو </v>
          </cell>
          <cell r="C51" t="str">
            <v>قالب تعمیری</v>
          </cell>
          <cell r="P51" t="str">
            <v>Mold</v>
          </cell>
          <cell r="AF51">
            <v>2</v>
          </cell>
        </row>
        <row r="52">
          <cell r="B52" t="str">
            <v>قالب پخت کلاچ پیکان</v>
          </cell>
          <cell r="C52" t="str">
            <v>قالب تعمیری</v>
          </cell>
          <cell r="P52" t="str">
            <v>MOLd</v>
          </cell>
          <cell r="AF52">
            <v>2</v>
          </cell>
        </row>
        <row r="53">
          <cell r="B53" t="str">
            <v>پخت کلاچ پراید</v>
          </cell>
          <cell r="C53" t="str">
            <v>قالب تعمیری</v>
          </cell>
          <cell r="P53" t="str">
            <v>Mold</v>
          </cell>
          <cell r="AF53">
            <v>1</v>
          </cell>
        </row>
        <row r="54">
          <cell r="B54" t="str">
            <v>پخت کلاچ پراید</v>
          </cell>
          <cell r="C54" t="str">
            <v>قالب تعمیری</v>
          </cell>
          <cell r="P54" t="str">
            <v>Matrix</v>
          </cell>
          <cell r="AF54">
            <v>3.5</v>
          </cell>
          <cell r="AR54">
            <v>5250000</v>
          </cell>
        </row>
        <row r="55">
          <cell r="B55" t="str">
            <v>پخت کلاچ پراید</v>
          </cell>
          <cell r="C55" t="str">
            <v>قالب تعمیری</v>
          </cell>
          <cell r="P55" t="str">
            <v>Matrix</v>
          </cell>
          <cell r="AF55">
            <v>5.5</v>
          </cell>
          <cell r="AR55">
            <v>8250000</v>
          </cell>
        </row>
        <row r="56">
          <cell r="B56" t="str">
            <v>قالب پخت کلاچ پیکان</v>
          </cell>
          <cell r="C56" t="str">
            <v>قالب تعمیری</v>
          </cell>
          <cell r="P56" t="str">
            <v>Matrix</v>
          </cell>
          <cell r="AF56">
            <v>2</v>
          </cell>
          <cell r="AR56">
            <v>3000000</v>
          </cell>
        </row>
        <row r="57">
          <cell r="B57" t="str">
            <v>قالب عقب F12</v>
          </cell>
          <cell r="C57" t="str">
            <v>قالب نو</v>
          </cell>
          <cell r="P57" t="str">
            <v>Matrix</v>
          </cell>
          <cell r="AF57">
            <v>11</v>
          </cell>
          <cell r="AR57">
            <v>8250000</v>
          </cell>
        </row>
        <row r="58">
          <cell r="B58" t="str">
            <v>پخت کلاچ پراید</v>
          </cell>
          <cell r="C58" t="str">
            <v>قالب تعمیری</v>
          </cell>
          <cell r="P58" t="str">
            <v>Mandrel</v>
          </cell>
          <cell r="AF58">
            <v>9</v>
          </cell>
          <cell r="AR58">
            <v>13500000</v>
          </cell>
        </row>
        <row r="59">
          <cell r="B59" t="str">
            <v>پخت کلاچ پراید</v>
          </cell>
          <cell r="C59" t="str">
            <v>قالب تعمیری</v>
          </cell>
          <cell r="P59" t="str">
            <v>bottom plate</v>
          </cell>
          <cell r="AF59">
            <v>2</v>
          </cell>
          <cell r="AR59">
            <v>3000000</v>
          </cell>
        </row>
        <row r="60">
          <cell r="B60" t="str">
            <v>کلمپ زنی</v>
          </cell>
          <cell r="C60" t="str">
            <v>دستگاه تعمیری</v>
          </cell>
          <cell r="P60" t="str">
            <v>میز</v>
          </cell>
          <cell r="AF60">
            <v>1.5</v>
          </cell>
          <cell r="AR60">
            <v>1125000</v>
          </cell>
        </row>
        <row r="61">
          <cell r="B61" t="str">
            <v>دستگاه پرس پخت</v>
          </cell>
          <cell r="C61" t="str">
            <v>قطعه تعمیری</v>
          </cell>
          <cell r="P61" t="str">
            <v>واسطه جک</v>
          </cell>
          <cell r="AF61">
            <v>5</v>
          </cell>
          <cell r="AR61">
            <v>3750000</v>
          </cell>
        </row>
        <row r="62">
          <cell r="B62" t="str">
            <v>دستگاه پرس پخت</v>
          </cell>
          <cell r="C62" t="str">
            <v>قطعه تعمیری</v>
          </cell>
          <cell r="P62" t="str">
            <v>واسطه جک</v>
          </cell>
          <cell r="AF62">
            <v>6.5</v>
          </cell>
          <cell r="AR62">
            <v>4875000</v>
          </cell>
        </row>
        <row r="63">
          <cell r="B63" t="str">
            <v>پخت کلاچ پراید</v>
          </cell>
          <cell r="C63" t="str">
            <v>قالب تعمیری</v>
          </cell>
          <cell r="P63" t="str">
            <v>MOLd</v>
          </cell>
          <cell r="AF63">
            <v>2</v>
          </cell>
          <cell r="AR63">
            <v>1500000</v>
          </cell>
        </row>
        <row r="64">
          <cell r="B64" t="str">
            <v>پایه پرچ لنت نیسان</v>
          </cell>
          <cell r="C64" t="str">
            <v>قطعه نو</v>
          </cell>
          <cell r="P64" t="str">
            <v>تفلون</v>
          </cell>
          <cell r="AF64">
            <v>4</v>
          </cell>
          <cell r="AR64">
            <v>3000000</v>
          </cell>
        </row>
        <row r="65">
          <cell r="B65" t="str">
            <v>قالب عقب F12</v>
          </cell>
          <cell r="C65" t="str">
            <v>قالب نو</v>
          </cell>
          <cell r="P65" t="str">
            <v>Matrix</v>
          </cell>
          <cell r="AF65">
            <v>2</v>
          </cell>
          <cell r="AR65">
            <v>1500000</v>
          </cell>
        </row>
        <row r="66">
          <cell r="B66" t="str">
            <v>قالب پخت کلاچ پیکان</v>
          </cell>
          <cell r="C66" t="str">
            <v>قالب تعمیری</v>
          </cell>
          <cell r="P66" t="str">
            <v>MOLd</v>
          </cell>
          <cell r="AF66">
            <v>2</v>
          </cell>
          <cell r="AR66">
            <v>1500000</v>
          </cell>
        </row>
        <row r="67">
          <cell r="B67" t="str">
            <v>شمش پراید</v>
          </cell>
          <cell r="C67" t="str">
            <v>قالب نو</v>
          </cell>
          <cell r="P67" t="str">
            <v>MOLd</v>
          </cell>
          <cell r="AF67">
            <v>3</v>
          </cell>
          <cell r="AR67">
            <v>2250000</v>
          </cell>
        </row>
        <row r="68">
          <cell r="B68" t="str">
            <v>قالب پخت کلاچ پیکان</v>
          </cell>
          <cell r="C68" t="str">
            <v>قالب تعمیری</v>
          </cell>
          <cell r="P68" t="str">
            <v>MOLd</v>
          </cell>
          <cell r="AF68">
            <v>4</v>
          </cell>
          <cell r="AR68">
            <v>3000000</v>
          </cell>
        </row>
        <row r="69">
          <cell r="B69" t="str">
            <v>قالب پخت کلاچ پیکان</v>
          </cell>
          <cell r="C69" t="str">
            <v>قالب تعمیری</v>
          </cell>
          <cell r="P69" t="str">
            <v>MOLd</v>
          </cell>
          <cell r="AF69">
            <v>3</v>
          </cell>
          <cell r="AR69">
            <v>2250000</v>
          </cell>
        </row>
        <row r="70">
          <cell r="B70" t="str">
            <v>پخت کلاچ ایویکو سوراخدار</v>
          </cell>
          <cell r="C70" t="str">
            <v>قالب تعمیری</v>
          </cell>
          <cell r="P70" t="str">
            <v>MOLd</v>
          </cell>
          <cell r="AF70">
            <v>3</v>
          </cell>
          <cell r="AR70">
            <v>2250000</v>
          </cell>
        </row>
        <row r="71">
          <cell r="B71" t="str">
            <v>دستگاه پرس پخت</v>
          </cell>
          <cell r="C71" t="str">
            <v>قطعه تعمیری</v>
          </cell>
          <cell r="P71" t="str">
            <v>کفی</v>
          </cell>
          <cell r="AF71">
            <v>2</v>
          </cell>
          <cell r="AR71">
            <v>1500000</v>
          </cell>
        </row>
        <row r="72">
          <cell r="B72" t="str">
            <v>پخت کلاچ پراید</v>
          </cell>
          <cell r="C72" t="str">
            <v>قالب تعمیری</v>
          </cell>
          <cell r="P72" t="str">
            <v>MOLd</v>
          </cell>
          <cell r="AF72">
            <v>2</v>
          </cell>
          <cell r="AR72">
            <v>1500000</v>
          </cell>
        </row>
        <row r="73">
          <cell r="B73" t="str">
            <v>تخته لنت صنعتی</v>
          </cell>
          <cell r="C73" t="str">
            <v>قطعه تعمیری</v>
          </cell>
          <cell r="P73" t="str">
            <v>تخته لنت</v>
          </cell>
          <cell r="AF73">
            <v>3</v>
          </cell>
          <cell r="AR73">
            <v>2250000</v>
          </cell>
        </row>
        <row r="74">
          <cell r="B74" t="str">
            <v>پخت کلاچ پراید</v>
          </cell>
          <cell r="C74" t="str">
            <v>قالب تعمیری</v>
          </cell>
          <cell r="P74" t="str">
            <v>Mold</v>
          </cell>
          <cell r="AF74">
            <v>3</v>
          </cell>
          <cell r="AR74">
            <v>2250000</v>
          </cell>
        </row>
        <row r="75">
          <cell r="B75" t="str">
            <v>پخت کلاچ پراید</v>
          </cell>
          <cell r="C75" t="str">
            <v>قالب تعمیری</v>
          </cell>
          <cell r="P75" t="str">
            <v>Mold</v>
          </cell>
          <cell r="AF75">
            <v>4</v>
          </cell>
          <cell r="AR75">
            <v>3000000</v>
          </cell>
        </row>
        <row r="76">
          <cell r="B76" t="str">
            <v>قالب پخت کلاچ پیکان</v>
          </cell>
          <cell r="C76" t="str">
            <v>قالب تعمیری</v>
          </cell>
          <cell r="P76" t="str">
            <v>MOLd</v>
          </cell>
          <cell r="AF76">
            <v>4</v>
          </cell>
          <cell r="AR76">
            <v>3000000</v>
          </cell>
        </row>
        <row r="77">
          <cell r="B77" t="str">
            <v>صفحه 25*30*50</v>
          </cell>
          <cell r="C77" t="str">
            <v>قالب نو</v>
          </cell>
          <cell r="P77" t="str">
            <v>صفحه</v>
          </cell>
          <cell r="AF77">
            <v>7.5</v>
          </cell>
          <cell r="AR77">
            <v>5625000</v>
          </cell>
        </row>
        <row r="78">
          <cell r="B78" t="str">
            <v>سوراخکاری پیلسان</v>
          </cell>
          <cell r="C78" t="str">
            <v>قطعه نو</v>
          </cell>
          <cell r="P78" t="str">
            <v>top Plate</v>
          </cell>
          <cell r="AF78">
            <v>3.5</v>
          </cell>
          <cell r="AR78">
            <v>2625000</v>
          </cell>
        </row>
        <row r="79">
          <cell r="B79" t="str">
            <v>سوراخکاری پیلسان</v>
          </cell>
          <cell r="C79" t="str">
            <v>قطعه نو</v>
          </cell>
          <cell r="P79" t="str">
            <v>top Plate</v>
          </cell>
          <cell r="AF79">
            <v>11</v>
          </cell>
          <cell r="AR79">
            <v>8250000</v>
          </cell>
        </row>
        <row r="80">
          <cell r="B80" t="str">
            <v>دریل یزدخواستی کلاچ</v>
          </cell>
          <cell r="C80" t="str">
            <v>قطعه نو</v>
          </cell>
          <cell r="P80" t="str">
            <v>فیکسچر پیکان</v>
          </cell>
          <cell r="AF80">
            <v>4.5</v>
          </cell>
          <cell r="AR80">
            <v>3375000</v>
          </cell>
        </row>
        <row r="81">
          <cell r="B81" t="str">
            <v>دریل یزدخواستی کلاچ</v>
          </cell>
          <cell r="C81" t="str">
            <v>قطعه نو</v>
          </cell>
          <cell r="P81" t="str">
            <v>فیکسچر پژو</v>
          </cell>
          <cell r="AF81">
            <v>4.5</v>
          </cell>
          <cell r="AR81">
            <v>3375000</v>
          </cell>
        </row>
        <row r="82">
          <cell r="B82" t="str">
            <v>پخت کلاچ پراید</v>
          </cell>
          <cell r="C82" t="str">
            <v>قالب تعمیری</v>
          </cell>
          <cell r="P82" t="str">
            <v>سوپاپ</v>
          </cell>
          <cell r="AF82">
            <v>2</v>
          </cell>
          <cell r="AR82">
            <v>1500000</v>
          </cell>
        </row>
        <row r="83">
          <cell r="B83" t="str">
            <v>پایه پرچ لنت نیسان</v>
          </cell>
          <cell r="C83" t="str">
            <v>قطعه نو</v>
          </cell>
          <cell r="P83" t="str">
            <v>تفلون</v>
          </cell>
          <cell r="AF83">
            <v>1</v>
          </cell>
          <cell r="AR83">
            <v>750000</v>
          </cell>
        </row>
        <row r="84">
          <cell r="B84" t="str">
            <v>قالب پخت کلاچ پیکان</v>
          </cell>
          <cell r="C84" t="str">
            <v>قالب تعمیری</v>
          </cell>
          <cell r="P84" t="str">
            <v>سوپاپ</v>
          </cell>
          <cell r="AF84">
            <v>3</v>
          </cell>
          <cell r="AR84">
            <v>2250000</v>
          </cell>
        </row>
        <row r="85">
          <cell r="B85" t="str">
            <v>قالب پخت کلاچ پیکان</v>
          </cell>
          <cell r="C85" t="str">
            <v>قالب تعمیری</v>
          </cell>
          <cell r="P85" t="str">
            <v>Bush</v>
          </cell>
          <cell r="AF85">
            <v>2</v>
          </cell>
          <cell r="AR85">
            <v>1500000</v>
          </cell>
        </row>
        <row r="86">
          <cell r="B86" t="str">
            <v>ساب سمباده ای</v>
          </cell>
          <cell r="C86" t="str">
            <v>قطعه تعمیری</v>
          </cell>
          <cell r="P86" t="str">
            <v>Shaft</v>
          </cell>
          <cell r="AF86">
            <v>4</v>
          </cell>
          <cell r="AR86">
            <v>3000000</v>
          </cell>
        </row>
        <row r="87">
          <cell r="B87" t="str">
            <v>دستگاه چسب زنی</v>
          </cell>
          <cell r="C87" t="str">
            <v>قطعه تعمیری</v>
          </cell>
          <cell r="P87" t="str">
            <v>تیغه</v>
          </cell>
          <cell r="AF87">
            <v>8</v>
          </cell>
          <cell r="AR87">
            <v>6000000</v>
          </cell>
        </row>
        <row r="88">
          <cell r="B88" t="str">
            <v>دستگاه چسب زنی</v>
          </cell>
          <cell r="C88" t="str">
            <v>قطعه تعمیری</v>
          </cell>
          <cell r="P88" t="str">
            <v>تیغه</v>
          </cell>
          <cell r="AF88">
            <v>8</v>
          </cell>
          <cell r="AR88">
            <v>6000000</v>
          </cell>
        </row>
        <row r="89">
          <cell r="B89" t="str">
            <v>نگهدارنده پلاک قالب</v>
          </cell>
          <cell r="C89" t="str">
            <v>قطعه نو</v>
          </cell>
          <cell r="P89" t="str">
            <v>نگهدارنده U</v>
          </cell>
          <cell r="AF89">
            <v>8</v>
          </cell>
          <cell r="AR89">
            <v>6000000</v>
          </cell>
        </row>
        <row r="90">
          <cell r="B90" t="str">
            <v>دستگاه چسب زنی</v>
          </cell>
          <cell r="C90" t="str">
            <v>قطعه تعمیری</v>
          </cell>
          <cell r="P90" t="str">
            <v>تیغه</v>
          </cell>
          <cell r="AF90">
            <v>12</v>
          </cell>
          <cell r="AR90">
            <v>9000000</v>
          </cell>
        </row>
        <row r="91">
          <cell r="B91" t="str">
            <v>نگهدارنده پلاک قالب</v>
          </cell>
          <cell r="C91" t="str">
            <v>قطعه نو</v>
          </cell>
          <cell r="P91" t="str">
            <v>نگهدارنده U</v>
          </cell>
          <cell r="AF91">
            <v>12</v>
          </cell>
          <cell r="AR91">
            <v>9000000</v>
          </cell>
        </row>
        <row r="92">
          <cell r="B92" t="str">
            <v>قالب عقب F12</v>
          </cell>
          <cell r="C92" t="str">
            <v>قالب نو</v>
          </cell>
          <cell r="P92" t="str">
            <v>Matrix</v>
          </cell>
          <cell r="AF92">
            <v>8.6666666666666661</v>
          </cell>
          <cell r="AR92">
            <v>6500000</v>
          </cell>
        </row>
        <row r="93">
          <cell r="B93" t="str">
            <v>دریل یزدخواستی کلاچ</v>
          </cell>
          <cell r="C93" t="str">
            <v>قطعه نو</v>
          </cell>
          <cell r="P93" t="str">
            <v>فیکسچر پژو</v>
          </cell>
          <cell r="AF93">
            <v>11</v>
          </cell>
          <cell r="AR93">
            <v>16500000</v>
          </cell>
        </row>
        <row r="94">
          <cell r="B94" t="str">
            <v>دریل یزدخواستی کلاچ</v>
          </cell>
          <cell r="C94" t="str">
            <v>قطعه نو</v>
          </cell>
          <cell r="P94" t="str">
            <v>فیکسچر پژو</v>
          </cell>
          <cell r="AF94">
            <v>5.5</v>
          </cell>
          <cell r="AR94">
            <v>8250000</v>
          </cell>
        </row>
        <row r="95">
          <cell r="B95" t="str">
            <v>قالب توری پگاسوز</v>
          </cell>
          <cell r="C95" t="str">
            <v>قالب نو</v>
          </cell>
          <cell r="P95" t="str">
            <v>Mandrel</v>
          </cell>
          <cell r="AF95">
            <v>3.5</v>
          </cell>
          <cell r="AR95">
            <v>5250000</v>
          </cell>
        </row>
        <row r="96">
          <cell r="B96" t="str">
            <v>دریل یزدخواستی کلاچ</v>
          </cell>
          <cell r="C96" t="str">
            <v>قطعه نو</v>
          </cell>
          <cell r="P96" t="str">
            <v>فیکسچر پراید</v>
          </cell>
          <cell r="AF96">
            <v>2</v>
          </cell>
          <cell r="AR96">
            <v>3000000</v>
          </cell>
        </row>
        <row r="97">
          <cell r="B97" t="str">
            <v>دستگاه برش جمعی</v>
          </cell>
          <cell r="C97" t="str">
            <v>قطعه تعمیری</v>
          </cell>
          <cell r="P97" t="str">
            <v>تیغه</v>
          </cell>
          <cell r="AF97">
            <v>4</v>
          </cell>
          <cell r="AR97">
            <v>3000000</v>
          </cell>
        </row>
        <row r="98">
          <cell r="B98" t="str">
            <v>پخت کلاچ پراید</v>
          </cell>
          <cell r="C98" t="str">
            <v>قالب تعمیری</v>
          </cell>
          <cell r="P98" t="str">
            <v>پیچ واسطه</v>
          </cell>
          <cell r="AF98">
            <v>7</v>
          </cell>
          <cell r="AR98">
            <v>5250000</v>
          </cell>
        </row>
        <row r="99">
          <cell r="B99" t="str">
            <v>سری نقطه جوش</v>
          </cell>
          <cell r="C99" t="str">
            <v>قطعه تعمیری</v>
          </cell>
          <cell r="P99" t="str">
            <v>مسی</v>
          </cell>
          <cell r="AF99">
            <v>1</v>
          </cell>
          <cell r="AR99">
            <v>750000</v>
          </cell>
        </row>
        <row r="100">
          <cell r="B100" t="str">
            <v>آغشته کاری</v>
          </cell>
          <cell r="C100" t="str">
            <v>قطعه تعمیری</v>
          </cell>
          <cell r="P100" t="str">
            <v>Shaft</v>
          </cell>
          <cell r="AF100">
            <v>2</v>
          </cell>
          <cell r="AR100">
            <v>1500000</v>
          </cell>
        </row>
        <row r="101">
          <cell r="B101" t="str">
            <v>لیفتراک</v>
          </cell>
          <cell r="C101" t="str">
            <v>قطعه نو</v>
          </cell>
          <cell r="P101" t="str">
            <v>مهره</v>
          </cell>
          <cell r="AF101">
            <v>2.5</v>
          </cell>
          <cell r="AR101">
            <v>1875000</v>
          </cell>
        </row>
        <row r="102">
          <cell r="B102" t="str">
            <v>پخت کلاچ پراید</v>
          </cell>
          <cell r="C102" t="str">
            <v>قالب تعمیری</v>
          </cell>
          <cell r="P102" t="str">
            <v>Bush</v>
          </cell>
          <cell r="AF102">
            <v>3.6666666666666665</v>
          </cell>
          <cell r="AR102">
            <v>2750000</v>
          </cell>
        </row>
        <row r="103">
          <cell r="B103" t="str">
            <v>صفحات 50*50 پخت کلاچ</v>
          </cell>
          <cell r="C103" t="str">
            <v>قالب تعمیری</v>
          </cell>
          <cell r="P103" t="str">
            <v>top Plate</v>
          </cell>
          <cell r="AF103">
            <v>11</v>
          </cell>
          <cell r="AR103">
            <v>8250000</v>
          </cell>
        </row>
        <row r="104">
          <cell r="B104" t="str">
            <v>قالب ترابوزا</v>
          </cell>
          <cell r="C104" t="str">
            <v>قالب تعمیری</v>
          </cell>
          <cell r="P104" t="str">
            <v>Mandrel</v>
          </cell>
          <cell r="AF104">
            <v>8</v>
          </cell>
          <cell r="AR104">
            <v>6000000</v>
          </cell>
        </row>
        <row r="105">
          <cell r="B105" t="str">
            <v>قالب SAF توری</v>
          </cell>
          <cell r="C105" t="str">
            <v>قالب تعمیری</v>
          </cell>
          <cell r="P105" t="str">
            <v>Matrix</v>
          </cell>
          <cell r="AF105">
            <v>0.75</v>
          </cell>
          <cell r="AR105">
            <v>562500</v>
          </cell>
        </row>
        <row r="106">
          <cell r="B106" t="str">
            <v>قالب SAF توری</v>
          </cell>
          <cell r="C106" t="str">
            <v>قالب تعمیری</v>
          </cell>
          <cell r="P106" t="str">
            <v>Mandrel</v>
          </cell>
          <cell r="AF106">
            <v>0.75</v>
          </cell>
          <cell r="AR106">
            <v>562500</v>
          </cell>
        </row>
        <row r="107">
          <cell r="B107" t="str">
            <v>قالب برش میدل باس</v>
          </cell>
          <cell r="C107" t="str">
            <v>قالب تعمیری</v>
          </cell>
          <cell r="P107" t="str">
            <v>Matrix</v>
          </cell>
          <cell r="AF107">
            <v>0.75</v>
          </cell>
          <cell r="AR107">
            <v>562500</v>
          </cell>
        </row>
        <row r="108">
          <cell r="B108" t="str">
            <v>قالب برش میدل باس</v>
          </cell>
          <cell r="C108" t="str">
            <v>قالب تعمیری</v>
          </cell>
          <cell r="P108" t="str">
            <v>Mandrel</v>
          </cell>
          <cell r="AF108">
            <v>0.75</v>
          </cell>
          <cell r="AR108">
            <v>562500</v>
          </cell>
        </row>
        <row r="109">
          <cell r="B109" t="str">
            <v>صفحات 50*50 پخت کلاچ</v>
          </cell>
          <cell r="C109" t="str">
            <v>قالب تعمیری</v>
          </cell>
          <cell r="P109" t="str">
            <v>top Plate</v>
          </cell>
          <cell r="AF109">
            <v>11</v>
          </cell>
          <cell r="AR109">
            <v>8250000</v>
          </cell>
        </row>
        <row r="110">
          <cell r="B110" t="str">
            <v>قالب پخت کلاچ پیکان</v>
          </cell>
          <cell r="C110" t="str">
            <v>قالب تعمیری</v>
          </cell>
          <cell r="P110" t="str">
            <v>Mandrel</v>
          </cell>
          <cell r="AF110">
            <v>7</v>
          </cell>
          <cell r="AR110">
            <v>5250000</v>
          </cell>
        </row>
        <row r="111">
          <cell r="B111" t="str">
            <v>سوراخکاری پیلسان</v>
          </cell>
          <cell r="C111" t="str">
            <v>قطعه نو</v>
          </cell>
          <cell r="P111" t="str">
            <v>bottom plate</v>
          </cell>
          <cell r="AF111">
            <v>2</v>
          </cell>
          <cell r="AR111">
            <v>1500000</v>
          </cell>
        </row>
        <row r="112">
          <cell r="B112" t="str">
            <v>سوراخکاری پیلسان</v>
          </cell>
          <cell r="C112" t="str">
            <v>قطعه نو</v>
          </cell>
          <cell r="P112" t="str">
            <v>bottom plate</v>
          </cell>
          <cell r="AF112">
            <v>2</v>
          </cell>
          <cell r="AR112">
            <v>1500000</v>
          </cell>
        </row>
        <row r="113">
          <cell r="B113" t="str">
            <v>پخت کلاچ پراید</v>
          </cell>
          <cell r="C113" t="str">
            <v>قالب تعمیری</v>
          </cell>
          <cell r="P113" t="str">
            <v>bottom plate</v>
          </cell>
          <cell r="AF113">
            <v>9</v>
          </cell>
          <cell r="AR113">
            <v>13500000</v>
          </cell>
        </row>
        <row r="114">
          <cell r="B114" t="str">
            <v>قالب پخت کلاچ پیکان</v>
          </cell>
          <cell r="C114" t="str">
            <v>قالب تعمیری</v>
          </cell>
          <cell r="P114" t="str">
            <v>bottom plate</v>
          </cell>
          <cell r="AF114">
            <v>2</v>
          </cell>
          <cell r="AR114">
            <v>3000000</v>
          </cell>
        </row>
        <row r="115">
          <cell r="B115" t="str">
            <v>دستگاه پرس 600 تن</v>
          </cell>
          <cell r="C115" t="str">
            <v>قطعه نو</v>
          </cell>
          <cell r="P115" t="str">
            <v>تفلن</v>
          </cell>
          <cell r="AF115">
            <v>9</v>
          </cell>
          <cell r="AR115">
            <v>6750000</v>
          </cell>
        </row>
        <row r="116">
          <cell r="B116" t="str">
            <v>دریل یزدخواستی کلاچ</v>
          </cell>
          <cell r="C116" t="str">
            <v>قطعه نو</v>
          </cell>
          <cell r="P116" t="str">
            <v>فیکسچر پراید</v>
          </cell>
          <cell r="AF116">
            <v>11</v>
          </cell>
          <cell r="AR116">
            <v>16500000</v>
          </cell>
        </row>
        <row r="117">
          <cell r="B117" t="str">
            <v>قالب پخت کلاچ پژو 405</v>
          </cell>
          <cell r="C117" t="str">
            <v>قالب تعمیری</v>
          </cell>
          <cell r="P117" t="str">
            <v>Matrix</v>
          </cell>
          <cell r="AF117">
            <v>7.5</v>
          </cell>
          <cell r="AR117">
            <v>11250000</v>
          </cell>
        </row>
        <row r="118">
          <cell r="B118" t="str">
            <v>قالب پخت کلاچ پیکان آرژانتینی</v>
          </cell>
          <cell r="C118" t="str">
            <v>قالب تعمیری</v>
          </cell>
          <cell r="P118" t="str">
            <v>top Plate</v>
          </cell>
          <cell r="AF118">
            <v>3.5</v>
          </cell>
          <cell r="AR118">
            <v>5250000</v>
          </cell>
        </row>
        <row r="119">
          <cell r="B119" t="str">
            <v>قالب پخت کلاچ پیکان آرژانتینی</v>
          </cell>
          <cell r="C119" t="str">
            <v>قالب تعمیری</v>
          </cell>
          <cell r="P119" t="str">
            <v>bottom plate</v>
          </cell>
          <cell r="AF119">
            <v>6.5</v>
          </cell>
          <cell r="AR119">
            <v>9750000</v>
          </cell>
        </row>
        <row r="120">
          <cell r="B120" t="str">
            <v>پخت کلاچ پراید</v>
          </cell>
          <cell r="C120" t="str">
            <v>قالب تعمیری</v>
          </cell>
          <cell r="P120" t="str">
            <v>Mandrel</v>
          </cell>
          <cell r="AF120">
            <v>4.5</v>
          </cell>
          <cell r="AR120">
            <v>6750000</v>
          </cell>
        </row>
        <row r="121">
          <cell r="B121" t="str">
            <v>کلمپ زنی</v>
          </cell>
          <cell r="C121" t="str">
            <v>دستگاه تعمیری</v>
          </cell>
          <cell r="P121" t="str">
            <v>میز</v>
          </cell>
          <cell r="AF121">
            <v>3</v>
          </cell>
          <cell r="AR121">
            <v>2250000</v>
          </cell>
        </row>
        <row r="122">
          <cell r="B122" t="str">
            <v>قالب ولوو سوپر</v>
          </cell>
          <cell r="C122" t="str">
            <v>قالب تعمیری</v>
          </cell>
          <cell r="P122" t="str">
            <v>Mandrel</v>
          </cell>
          <cell r="AF122">
            <v>2</v>
          </cell>
          <cell r="AR122">
            <v>1500000</v>
          </cell>
        </row>
        <row r="123">
          <cell r="B123" t="str">
            <v>سوراخکاری پیلسان</v>
          </cell>
          <cell r="C123" t="str">
            <v>قطعه نو</v>
          </cell>
          <cell r="P123" t="str">
            <v>top Plate</v>
          </cell>
          <cell r="AF123">
            <v>4.5</v>
          </cell>
          <cell r="AR123">
            <v>3375000</v>
          </cell>
        </row>
        <row r="124">
          <cell r="B124" t="str">
            <v>قالب ترابوزا</v>
          </cell>
          <cell r="C124" t="str">
            <v>قالب تعمیری</v>
          </cell>
          <cell r="P124" t="str">
            <v>Mandrel</v>
          </cell>
          <cell r="AF124">
            <v>6.5</v>
          </cell>
          <cell r="AR124">
            <v>4875000</v>
          </cell>
        </row>
        <row r="125">
          <cell r="B125" t="str">
            <v>شیم پژو 405</v>
          </cell>
          <cell r="C125" t="str">
            <v>قالب تعمیری</v>
          </cell>
          <cell r="P125" t="str">
            <v>Mold</v>
          </cell>
          <cell r="AF125">
            <v>2</v>
          </cell>
          <cell r="AR125">
            <v>1500000</v>
          </cell>
        </row>
        <row r="126">
          <cell r="B126" t="str">
            <v>قالب لودری 70021</v>
          </cell>
          <cell r="C126" t="str">
            <v>قالب تعمیری</v>
          </cell>
          <cell r="P126" t="str">
            <v>Mold</v>
          </cell>
          <cell r="AF126">
            <v>1</v>
          </cell>
          <cell r="AR126">
            <v>750000</v>
          </cell>
        </row>
        <row r="127">
          <cell r="B127" t="str">
            <v xml:space="preserve">دستگاه جوشکاری </v>
          </cell>
          <cell r="C127" t="str">
            <v>قطعه تعمیری</v>
          </cell>
          <cell r="P127" t="str">
            <v>چرخ</v>
          </cell>
          <cell r="AF127">
            <v>2</v>
          </cell>
          <cell r="AR127">
            <v>1500000</v>
          </cell>
        </row>
        <row r="128">
          <cell r="B128" t="str">
            <v>پخت کلاچ پراید</v>
          </cell>
          <cell r="C128" t="str">
            <v>قالب تعمیری</v>
          </cell>
          <cell r="P128" t="str">
            <v>Mold</v>
          </cell>
          <cell r="AF128">
            <v>3</v>
          </cell>
          <cell r="AR128">
            <v>2250000</v>
          </cell>
        </row>
        <row r="129">
          <cell r="B129" t="str">
            <v>قالب پخت کلاچ پیکان آرژانتینی</v>
          </cell>
          <cell r="C129" t="str">
            <v>قالب تعمیری</v>
          </cell>
          <cell r="P129" t="str">
            <v>bottom plate</v>
          </cell>
          <cell r="AF129">
            <v>3</v>
          </cell>
          <cell r="AR129">
            <v>2250000</v>
          </cell>
        </row>
        <row r="130">
          <cell r="B130" t="str">
            <v>دستگاه مهر زنی</v>
          </cell>
          <cell r="C130" t="str">
            <v>قطعه تعمیری</v>
          </cell>
          <cell r="P130" t="str">
            <v>قطعه</v>
          </cell>
          <cell r="AF130">
            <v>2</v>
          </cell>
          <cell r="AR130">
            <v>1500000</v>
          </cell>
        </row>
        <row r="131">
          <cell r="B131" t="str">
            <v>پخت کلاچ پراید</v>
          </cell>
          <cell r="C131" t="str">
            <v>قالب تعمیری</v>
          </cell>
          <cell r="P131" t="str">
            <v>Mold</v>
          </cell>
          <cell r="AF131">
            <v>7</v>
          </cell>
          <cell r="AR131">
            <v>5250000</v>
          </cell>
        </row>
        <row r="132">
          <cell r="B132" t="str">
            <v>قالب پخت کلاچ پیکان آرژانتینی</v>
          </cell>
          <cell r="C132" t="str">
            <v>قالب تعمیری</v>
          </cell>
          <cell r="P132" t="str">
            <v>Mold</v>
          </cell>
          <cell r="AF132">
            <v>2</v>
          </cell>
          <cell r="AR132">
            <v>1500000</v>
          </cell>
        </row>
        <row r="133">
          <cell r="B133" t="str">
            <v>پخت کلاچ پراید</v>
          </cell>
          <cell r="C133" t="str">
            <v>قالب تعمیری</v>
          </cell>
          <cell r="P133" t="str">
            <v>Bush</v>
          </cell>
          <cell r="AF133">
            <v>2</v>
          </cell>
          <cell r="AR133">
            <v>1500000</v>
          </cell>
        </row>
        <row r="134">
          <cell r="B134" t="str">
            <v>دستگاه برش جمعی</v>
          </cell>
          <cell r="C134" t="str">
            <v>قطعه تعمیری</v>
          </cell>
          <cell r="P134" t="str">
            <v>تیغه</v>
          </cell>
          <cell r="AF134">
            <v>2</v>
          </cell>
          <cell r="AR134">
            <v>1500000</v>
          </cell>
        </row>
        <row r="135">
          <cell r="B135" t="str">
            <v>Hammer Mill Machine</v>
          </cell>
          <cell r="C135" t="str">
            <v>دستگاه نو</v>
          </cell>
          <cell r="P135" t="str">
            <v>Bush</v>
          </cell>
          <cell r="AF135">
            <v>2</v>
          </cell>
          <cell r="AR135">
            <v>1500000</v>
          </cell>
        </row>
        <row r="136">
          <cell r="B136" t="str">
            <v>Hammer Mill Machine</v>
          </cell>
          <cell r="C136" t="str">
            <v>دستگاه نو</v>
          </cell>
          <cell r="P136" t="str">
            <v>واشر</v>
          </cell>
          <cell r="AF136">
            <v>2</v>
          </cell>
          <cell r="AR136">
            <v>1500000</v>
          </cell>
        </row>
        <row r="137">
          <cell r="B137" t="str">
            <v>دستگاه پرس پخت</v>
          </cell>
          <cell r="C137" t="str">
            <v>قطعه تعمیری</v>
          </cell>
          <cell r="P137" t="str">
            <v>Shaft</v>
          </cell>
          <cell r="AF137">
            <v>2</v>
          </cell>
          <cell r="AR137">
            <v>1500000</v>
          </cell>
        </row>
        <row r="138">
          <cell r="B138" t="str">
            <v>صفحات 50*50 پخت کلاچ</v>
          </cell>
          <cell r="C138" t="str">
            <v>قالب تعمیری</v>
          </cell>
          <cell r="P138" t="str">
            <v>top Plate</v>
          </cell>
          <cell r="AF138">
            <v>11</v>
          </cell>
          <cell r="AR138">
            <v>8250000</v>
          </cell>
        </row>
        <row r="139">
          <cell r="B139" t="str">
            <v>قالب لودری 70021</v>
          </cell>
          <cell r="C139" t="str">
            <v>قالب تعمیری</v>
          </cell>
          <cell r="P139" t="str">
            <v>Matrix</v>
          </cell>
          <cell r="AF139">
            <v>1</v>
          </cell>
          <cell r="AR139">
            <v>750000</v>
          </cell>
        </row>
        <row r="140">
          <cell r="B140" t="str">
            <v>قالب لودری 70021</v>
          </cell>
          <cell r="C140" t="str">
            <v>قالب تعمیری</v>
          </cell>
          <cell r="P140" t="str">
            <v>Mandrel</v>
          </cell>
          <cell r="AF140">
            <v>1</v>
          </cell>
          <cell r="AR140">
            <v>750000</v>
          </cell>
        </row>
        <row r="141">
          <cell r="B141" t="str">
            <v>قالب کوبه نک SAF</v>
          </cell>
          <cell r="C141" t="str">
            <v>قالب تعمیری</v>
          </cell>
          <cell r="P141" t="str">
            <v>Mandrel</v>
          </cell>
          <cell r="AF141">
            <v>1</v>
          </cell>
          <cell r="AR141">
            <v>750000</v>
          </cell>
        </row>
        <row r="142">
          <cell r="B142" t="str">
            <v>قالب توری پگاسوز</v>
          </cell>
          <cell r="C142" t="str">
            <v>قالب نو</v>
          </cell>
          <cell r="P142" t="str">
            <v>Matrix</v>
          </cell>
          <cell r="AF142">
            <v>2</v>
          </cell>
          <cell r="AR142">
            <v>1500000</v>
          </cell>
        </row>
        <row r="143">
          <cell r="B143" t="str">
            <v>قالب ترابوزا</v>
          </cell>
          <cell r="C143" t="str">
            <v>قالب تعمیری</v>
          </cell>
          <cell r="P143" t="str">
            <v>Mandrel</v>
          </cell>
          <cell r="AF143">
            <v>3</v>
          </cell>
          <cell r="AR143">
            <v>2250000</v>
          </cell>
        </row>
        <row r="144">
          <cell r="B144" t="str">
            <v>دستگاه چسب زنی</v>
          </cell>
          <cell r="C144" t="str">
            <v>قطعه تعمیری</v>
          </cell>
          <cell r="P144" t="str">
            <v>تیغه</v>
          </cell>
          <cell r="AF144">
            <v>6</v>
          </cell>
          <cell r="AR144">
            <v>4500000</v>
          </cell>
        </row>
        <row r="145">
          <cell r="B145" t="str">
            <v>پخت کلاچ پراید</v>
          </cell>
          <cell r="C145" t="str">
            <v>قالب تعمیری</v>
          </cell>
          <cell r="P145" t="str">
            <v>Mold</v>
          </cell>
          <cell r="AF145">
            <v>7</v>
          </cell>
          <cell r="AR145">
            <v>5250000</v>
          </cell>
        </row>
        <row r="146">
          <cell r="B146" t="str">
            <v>نگهدارنده پلاک قالب</v>
          </cell>
          <cell r="C146" t="str">
            <v>قطعه نو</v>
          </cell>
          <cell r="P146" t="str">
            <v>نگهدارنده U</v>
          </cell>
          <cell r="AF146">
            <v>6</v>
          </cell>
          <cell r="AR146">
            <v>4500000</v>
          </cell>
        </row>
        <row r="147">
          <cell r="B147" t="str">
            <v>قالب ولوو سوپر</v>
          </cell>
          <cell r="C147" t="str">
            <v>قالب تعمیری</v>
          </cell>
          <cell r="P147" t="str">
            <v>Mandrel</v>
          </cell>
          <cell r="AF147">
            <v>7</v>
          </cell>
          <cell r="AR147">
            <v>5250000</v>
          </cell>
        </row>
        <row r="148">
          <cell r="B148" t="str">
            <v>قالب ولوو سوپر</v>
          </cell>
          <cell r="C148" t="str">
            <v>قالب تعمیری</v>
          </cell>
          <cell r="P148" t="str">
            <v>Mandrel</v>
          </cell>
          <cell r="AF148">
            <v>5</v>
          </cell>
          <cell r="AR148">
            <v>3750000</v>
          </cell>
        </row>
        <row r="149">
          <cell r="B149" t="str">
            <v>دستگاه برش جمعی</v>
          </cell>
          <cell r="C149" t="str">
            <v>قطعه تعمیری</v>
          </cell>
          <cell r="P149" t="str">
            <v>تیغه</v>
          </cell>
          <cell r="AF149">
            <v>2</v>
          </cell>
          <cell r="AR149">
            <v>1500000</v>
          </cell>
        </row>
        <row r="150">
          <cell r="B150" t="str">
            <v>دستگاه چسب زنی</v>
          </cell>
          <cell r="C150" t="str">
            <v>قطعه تعمیری</v>
          </cell>
          <cell r="P150" t="str">
            <v>تیغه</v>
          </cell>
          <cell r="AF150">
            <v>3</v>
          </cell>
          <cell r="AR150">
            <v>2250000</v>
          </cell>
        </row>
        <row r="151">
          <cell r="B151" t="str">
            <v>قالب ولوو سوپر</v>
          </cell>
          <cell r="C151" t="str">
            <v>قالب تعمیری</v>
          </cell>
          <cell r="P151" t="str">
            <v>Mandrel</v>
          </cell>
          <cell r="AF151">
            <v>4</v>
          </cell>
          <cell r="AR151">
            <v>3000000</v>
          </cell>
        </row>
        <row r="152">
          <cell r="B152" t="str">
            <v>قالب ترابوزا</v>
          </cell>
          <cell r="C152" t="str">
            <v>قالب تعمیری</v>
          </cell>
          <cell r="P152" t="str">
            <v>Mandrel</v>
          </cell>
          <cell r="AF152">
            <v>11</v>
          </cell>
          <cell r="AR152">
            <v>8250000</v>
          </cell>
        </row>
        <row r="153">
          <cell r="B153" t="str">
            <v>قالب پخت کلاچ پژو 405</v>
          </cell>
          <cell r="C153" t="str">
            <v>قالب تعمیری</v>
          </cell>
          <cell r="P153" t="str">
            <v>Matrix</v>
          </cell>
          <cell r="AF153">
            <v>11</v>
          </cell>
          <cell r="AR153">
            <v>16500000</v>
          </cell>
        </row>
        <row r="154">
          <cell r="B154" t="str">
            <v>پخت کلاچ پراید</v>
          </cell>
          <cell r="C154" t="str">
            <v>قالب تعمیری</v>
          </cell>
          <cell r="P154" t="str">
            <v>Mandrel</v>
          </cell>
          <cell r="AF154">
            <v>3.5</v>
          </cell>
          <cell r="AR154">
            <v>5250000</v>
          </cell>
        </row>
        <row r="155">
          <cell r="B155" t="str">
            <v>پخت کلاچ پراید</v>
          </cell>
          <cell r="C155" t="str">
            <v>قالب تعمیری</v>
          </cell>
          <cell r="P155" t="str">
            <v>Matrix</v>
          </cell>
          <cell r="AF155">
            <v>7.5</v>
          </cell>
          <cell r="AR155">
            <v>11250000</v>
          </cell>
        </row>
        <row r="156">
          <cell r="B156" t="str">
            <v>دریل یزدخواستی کلاچ</v>
          </cell>
          <cell r="C156" t="str">
            <v>قطعه نو</v>
          </cell>
          <cell r="P156" t="str">
            <v>فیکسچر پراید</v>
          </cell>
          <cell r="AF156">
            <v>11</v>
          </cell>
          <cell r="AR156">
            <v>16500000</v>
          </cell>
        </row>
        <row r="157">
          <cell r="B157" t="str">
            <v>Hammer Mill Machine</v>
          </cell>
          <cell r="C157" t="str">
            <v>دستگاه نو</v>
          </cell>
          <cell r="P157" t="str">
            <v>Bush</v>
          </cell>
          <cell r="AF157">
            <v>4.5</v>
          </cell>
          <cell r="AR157">
            <v>3375000</v>
          </cell>
        </row>
        <row r="158">
          <cell r="B158" t="str">
            <v>قالب پخت کلاچ پیکان آرژانتینی</v>
          </cell>
          <cell r="C158" t="str">
            <v>قالب تعمیری</v>
          </cell>
          <cell r="P158" t="str">
            <v>Stop</v>
          </cell>
          <cell r="AF158">
            <v>6.5</v>
          </cell>
          <cell r="AR158">
            <v>4875000</v>
          </cell>
        </row>
        <row r="159">
          <cell r="B159" t="str">
            <v>دستگاه پرس 600 تن</v>
          </cell>
          <cell r="C159" t="str">
            <v>قطعه نو</v>
          </cell>
          <cell r="P159" t="str">
            <v>تفلن</v>
          </cell>
          <cell r="AF159">
            <v>6</v>
          </cell>
          <cell r="AR159">
            <v>4500000</v>
          </cell>
        </row>
        <row r="160">
          <cell r="B160" t="str">
            <v>ساب کونیک</v>
          </cell>
          <cell r="C160" t="str">
            <v>قطعه تعمیری</v>
          </cell>
          <cell r="P160" t="str">
            <v>توپی</v>
          </cell>
          <cell r="AF160">
            <v>2</v>
          </cell>
          <cell r="AR160">
            <v>1500000</v>
          </cell>
        </row>
        <row r="161">
          <cell r="B161" t="str">
            <v>ساب سمباده ای</v>
          </cell>
          <cell r="C161" t="str">
            <v>قطعه تعمیری</v>
          </cell>
          <cell r="P161" t="str">
            <v>Shaft</v>
          </cell>
          <cell r="AF161">
            <v>2</v>
          </cell>
          <cell r="AR161">
            <v>1500000</v>
          </cell>
        </row>
        <row r="162">
          <cell r="B162" t="str">
            <v>دستگاه پشم فلز چینی</v>
          </cell>
          <cell r="C162" t="str">
            <v>قطعه تعمیری</v>
          </cell>
          <cell r="P162" t="str">
            <v>Shaft</v>
          </cell>
          <cell r="AF162">
            <v>1</v>
          </cell>
          <cell r="AR162">
            <v>750000</v>
          </cell>
        </row>
        <row r="163">
          <cell r="B163" t="str">
            <v>قالب پخت کلاچ پیکان آرژانتینی</v>
          </cell>
          <cell r="C163" t="str">
            <v>قالب تعمیری</v>
          </cell>
          <cell r="P163" t="str">
            <v>رینگ</v>
          </cell>
          <cell r="AF163">
            <v>6</v>
          </cell>
          <cell r="AR163">
            <v>4500000</v>
          </cell>
        </row>
        <row r="164">
          <cell r="B164" t="str">
            <v>قالب فوتون 107</v>
          </cell>
          <cell r="C164" t="str">
            <v>قالب تعمیری</v>
          </cell>
          <cell r="P164" t="str">
            <v>MOLd</v>
          </cell>
          <cell r="AF164">
            <v>4</v>
          </cell>
          <cell r="AR164">
            <v>3000000</v>
          </cell>
        </row>
        <row r="165">
          <cell r="B165" t="str">
            <v>قالب ترابوزا</v>
          </cell>
          <cell r="C165" t="str">
            <v>قالب تعمیری</v>
          </cell>
          <cell r="P165" t="str">
            <v>Mandrel</v>
          </cell>
          <cell r="AF165">
            <v>11</v>
          </cell>
          <cell r="AR165">
            <v>8250000</v>
          </cell>
        </row>
        <row r="166">
          <cell r="B166" t="str">
            <v>صفحات 50*50 پخت کلاچ</v>
          </cell>
          <cell r="C166" t="str">
            <v>قالب تعمیری</v>
          </cell>
          <cell r="P166" t="str">
            <v>top Plate</v>
          </cell>
          <cell r="AF166">
            <v>3</v>
          </cell>
          <cell r="AR166">
            <v>2250000</v>
          </cell>
        </row>
        <row r="167">
          <cell r="B167" t="str">
            <v>پخت کلاچ پراید</v>
          </cell>
          <cell r="C167" t="str">
            <v>قالب تعمیری</v>
          </cell>
          <cell r="P167" t="str">
            <v>Mandrel</v>
          </cell>
          <cell r="AF167">
            <v>3</v>
          </cell>
          <cell r="AR167">
            <v>2250000</v>
          </cell>
        </row>
        <row r="168">
          <cell r="B168" t="str">
            <v>قالب کوبه نک SAF</v>
          </cell>
          <cell r="C168" t="str">
            <v>قالب تعمیری</v>
          </cell>
          <cell r="P168" t="str">
            <v>Mandrel</v>
          </cell>
          <cell r="AF168">
            <v>3</v>
          </cell>
          <cell r="AR168">
            <v>2250000</v>
          </cell>
        </row>
        <row r="169">
          <cell r="B169" t="str">
            <v>قالب پخت کلاچ پیکان آرژانتینی</v>
          </cell>
          <cell r="C169" t="str">
            <v>قالب تعمیری</v>
          </cell>
          <cell r="P169" t="str">
            <v>MOLd</v>
          </cell>
          <cell r="AF169">
            <v>3.5</v>
          </cell>
          <cell r="AR169">
            <v>2625000</v>
          </cell>
        </row>
        <row r="170">
          <cell r="B170" t="str">
            <v>قالب پخت کلاچ تیبا چپ</v>
          </cell>
          <cell r="C170" t="str">
            <v>قالب تعمیری</v>
          </cell>
          <cell r="P170" t="str">
            <v>پین</v>
          </cell>
          <cell r="AF170">
            <v>3</v>
          </cell>
          <cell r="AR170">
            <v>2250000</v>
          </cell>
        </row>
        <row r="171">
          <cell r="B171" t="str">
            <v>دستگاه پرس پخت</v>
          </cell>
          <cell r="C171" t="str">
            <v>قطعه تعمیری</v>
          </cell>
          <cell r="P171" t="str">
            <v>صفحه</v>
          </cell>
          <cell r="AF171">
            <v>1</v>
          </cell>
          <cell r="AR171">
            <v>750000</v>
          </cell>
        </row>
        <row r="172">
          <cell r="B172" t="str">
            <v>شمش پراید</v>
          </cell>
          <cell r="C172" t="str">
            <v>قالب نو</v>
          </cell>
          <cell r="P172" t="str">
            <v>Stop</v>
          </cell>
          <cell r="AF172">
            <v>1</v>
          </cell>
          <cell r="AR172">
            <v>750000</v>
          </cell>
        </row>
        <row r="173">
          <cell r="B173" t="str">
            <v>پخت کلاچ پراید</v>
          </cell>
          <cell r="C173" t="str">
            <v>قالب تعمیری</v>
          </cell>
          <cell r="P173" t="str">
            <v>bottom plate</v>
          </cell>
          <cell r="AF173">
            <v>1</v>
          </cell>
          <cell r="AR173">
            <v>750000</v>
          </cell>
        </row>
        <row r="174">
          <cell r="B174" t="str">
            <v>پخت کلاچ پراید</v>
          </cell>
          <cell r="C174" t="str">
            <v>قالب تعمیری</v>
          </cell>
          <cell r="P174" t="str">
            <v>top Plate</v>
          </cell>
          <cell r="AF174">
            <v>1.5</v>
          </cell>
          <cell r="AR174">
            <v>1125000</v>
          </cell>
        </row>
        <row r="175">
          <cell r="B175" t="str">
            <v>قالب پخت کلاچ پیکان آرژانتینی</v>
          </cell>
          <cell r="C175" t="str">
            <v>قالب تعمیری</v>
          </cell>
          <cell r="P175" t="str">
            <v>MOLd</v>
          </cell>
          <cell r="AF175">
            <v>3.5</v>
          </cell>
          <cell r="AR175">
            <v>2625000</v>
          </cell>
        </row>
        <row r="176">
          <cell r="B176" t="str">
            <v xml:space="preserve">پخت کلاچ پراید سکو </v>
          </cell>
          <cell r="C176" t="str">
            <v>قالب تعمیری</v>
          </cell>
          <cell r="P176" t="str">
            <v>پین</v>
          </cell>
          <cell r="AF176">
            <v>6</v>
          </cell>
          <cell r="AR176">
            <v>4500000</v>
          </cell>
        </row>
        <row r="177">
          <cell r="B177" t="str">
            <v>قالب فوتون 107</v>
          </cell>
          <cell r="C177" t="str">
            <v>قالب تعمیری</v>
          </cell>
          <cell r="P177" t="str">
            <v>MOLd</v>
          </cell>
          <cell r="AF177">
            <v>2.5</v>
          </cell>
          <cell r="AR177">
            <v>1875000</v>
          </cell>
        </row>
        <row r="178">
          <cell r="B178" t="str">
            <v>قالب عقب F12</v>
          </cell>
          <cell r="C178" t="str">
            <v>قالب نو</v>
          </cell>
          <cell r="P178" t="str">
            <v>MOLd</v>
          </cell>
          <cell r="AF178">
            <v>2</v>
          </cell>
          <cell r="AR178">
            <v>1500000</v>
          </cell>
        </row>
        <row r="179">
          <cell r="B179" t="str">
            <v xml:space="preserve">قالب پخت کلاچ پیکان </v>
          </cell>
          <cell r="C179" t="str">
            <v>قالب تعمیری</v>
          </cell>
          <cell r="P179" t="str">
            <v>سوپاپ</v>
          </cell>
          <cell r="AF179">
            <v>4</v>
          </cell>
          <cell r="AR179">
            <v>3000000</v>
          </cell>
        </row>
        <row r="180">
          <cell r="B180" t="str">
            <v>قالب توری پگاسوز</v>
          </cell>
          <cell r="C180" t="str">
            <v>قالب نو</v>
          </cell>
          <cell r="P180" t="str">
            <v>صفحه</v>
          </cell>
          <cell r="AF180">
            <v>2</v>
          </cell>
          <cell r="AR180">
            <v>1500000</v>
          </cell>
        </row>
        <row r="181">
          <cell r="B181" t="str">
            <v>قالب ولوو سوپر</v>
          </cell>
          <cell r="C181" t="str">
            <v>قالب تعمیری</v>
          </cell>
          <cell r="P181" t="str">
            <v>Mandrel</v>
          </cell>
          <cell r="AF181">
            <v>12</v>
          </cell>
          <cell r="AR181">
            <v>9000000</v>
          </cell>
        </row>
        <row r="182">
          <cell r="B182" t="str">
            <v>پخت کلاچ پراید</v>
          </cell>
          <cell r="C182" t="str">
            <v>قالب تعمیری</v>
          </cell>
          <cell r="P182" t="str">
            <v>Mold</v>
          </cell>
          <cell r="AF182">
            <v>12</v>
          </cell>
          <cell r="AR182">
            <v>9000000</v>
          </cell>
        </row>
        <row r="183">
          <cell r="B183" t="str">
            <v>دستگاه چسب زنی</v>
          </cell>
          <cell r="C183" t="str">
            <v>قطعه تعمیری</v>
          </cell>
          <cell r="P183" t="str">
            <v>تیغه</v>
          </cell>
          <cell r="AF183">
            <v>3</v>
          </cell>
          <cell r="AR183">
            <v>2250000</v>
          </cell>
        </row>
        <row r="184">
          <cell r="B184" t="str">
            <v>قالب ولوو سوپر</v>
          </cell>
          <cell r="C184" t="str">
            <v>قالب تعمیری</v>
          </cell>
          <cell r="P184" t="str">
            <v>Mandrel</v>
          </cell>
          <cell r="AF184">
            <v>8</v>
          </cell>
          <cell r="AR184">
            <v>6000000</v>
          </cell>
        </row>
        <row r="185">
          <cell r="B185" t="str">
            <v>دستگاه فرز</v>
          </cell>
          <cell r="C185" t="str">
            <v>قطعه تعمیری</v>
          </cell>
          <cell r="P185" t="str">
            <v>تیغه</v>
          </cell>
          <cell r="AF185">
            <v>6</v>
          </cell>
          <cell r="AR185">
            <v>4500000</v>
          </cell>
        </row>
        <row r="186">
          <cell r="B186" t="str">
            <v>قالب ولوو سوپر</v>
          </cell>
          <cell r="C186" t="str">
            <v>قالب تعمیری</v>
          </cell>
          <cell r="P186" t="str">
            <v>Mandrel</v>
          </cell>
          <cell r="AF186">
            <v>6.5</v>
          </cell>
          <cell r="AR186">
            <v>4875000</v>
          </cell>
        </row>
        <row r="187">
          <cell r="B187" t="str">
            <v>قالب ترابوزا</v>
          </cell>
          <cell r="C187" t="str">
            <v>قالب تعمیری</v>
          </cell>
          <cell r="P187" t="str">
            <v>Mandrel</v>
          </cell>
          <cell r="AF187">
            <v>11</v>
          </cell>
          <cell r="AR187">
            <v>8250000</v>
          </cell>
        </row>
        <row r="188">
          <cell r="B188" t="str">
            <v>قالب پخت کلاچ پژو 405</v>
          </cell>
          <cell r="C188" t="str">
            <v>قالب تعمیری</v>
          </cell>
          <cell r="P188" t="str">
            <v>Matrix</v>
          </cell>
          <cell r="AF188">
            <v>2</v>
          </cell>
          <cell r="AR188">
            <v>3000000</v>
          </cell>
        </row>
        <row r="189">
          <cell r="B189" t="str">
            <v>قالب پخت کلاچ پژو 405</v>
          </cell>
          <cell r="C189" t="str">
            <v>قالب تعمیری</v>
          </cell>
          <cell r="P189" t="str">
            <v>Matrix</v>
          </cell>
          <cell r="AF189">
            <v>5</v>
          </cell>
          <cell r="AR189">
            <v>7500000</v>
          </cell>
        </row>
        <row r="190">
          <cell r="B190" t="str">
            <v>پخت کلاچ پراید</v>
          </cell>
          <cell r="C190" t="str">
            <v>قالب تعمیری</v>
          </cell>
          <cell r="P190" t="str">
            <v>Matrix</v>
          </cell>
          <cell r="AF190">
            <v>2.5</v>
          </cell>
          <cell r="AR190">
            <v>3750000</v>
          </cell>
        </row>
        <row r="191">
          <cell r="B191" t="str">
            <v>قالب پخت کلاچ پژو 405</v>
          </cell>
          <cell r="C191" t="str">
            <v>قالب تعمیری</v>
          </cell>
          <cell r="P191" t="str">
            <v>Matrix</v>
          </cell>
          <cell r="AF191">
            <v>5.5</v>
          </cell>
          <cell r="AR191">
            <v>8250000</v>
          </cell>
        </row>
        <row r="192">
          <cell r="B192" t="str">
            <v>پخت کلاچ پراید</v>
          </cell>
          <cell r="C192" t="str">
            <v>قالب تعمیری</v>
          </cell>
          <cell r="P192" t="str">
            <v>Mandrel</v>
          </cell>
          <cell r="AF192">
            <v>3</v>
          </cell>
          <cell r="AR192">
            <v>4500000</v>
          </cell>
        </row>
        <row r="193">
          <cell r="B193" t="str">
            <v>قالب پخت کلاچ پژو 405</v>
          </cell>
          <cell r="C193" t="str">
            <v>قالب تعمیری</v>
          </cell>
          <cell r="P193" t="str">
            <v>Stop</v>
          </cell>
          <cell r="AF193">
            <v>7</v>
          </cell>
          <cell r="AR193">
            <v>5250000</v>
          </cell>
        </row>
        <row r="194">
          <cell r="B194" t="str">
            <v>Hammer Mill Machine</v>
          </cell>
          <cell r="C194" t="str">
            <v>دستگاه نو</v>
          </cell>
          <cell r="P194" t="str">
            <v>Shaft</v>
          </cell>
          <cell r="AF194">
            <v>2</v>
          </cell>
          <cell r="AR194">
            <v>1500000</v>
          </cell>
        </row>
        <row r="195">
          <cell r="B195" t="str">
            <v>دریل یزدخواستی کلاچ</v>
          </cell>
          <cell r="C195" t="str">
            <v>قطعه نو</v>
          </cell>
          <cell r="P195" t="str">
            <v>فیکسچر پراید</v>
          </cell>
          <cell r="AF195">
            <v>5.5</v>
          </cell>
          <cell r="AR195">
            <v>8250000</v>
          </cell>
        </row>
        <row r="196">
          <cell r="B196" t="str">
            <v>Hammer Mill Machine</v>
          </cell>
          <cell r="C196" t="str">
            <v>دستگاه نو</v>
          </cell>
          <cell r="P196" t="str">
            <v>صفحه</v>
          </cell>
          <cell r="AF196">
            <v>5.5</v>
          </cell>
          <cell r="AR196">
            <v>8250000</v>
          </cell>
        </row>
        <row r="197">
          <cell r="B197" t="str">
            <v>دستگاه پرس 600 تن</v>
          </cell>
          <cell r="C197" t="str">
            <v>قطعه نو</v>
          </cell>
          <cell r="P197" t="str">
            <v>تفلن</v>
          </cell>
          <cell r="AF197">
            <v>4</v>
          </cell>
          <cell r="AR197">
            <v>3000000</v>
          </cell>
        </row>
        <row r="198">
          <cell r="B198" t="str">
            <v>ساب کونیک</v>
          </cell>
          <cell r="C198" t="str">
            <v>قطعه تعمیری</v>
          </cell>
          <cell r="P198" t="str">
            <v>توپی</v>
          </cell>
          <cell r="AF198">
            <v>2</v>
          </cell>
          <cell r="AR198">
            <v>1500000</v>
          </cell>
        </row>
        <row r="199">
          <cell r="B199" t="str">
            <v>دستگاه پشم فلز آلمانی</v>
          </cell>
          <cell r="C199" t="str">
            <v>قطعه تعمیری</v>
          </cell>
          <cell r="P199" t="str">
            <v>Shaft</v>
          </cell>
          <cell r="AF199">
            <v>2</v>
          </cell>
          <cell r="AR199">
            <v>1500000</v>
          </cell>
        </row>
        <row r="200">
          <cell r="B200" t="str">
            <v>دستگاه پشم فلز چینی</v>
          </cell>
          <cell r="C200" t="str">
            <v>قطعه تعمیری</v>
          </cell>
          <cell r="P200" t="str">
            <v>محور</v>
          </cell>
          <cell r="AF200">
            <v>3</v>
          </cell>
          <cell r="AR200">
            <v>2250000</v>
          </cell>
        </row>
        <row r="201">
          <cell r="B201" t="str">
            <v>صفحات 50*50 پخت کلاچ</v>
          </cell>
          <cell r="C201" t="str">
            <v>قالب تعمیری</v>
          </cell>
          <cell r="P201" t="str">
            <v>top Plate</v>
          </cell>
          <cell r="AF201">
            <v>11</v>
          </cell>
          <cell r="AR201">
            <v>8250000</v>
          </cell>
        </row>
        <row r="202">
          <cell r="B202" t="str">
            <v>قالب ترابوزا</v>
          </cell>
          <cell r="C202" t="str">
            <v>قالب تعمیری</v>
          </cell>
          <cell r="P202" t="str">
            <v>Mandrel</v>
          </cell>
          <cell r="AF202">
            <v>4</v>
          </cell>
          <cell r="AR202">
            <v>3000000</v>
          </cell>
        </row>
        <row r="203">
          <cell r="B203" t="str">
            <v>قالب ولوو سوپر</v>
          </cell>
          <cell r="C203" t="str">
            <v>قالب تعمیری</v>
          </cell>
          <cell r="P203" t="str">
            <v>Mandrel</v>
          </cell>
          <cell r="AF203">
            <v>1</v>
          </cell>
          <cell r="AR203">
            <v>750000</v>
          </cell>
        </row>
        <row r="204">
          <cell r="B204" t="str">
            <v>پخت کلاچ پراید</v>
          </cell>
          <cell r="C204" t="str">
            <v>قالب تعمیری</v>
          </cell>
          <cell r="P204" t="str">
            <v>Mandrel</v>
          </cell>
          <cell r="AF204">
            <v>2</v>
          </cell>
          <cell r="AR204">
            <v>1500000</v>
          </cell>
        </row>
        <row r="205">
          <cell r="B205" t="str">
            <v>پخت کلاچ پراید</v>
          </cell>
          <cell r="C205" t="str">
            <v>قالب تعمیری</v>
          </cell>
          <cell r="P205" t="str">
            <v>Stop</v>
          </cell>
          <cell r="AF205">
            <v>1</v>
          </cell>
          <cell r="AR205">
            <v>750000</v>
          </cell>
        </row>
        <row r="206">
          <cell r="B206" t="str">
            <v xml:space="preserve">پخت کلاچ پراید سکو </v>
          </cell>
          <cell r="C206" t="str">
            <v>قالب تعمیری</v>
          </cell>
          <cell r="P206" t="str">
            <v>پین</v>
          </cell>
          <cell r="AF206">
            <v>3.5</v>
          </cell>
          <cell r="AR206">
            <v>2625000</v>
          </cell>
        </row>
        <row r="207">
          <cell r="B207" t="str">
            <v>قالب فوتون 107</v>
          </cell>
          <cell r="C207" t="str">
            <v>قالب تعمیری</v>
          </cell>
          <cell r="P207" t="str">
            <v>MOLd</v>
          </cell>
          <cell r="AF207">
            <v>1</v>
          </cell>
          <cell r="AR207">
            <v>750000</v>
          </cell>
        </row>
        <row r="208">
          <cell r="B208" t="str">
            <v>پخت کلاچ ده تن</v>
          </cell>
          <cell r="C208" t="str">
            <v>قالب تعمیری</v>
          </cell>
          <cell r="P208" t="str">
            <v>پین</v>
          </cell>
          <cell r="AF208">
            <v>2</v>
          </cell>
          <cell r="AR208">
            <v>1500000</v>
          </cell>
        </row>
        <row r="209">
          <cell r="B209" t="str">
            <v>ویوینگ</v>
          </cell>
          <cell r="C209" t="str">
            <v>قطعه تعمیری</v>
          </cell>
          <cell r="P209" t="str">
            <v>صفحه</v>
          </cell>
          <cell r="AF209">
            <v>1</v>
          </cell>
          <cell r="AR209">
            <v>750000</v>
          </cell>
        </row>
        <row r="210">
          <cell r="B210" t="str">
            <v xml:space="preserve">قالب پخت کلاچ پیکان </v>
          </cell>
          <cell r="C210" t="str">
            <v>قالب تعمیری</v>
          </cell>
          <cell r="P210" t="str">
            <v>MOLd</v>
          </cell>
          <cell r="AF210">
            <v>1.5</v>
          </cell>
          <cell r="AR210">
            <v>1125000</v>
          </cell>
        </row>
        <row r="211">
          <cell r="B211" t="str">
            <v>قالب فوتون 107</v>
          </cell>
          <cell r="C211" t="str">
            <v>قالب تعمیری</v>
          </cell>
          <cell r="P211" t="str">
            <v>MOLd</v>
          </cell>
          <cell r="AF211">
            <v>5</v>
          </cell>
          <cell r="AR211">
            <v>3750000</v>
          </cell>
        </row>
        <row r="212">
          <cell r="B212" t="str">
            <v>قالب فوتون 107</v>
          </cell>
          <cell r="C212" t="str">
            <v>قالب تعمیری</v>
          </cell>
          <cell r="P212" t="str">
            <v>MOLd</v>
          </cell>
          <cell r="AF212">
            <v>2</v>
          </cell>
          <cell r="AR212">
            <v>1500000</v>
          </cell>
        </row>
        <row r="213">
          <cell r="B213" t="str">
            <v>قالب فوتون 107</v>
          </cell>
          <cell r="C213" t="str">
            <v>قالب تعمیری</v>
          </cell>
          <cell r="P213" t="str">
            <v>MOLd</v>
          </cell>
          <cell r="AF213">
            <v>2</v>
          </cell>
          <cell r="AR213">
            <v>1500000</v>
          </cell>
        </row>
        <row r="214">
          <cell r="B214" t="str">
            <v>قالب فوتون 107</v>
          </cell>
          <cell r="C214" t="str">
            <v>قالب تعمیری</v>
          </cell>
          <cell r="P214" t="str">
            <v>میل راهنما</v>
          </cell>
          <cell r="AF214">
            <v>2</v>
          </cell>
          <cell r="AR214">
            <v>1500000</v>
          </cell>
        </row>
        <row r="215">
          <cell r="B215" t="str">
            <v>قالب ولوو سوپر</v>
          </cell>
          <cell r="C215" t="str">
            <v>قالب تعمیری</v>
          </cell>
          <cell r="P215" t="str">
            <v>Mandrel</v>
          </cell>
          <cell r="AF215">
            <v>11</v>
          </cell>
          <cell r="AR215">
            <v>8250000</v>
          </cell>
        </row>
        <row r="216">
          <cell r="B216" t="str">
            <v xml:space="preserve">قالب پخت کلاچ پیکان </v>
          </cell>
          <cell r="C216" t="str">
            <v>قالب تعمیری</v>
          </cell>
          <cell r="P216" t="str">
            <v>mold</v>
          </cell>
          <cell r="AF216">
            <v>11</v>
          </cell>
          <cell r="AR216">
            <v>8250000</v>
          </cell>
        </row>
        <row r="217">
          <cell r="B217" t="str">
            <v xml:space="preserve">قالب پخت کلاچ پیکان </v>
          </cell>
          <cell r="C217" t="str">
            <v>قالب تعمیری</v>
          </cell>
          <cell r="P217" t="str">
            <v>guaid rod</v>
          </cell>
          <cell r="AF217">
            <v>2</v>
          </cell>
          <cell r="AR217">
            <v>1500000</v>
          </cell>
        </row>
        <row r="218">
          <cell r="B218" t="str">
            <v>قالب توری پگاسوز</v>
          </cell>
          <cell r="C218" t="str">
            <v>قالب نو</v>
          </cell>
          <cell r="P218" t="str">
            <v>mold</v>
          </cell>
          <cell r="AF218">
            <v>2</v>
          </cell>
          <cell r="AR218">
            <v>1500000</v>
          </cell>
        </row>
        <row r="219">
          <cell r="B219" t="str">
            <v>پخت کلاچ پراید</v>
          </cell>
          <cell r="C219" t="str">
            <v>قالب تعمیری</v>
          </cell>
          <cell r="P219" t="str">
            <v>mold</v>
          </cell>
          <cell r="AF219">
            <v>1.5</v>
          </cell>
          <cell r="AR219">
            <v>1125000</v>
          </cell>
        </row>
        <row r="220">
          <cell r="B220" t="str">
            <v xml:space="preserve">قالب پخت کلاچ پیکان </v>
          </cell>
          <cell r="C220" t="str">
            <v>قالب تعمیری</v>
          </cell>
          <cell r="P220" t="str">
            <v>mold</v>
          </cell>
          <cell r="AF220">
            <v>2.5</v>
          </cell>
          <cell r="AR220">
            <v>1875000</v>
          </cell>
        </row>
        <row r="221">
          <cell r="B221" t="str">
            <v>دستگاه مهر زنی</v>
          </cell>
          <cell r="C221" t="str">
            <v>قطعه تعمیری</v>
          </cell>
          <cell r="P221" t="str">
            <v>قطعه</v>
          </cell>
          <cell r="AF221">
            <v>1</v>
          </cell>
          <cell r="AR221">
            <v>750000</v>
          </cell>
        </row>
        <row r="222">
          <cell r="B222" t="str">
            <v>قالب پخت کلاچ پژو 405</v>
          </cell>
          <cell r="C222" t="str">
            <v>قالب تعمیری</v>
          </cell>
          <cell r="P222" t="str">
            <v>mold</v>
          </cell>
          <cell r="AF222">
            <v>1.5</v>
          </cell>
          <cell r="AR222">
            <v>1125000</v>
          </cell>
        </row>
        <row r="223">
          <cell r="B223" t="str">
            <v>پخت کلاچ ده تن</v>
          </cell>
          <cell r="C223" t="str">
            <v>قالب تعمیری</v>
          </cell>
          <cell r="P223" t="str">
            <v>Mandrel</v>
          </cell>
          <cell r="AF223">
            <v>1</v>
          </cell>
          <cell r="AR223">
            <v>750000</v>
          </cell>
        </row>
        <row r="224">
          <cell r="B224" t="str">
            <v>پخت کلاچ پراید</v>
          </cell>
          <cell r="C224" t="str">
            <v>قالب تعمیری</v>
          </cell>
          <cell r="P224" t="str">
            <v>MOLd</v>
          </cell>
          <cell r="AF224">
            <v>2</v>
          </cell>
          <cell r="AR224">
            <v>1500000</v>
          </cell>
        </row>
        <row r="225">
          <cell r="B225" t="str">
            <v>پخت کلاچ ده تن</v>
          </cell>
          <cell r="C225" t="str">
            <v>قالب تعمیری</v>
          </cell>
          <cell r="P225" t="str">
            <v>MOLd</v>
          </cell>
          <cell r="AF225">
            <v>1</v>
          </cell>
          <cell r="AR225">
            <v>750000</v>
          </cell>
        </row>
        <row r="226">
          <cell r="B226" t="str">
            <v>پخت کلاچ پراید</v>
          </cell>
          <cell r="C226" t="str">
            <v>قالب تعمیری</v>
          </cell>
          <cell r="P226" t="str">
            <v>Mandrel</v>
          </cell>
          <cell r="AF226">
            <v>7.5</v>
          </cell>
          <cell r="AR226">
            <v>11250000</v>
          </cell>
        </row>
        <row r="227">
          <cell r="B227" t="str">
            <v>قالب ترابوزا</v>
          </cell>
          <cell r="C227" t="str">
            <v>قالب تعمیری</v>
          </cell>
          <cell r="P227" t="str">
            <v>Mandrel</v>
          </cell>
          <cell r="AF227">
            <v>7.5</v>
          </cell>
          <cell r="AR227">
            <v>5625000</v>
          </cell>
        </row>
        <row r="228">
          <cell r="B228" t="str">
            <v>Hammer Mill Machine</v>
          </cell>
          <cell r="C228" t="str">
            <v>دستگاه نو</v>
          </cell>
          <cell r="P228" t="str">
            <v>صفحه</v>
          </cell>
          <cell r="AF228">
            <v>5.5</v>
          </cell>
          <cell r="AR228">
            <v>8250000</v>
          </cell>
        </row>
        <row r="229">
          <cell r="B229" t="str">
            <v>پخت کلاچ ده تن</v>
          </cell>
          <cell r="C229" t="str">
            <v>قالب تعمیری</v>
          </cell>
          <cell r="P229" t="str">
            <v>bottom plate</v>
          </cell>
          <cell r="AF229">
            <v>2</v>
          </cell>
          <cell r="AR229">
            <v>3000000</v>
          </cell>
        </row>
        <row r="230">
          <cell r="B230" t="str">
            <v>پخت کلاچ ده تن</v>
          </cell>
          <cell r="C230" t="str">
            <v>قالب تعمیری</v>
          </cell>
          <cell r="P230" t="str">
            <v>bottom plate</v>
          </cell>
          <cell r="AF230">
            <v>3</v>
          </cell>
          <cell r="AR230">
            <v>4500000</v>
          </cell>
        </row>
        <row r="231">
          <cell r="B231" t="str">
            <v>صفحات 50*50 پخت کلاچ</v>
          </cell>
          <cell r="C231" t="str">
            <v>قالب تعمیری</v>
          </cell>
          <cell r="P231" t="str">
            <v>top Plate</v>
          </cell>
          <cell r="AF231">
            <v>7.5</v>
          </cell>
          <cell r="AR231">
            <v>5625000</v>
          </cell>
        </row>
        <row r="232">
          <cell r="B232" t="str">
            <v>قالب ترابوزا</v>
          </cell>
          <cell r="C232" t="str">
            <v>قالب تعمیری</v>
          </cell>
          <cell r="P232" t="str">
            <v>Mandrel</v>
          </cell>
          <cell r="AF232">
            <v>3.6666666666666665</v>
          </cell>
          <cell r="AR232">
            <v>2750000</v>
          </cell>
        </row>
        <row r="233">
          <cell r="B233" t="str">
            <v>قالب ولوو سوپر</v>
          </cell>
          <cell r="C233" t="str">
            <v>قالب تعمیری</v>
          </cell>
          <cell r="P233" t="str">
            <v>Mandrel</v>
          </cell>
          <cell r="AF233">
            <v>3.8333333333333335</v>
          </cell>
          <cell r="AR233">
            <v>2875000</v>
          </cell>
        </row>
        <row r="234">
          <cell r="B234" t="str">
            <v>Hammer Mill Machine</v>
          </cell>
          <cell r="C234" t="str">
            <v>دستگاه نو</v>
          </cell>
          <cell r="P234" t="str">
            <v>Shaft</v>
          </cell>
          <cell r="AF234">
            <v>3</v>
          </cell>
          <cell r="AR234">
            <v>2250000</v>
          </cell>
        </row>
        <row r="235">
          <cell r="B235" t="str">
            <v>پخت کلاچ پراید</v>
          </cell>
          <cell r="C235" t="str">
            <v>قالب تعمیری</v>
          </cell>
          <cell r="P235" t="str">
            <v>تقویت میل راهنما</v>
          </cell>
          <cell r="AF235">
            <v>2</v>
          </cell>
          <cell r="AR235">
            <v>1500000</v>
          </cell>
        </row>
        <row r="236">
          <cell r="B236" t="str">
            <v>سری نقطه جوش</v>
          </cell>
          <cell r="C236" t="str">
            <v>قطعه تعمیری</v>
          </cell>
          <cell r="P236" t="str">
            <v>مسی</v>
          </cell>
          <cell r="AF236">
            <v>1</v>
          </cell>
          <cell r="AR236">
            <v>750000</v>
          </cell>
        </row>
        <row r="237">
          <cell r="B237" t="str">
            <v>پخت کلاچ پراید</v>
          </cell>
          <cell r="C237" t="str">
            <v>قالب تعمیری</v>
          </cell>
          <cell r="P237" t="str">
            <v>پین ثابت</v>
          </cell>
          <cell r="AF237">
            <v>1</v>
          </cell>
          <cell r="AR237">
            <v>750000</v>
          </cell>
        </row>
        <row r="238">
          <cell r="B238" t="str">
            <v>دستگاه پشم فلز</v>
          </cell>
          <cell r="C238" t="str">
            <v>قطعه تعمیری</v>
          </cell>
          <cell r="P238" t="str">
            <v>قطعه U</v>
          </cell>
          <cell r="AF238">
            <v>5</v>
          </cell>
          <cell r="AR238">
            <v>3750000</v>
          </cell>
        </row>
        <row r="239">
          <cell r="B239" t="str">
            <v xml:space="preserve">قالب پخت کلاچ پیکان </v>
          </cell>
          <cell r="C239" t="str">
            <v>قالب تعمیری</v>
          </cell>
          <cell r="P239" t="str">
            <v>mold</v>
          </cell>
          <cell r="AF239">
            <v>8</v>
          </cell>
          <cell r="AR239">
            <v>6000000</v>
          </cell>
        </row>
        <row r="240">
          <cell r="B240" t="str">
            <v xml:space="preserve">قالب پخت کلاچ پیکان </v>
          </cell>
          <cell r="C240" t="str">
            <v>قالب تعمیری</v>
          </cell>
          <cell r="P240" t="str">
            <v>guaid rod</v>
          </cell>
          <cell r="AF240">
            <v>3</v>
          </cell>
          <cell r="AR240">
            <v>2250000</v>
          </cell>
        </row>
        <row r="241">
          <cell r="B241" t="str">
            <v xml:space="preserve">قالب پخت کلاچ پیکان </v>
          </cell>
          <cell r="C241" t="str">
            <v>قالب تعمیری</v>
          </cell>
          <cell r="P241" t="str">
            <v>Stop</v>
          </cell>
          <cell r="AF241">
            <v>5</v>
          </cell>
          <cell r="AR241">
            <v>3750000</v>
          </cell>
        </row>
        <row r="242">
          <cell r="B242" t="str">
            <v>پخت کلاچ پراید</v>
          </cell>
          <cell r="C242" t="str">
            <v>قالب تعمیری</v>
          </cell>
          <cell r="P242" t="str">
            <v>Mold</v>
          </cell>
          <cell r="AF242">
            <v>3</v>
          </cell>
          <cell r="AR242">
            <v>2250000</v>
          </cell>
        </row>
        <row r="243">
          <cell r="B243" t="str">
            <v>پخت کلاچ پراید</v>
          </cell>
          <cell r="C243" t="str">
            <v>قالب تعمیری</v>
          </cell>
          <cell r="P243" t="str">
            <v>Mold</v>
          </cell>
          <cell r="AF243">
            <v>2</v>
          </cell>
          <cell r="AR243">
            <v>1500000</v>
          </cell>
        </row>
        <row r="244">
          <cell r="B244" t="str">
            <v>قالب پخت کلاچ پژو 405</v>
          </cell>
          <cell r="C244" t="str">
            <v>قالب تعمیری</v>
          </cell>
          <cell r="P244" t="str">
            <v>رینگ</v>
          </cell>
          <cell r="AF244">
            <v>1.5</v>
          </cell>
          <cell r="AR244">
            <v>1125000</v>
          </cell>
        </row>
        <row r="245">
          <cell r="B245" t="str">
            <v>اصول 5S</v>
          </cell>
          <cell r="C245" t="str">
            <v>نظافت</v>
          </cell>
          <cell r="P245" t="str">
            <v>دستگاه</v>
          </cell>
          <cell r="AF245">
            <v>1</v>
          </cell>
          <cell r="AR245">
            <v>750000</v>
          </cell>
        </row>
        <row r="246">
          <cell r="B246" t="str">
            <v>پخت کلاچ پژو 206 TU5</v>
          </cell>
          <cell r="C246" t="str">
            <v>قالب تعمیری</v>
          </cell>
          <cell r="P246" t="str">
            <v>سوپاپ</v>
          </cell>
          <cell r="AF246">
            <v>4</v>
          </cell>
          <cell r="AR246">
            <v>3000000</v>
          </cell>
        </row>
        <row r="247">
          <cell r="B247" t="str">
            <v>پخت کلاچ پراید</v>
          </cell>
          <cell r="C247" t="str">
            <v>قالب تعمیری</v>
          </cell>
          <cell r="P247" t="str">
            <v>Mold</v>
          </cell>
          <cell r="AF247">
            <v>1</v>
          </cell>
          <cell r="AR247">
            <v>750000</v>
          </cell>
        </row>
        <row r="248">
          <cell r="B248" t="str">
            <v>قالب پخت کلاچ پژو 405</v>
          </cell>
          <cell r="C248" t="str">
            <v>قالب تعمیری</v>
          </cell>
          <cell r="P248" t="str">
            <v>Mold</v>
          </cell>
          <cell r="AF248">
            <v>1.5</v>
          </cell>
          <cell r="AR248">
            <v>1125000</v>
          </cell>
        </row>
        <row r="249">
          <cell r="B249" t="str">
            <v>شیرینگ</v>
          </cell>
          <cell r="C249" t="str">
            <v>قطعه تعمیری</v>
          </cell>
          <cell r="P249" t="str">
            <v>متروکوبل</v>
          </cell>
          <cell r="AF249">
            <v>0.5</v>
          </cell>
          <cell r="AR249">
            <v>375000</v>
          </cell>
        </row>
        <row r="250">
          <cell r="B250" t="str">
            <v>دستگاه پشم فلز</v>
          </cell>
          <cell r="C250" t="str">
            <v>قطعه تعمیری</v>
          </cell>
          <cell r="P250" t="str">
            <v>قطعه U</v>
          </cell>
          <cell r="AF250">
            <v>3</v>
          </cell>
          <cell r="AR250">
            <v>2250000</v>
          </cell>
        </row>
        <row r="251">
          <cell r="B251" t="str">
            <v>پخت کلاچ پژو 206 TU5</v>
          </cell>
          <cell r="C251" t="str">
            <v>قالب تعمیری</v>
          </cell>
          <cell r="P251" t="str">
            <v>سوپاپ</v>
          </cell>
          <cell r="AF251">
            <v>1.5</v>
          </cell>
          <cell r="AR251">
            <v>1125000</v>
          </cell>
        </row>
        <row r="252">
          <cell r="B252" t="str">
            <v>پخت کلاچ FH</v>
          </cell>
          <cell r="C252" t="str">
            <v>قالب تعمیری</v>
          </cell>
          <cell r="P252" t="str">
            <v>MOLd</v>
          </cell>
          <cell r="AF252">
            <v>1</v>
          </cell>
          <cell r="AR252">
            <v>750000</v>
          </cell>
        </row>
        <row r="253">
          <cell r="B253" t="str">
            <v>پخت کلاچ ده تن</v>
          </cell>
          <cell r="C253" t="str">
            <v>قالب تعمیری</v>
          </cell>
          <cell r="P253" t="str">
            <v>MOLd</v>
          </cell>
          <cell r="AF253">
            <v>1</v>
          </cell>
          <cell r="AR253">
            <v>750000</v>
          </cell>
        </row>
        <row r="254">
          <cell r="B254" t="str">
            <v>پخت کلاچ پژو 206 TU5</v>
          </cell>
          <cell r="C254" t="str">
            <v>قالب تعمیری</v>
          </cell>
          <cell r="P254" t="str">
            <v>سوپاپ</v>
          </cell>
          <cell r="AF254">
            <v>4</v>
          </cell>
          <cell r="AR254">
            <v>3000000</v>
          </cell>
        </row>
        <row r="255">
          <cell r="B255" t="str">
            <v>پخت کلاچ پراید</v>
          </cell>
          <cell r="C255" t="str">
            <v>قالب تعمیری</v>
          </cell>
          <cell r="P255" t="str">
            <v>Mandrel</v>
          </cell>
          <cell r="AF255">
            <v>2</v>
          </cell>
          <cell r="AR255">
            <v>1500000</v>
          </cell>
        </row>
        <row r="256">
          <cell r="B256" t="str">
            <v>پخت کلاچ پراید</v>
          </cell>
          <cell r="C256" t="str">
            <v>قالب تعمیری</v>
          </cell>
          <cell r="P256" t="str">
            <v>پیچ واسطه</v>
          </cell>
          <cell r="AF256">
            <v>0.5</v>
          </cell>
          <cell r="AR256">
            <v>375000</v>
          </cell>
        </row>
        <row r="257">
          <cell r="B257" t="str">
            <v>صفحات 50*50 پخت کلاچ</v>
          </cell>
          <cell r="C257" t="str">
            <v>قالب تعمیری</v>
          </cell>
          <cell r="P257" t="str">
            <v>top Plate</v>
          </cell>
          <cell r="AF257">
            <v>9</v>
          </cell>
          <cell r="AR257">
            <v>6750000</v>
          </cell>
        </row>
        <row r="258">
          <cell r="B258" t="str">
            <v>پخت کلاچ پژو 206 TU5</v>
          </cell>
          <cell r="C258" t="str">
            <v>قالب تعمیری</v>
          </cell>
          <cell r="P258" t="str">
            <v>Mandrel</v>
          </cell>
          <cell r="AF258">
            <v>2</v>
          </cell>
          <cell r="AR258">
            <v>1500000</v>
          </cell>
        </row>
        <row r="259">
          <cell r="B259" t="str">
            <v>پخت کلاچ پراید</v>
          </cell>
          <cell r="C259" t="str">
            <v>قالب تعمیری</v>
          </cell>
          <cell r="P259" t="str">
            <v>Stop</v>
          </cell>
          <cell r="AF259">
            <v>1</v>
          </cell>
          <cell r="AR259">
            <v>750000</v>
          </cell>
        </row>
        <row r="260">
          <cell r="B260" t="str">
            <v>پخت کلاچ پژو 206 TU5</v>
          </cell>
          <cell r="C260" t="str">
            <v>قالب تعمیری</v>
          </cell>
          <cell r="P260" t="str">
            <v>Stop</v>
          </cell>
          <cell r="AF260">
            <v>1</v>
          </cell>
          <cell r="AR260">
            <v>750000</v>
          </cell>
        </row>
        <row r="261">
          <cell r="B261" t="str">
            <v>دستگاه پشم فلز</v>
          </cell>
          <cell r="C261" t="str">
            <v>قطعه تعمیری</v>
          </cell>
          <cell r="P261" t="str">
            <v>شانه</v>
          </cell>
          <cell r="AF261">
            <v>4</v>
          </cell>
          <cell r="AR261">
            <v>3000000</v>
          </cell>
        </row>
        <row r="262">
          <cell r="B262" t="str">
            <v>پخت کلاچ پراید</v>
          </cell>
          <cell r="C262" t="str">
            <v>قالب تعمیری</v>
          </cell>
          <cell r="P262" t="str">
            <v>بوش واسطه</v>
          </cell>
          <cell r="AF262">
            <v>5.5</v>
          </cell>
          <cell r="AR262">
            <v>4125000</v>
          </cell>
        </row>
        <row r="263">
          <cell r="B263" t="str">
            <v>پخت کلاچ پراید</v>
          </cell>
          <cell r="C263" t="str">
            <v>قالب تعمیری</v>
          </cell>
          <cell r="P263" t="str">
            <v>پیچ واسطه</v>
          </cell>
          <cell r="AF263">
            <v>5.5</v>
          </cell>
          <cell r="AR263">
            <v>4125000</v>
          </cell>
        </row>
        <row r="264">
          <cell r="B264" t="str">
            <v>دستگاه پرس پخت</v>
          </cell>
          <cell r="C264" t="str">
            <v>قطعه تعمیری</v>
          </cell>
          <cell r="P264" t="str">
            <v>طبقه</v>
          </cell>
          <cell r="AF264">
            <v>11</v>
          </cell>
          <cell r="AR264">
            <v>8250000</v>
          </cell>
        </row>
        <row r="265">
          <cell r="B265" t="str">
            <v>صفحه قالب یدک
700*500*65</v>
          </cell>
          <cell r="C265" t="str">
            <v>قطعه نو</v>
          </cell>
          <cell r="P265" t="str">
            <v>صفحه</v>
          </cell>
          <cell r="AF265">
            <v>11</v>
          </cell>
          <cell r="AR265">
            <v>8250000</v>
          </cell>
        </row>
        <row r="266">
          <cell r="B266" t="str">
            <v>پخت کلاچ پراید</v>
          </cell>
          <cell r="C266" t="str">
            <v>قالب تعمیری</v>
          </cell>
          <cell r="P266" t="str">
            <v>top Plate</v>
          </cell>
          <cell r="AF266">
            <v>3</v>
          </cell>
          <cell r="AR266">
            <v>2250000</v>
          </cell>
        </row>
        <row r="267">
          <cell r="B267" t="str">
            <v>پخت کلاچ پراید</v>
          </cell>
          <cell r="C267" t="str">
            <v>قالب تعمیری</v>
          </cell>
          <cell r="P267" t="str">
            <v>stop</v>
          </cell>
          <cell r="AF267">
            <v>2</v>
          </cell>
          <cell r="AR267">
            <v>1500000</v>
          </cell>
        </row>
        <row r="268">
          <cell r="B268" t="str">
            <v>قالب پخت کلاچ پژو 405</v>
          </cell>
          <cell r="C268" t="str">
            <v>قالب تعمیری</v>
          </cell>
          <cell r="P268" t="str">
            <v>MOLd</v>
          </cell>
          <cell r="AF268">
            <v>2</v>
          </cell>
          <cell r="AR268">
            <v>1500000</v>
          </cell>
        </row>
        <row r="269">
          <cell r="B269" t="str">
            <v>قالب پخت کلاچ پژو 405</v>
          </cell>
          <cell r="C269" t="str">
            <v>قالب تعمیری</v>
          </cell>
          <cell r="P269" t="str">
            <v>سوپاپ</v>
          </cell>
          <cell r="AF269">
            <v>2</v>
          </cell>
          <cell r="AR269">
            <v>1500000</v>
          </cell>
        </row>
        <row r="270">
          <cell r="B270" t="str">
            <v>قالب توری پگاسوز</v>
          </cell>
          <cell r="C270" t="str">
            <v>قالب نو</v>
          </cell>
          <cell r="P270" t="str">
            <v>Matrix</v>
          </cell>
          <cell r="AF270">
            <v>2</v>
          </cell>
          <cell r="AR270">
            <v>1500000</v>
          </cell>
        </row>
        <row r="271">
          <cell r="B271" t="str">
            <v>پخت کلاچ ده تن</v>
          </cell>
          <cell r="C271" t="str">
            <v>قالب تعمیری</v>
          </cell>
          <cell r="P271" t="str">
            <v>MOLd</v>
          </cell>
          <cell r="AF271">
            <v>2</v>
          </cell>
          <cell r="AR271">
            <v>1500000</v>
          </cell>
        </row>
        <row r="272">
          <cell r="B272" t="str">
            <v>پخت کلاچ پراید</v>
          </cell>
          <cell r="C272" t="str">
            <v>قالب تعمیری</v>
          </cell>
          <cell r="P272" t="str">
            <v>تقویت میل راهنما</v>
          </cell>
          <cell r="AF272">
            <v>2</v>
          </cell>
          <cell r="AR272">
            <v>1500000</v>
          </cell>
        </row>
        <row r="273">
          <cell r="B273" t="str">
            <v>پخت کلاچ پراید</v>
          </cell>
          <cell r="C273" t="str">
            <v>قالب تعمیری</v>
          </cell>
          <cell r="P273" t="str">
            <v>MOLd</v>
          </cell>
          <cell r="AF273">
            <v>3</v>
          </cell>
          <cell r="AR273">
            <v>2250000</v>
          </cell>
        </row>
        <row r="274">
          <cell r="B274" t="str">
            <v>قالب پخت کلاچ پژو 405</v>
          </cell>
          <cell r="C274" t="str">
            <v>قالب تعمیری</v>
          </cell>
          <cell r="P274" t="str">
            <v>سوپاپ</v>
          </cell>
          <cell r="AF274">
            <v>3</v>
          </cell>
          <cell r="AR274">
            <v>2250000</v>
          </cell>
        </row>
        <row r="275">
          <cell r="B275" t="str">
            <v>قالب پخت کلاچ پژو 405</v>
          </cell>
          <cell r="C275" t="str">
            <v>قالب تعمیری</v>
          </cell>
          <cell r="P275" t="str">
            <v>سوپاپ</v>
          </cell>
          <cell r="AF275">
            <v>3</v>
          </cell>
          <cell r="AR275">
            <v>2250000</v>
          </cell>
        </row>
        <row r="276">
          <cell r="B276" t="str">
            <v>پخت کلاچ پراید</v>
          </cell>
          <cell r="C276" t="str">
            <v>قالب تعمیری</v>
          </cell>
          <cell r="P276" t="str">
            <v>MOLd</v>
          </cell>
          <cell r="AF276">
            <v>2.5</v>
          </cell>
          <cell r="AR276">
            <v>1875000</v>
          </cell>
        </row>
        <row r="277">
          <cell r="B277" t="str">
            <v>تخته لنت صنعتی</v>
          </cell>
          <cell r="C277" t="str">
            <v>قطعه تعمیری</v>
          </cell>
          <cell r="P277" t="str">
            <v>تخته لنت</v>
          </cell>
          <cell r="AF277">
            <v>1.5</v>
          </cell>
          <cell r="AR277">
            <v>1125000</v>
          </cell>
        </row>
        <row r="278">
          <cell r="B278" t="str">
            <v>موتور</v>
          </cell>
          <cell r="C278" t="str">
            <v>قطعه تعمیری</v>
          </cell>
          <cell r="P278" t="str">
            <v>Shaft</v>
          </cell>
          <cell r="AF278">
            <v>1</v>
          </cell>
          <cell r="AR278">
            <v>750000</v>
          </cell>
        </row>
        <row r="279">
          <cell r="B279" t="str">
            <v>قالب پخت کلاچ پژو 405</v>
          </cell>
          <cell r="C279" t="str">
            <v>قالب تعمیری</v>
          </cell>
          <cell r="P279" t="str">
            <v>MOLd</v>
          </cell>
          <cell r="AF279">
            <v>2</v>
          </cell>
          <cell r="AR279">
            <v>1500000</v>
          </cell>
        </row>
        <row r="280">
          <cell r="B280" t="str">
            <v>پخت کلاچ FH</v>
          </cell>
          <cell r="C280" t="str">
            <v>قالب تعمیری</v>
          </cell>
          <cell r="P280" t="str">
            <v>سوپاپ</v>
          </cell>
          <cell r="AF280">
            <v>2</v>
          </cell>
          <cell r="AR280">
            <v>1500000</v>
          </cell>
        </row>
        <row r="281">
          <cell r="B281" t="str">
            <v>قالب ترابوزا</v>
          </cell>
          <cell r="C281" t="str">
            <v>قالب تعمیری</v>
          </cell>
          <cell r="P281" t="str">
            <v>bottom plate</v>
          </cell>
          <cell r="AF281">
            <v>2</v>
          </cell>
          <cell r="AR281">
            <v>1500000</v>
          </cell>
        </row>
        <row r="282">
          <cell r="B282" t="str">
            <v>قالب پخت کلاچ تیبا چپ</v>
          </cell>
          <cell r="C282" t="str">
            <v>قالب تعمیری</v>
          </cell>
          <cell r="P282" t="str">
            <v>پین</v>
          </cell>
          <cell r="AF282">
            <v>2</v>
          </cell>
          <cell r="AR282">
            <v>1500000</v>
          </cell>
        </row>
        <row r="283">
          <cell r="B283" t="str">
            <v>سوراخکاری پیلسان</v>
          </cell>
          <cell r="C283" t="str">
            <v>قطعه نو</v>
          </cell>
          <cell r="P283" t="str">
            <v>bottom plate</v>
          </cell>
          <cell r="AF283">
            <v>11</v>
          </cell>
          <cell r="AR283">
            <v>16500000</v>
          </cell>
        </row>
        <row r="284">
          <cell r="B284" t="str">
            <v xml:space="preserve">قالب پخت کلاچ پیکان </v>
          </cell>
          <cell r="C284" t="str">
            <v>قالب تعمیری</v>
          </cell>
          <cell r="P284" t="str">
            <v>Matrix</v>
          </cell>
          <cell r="AF284">
            <v>5</v>
          </cell>
          <cell r="AR284">
            <v>7500000</v>
          </cell>
        </row>
        <row r="285">
          <cell r="B285" t="str">
            <v xml:space="preserve">قالب پخت کلاچ پیکان </v>
          </cell>
          <cell r="C285" t="str">
            <v>قالب تعمیری</v>
          </cell>
          <cell r="P285" t="str">
            <v>Mandrel</v>
          </cell>
          <cell r="AF285">
            <v>5.5</v>
          </cell>
          <cell r="AR285">
            <v>8250000</v>
          </cell>
        </row>
        <row r="286">
          <cell r="B286" t="str">
            <v>قالب پخت کلاچ پژو 405</v>
          </cell>
          <cell r="C286" t="str">
            <v>قالب تعمیری</v>
          </cell>
          <cell r="P286" t="str">
            <v>سوپاپ</v>
          </cell>
          <cell r="AF286">
            <v>3</v>
          </cell>
          <cell r="AR286">
            <v>2250000</v>
          </cell>
        </row>
        <row r="287">
          <cell r="B287" t="str">
            <v>قالب پخت کلاچ پژو 405</v>
          </cell>
          <cell r="C287" t="str">
            <v>قالب تعمیری</v>
          </cell>
          <cell r="P287" t="str">
            <v>سوپاپ</v>
          </cell>
          <cell r="AF287">
            <v>2</v>
          </cell>
          <cell r="AR287">
            <v>1500000</v>
          </cell>
        </row>
        <row r="288">
          <cell r="B288" t="str">
            <v>قالب پخت کلاچ پژو 405</v>
          </cell>
          <cell r="C288" t="str">
            <v>قالب تعمیری</v>
          </cell>
          <cell r="P288" t="str">
            <v>واشر</v>
          </cell>
          <cell r="AF288">
            <v>3</v>
          </cell>
          <cell r="AR288">
            <v>2250000</v>
          </cell>
        </row>
        <row r="289">
          <cell r="B289" t="str">
            <v>دستگاه سوپر دریل</v>
          </cell>
          <cell r="C289" t="str">
            <v>قطعه نو</v>
          </cell>
          <cell r="P289" t="str">
            <v>دسته</v>
          </cell>
          <cell r="AF289">
            <v>2</v>
          </cell>
          <cell r="AR289">
            <v>1500000</v>
          </cell>
        </row>
        <row r="290">
          <cell r="B290" t="str">
            <v>دستگاه پشم فلز</v>
          </cell>
          <cell r="C290" t="str">
            <v>قطعه تعمیری</v>
          </cell>
          <cell r="P290" t="str">
            <v>رنده</v>
          </cell>
          <cell r="AF290">
            <v>12</v>
          </cell>
          <cell r="AR290">
            <v>9000000</v>
          </cell>
        </row>
        <row r="291">
          <cell r="B291" t="str">
            <v>دستگاه پشم فلز</v>
          </cell>
          <cell r="C291" t="str">
            <v>قطعه تعمیری</v>
          </cell>
          <cell r="P291" t="str">
            <v>رنده</v>
          </cell>
          <cell r="AF291">
            <v>12</v>
          </cell>
          <cell r="AR291">
            <v>9000000</v>
          </cell>
        </row>
        <row r="292">
          <cell r="B292" t="str">
            <v xml:space="preserve">قالب پخت کلاچ پیکان </v>
          </cell>
          <cell r="C292" t="str">
            <v>قالب تعمیری</v>
          </cell>
          <cell r="P292" t="str">
            <v>mold</v>
          </cell>
          <cell r="AF292">
            <v>4</v>
          </cell>
          <cell r="AR292">
            <v>3000000</v>
          </cell>
        </row>
        <row r="293">
          <cell r="B293" t="str">
            <v>Hammer Mill Machine</v>
          </cell>
          <cell r="C293" t="str">
            <v>دستگاه نو</v>
          </cell>
          <cell r="P293" t="str">
            <v>صفحه</v>
          </cell>
          <cell r="AF293">
            <v>2</v>
          </cell>
          <cell r="AR293">
            <v>1500000</v>
          </cell>
        </row>
        <row r="294">
          <cell r="B294" t="str">
            <v>پایه پرچ لنت نیسان</v>
          </cell>
          <cell r="C294" t="str">
            <v>قطعه نو</v>
          </cell>
          <cell r="P294" t="str">
            <v>فیکسچر</v>
          </cell>
          <cell r="AF294">
            <v>9</v>
          </cell>
          <cell r="AR294">
            <v>6750000</v>
          </cell>
        </row>
        <row r="295">
          <cell r="B295" t="str">
            <v>دستگاه پشم فلز</v>
          </cell>
          <cell r="C295" t="str">
            <v>قطعه تعمیری</v>
          </cell>
          <cell r="P295" t="str">
            <v>رنده</v>
          </cell>
          <cell r="AF295">
            <v>6</v>
          </cell>
          <cell r="AR295">
            <v>4500000</v>
          </cell>
        </row>
        <row r="296">
          <cell r="B296" t="str">
            <v xml:space="preserve">قالب پخت کلاچ پیکان </v>
          </cell>
          <cell r="C296" t="str">
            <v>قالب تعمیری</v>
          </cell>
          <cell r="P296" t="str">
            <v>Matrix</v>
          </cell>
          <cell r="AF296">
            <v>11</v>
          </cell>
          <cell r="AR296">
            <v>16500000</v>
          </cell>
        </row>
        <row r="297">
          <cell r="B297" t="str">
            <v xml:space="preserve">قالب پخت کلاچ پیکان </v>
          </cell>
          <cell r="C297" t="str">
            <v>قالب تعمیری</v>
          </cell>
          <cell r="P297" t="str">
            <v>Mandrel</v>
          </cell>
          <cell r="AF297">
            <v>11</v>
          </cell>
          <cell r="AR297">
            <v>16500000</v>
          </cell>
        </row>
        <row r="298">
          <cell r="B298" t="str">
            <v>دستگاه پرس پخت</v>
          </cell>
          <cell r="C298" t="str">
            <v>قطعه تعمیری</v>
          </cell>
          <cell r="P298" t="str">
            <v>طبقه</v>
          </cell>
          <cell r="AF298">
            <v>11</v>
          </cell>
          <cell r="AR298">
            <v>8250000</v>
          </cell>
        </row>
        <row r="299">
          <cell r="B299" t="str">
            <v>سوراخکاری پیلسان</v>
          </cell>
          <cell r="C299" t="str">
            <v>قطعه نو</v>
          </cell>
          <cell r="P299" t="str">
            <v>bottom plate</v>
          </cell>
          <cell r="AF299">
            <v>6.5</v>
          </cell>
          <cell r="AR299">
            <v>9750000</v>
          </cell>
        </row>
        <row r="300">
          <cell r="B300" t="str">
            <v>سوراخکاری پیلسان</v>
          </cell>
          <cell r="C300" t="str">
            <v>قطعه نو</v>
          </cell>
          <cell r="P300" t="str">
            <v>top Plate</v>
          </cell>
          <cell r="AF300">
            <v>4.5</v>
          </cell>
          <cell r="AR300">
            <v>6750000</v>
          </cell>
        </row>
        <row r="301">
          <cell r="B301" t="str">
            <v>شیرینگ</v>
          </cell>
          <cell r="C301" t="str">
            <v>قطعه تعمیری</v>
          </cell>
          <cell r="P301" t="str">
            <v>متروکوبل</v>
          </cell>
          <cell r="AF301">
            <v>0.5</v>
          </cell>
          <cell r="AR301">
            <v>375000</v>
          </cell>
        </row>
        <row r="302">
          <cell r="B302" t="str">
            <v>دستگاه پشم فلز</v>
          </cell>
          <cell r="C302" t="str">
            <v>قطعه تعمیری</v>
          </cell>
          <cell r="P302" t="str">
            <v>قطعه U</v>
          </cell>
          <cell r="AF302">
            <v>3</v>
          </cell>
          <cell r="AR302">
            <v>2250000</v>
          </cell>
        </row>
        <row r="303">
          <cell r="B303" t="str">
            <v>پخت کلاچ پژو 206 TU5</v>
          </cell>
          <cell r="C303" t="str">
            <v>قالب تعمیری</v>
          </cell>
          <cell r="P303" t="str">
            <v>سوپاپ</v>
          </cell>
          <cell r="AF303">
            <v>1.5</v>
          </cell>
          <cell r="AR303">
            <v>1125000</v>
          </cell>
        </row>
        <row r="304">
          <cell r="B304" t="str">
            <v>پخت کلاچ FH</v>
          </cell>
          <cell r="C304" t="str">
            <v>قالب تعمیری</v>
          </cell>
          <cell r="P304" t="str">
            <v>MOLd</v>
          </cell>
          <cell r="AF304">
            <v>1</v>
          </cell>
          <cell r="AR304">
            <v>750000</v>
          </cell>
        </row>
        <row r="305">
          <cell r="B305" t="str">
            <v>پخت کلاچ ده تن</v>
          </cell>
          <cell r="C305" t="str">
            <v>قالب تعمیری</v>
          </cell>
          <cell r="P305" t="str">
            <v>MOLd</v>
          </cell>
          <cell r="AF305">
            <v>1</v>
          </cell>
          <cell r="AR305">
            <v>750000</v>
          </cell>
        </row>
        <row r="306">
          <cell r="B306" t="str">
            <v>پخت کلاچ پراید</v>
          </cell>
          <cell r="C306" t="str">
            <v>قالب تعمیری</v>
          </cell>
          <cell r="P306" t="str">
            <v>پیچ واسطه</v>
          </cell>
          <cell r="AF306">
            <v>3.8333333333333335</v>
          </cell>
          <cell r="AR306">
            <v>2875000</v>
          </cell>
        </row>
        <row r="307">
          <cell r="B307" t="str">
            <v>پخت کلاچ ده تن</v>
          </cell>
          <cell r="C307" t="str">
            <v>قالب تعمیری</v>
          </cell>
          <cell r="P307" t="str">
            <v>میل پران</v>
          </cell>
          <cell r="AF307">
            <v>7.166666666666667</v>
          </cell>
          <cell r="AR307">
            <v>5375000</v>
          </cell>
        </row>
        <row r="308">
          <cell r="B308" t="str">
            <v>صفحات 50*50 پخت کلاچ</v>
          </cell>
          <cell r="C308" t="str">
            <v>قالب تعمیری</v>
          </cell>
          <cell r="P308" t="str">
            <v>top Plate</v>
          </cell>
          <cell r="AF308">
            <v>11</v>
          </cell>
          <cell r="AR308">
            <v>8250000</v>
          </cell>
        </row>
        <row r="309">
          <cell r="B309" t="str">
            <v>قالب برش میدل باس</v>
          </cell>
          <cell r="C309" t="str">
            <v>قالب تعمیری</v>
          </cell>
          <cell r="P309" t="str">
            <v>Mandrel</v>
          </cell>
          <cell r="AF309">
            <v>4</v>
          </cell>
          <cell r="AR309">
            <v>3000000</v>
          </cell>
        </row>
        <row r="310">
          <cell r="B310" t="str">
            <v>پخت کلاچ پراید</v>
          </cell>
          <cell r="C310" t="str">
            <v>قالب تعمیری</v>
          </cell>
          <cell r="P310" t="str">
            <v>stop</v>
          </cell>
          <cell r="AF310">
            <v>1</v>
          </cell>
          <cell r="AR310">
            <v>750000</v>
          </cell>
        </row>
        <row r="311">
          <cell r="B311" t="str">
            <v xml:space="preserve">قالب پخت کلاچ پیکان </v>
          </cell>
          <cell r="C311" t="str">
            <v>قالب تعمیری</v>
          </cell>
          <cell r="P311" t="str">
            <v>stop</v>
          </cell>
          <cell r="AF311">
            <v>1</v>
          </cell>
          <cell r="AR311">
            <v>750000</v>
          </cell>
        </row>
        <row r="312">
          <cell r="B312" t="str">
            <v>قالب پخت کلاچ پژو 405</v>
          </cell>
          <cell r="C312" t="str">
            <v>قالب تعمیری</v>
          </cell>
          <cell r="P312" t="str">
            <v>top Plate</v>
          </cell>
          <cell r="AF312">
            <v>1</v>
          </cell>
          <cell r="AR312">
            <v>750000</v>
          </cell>
        </row>
        <row r="313">
          <cell r="B313" t="str">
            <v>ویوینگ</v>
          </cell>
          <cell r="C313" t="str">
            <v>قطعه تعمیری</v>
          </cell>
          <cell r="P313" t="str">
            <v>Shaft</v>
          </cell>
          <cell r="AF313">
            <v>1</v>
          </cell>
          <cell r="AR313">
            <v>750000</v>
          </cell>
        </row>
        <row r="314">
          <cell r="B314" t="str">
            <v>قالب پخت کلاچ پژو 405</v>
          </cell>
          <cell r="C314" t="str">
            <v>قالب تعمیری</v>
          </cell>
          <cell r="P314" t="str">
            <v>MOLd</v>
          </cell>
          <cell r="AF314">
            <v>4</v>
          </cell>
          <cell r="AR314">
            <v>3000000</v>
          </cell>
        </row>
        <row r="315">
          <cell r="B315" t="str">
            <v xml:space="preserve">قالب پخت کلاچ پیکان </v>
          </cell>
          <cell r="C315" t="str">
            <v>قالب تعمیری</v>
          </cell>
          <cell r="P315" t="str">
            <v>MOLd</v>
          </cell>
          <cell r="AF315">
            <v>4</v>
          </cell>
          <cell r="AR315">
            <v>3000000</v>
          </cell>
        </row>
        <row r="316">
          <cell r="B316" t="str">
            <v>قالب ترابوزا</v>
          </cell>
          <cell r="C316" t="str">
            <v>قالب تعمیری</v>
          </cell>
          <cell r="P316" t="str">
            <v>MOLd</v>
          </cell>
          <cell r="AF316">
            <v>1</v>
          </cell>
          <cell r="AR316">
            <v>750000</v>
          </cell>
        </row>
        <row r="317">
          <cell r="B317" t="str">
            <v>ویوینگ</v>
          </cell>
          <cell r="C317" t="str">
            <v>قطعه تعمیری</v>
          </cell>
          <cell r="P317" t="str">
            <v>Shaft</v>
          </cell>
          <cell r="AF317">
            <v>2.5</v>
          </cell>
          <cell r="AR317">
            <v>1875000</v>
          </cell>
        </row>
        <row r="318">
          <cell r="B318" t="str">
            <v>ویوینگ</v>
          </cell>
          <cell r="C318" t="str">
            <v>قطعه نو</v>
          </cell>
          <cell r="P318" t="str">
            <v>Bush</v>
          </cell>
          <cell r="AF318">
            <v>0.75</v>
          </cell>
          <cell r="AR318">
            <v>562500</v>
          </cell>
        </row>
        <row r="319">
          <cell r="B319" t="str">
            <v>ویوینگ</v>
          </cell>
          <cell r="C319" t="str">
            <v>قطعه نو</v>
          </cell>
          <cell r="P319" t="str">
            <v>پیچ</v>
          </cell>
          <cell r="AF319">
            <v>0.75</v>
          </cell>
          <cell r="AR319">
            <v>562500</v>
          </cell>
        </row>
        <row r="320">
          <cell r="B320" t="str">
            <v>ویوینگ</v>
          </cell>
          <cell r="C320" t="str">
            <v>قطعه تعمیری</v>
          </cell>
          <cell r="P320" t="str">
            <v>لنگری</v>
          </cell>
          <cell r="AF320">
            <v>1.5</v>
          </cell>
          <cell r="AR320">
            <v>1125000</v>
          </cell>
        </row>
        <row r="321">
          <cell r="B321" t="str">
            <v xml:space="preserve">قالب پخت کلاچ پیکان </v>
          </cell>
          <cell r="C321" t="str">
            <v>قالب تعمیری</v>
          </cell>
          <cell r="P321" t="str">
            <v>stop</v>
          </cell>
          <cell r="AF321">
            <v>2</v>
          </cell>
          <cell r="AR321">
            <v>1500000</v>
          </cell>
        </row>
        <row r="322">
          <cell r="B322" t="str">
            <v>همزن مواد</v>
          </cell>
          <cell r="C322" t="str">
            <v>قطعه تعمیری</v>
          </cell>
          <cell r="P322" t="str">
            <v>Shaft</v>
          </cell>
          <cell r="AF322">
            <v>2</v>
          </cell>
          <cell r="AR322">
            <v>1500000</v>
          </cell>
        </row>
        <row r="323">
          <cell r="B323" t="str">
            <v>دستگاه پشم فلز</v>
          </cell>
          <cell r="C323" t="str">
            <v>قطعه تعمیری</v>
          </cell>
          <cell r="P323" t="str">
            <v>رنده</v>
          </cell>
          <cell r="AF323">
            <v>10</v>
          </cell>
          <cell r="AR323">
            <v>7500000</v>
          </cell>
        </row>
        <row r="324">
          <cell r="B324" t="str">
            <v>دستگاه پشم فلز</v>
          </cell>
          <cell r="C324" t="str">
            <v>قطعه تعمیری</v>
          </cell>
          <cell r="P324" t="str">
            <v>رنده</v>
          </cell>
          <cell r="AF324">
            <v>10</v>
          </cell>
          <cell r="AR324">
            <v>7500000</v>
          </cell>
        </row>
        <row r="325">
          <cell r="B325" t="str">
            <v>پایه پرچ لنت نیسان</v>
          </cell>
          <cell r="C325" t="str">
            <v>قطعه نو</v>
          </cell>
          <cell r="P325" t="str">
            <v>فیکسچر</v>
          </cell>
          <cell r="AF325">
            <v>10</v>
          </cell>
          <cell r="AR325">
            <v>7500000</v>
          </cell>
        </row>
        <row r="326">
          <cell r="B326" t="str">
            <v>Hammer Mill Machine</v>
          </cell>
          <cell r="C326" t="str">
            <v>دستگاه نو</v>
          </cell>
          <cell r="P326" t="str">
            <v>صفحه</v>
          </cell>
          <cell r="AF326">
            <v>2</v>
          </cell>
          <cell r="AR326">
            <v>1500000</v>
          </cell>
        </row>
        <row r="327">
          <cell r="B327" t="str">
            <v>ویوینگ</v>
          </cell>
          <cell r="C327" t="str">
            <v>قطعه نو</v>
          </cell>
          <cell r="P327" t="str">
            <v>Bush</v>
          </cell>
          <cell r="AF327">
            <v>5</v>
          </cell>
          <cell r="AR327">
            <v>3750000</v>
          </cell>
        </row>
        <row r="328">
          <cell r="B328" t="str">
            <v>قالب پخت کلاچ پژو 405</v>
          </cell>
          <cell r="C328" t="str">
            <v>قالب تعمیری</v>
          </cell>
          <cell r="P328" t="str">
            <v>mold</v>
          </cell>
          <cell r="AF328">
            <v>3</v>
          </cell>
          <cell r="AR328">
            <v>2250000</v>
          </cell>
        </row>
        <row r="329">
          <cell r="B329" t="str">
            <v>قالب پخت کلاچ پژو 405</v>
          </cell>
          <cell r="C329" t="str">
            <v>قالب تعمیری</v>
          </cell>
          <cell r="P329" t="str">
            <v>صفحه</v>
          </cell>
          <cell r="AF329">
            <v>3</v>
          </cell>
          <cell r="AR329">
            <v>2250000</v>
          </cell>
        </row>
        <row r="330">
          <cell r="B330" t="str">
            <v>قالب ترابوزا</v>
          </cell>
          <cell r="C330" t="str">
            <v>قالب تعمیری</v>
          </cell>
          <cell r="P330" t="str">
            <v>میل راهنما</v>
          </cell>
          <cell r="AF330">
            <v>2</v>
          </cell>
          <cell r="AR330">
            <v>1500000</v>
          </cell>
        </row>
        <row r="331">
          <cell r="B331" t="str">
            <v>قالب پخت کلاچ تیبا چپ</v>
          </cell>
          <cell r="C331" t="str">
            <v>قالب تعمیری</v>
          </cell>
          <cell r="P331" t="str">
            <v>پین</v>
          </cell>
          <cell r="AF331">
            <v>3</v>
          </cell>
          <cell r="AR331">
            <v>2250000</v>
          </cell>
        </row>
        <row r="332">
          <cell r="B332" t="str">
            <v>قالب پخت کلاچ پژو 405</v>
          </cell>
          <cell r="C332" t="str">
            <v>قالب تعمیری</v>
          </cell>
          <cell r="P332" t="str">
            <v>mold</v>
          </cell>
          <cell r="AF332">
            <v>3</v>
          </cell>
          <cell r="AR332">
            <v>2250000</v>
          </cell>
        </row>
        <row r="333">
          <cell r="B333" t="str">
            <v>پخت کلاچ FH</v>
          </cell>
          <cell r="C333" t="str">
            <v>قالب تعمیری</v>
          </cell>
          <cell r="P333" t="str">
            <v>سوپاپ</v>
          </cell>
          <cell r="AF333">
            <v>5.5</v>
          </cell>
          <cell r="AR333">
            <v>4125000</v>
          </cell>
        </row>
        <row r="334">
          <cell r="B334" t="str">
            <v>پخت کلاچ FH</v>
          </cell>
          <cell r="C334" t="str">
            <v>قالب تعمیری</v>
          </cell>
          <cell r="P334" t="str">
            <v>پین</v>
          </cell>
          <cell r="AF334">
            <v>5.5</v>
          </cell>
          <cell r="AR334">
            <v>4125000</v>
          </cell>
        </row>
        <row r="335">
          <cell r="B335" t="str">
            <v xml:space="preserve">قالب پخت کلاچ پیکان </v>
          </cell>
          <cell r="C335" t="str">
            <v>قالب تعمیری</v>
          </cell>
          <cell r="P335" t="str">
            <v>Matrix</v>
          </cell>
          <cell r="AF335">
            <v>11</v>
          </cell>
          <cell r="AR335">
            <v>16500000</v>
          </cell>
        </row>
        <row r="336">
          <cell r="B336" t="str">
            <v>صفحه قالب یدک
700*500*65</v>
          </cell>
          <cell r="C336" t="str">
            <v>قطعه نو</v>
          </cell>
          <cell r="P336" t="str">
            <v>صفحه</v>
          </cell>
          <cell r="AF336">
            <v>5.5</v>
          </cell>
          <cell r="AR336">
            <v>4125000</v>
          </cell>
        </row>
        <row r="337">
          <cell r="B337" t="str">
            <v>صفحه قالب یدک
700*500*65</v>
          </cell>
          <cell r="C337" t="str">
            <v>قطعه نو</v>
          </cell>
          <cell r="P337" t="str">
            <v>صفحه</v>
          </cell>
          <cell r="AF337">
            <v>11</v>
          </cell>
          <cell r="AR337">
            <v>8250000</v>
          </cell>
        </row>
        <row r="338">
          <cell r="B338" t="str">
            <v xml:space="preserve">قالب پخت کلاچ پیکان </v>
          </cell>
          <cell r="C338" t="str">
            <v>قالب تعمیری</v>
          </cell>
          <cell r="P338" t="str">
            <v>Stop</v>
          </cell>
          <cell r="AF338">
            <v>4.75</v>
          </cell>
          <cell r="AR338">
            <v>3562500</v>
          </cell>
        </row>
        <row r="339">
          <cell r="B339" t="str">
            <v xml:space="preserve">قالب پخت کلاچ پیکان </v>
          </cell>
          <cell r="C339" t="str">
            <v>قالب تعمیری</v>
          </cell>
          <cell r="P339" t="str">
            <v>پیچ واسطه</v>
          </cell>
          <cell r="AF339">
            <v>4.75</v>
          </cell>
          <cell r="AR339">
            <v>3562500</v>
          </cell>
        </row>
        <row r="340">
          <cell r="B340" t="str">
            <v>صفحات 50*50 پخت کلاچ</v>
          </cell>
          <cell r="C340" t="str">
            <v>قالب تعمیری</v>
          </cell>
          <cell r="P340" t="str">
            <v>top Plate</v>
          </cell>
          <cell r="AF340">
            <v>11</v>
          </cell>
          <cell r="AR340">
            <v>8250000</v>
          </cell>
        </row>
        <row r="341">
          <cell r="B341" t="str">
            <v xml:space="preserve">قالب پخت کلاچ پیکان </v>
          </cell>
          <cell r="C341" t="str">
            <v>قالب تعمیری</v>
          </cell>
          <cell r="P341" t="str">
            <v>Mandrel</v>
          </cell>
          <cell r="AF341">
            <v>2</v>
          </cell>
          <cell r="AR341">
            <v>1500000</v>
          </cell>
        </row>
        <row r="342">
          <cell r="B342" t="str">
            <v xml:space="preserve">قالب پخت کلاچ پیکان </v>
          </cell>
          <cell r="C342" t="str">
            <v>قالب تعمیری</v>
          </cell>
          <cell r="P342" t="str">
            <v>Matrix</v>
          </cell>
          <cell r="AF342">
            <v>5.5</v>
          </cell>
          <cell r="AR342">
            <v>8250000</v>
          </cell>
        </row>
        <row r="343">
          <cell r="B343" t="str">
            <v>قالب پخت کلاچ پژو 405</v>
          </cell>
          <cell r="C343" t="str">
            <v>قالب تعمیری</v>
          </cell>
          <cell r="P343" t="str">
            <v>Matrix</v>
          </cell>
          <cell r="AF343">
            <v>5.5</v>
          </cell>
          <cell r="AR343">
            <v>8250000</v>
          </cell>
        </row>
        <row r="344">
          <cell r="B344" t="str">
            <v>سوراخکاری پیلسان</v>
          </cell>
          <cell r="C344" t="str">
            <v>قطعه نو</v>
          </cell>
          <cell r="P344" t="str">
            <v>top Plate</v>
          </cell>
          <cell r="AF344">
            <v>4.5</v>
          </cell>
          <cell r="AR344">
            <v>6750000</v>
          </cell>
        </row>
        <row r="345">
          <cell r="B345" t="str">
            <v>دستگاه پرس 600 تن</v>
          </cell>
          <cell r="C345" t="str">
            <v>قطعه نو</v>
          </cell>
          <cell r="P345" t="str">
            <v>بلوک</v>
          </cell>
          <cell r="AF345">
            <v>6.5</v>
          </cell>
          <cell r="AR345">
            <v>9750000</v>
          </cell>
        </row>
        <row r="346">
          <cell r="B346" t="str">
            <v>پخت کلاچ FH</v>
          </cell>
          <cell r="C346" t="str">
            <v>قالب تعمیری</v>
          </cell>
          <cell r="P346" t="str">
            <v>سوپاپ</v>
          </cell>
          <cell r="AF346">
            <v>4</v>
          </cell>
          <cell r="AR346">
            <v>3000000</v>
          </cell>
        </row>
        <row r="347">
          <cell r="B347" t="str">
            <v xml:space="preserve">قالب پخت کلاچ پیکان </v>
          </cell>
          <cell r="C347" t="str">
            <v>قالب تعمیری</v>
          </cell>
          <cell r="P347" t="str">
            <v>Mold</v>
          </cell>
          <cell r="AF347">
            <v>3</v>
          </cell>
          <cell r="AR347">
            <v>2250000</v>
          </cell>
        </row>
        <row r="348">
          <cell r="B348" t="str">
            <v>قالب پخت کلاچ پژو 405</v>
          </cell>
          <cell r="C348" t="str">
            <v>قالب تعمیری</v>
          </cell>
          <cell r="P348" t="str">
            <v>Mold</v>
          </cell>
          <cell r="AF348">
            <v>4</v>
          </cell>
          <cell r="AR348">
            <v>3000000</v>
          </cell>
        </row>
        <row r="349">
          <cell r="B349" t="str">
            <v xml:space="preserve">قالب پخت کلاچ پیکان </v>
          </cell>
          <cell r="C349" t="str">
            <v>قالب تعمیری</v>
          </cell>
          <cell r="P349" t="str">
            <v>Mold</v>
          </cell>
          <cell r="AF349">
            <v>2</v>
          </cell>
          <cell r="AR349">
            <v>1500000</v>
          </cell>
        </row>
        <row r="350">
          <cell r="B350" t="str">
            <v>قالب پخت کلاچ پژو 405</v>
          </cell>
          <cell r="C350" t="str">
            <v>قالب تعمیری</v>
          </cell>
          <cell r="P350" t="str">
            <v>سوپاپ</v>
          </cell>
          <cell r="AF350">
            <v>3</v>
          </cell>
          <cell r="AR350">
            <v>2250000</v>
          </cell>
        </row>
        <row r="351">
          <cell r="B351" t="str">
            <v>قالب ترابوزا</v>
          </cell>
          <cell r="C351" t="str">
            <v>قالب تعمیری</v>
          </cell>
          <cell r="P351" t="str">
            <v>Mold</v>
          </cell>
          <cell r="AF351">
            <v>2</v>
          </cell>
          <cell r="AR351">
            <v>1500000</v>
          </cell>
        </row>
        <row r="352">
          <cell r="B352" t="str">
            <v xml:space="preserve">قالب پخت کلاچ پیکان </v>
          </cell>
          <cell r="C352" t="str">
            <v>قالب تعمیری</v>
          </cell>
          <cell r="P352" t="str">
            <v>bottom plate</v>
          </cell>
          <cell r="AF352">
            <v>1</v>
          </cell>
          <cell r="AR352">
            <v>750000</v>
          </cell>
        </row>
        <row r="353">
          <cell r="B353" t="str">
            <v>ساب الماسه</v>
          </cell>
          <cell r="C353" t="str">
            <v>قطعه تعمیری</v>
          </cell>
          <cell r="P353" t="str">
            <v>Shaft</v>
          </cell>
          <cell r="AF353">
            <v>1</v>
          </cell>
          <cell r="AR353">
            <v>750000</v>
          </cell>
        </row>
        <row r="354">
          <cell r="B354" t="str">
            <v>ساب الماسه</v>
          </cell>
          <cell r="C354" t="str">
            <v>قطعه تعمیری</v>
          </cell>
          <cell r="P354" t="str">
            <v>پیچ</v>
          </cell>
          <cell r="AF354">
            <v>1</v>
          </cell>
          <cell r="AR354">
            <v>750000</v>
          </cell>
        </row>
        <row r="355">
          <cell r="B355" t="str">
            <v>دستگاه پشم فلز</v>
          </cell>
          <cell r="C355" t="str">
            <v>قطعه تعمیری</v>
          </cell>
          <cell r="P355" t="str">
            <v>رنده</v>
          </cell>
          <cell r="AF355">
            <v>10</v>
          </cell>
          <cell r="AR355">
            <v>7500000</v>
          </cell>
        </row>
        <row r="356">
          <cell r="B356" t="str">
            <v>دستگاه پشم فلز</v>
          </cell>
          <cell r="C356" t="str">
            <v>قطعه تعمیری</v>
          </cell>
          <cell r="P356" t="str">
            <v>رنده</v>
          </cell>
          <cell r="AF356">
            <v>10</v>
          </cell>
          <cell r="AR356">
            <v>7500000</v>
          </cell>
        </row>
        <row r="357">
          <cell r="B357" t="str">
            <v>قالب پخت کلاچ پژو 405</v>
          </cell>
          <cell r="C357" t="str">
            <v>قالب تعمیری</v>
          </cell>
          <cell r="P357" t="str">
            <v>mold</v>
          </cell>
          <cell r="AF357">
            <v>10</v>
          </cell>
          <cell r="AR357">
            <v>7500000</v>
          </cell>
        </row>
        <row r="358">
          <cell r="B358" t="str">
            <v>ویوینگ</v>
          </cell>
          <cell r="C358" t="str">
            <v>قطعه نو</v>
          </cell>
          <cell r="P358" t="str">
            <v>Bush</v>
          </cell>
          <cell r="AF358">
            <v>3</v>
          </cell>
          <cell r="AR358">
            <v>2250000</v>
          </cell>
        </row>
        <row r="359">
          <cell r="B359" t="str">
            <v>کلمپ زنی</v>
          </cell>
          <cell r="C359" t="str">
            <v>دستگاه تعمیری</v>
          </cell>
          <cell r="P359" t="str">
            <v>قطعه</v>
          </cell>
          <cell r="AF359">
            <v>7</v>
          </cell>
          <cell r="AR359">
            <v>5250000</v>
          </cell>
        </row>
        <row r="360">
          <cell r="B360" t="str">
            <v>قالب ترابوزا</v>
          </cell>
          <cell r="C360" t="str">
            <v>قالب تعمیری</v>
          </cell>
          <cell r="P360" t="str">
            <v>میل راهنما</v>
          </cell>
          <cell r="AF360">
            <v>2</v>
          </cell>
          <cell r="AR360">
            <v>1500000</v>
          </cell>
        </row>
        <row r="361">
          <cell r="B361" t="str">
            <v>قالب پخت کلاچ پژو 405</v>
          </cell>
          <cell r="C361" t="str">
            <v>قالب تعمیری</v>
          </cell>
          <cell r="P361" t="str">
            <v>واسطه سوپاپ</v>
          </cell>
          <cell r="AF361">
            <v>2</v>
          </cell>
          <cell r="AR361">
            <v>1500000</v>
          </cell>
        </row>
        <row r="362">
          <cell r="B362" t="str">
            <v>ساب الماسه</v>
          </cell>
          <cell r="C362" t="str">
            <v>قطعه تعمیری</v>
          </cell>
          <cell r="P362" t="str">
            <v>Shaft</v>
          </cell>
          <cell r="AF362">
            <v>2</v>
          </cell>
          <cell r="AR362">
            <v>1500000</v>
          </cell>
        </row>
        <row r="363">
          <cell r="B363" t="str">
            <v>ساب الماسه</v>
          </cell>
          <cell r="C363" t="str">
            <v>قطعه تعمیری</v>
          </cell>
          <cell r="P363" t="str">
            <v>توپی</v>
          </cell>
          <cell r="AF363">
            <v>2</v>
          </cell>
          <cell r="AR363">
            <v>1500000</v>
          </cell>
        </row>
        <row r="364">
          <cell r="B364" t="str">
            <v>ساب الماسه</v>
          </cell>
          <cell r="C364" t="str">
            <v>قطعه نو</v>
          </cell>
          <cell r="P364" t="str">
            <v>Bush</v>
          </cell>
          <cell r="AF364">
            <v>3</v>
          </cell>
          <cell r="AR364">
            <v>2250000</v>
          </cell>
        </row>
        <row r="365">
          <cell r="B365" t="str">
            <v>پخت کلاچ FH</v>
          </cell>
          <cell r="C365" t="str">
            <v>قالب تعمیری</v>
          </cell>
          <cell r="P365" t="str">
            <v>سوپاپ</v>
          </cell>
          <cell r="AF365">
            <v>4</v>
          </cell>
          <cell r="AR365">
            <v>3000000</v>
          </cell>
        </row>
        <row r="366">
          <cell r="B366" t="str">
            <v>پخت کلاچ FH</v>
          </cell>
          <cell r="C366" t="str">
            <v>قالب تعمیری</v>
          </cell>
          <cell r="P366" t="str">
            <v>MOLd</v>
          </cell>
          <cell r="AF366">
            <v>2</v>
          </cell>
          <cell r="AR366">
            <v>1500000</v>
          </cell>
        </row>
        <row r="367">
          <cell r="B367" t="str">
            <v>قالب پخت کلاچ پژو 405</v>
          </cell>
          <cell r="C367" t="str">
            <v>قالب تعمیری</v>
          </cell>
          <cell r="P367" t="str">
            <v>رینگ</v>
          </cell>
          <cell r="AF367">
            <v>1</v>
          </cell>
          <cell r="AR367">
            <v>750000</v>
          </cell>
        </row>
        <row r="368">
          <cell r="B368" t="str">
            <v>قالب پخت کلاچ پژو 405</v>
          </cell>
          <cell r="C368" t="str">
            <v>قالب تعمیری</v>
          </cell>
          <cell r="P368" t="str">
            <v>MOLd</v>
          </cell>
          <cell r="AF368">
            <v>1</v>
          </cell>
          <cell r="AR368">
            <v>750000</v>
          </cell>
        </row>
        <row r="369">
          <cell r="B369" t="str">
            <v>قالب پخت کلاچ پیکان</v>
          </cell>
          <cell r="C369" t="str">
            <v>قالب تعمیری</v>
          </cell>
          <cell r="P369" t="str">
            <v>MOLd</v>
          </cell>
          <cell r="AF369">
            <v>3</v>
          </cell>
          <cell r="AR369">
            <v>2250000</v>
          </cell>
        </row>
        <row r="370">
          <cell r="B370" t="str">
            <v>پخت کلاچ پراید</v>
          </cell>
          <cell r="C370" t="str">
            <v>قالب تعمیری</v>
          </cell>
          <cell r="P370" t="str">
            <v>Matrix</v>
          </cell>
          <cell r="AF370">
            <v>10</v>
          </cell>
          <cell r="AR370">
            <v>15000000</v>
          </cell>
        </row>
        <row r="371">
          <cell r="B371" t="str">
            <v>پخت کلاچ پراید</v>
          </cell>
          <cell r="C371" t="str">
            <v>قالب تعمیری</v>
          </cell>
          <cell r="P371" t="str">
            <v>Mandrel</v>
          </cell>
          <cell r="AF371">
            <v>1</v>
          </cell>
          <cell r="AR371">
            <v>1500000</v>
          </cell>
        </row>
        <row r="372">
          <cell r="B372" t="str">
            <v>دستگاه پرس 600 تن</v>
          </cell>
          <cell r="C372" t="str">
            <v>قطعه نو</v>
          </cell>
          <cell r="P372" t="str">
            <v>بلوک</v>
          </cell>
          <cell r="AF372">
            <v>11</v>
          </cell>
          <cell r="AR372">
            <v>16500000</v>
          </cell>
        </row>
        <row r="373">
          <cell r="B373" t="str">
            <v xml:space="preserve">قالب پخت کلاچ پیکان </v>
          </cell>
          <cell r="C373" t="str">
            <v>قالب تعمیری</v>
          </cell>
          <cell r="P373" t="str">
            <v>Matrix</v>
          </cell>
          <cell r="AF373">
            <v>11</v>
          </cell>
          <cell r="AR373">
            <v>16500000</v>
          </cell>
        </row>
        <row r="374">
          <cell r="B374" t="str">
            <v>دستگاه پرس 600 تن</v>
          </cell>
          <cell r="C374" t="str">
            <v>قطعه نو</v>
          </cell>
          <cell r="P374" t="str">
            <v>بلوک</v>
          </cell>
          <cell r="AF374">
            <v>11</v>
          </cell>
          <cell r="AR374">
            <v>8250000</v>
          </cell>
        </row>
        <row r="375">
          <cell r="B375" t="str">
            <v>صفحات 50*50 پخت کلاچ</v>
          </cell>
          <cell r="C375" t="str">
            <v>قالب تعمیری</v>
          </cell>
          <cell r="P375" t="str">
            <v>top Plate</v>
          </cell>
          <cell r="AF375">
            <v>11</v>
          </cell>
          <cell r="AR375">
            <v>8250000</v>
          </cell>
        </row>
        <row r="376">
          <cell r="B376" t="str">
            <v>سوراخکاری پیلسان</v>
          </cell>
          <cell r="C376" t="str">
            <v>قطعه نو</v>
          </cell>
          <cell r="P376" t="str">
            <v>Mandrel</v>
          </cell>
          <cell r="AF376">
            <v>1</v>
          </cell>
          <cell r="AR376">
            <v>750000</v>
          </cell>
        </row>
        <row r="377">
          <cell r="B377" t="str">
            <v>صفحه قالب یدک
700*500*65</v>
          </cell>
          <cell r="C377" t="str">
            <v>قطعه نو</v>
          </cell>
          <cell r="P377" t="str">
            <v>صفحه</v>
          </cell>
          <cell r="AF377">
            <v>11</v>
          </cell>
          <cell r="AR377">
            <v>8250000</v>
          </cell>
        </row>
        <row r="378">
          <cell r="B378" t="str">
            <v>دستگاه برش جمعی</v>
          </cell>
          <cell r="C378" t="str">
            <v>دستگاه نو</v>
          </cell>
          <cell r="P378" t="str">
            <v>Shaft</v>
          </cell>
          <cell r="AF378">
            <v>4</v>
          </cell>
          <cell r="AR378">
            <v>3000000</v>
          </cell>
        </row>
        <row r="379">
          <cell r="B379" t="str">
            <v>دستگاه پرس پخت</v>
          </cell>
          <cell r="C379" t="str">
            <v>قطعه تعمیری</v>
          </cell>
          <cell r="P379" t="str">
            <v>طبقه</v>
          </cell>
          <cell r="AF379">
            <v>2.5</v>
          </cell>
          <cell r="AR379">
            <v>1875000</v>
          </cell>
        </row>
        <row r="380">
          <cell r="B380" t="str">
            <v>لیفتراک</v>
          </cell>
          <cell r="C380" t="str">
            <v>قطعه تعمیری</v>
          </cell>
          <cell r="P380" t="str">
            <v>Bush</v>
          </cell>
          <cell r="AF380">
            <v>2</v>
          </cell>
          <cell r="AR380">
            <v>1500000</v>
          </cell>
        </row>
        <row r="381">
          <cell r="B381" t="str">
            <v>قالب پخت کلاچ پژو 405</v>
          </cell>
          <cell r="C381" t="str">
            <v>قالب تعمیری</v>
          </cell>
          <cell r="P381" t="str">
            <v>واسطه سوپاپ</v>
          </cell>
          <cell r="AF381">
            <v>2</v>
          </cell>
          <cell r="AR381">
            <v>1500000</v>
          </cell>
        </row>
        <row r="382">
          <cell r="B382" t="str">
            <v>دستگاه پرس پخت</v>
          </cell>
          <cell r="C382" t="str">
            <v>قطعه تعمیری</v>
          </cell>
          <cell r="P382" t="str">
            <v>گیج روغن</v>
          </cell>
          <cell r="AF382">
            <v>3.3333333333333335</v>
          </cell>
          <cell r="AR382">
            <v>2500000</v>
          </cell>
        </row>
        <row r="383">
          <cell r="B383" t="str">
            <v xml:space="preserve">قالب پخت کلاچ پیکان </v>
          </cell>
          <cell r="C383" t="str">
            <v>قالب تعمیری</v>
          </cell>
          <cell r="P383" t="str">
            <v>پیچ واسطه</v>
          </cell>
          <cell r="AF383">
            <v>3.3333333333333335</v>
          </cell>
          <cell r="AR383">
            <v>2500000</v>
          </cell>
        </row>
        <row r="384">
          <cell r="B384" t="str">
            <v>دستگاه پرس پخت</v>
          </cell>
          <cell r="C384" t="str">
            <v>قطعه تعمیری</v>
          </cell>
          <cell r="P384" t="str">
            <v>Shaft</v>
          </cell>
          <cell r="AF384">
            <v>2</v>
          </cell>
          <cell r="AR384">
            <v>1500000</v>
          </cell>
        </row>
        <row r="385">
          <cell r="B385" t="str">
            <v>سری نقطه جوش</v>
          </cell>
          <cell r="C385" t="str">
            <v>قطعه تعمیری</v>
          </cell>
          <cell r="P385" t="str">
            <v>مسی</v>
          </cell>
          <cell r="AF385">
            <v>2</v>
          </cell>
          <cell r="AR385">
            <v>1500000</v>
          </cell>
        </row>
        <row r="386">
          <cell r="B386" t="str">
            <v>دستگاه پشم فلز</v>
          </cell>
          <cell r="C386" t="str">
            <v>قطعه تعمیری</v>
          </cell>
          <cell r="P386" t="str">
            <v>رنده</v>
          </cell>
          <cell r="AF386">
            <v>12</v>
          </cell>
          <cell r="AR386">
            <v>9000000</v>
          </cell>
        </row>
        <row r="387">
          <cell r="B387" t="str">
            <v>قالب پخت کلاچ پژو 405</v>
          </cell>
          <cell r="C387" t="str">
            <v>قالب تعمیری</v>
          </cell>
          <cell r="P387" t="str">
            <v>mold</v>
          </cell>
          <cell r="AF387">
            <v>6</v>
          </cell>
          <cell r="AR387">
            <v>4500000</v>
          </cell>
        </row>
        <row r="388">
          <cell r="B388" t="str">
            <v>کلمپ زنی</v>
          </cell>
          <cell r="C388" t="str">
            <v>دستگاه تعمیری</v>
          </cell>
          <cell r="P388" t="str">
            <v>قطعه</v>
          </cell>
          <cell r="AF388">
            <v>6</v>
          </cell>
          <cell r="AR388">
            <v>4500000</v>
          </cell>
        </row>
        <row r="389">
          <cell r="B389" t="str">
            <v>دستگاه پشم فلز</v>
          </cell>
          <cell r="C389" t="str">
            <v>قطعه تعمیری</v>
          </cell>
          <cell r="P389" t="str">
            <v>رنده</v>
          </cell>
          <cell r="AF389">
            <v>6</v>
          </cell>
          <cell r="AR389">
            <v>4500000</v>
          </cell>
        </row>
        <row r="390">
          <cell r="B390" t="str">
            <v>دستگاه پشم فلز</v>
          </cell>
          <cell r="C390" t="str">
            <v>قطعه تعمیری</v>
          </cell>
          <cell r="P390" t="str">
            <v>رنده</v>
          </cell>
          <cell r="AF390">
            <v>12</v>
          </cell>
          <cell r="AR390">
            <v>9000000</v>
          </cell>
        </row>
        <row r="391">
          <cell r="B391" t="str">
            <v>پرچ ریو</v>
          </cell>
          <cell r="C391" t="str">
            <v>قطعه تعمیری</v>
          </cell>
          <cell r="P391" t="str">
            <v>فیکسچر</v>
          </cell>
          <cell r="AF391">
            <v>4</v>
          </cell>
          <cell r="AR391">
            <v>3000000</v>
          </cell>
        </row>
        <row r="392">
          <cell r="B392" t="str">
            <v xml:space="preserve">قالب پخت کلاچ پیکان </v>
          </cell>
          <cell r="C392" t="str">
            <v>قالب تعمیری</v>
          </cell>
          <cell r="P392" t="str">
            <v>mold</v>
          </cell>
          <cell r="AF392">
            <v>2.5</v>
          </cell>
          <cell r="AR392">
            <v>1875000</v>
          </cell>
        </row>
        <row r="393">
          <cell r="B393" t="str">
            <v>پخت کلاچ پراید</v>
          </cell>
          <cell r="C393" t="str">
            <v>قالب تعمیری</v>
          </cell>
          <cell r="P393" t="str">
            <v>mold</v>
          </cell>
          <cell r="AF393">
            <v>2.5</v>
          </cell>
          <cell r="AR393">
            <v>1875000</v>
          </cell>
        </row>
        <row r="394">
          <cell r="B394" t="str">
            <v>قالب پخت کلاچ پژو 405</v>
          </cell>
          <cell r="C394" t="str">
            <v>قالب تعمیری</v>
          </cell>
          <cell r="P394" t="str">
            <v>mold</v>
          </cell>
          <cell r="AF394">
            <v>2.5</v>
          </cell>
          <cell r="AR394">
            <v>1875000</v>
          </cell>
        </row>
        <row r="395">
          <cell r="B395" t="str">
            <v>ویوینگ</v>
          </cell>
          <cell r="C395" t="str">
            <v>قطعه نو</v>
          </cell>
          <cell r="P395" t="str">
            <v>Shaft</v>
          </cell>
          <cell r="AF395">
            <v>1</v>
          </cell>
          <cell r="AR395">
            <v>750000</v>
          </cell>
        </row>
        <row r="396">
          <cell r="B396" t="str">
            <v>سوراخکاری پیلسان</v>
          </cell>
          <cell r="C396" t="str">
            <v>قطعه نو</v>
          </cell>
          <cell r="P396" t="str">
            <v>صفحه</v>
          </cell>
          <cell r="AF396">
            <v>1</v>
          </cell>
          <cell r="AR396">
            <v>750000</v>
          </cell>
        </row>
        <row r="397">
          <cell r="B397" t="str">
            <v>دستگاه پرس 600 تن</v>
          </cell>
          <cell r="C397" t="str">
            <v>قطعه نو</v>
          </cell>
          <cell r="P397" t="str">
            <v>بلوک</v>
          </cell>
          <cell r="AF397">
            <v>0.5</v>
          </cell>
          <cell r="AR397">
            <v>375000</v>
          </cell>
        </row>
        <row r="398">
          <cell r="B398" t="str">
            <v xml:space="preserve">قالب پخت کلاچ پیکان </v>
          </cell>
          <cell r="C398" t="str">
            <v>قالب تعمیری</v>
          </cell>
          <cell r="P398" t="str">
            <v>mold</v>
          </cell>
          <cell r="AF398">
            <v>2.5</v>
          </cell>
          <cell r="AR398">
            <v>1875000</v>
          </cell>
        </row>
        <row r="399">
          <cell r="B399" t="str">
            <v>پخت کلاچ پراید</v>
          </cell>
          <cell r="C399" t="str">
            <v>قالب تعمیری</v>
          </cell>
          <cell r="P399" t="str">
            <v>mold</v>
          </cell>
          <cell r="AF399">
            <v>2.5</v>
          </cell>
          <cell r="AR399">
            <v>1875000</v>
          </cell>
        </row>
        <row r="400">
          <cell r="B400" t="str">
            <v>قالب پخت کلاچ پژو 405</v>
          </cell>
          <cell r="C400" t="str">
            <v>قالب تعمیری</v>
          </cell>
          <cell r="P400" t="str">
            <v>mold</v>
          </cell>
          <cell r="AF400">
            <v>2.5</v>
          </cell>
          <cell r="AR400">
            <v>1875000</v>
          </cell>
        </row>
        <row r="401">
          <cell r="B401" t="str">
            <v>قالب ترابوزا</v>
          </cell>
          <cell r="C401" t="str">
            <v>قالب تعمیری</v>
          </cell>
          <cell r="P401" t="str">
            <v>Mold</v>
          </cell>
          <cell r="AF401">
            <v>1.5</v>
          </cell>
          <cell r="AR401">
            <v>1125000</v>
          </cell>
        </row>
        <row r="402">
          <cell r="B402" t="str">
            <v>سوراخکاری پیلسان</v>
          </cell>
          <cell r="C402" t="str">
            <v>قطعه نو</v>
          </cell>
          <cell r="P402" t="str">
            <v>صفحه</v>
          </cell>
          <cell r="AF402">
            <v>1</v>
          </cell>
          <cell r="AR402">
            <v>750000</v>
          </cell>
        </row>
        <row r="403">
          <cell r="B403" t="str">
            <v xml:space="preserve">قالب پخت کلاچ پیکان </v>
          </cell>
          <cell r="C403" t="str">
            <v>قالب تعمیری</v>
          </cell>
          <cell r="P403" t="str">
            <v>Matrix</v>
          </cell>
          <cell r="AF403">
            <v>11</v>
          </cell>
          <cell r="AR403">
            <v>16500000</v>
          </cell>
        </row>
        <row r="404">
          <cell r="B404" t="str">
            <v>دستگاه پرس 600 تن</v>
          </cell>
          <cell r="C404" t="str">
            <v>قطعه نو</v>
          </cell>
          <cell r="P404" t="str">
            <v>بلوک</v>
          </cell>
          <cell r="AF404">
            <v>11</v>
          </cell>
          <cell r="AR404">
            <v>8250000</v>
          </cell>
        </row>
        <row r="405">
          <cell r="B405" t="str">
            <v>صفحه قالب یدک
700*500*65</v>
          </cell>
          <cell r="C405" t="str">
            <v>قطعه نو</v>
          </cell>
          <cell r="P405" t="str">
            <v>صفحه</v>
          </cell>
          <cell r="AF405">
            <v>11</v>
          </cell>
          <cell r="AR405">
            <v>8250000</v>
          </cell>
        </row>
        <row r="406">
          <cell r="B406" t="str">
            <v>صفحات 50*50 پخت کلاچ</v>
          </cell>
          <cell r="C406" t="str">
            <v>قالب تعمیری</v>
          </cell>
          <cell r="P406" t="str">
            <v>top Plate</v>
          </cell>
          <cell r="AF406">
            <v>11</v>
          </cell>
          <cell r="AR406">
            <v>8250000</v>
          </cell>
        </row>
        <row r="407">
          <cell r="B407" t="str">
            <v>پخت کلاچ پراید</v>
          </cell>
          <cell r="C407" t="str">
            <v>قالب تعمیری</v>
          </cell>
          <cell r="P407" t="str">
            <v>Mandrel</v>
          </cell>
          <cell r="AF407">
            <v>8</v>
          </cell>
          <cell r="AR407">
            <v>12000000</v>
          </cell>
        </row>
        <row r="408">
          <cell r="B408" t="str">
            <v>قالب پخت کلاچ پژو 405</v>
          </cell>
          <cell r="C408" t="str">
            <v>قالب تعمیری</v>
          </cell>
          <cell r="P408" t="str">
            <v>Mandrel</v>
          </cell>
          <cell r="AF408">
            <v>3</v>
          </cell>
          <cell r="AR408">
            <v>4500000</v>
          </cell>
        </row>
        <row r="409">
          <cell r="B409" t="str">
            <v>قالب پخت کلاچ پژو 405</v>
          </cell>
          <cell r="C409" t="str">
            <v>قالب تعمیری</v>
          </cell>
          <cell r="P409" t="str">
            <v>bottom plate</v>
          </cell>
          <cell r="AF409">
            <v>9</v>
          </cell>
          <cell r="AR409">
            <v>13500000</v>
          </cell>
        </row>
        <row r="410">
          <cell r="B410" t="str">
            <v>قالب پخت کلاچ پژو 405</v>
          </cell>
          <cell r="C410" t="str">
            <v>قالب تعمیری</v>
          </cell>
          <cell r="P410" t="str">
            <v>Mandrel</v>
          </cell>
          <cell r="AF410">
            <v>2</v>
          </cell>
          <cell r="AR410">
            <v>3000000</v>
          </cell>
        </row>
        <row r="411">
          <cell r="B411" t="str">
            <v>دستگاه برش جمعی</v>
          </cell>
          <cell r="C411" t="str">
            <v>قطعه تعمیری</v>
          </cell>
          <cell r="P411" t="str">
            <v>تیغه</v>
          </cell>
          <cell r="AF411">
            <v>2</v>
          </cell>
          <cell r="AR411">
            <v>1500000</v>
          </cell>
        </row>
        <row r="412">
          <cell r="B412" t="str">
            <v>قالب پخت کلاچ پژو 405</v>
          </cell>
          <cell r="C412" t="str">
            <v>قالب تعمیری</v>
          </cell>
          <cell r="P412" t="str">
            <v>Bush</v>
          </cell>
          <cell r="AF412">
            <v>4</v>
          </cell>
          <cell r="AR412">
            <v>3000000</v>
          </cell>
        </row>
        <row r="413">
          <cell r="B413" t="str">
            <v>ویوینگ</v>
          </cell>
          <cell r="C413" t="str">
            <v>قطعه نو</v>
          </cell>
          <cell r="P413" t="str">
            <v>Shaft</v>
          </cell>
          <cell r="AF413">
            <v>5</v>
          </cell>
          <cell r="AR413">
            <v>3750000</v>
          </cell>
        </row>
        <row r="414">
          <cell r="B414" t="str">
            <v>ویوینگ</v>
          </cell>
          <cell r="C414" t="str">
            <v>قطعه نو</v>
          </cell>
          <cell r="P414" t="str">
            <v>Shaft</v>
          </cell>
          <cell r="AF414">
            <v>1.5</v>
          </cell>
          <cell r="AR414">
            <v>1125000</v>
          </cell>
        </row>
        <row r="415">
          <cell r="B415" t="str">
            <v>پخت کلاچ پژو 206 TU5</v>
          </cell>
          <cell r="C415" t="str">
            <v>قالب تعمیری</v>
          </cell>
          <cell r="P415" t="str">
            <v>سوپاپ</v>
          </cell>
          <cell r="AF415">
            <v>1.5</v>
          </cell>
          <cell r="AR415">
            <v>1125000</v>
          </cell>
        </row>
        <row r="416">
          <cell r="B416" t="str">
            <v xml:space="preserve">قالب پخت کلاچ پیکان </v>
          </cell>
          <cell r="C416" t="str">
            <v>قالب تعمیری</v>
          </cell>
          <cell r="P416" t="str">
            <v>MOLd</v>
          </cell>
          <cell r="AF416">
            <v>1.5</v>
          </cell>
          <cell r="AR416">
            <v>1125000</v>
          </cell>
        </row>
        <row r="417">
          <cell r="B417" t="str">
            <v>ویوینگ</v>
          </cell>
          <cell r="C417" t="str">
            <v>قطعه نو</v>
          </cell>
          <cell r="P417" t="str">
            <v>پیچ</v>
          </cell>
          <cell r="AF417">
            <v>1.5</v>
          </cell>
          <cell r="AR417">
            <v>1125000</v>
          </cell>
        </row>
        <row r="418">
          <cell r="B418" t="str">
            <v>قالب ترابوزا</v>
          </cell>
          <cell r="C418" t="str">
            <v>قالب تعمیری</v>
          </cell>
          <cell r="P418" t="str">
            <v>bottom plate</v>
          </cell>
          <cell r="AF418">
            <v>5</v>
          </cell>
          <cell r="AR418">
            <v>3750000</v>
          </cell>
        </row>
        <row r="419">
          <cell r="B419" t="str">
            <v>قالب پخت کلاچ پژو 405</v>
          </cell>
          <cell r="C419" t="str">
            <v>قالب تعمیری</v>
          </cell>
          <cell r="P419" t="str">
            <v>Mandrel</v>
          </cell>
          <cell r="AF419">
            <v>7.5</v>
          </cell>
          <cell r="AR419">
            <v>11250000</v>
          </cell>
        </row>
        <row r="420">
          <cell r="B420" t="str">
            <v>قالب پخت کلاچ پژو 405</v>
          </cell>
          <cell r="C420" t="str">
            <v>قالب تعمیری</v>
          </cell>
          <cell r="P420" t="str">
            <v>Mandrel</v>
          </cell>
          <cell r="AF420">
            <v>7.5</v>
          </cell>
          <cell r="AR420">
            <v>11250000</v>
          </cell>
        </row>
        <row r="421">
          <cell r="B421" t="str">
            <v>قالب پخت SAF</v>
          </cell>
          <cell r="C421" t="str">
            <v>قالب نو</v>
          </cell>
          <cell r="P421" t="str">
            <v>Matrix</v>
          </cell>
          <cell r="AF421">
            <v>7.5</v>
          </cell>
          <cell r="AR421">
            <v>11250000</v>
          </cell>
        </row>
        <row r="422">
          <cell r="B422" t="str">
            <v>دستگاه پرس پخت</v>
          </cell>
          <cell r="C422" t="str">
            <v>قطعه تعمیری</v>
          </cell>
          <cell r="P422" t="str">
            <v>طبقه</v>
          </cell>
          <cell r="AF422">
            <v>6.5</v>
          </cell>
          <cell r="AR422">
            <v>4875000</v>
          </cell>
        </row>
        <row r="423">
          <cell r="B423" t="str">
            <v>صفحه قالب یدک
700*500*65</v>
          </cell>
          <cell r="C423" t="str">
            <v>قطعه نو</v>
          </cell>
          <cell r="P423" t="str">
            <v>صفحه</v>
          </cell>
          <cell r="AF423">
            <v>7.5</v>
          </cell>
          <cell r="AR423">
            <v>5625000</v>
          </cell>
        </row>
        <row r="424">
          <cell r="B424" t="str">
            <v>صفحات 50*50 پخت کلاچ</v>
          </cell>
          <cell r="C424" t="str">
            <v>قالب تعمیری</v>
          </cell>
          <cell r="P424" t="str">
            <v>top Plate</v>
          </cell>
          <cell r="AF424">
            <v>7.5</v>
          </cell>
          <cell r="AR424">
            <v>5625000</v>
          </cell>
        </row>
        <row r="425">
          <cell r="B425" t="str">
            <v>قالب پخت کلاچ پژو 405</v>
          </cell>
          <cell r="C425" t="str">
            <v>قالب تعمیری</v>
          </cell>
          <cell r="P425" t="str">
            <v>Mandrel</v>
          </cell>
          <cell r="AF425">
            <v>1</v>
          </cell>
          <cell r="AR425">
            <v>750000</v>
          </cell>
        </row>
        <row r="426">
          <cell r="B426" t="str">
            <v>قالب پخت SAF</v>
          </cell>
          <cell r="C426" t="str">
            <v>قالب نو</v>
          </cell>
          <cell r="P426" t="str">
            <v>Matrix</v>
          </cell>
          <cell r="AF426">
            <v>4</v>
          </cell>
          <cell r="AR426">
            <v>3000000</v>
          </cell>
        </row>
        <row r="427">
          <cell r="B427" t="str">
            <v>قالب پخت کلاچ پژو 405</v>
          </cell>
          <cell r="C427" t="str">
            <v>قالب تعمیری</v>
          </cell>
          <cell r="P427" t="str">
            <v>mold</v>
          </cell>
          <cell r="AF427">
            <v>2</v>
          </cell>
          <cell r="AR427">
            <v>1500000</v>
          </cell>
        </row>
        <row r="428">
          <cell r="B428" t="str">
            <v>اصول 5S</v>
          </cell>
          <cell r="C428" t="str">
            <v>نظافت</v>
          </cell>
          <cell r="P428" t="str">
            <v>دستگاه</v>
          </cell>
          <cell r="AF428">
            <v>1</v>
          </cell>
          <cell r="AR428">
            <v>750000</v>
          </cell>
        </row>
        <row r="429">
          <cell r="B429" t="str">
            <v>قالب پخت کلاچ پژو 405</v>
          </cell>
          <cell r="C429" t="str">
            <v>قالب تعمیری</v>
          </cell>
          <cell r="P429" t="str">
            <v>Bush</v>
          </cell>
          <cell r="AF429">
            <v>2</v>
          </cell>
          <cell r="AR429">
            <v>1500000</v>
          </cell>
        </row>
        <row r="430">
          <cell r="B430" t="str">
            <v>قالب ترابوزا</v>
          </cell>
          <cell r="C430" t="str">
            <v>قالب تعمیری</v>
          </cell>
          <cell r="P430" t="str">
            <v>میل راهنما</v>
          </cell>
          <cell r="AF430">
            <v>1</v>
          </cell>
          <cell r="AR430">
            <v>750000</v>
          </cell>
        </row>
        <row r="431">
          <cell r="B431" t="str">
            <v>قالب پخت کلاچ پژو 405</v>
          </cell>
          <cell r="C431" t="str">
            <v>قالب تعمیری</v>
          </cell>
          <cell r="P431" t="str">
            <v>پیچ</v>
          </cell>
          <cell r="AF431">
            <v>4</v>
          </cell>
          <cell r="AR431">
            <v>3000000</v>
          </cell>
        </row>
        <row r="432">
          <cell r="B432" t="str">
            <v>اصول 5S</v>
          </cell>
          <cell r="C432" t="str">
            <v>نظافت</v>
          </cell>
          <cell r="P432" t="str">
            <v>دستگاه</v>
          </cell>
          <cell r="AF432">
            <v>0.5</v>
          </cell>
          <cell r="AR432">
            <v>375000</v>
          </cell>
        </row>
        <row r="433">
          <cell r="B433" t="str">
            <v>قالب ترابوزا</v>
          </cell>
          <cell r="C433" t="str">
            <v>قالب تعمیری</v>
          </cell>
          <cell r="P433" t="str">
            <v>mold</v>
          </cell>
          <cell r="AF433">
            <v>2.5</v>
          </cell>
          <cell r="AR433">
            <v>1875000</v>
          </cell>
        </row>
        <row r="434">
          <cell r="B434" t="str">
            <v>قالب پخت کلاچ پژو 405</v>
          </cell>
          <cell r="C434" t="str">
            <v>قالب تعمیری</v>
          </cell>
          <cell r="P434" t="str">
            <v>mold</v>
          </cell>
          <cell r="AF434">
            <v>2.5</v>
          </cell>
          <cell r="AR434">
            <v>1875000</v>
          </cell>
        </row>
        <row r="435">
          <cell r="B435" t="str">
            <v>پخت کلاچ ایسوزو</v>
          </cell>
          <cell r="C435" t="str">
            <v>قالب تعمیری</v>
          </cell>
          <cell r="P435" t="str">
            <v>پین</v>
          </cell>
          <cell r="AF435">
            <v>2</v>
          </cell>
          <cell r="AR435">
            <v>1500000</v>
          </cell>
        </row>
        <row r="436">
          <cell r="B436" t="str">
            <v>پخت کلاچ پژو 206 TU5</v>
          </cell>
          <cell r="C436" t="str">
            <v>قالب تعمیری</v>
          </cell>
          <cell r="P436" t="str">
            <v>سوپاپ</v>
          </cell>
          <cell r="AF436">
            <v>4</v>
          </cell>
          <cell r="AR436">
            <v>3000000</v>
          </cell>
        </row>
        <row r="437">
          <cell r="B437" t="str">
            <v>لیفتراک</v>
          </cell>
          <cell r="C437" t="str">
            <v>قطعه تعمیری</v>
          </cell>
          <cell r="P437" t="str">
            <v>Shaft</v>
          </cell>
          <cell r="AF437">
            <v>1</v>
          </cell>
          <cell r="AR437">
            <v>750000</v>
          </cell>
        </row>
        <row r="438">
          <cell r="B438" t="str">
            <v>قالب ترابوزا</v>
          </cell>
          <cell r="C438" t="str">
            <v>قالب تعمیری</v>
          </cell>
          <cell r="P438" t="str">
            <v>mold</v>
          </cell>
          <cell r="AF438">
            <v>3</v>
          </cell>
          <cell r="AR438">
            <v>2250000</v>
          </cell>
        </row>
        <row r="439">
          <cell r="B439" t="str">
            <v>قالب ترابوزا</v>
          </cell>
          <cell r="C439" t="str">
            <v>قالب تعمیری</v>
          </cell>
          <cell r="P439" t="str">
            <v>mold</v>
          </cell>
          <cell r="AF439">
            <v>4</v>
          </cell>
          <cell r="AR439">
            <v>3000000</v>
          </cell>
        </row>
        <row r="440">
          <cell r="B440" t="str">
            <v>پخت کلاچ ایسوزو</v>
          </cell>
          <cell r="C440" t="str">
            <v>قالب تعمیری</v>
          </cell>
          <cell r="P440" t="str">
            <v>صفحه</v>
          </cell>
          <cell r="AF440">
            <v>0.5</v>
          </cell>
          <cell r="AR440">
            <v>375000</v>
          </cell>
        </row>
        <row r="441">
          <cell r="B441" t="str">
            <v>پخت کلاچ ایسوزو</v>
          </cell>
          <cell r="C441" t="str">
            <v>قالب تعمیری</v>
          </cell>
          <cell r="P441" t="str">
            <v>پین</v>
          </cell>
          <cell r="AF441">
            <v>1</v>
          </cell>
          <cell r="AR441">
            <v>750000</v>
          </cell>
        </row>
        <row r="442">
          <cell r="B442" t="str">
            <v>قالب پخت کلاچ پژو 405</v>
          </cell>
          <cell r="C442" t="str">
            <v>قالب تعمیری</v>
          </cell>
          <cell r="P442" t="str">
            <v>mold</v>
          </cell>
          <cell r="AF442">
            <v>2</v>
          </cell>
          <cell r="AR442">
            <v>1500000</v>
          </cell>
        </row>
        <row r="443">
          <cell r="B443" t="str">
            <v>دستگاه پرس 600 تن</v>
          </cell>
          <cell r="C443" t="str">
            <v>قطعه نو</v>
          </cell>
          <cell r="P443" t="str">
            <v>تفلن</v>
          </cell>
          <cell r="AF443">
            <v>2</v>
          </cell>
          <cell r="AR443">
            <v>1500000</v>
          </cell>
        </row>
        <row r="444">
          <cell r="B444" t="str">
            <v>قالب پخت کلاچ پژو 405</v>
          </cell>
          <cell r="C444" t="str">
            <v>قالب تعمیری</v>
          </cell>
          <cell r="P444" t="str">
            <v>سوپاپ</v>
          </cell>
          <cell r="AF444">
            <v>2</v>
          </cell>
          <cell r="AR444">
            <v>1500000</v>
          </cell>
        </row>
        <row r="445">
          <cell r="B445" t="str">
            <v>اصول 5S</v>
          </cell>
          <cell r="C445" t="str">
            <v>نظافت</v>
          </cell>
          <cell r="P445" t="str">
            <v>دستگاه</v>
          </cell>
          <cell r="AF445">
            <v>2</v>
          </cell>
          <cell r="AR445">
            <v>1500000</v>
          </cell>
        </row>
        <row r="446">
          <cell r="B446" t="str">
            <v>دستگاه پشم فلز</v>
          </cell>
          <cell r="C446" t="str">
            <v>قطعه تعمیری</v>
          </cell>
          <cell r="P446" t="str">
            <v>رنده</v>
          </cell>
          <cell r="AF446">
            <v>10</v>
          </cell>
          <cell r="AR446">
            <v>7500000</v>
          </cell>
        </row>
        <row r="447">
          <cell r="B447" t="str">
            <v>دستگاه پشم فلز</v>
          </cell>
          <cell r="C447" t="str">
            <v>قطعه تعمیری</v>
          </cell>
          <cell r="P447" t="str">
            <v>رنده</v>
          </cell>
          <cell r="AF447">
            <v>12</v>
          </cell>
          <cell r="AR447">
            <v>9000000</v>
          </cell>
        </row>
        <row r="448">
          <cell r="B448" t="str">
            <v>پرچ ریو</v>
          </cell>
          <cell r="C448" t="str">
            <v>قطعه تعمیری</v>
          </cell>
          <cell r="P448" t="str">
            <v>فیکسچر</v>
          </cell>
          <cell r="AF448">
            <v>12</v>
          </cell>
          <cell r="AR448">
            <v>9000000</v>
          </cell>
        </row>
        <row r="449">
          <cell r="B449" t="str">
            <v>برشی نیوفیس C&amp;C</v>
          </cell>
          <cell r="C449" t="str">
            <v>قالب نو</v>
          </cell>
          <cell r="P449" t="str">
            <v>Mandrel</v>
          </cell>
          <cell r="AF449">
            <v>8</v>
          </cell>
          <cell r="AR449">
            <v>6000000</v>
          </cell>
        </row>
        <row r="450">
          <cell r="B450" t="str">
            <v>برشی نیوفیس C&amp;C</v>
          </cell>
          <cell r="C450" t="str">
            <v>قالب نو</v>
          </cell>
          <cell r="P450" t="str">
            <v>bottom plate</v>
          </cell>
          <cell r="AF450">
            <v>2</v>
          </cell>
          <cell r="AR450">
            <v>1500000</v>
          </cell>
        </row>
        <row r="451">
          <cell r="B451" t="str">
            <v>برشی نیوفیس C&amp;C</v>
          </cell>
          <cell r="C451" t="str">
            <v>قالب نو</v>
          </cell>
          <cell r="P451" t="str">
            <v>bottom plate</v>
          </cell>
          <cell r="AF451">
            <v>6</v>
          </cell>
          <cell r="AR451">
            <v>4500000</v>
          </cell>
        </row>
        <row r="452">
          <cell r="B452" t="str">
            <v>دستگاه پشم فلز</v>
          </cell>
          <cell r="C452" t="str">
            <v>قطعه تعمیری</v>
          </cell>
          <cell r="P452" t="str">
            <v>رنده</v>
          </cell>
          <cell r="AF452">
            <v>6</v>
          </cell>
          <cell r="AR452">
            <v>4500000</v>
          </cell>
        </row>
        <row r="453">
          <cell r="B453" t="str">
            <v>پرچ ریو</v>
          </cell>
          <cell r="C453" t="str">
            <v>قطعه تعمیری</v>
          </cell>
          <cell r="P453" t="str">
            <v>فیکسچر</v>
          </cell>
          <cell r="AF453">
            <v>6</v>
          </cell>
          <cell r="AR453">
            <v>4500000</v>
          </cell>
        </row>
        <row r="454">
          <cell r="B454" t="str">
            <v>برشی نیوفیس C&amp;C</v>
          </cell>
          <cell r="C454" t="str">
            <v>قالب نو</v>
          </cell>
          <cell r="P454" t="str">
            <v>Mandrel</v>
          </cell>
          <cell r="AF454">
            <v>6</v>
          </cell>
          <cell r="AR454">
            <v>4500000</v>
          </cell>
        </row>
        <row r="455">
          <cell r="B455" t="str">
            <v>لیفتراک</v>
          </cell>
          <cell r="C455" t="str">
            <v>قطعه تعمیری</v>
          </cell>
          <cell r="P455" t="str">
            <v>Shaft</v>
          </cell>
          <cell r="AF455">
            <v>2</v>
          </cell>
          <cell r="AR455">
            <v>1500000</v>
          </cell>
        </row>
        <row r="456">
          <cell r="B456" t="str">
            <v>ویوینگ</v>
          </cell>
          <cell r="C456" t="str">
            <v>قطعه نو</v>
          </cell>
          <cell r="P456" t="str">
            <v>Bush</v>
          </cell>
          <cell r="AF456">
            <v>2</v>
          </cell>
          <cell r="AR456">
            <v>1500000</v>
          </cell>
        </row>
        <row r="457">
          <cell r="B457" t="str">
            <v>قالب خشاب زنی</v>
          </cell>
          <cell r="C457" t="str">
            <v>قطعه تعمیری</v>
          </cell>
          <cell r="P457" t="str">
            <v>فلانچ</v>
          </cell>
          <cell r="AF457">
            <v>1</v>
          </cell>
          <cell r="AR457">
            <v>750000</v>
          </cell>
        </row>
        <row r="458">
          <cell r="B458" t="str">
            <v>ساب داخل</v>
          </cell>
          <cell r="C458" t="str">
            <v>قطعه تعمیری</v>
          </cell>
          <cell r="P458" t="str">
            <v>Shaft</v>
          </cell>
          <cell r="AF458">
            <v>2</v>
          </cell>
          <cell r="AR458">
            <v>1500000</v>
          </cell>
        </row>
        <row r="459">
          <cell r="B459" t="str">
            <v>قالب پخت کلاچ پژو 405</v>
          </cell>
          <cell r="C459" t="str">
            <v>قالب تعمیری</v>
          </cell>
          <cell r="P459" t="str">
            <v>Mandrel</v>
          </cell>
          <cell r="AF459">
            <v>11</v>
          </cell>
          <cell r="AR459">
            <v>16500000</v>
          </cell>
        </row>
        <row r="460">
          <cell r="B460" t="str">
            <v>قالب پخت کلاچ پژو 405</v>
          </cell>
          <cell r="C460" t="str">
            <v>قالب تعمیری</v>
          </cell>
          <cell r="P460" t="str">
            <v>Mandrel</v>
          </cell>
          <cell r="AF460">
            <v>11</v>
          </cell>
          <cell r="AR460">
            <v>16500000</v>
          </cell>
        </row>
        <row r="461">
          <cell r="B461" t="str">
            <v>صفحات 50*50 پخت کلاچ</v>
          </cell>
          <cell r="C461" t="str">
            <v>قالب تعمیری</v>
          </cell>
          <cell r="P461" t="str">
            <v>top Plate</v>
          </cell>
          <cell r="AF461">
            <v>11</v>
          </cell>
          <cell r="AR461">
            <v>8250000</v>
          </cell>
        </row>
        <row r="462">
          <cell r="B462" t="str">
            <v>صفحه قالب یدک
700*500*65</v>
          </cell>
          <cell r="C462" t="str">
            <v>قطعه نو</v>
          </cell>
          <cell r="P462" t="str">
            <v>صفحه</v>
          </cell>
          <cell r="AF462">
            <v>5.5</v>
          </cell>
          <cell r="AR462">
            <v>4125000</v>
          </cell>
        </row>
        <row r="463">
          <cell r="B463" t="str">
            <v>برشی نیوفیس C&amp;C</v>
          </cell>
          <cell r="C463" t="str">
            <v>قالب نو</v>
          </cell>
          <cell r="P463" t="str">
            <v>صفحه</v>
          </cell>
          <cell r="AF463">
            <v>5.5</v>
          </cell>
          <cell r="AR463">
            <v>4125000</v>
          </cell>
        </row>
        <row r="464">
          <cell r="B464" t="str">
            <v>قالب پخت کلاچ پژو 405</v>
          </cell>
          <cell r="C464" t="str">
            <v>قالب تعمیری</v>
          </cell>
          <cell r="P464" t="str">
            <v>پیچ</v>
          </cell>
          <cell r="AF464">
            <v>5</v>
          </cell>
          <cell r="AR464">
            <v>3750000</v>
          </cell>
        </row>
        <row r="465">
          <cell r="B465" t="str">
            <v>قالب پخت کلاچ پژو 405</v>
          </cell>
          <cell r="C465" t="str">
            <v>قالب تعمیری</v>
          </cell>
          <cell r="P465" t="str">
            <v>واشر</v>
          </cell>
          <cell r="AF465">
            <v>5</v>
          </cell>
          <cell r="AR465">
            <v>3750000</v>
          </cell>
        </row>
        <row r="466">
          <cell r="B466" t="str">
            <v>دستگاه پرس پخت</v>
          </cell>
          <cell r="C466" t="str">
            <v>قطعه تعمیری</v>
          </cell>
          <cell r="P466" t="str">
            <v>طبقه</v>
          </cell>
          <cell r="AF466">
            <v>2.5</v>
          </cell>
          <cell r="AR466">
            <v>1875000</v>
          </cell>
        </row>
        <row r="467">
          <cell r="B467" t="str">
            <v>آسیاب پشم فلز</v>
          </cell>
          <cell r="C467" t="str">
            <v>قطعه تعمیری</v>
          </cell>
          <cell r="P467" t="str">
            <v>پوسته یاتاقان</v>
          </cell>
          <cell r="AF467">
            <v>4</v>
          </cell>
          <cell r="AR467">
            <v>3000000</v>
          </cell>
        </row>
        <row r="468">
          <cell r="B468" t="str">
            <v>قالب پخت کلاچ پژو 405</v>
          </cell>
          <cell r="C468" t="str">
            <v>قالب تعمیری</v>
          </cell>
          <cell r="P468" t="str">
            <v>top Plate</v>
          </cell>
          <cell r="AF468">
            <v>11</v>
          </cell>
          <cell r="AR468">
            <v>16500000</v>
          </cell>
        </row>
        <row r="469">
          <cell r="B469" t="str">
            <v>دستگاه پشم فلز</v>
          </cell>
          <cell r="C469" t="str">
            <v>قطعه تعمیری</v>
          </cell>
          <cell r="P469" t="str">
            <v>رنده</v>
          </cell>
          <cell r="AF469">
            <v>12</v>
          </cell>
          <cell r="AR469">
            <v>9000000</v>
          </cell>
        </row>
        <row r="470">
          <cell r="B470" t="str">
            <v>دستگاه پشم فلز</v>
          </cell>
          <cell r="C470" t="str">
            <v>قطعه تعمیری</v>
          </cell>
          <cell r="P470" t="str">
            <v>رنده</v>
          </cell>
          <cell r="AF470">
            <v>12</v>
          </cell>
          <cell r="AR470">
            <v>9000000</v>
          </cell>
        </row>
        <row r="471">
          <cell r="B471" t="str">
            <v>برشی نیوفیس C&amp;C</v>
          </cell>
          <cell r="C471" t="str">
            <v>قالب نو</v>
          </cell>
          <cell r="P471" t="str">
            <v>bottom plate</v>
          </cell>
          <cell r="AF471">
            <v>12</v>
          </cell>
          <cell r="AR471">
            <v>9000000</v>
          </cell>
        </row>
        <row r="472">
          <cell r="B472" t="str">
            <v>پخت کلاچ ایسوزو</v>
          </cell>
          <cell r="C472" t="str">
            <v>قالب تعمیری</v>
          </cell>
          <cell r="P472" t="str">
            <v>پین</v>
          </cell>
          <cell r="AF472">
            <v>4</v>
          </cell>
          <cell r="AR472">
            <v>3000000</v>
          </cell>
        </row>
        <row r="473">
          <cell r="B473" t="str">
            <v xml:space="preserve">پخت کلاچ پراید سکو </v>
          </cell>
          <cell r="C473" t="str">
            <v>قالب تعمیری</v>
          </cell>
          <cell r="P473" t="str">
            <v>پین</v>
          </cell>
          <cell r="AF473">
            <v>4</v>
          </cell>
          <cell r="AR473">
            <v>3000000</v>
          </cell>
        </row>
        <row r="474">
          <cell r="B474" t="str">
            <v>قالب پخت کلاچ پژو 405</v>
          </cell>
          <cell r="C474" t="str">
            <v>قالب تعمیری</v>
          </cell>
          <cell r="P474" t="str">
            <v>mold</v>
          </cell>
          <cell r="AF474">
            <v>2</v>
          </cell>
          <cell r="AR474">
            <v>1500000</v>
          </cell>
        </row>
        <row r="475">
          <cell r="B475" t="str">
            <v>دستگاه پرس 600 تن</v>
          </cell>
          <cell r="C475" t="str">
            <v>قطعه نو</v>
          </cell>
          <cell r="P475" t="str">
            <v>میز</v>
          </cell>
          <cell r="AF475">
            <v>4</v>
          </cell>
          <cell r="AR475">
            <v>3000000</v>
          </cell>
        </row>
        <row r="476">
          <cell r="B476" t="str">
            <v>دستگاه پشم فلز</v>
          </cell>
          <cell r="C476" t="str">
            <v>قطعه تعمیری</v>
          </cell>
          <cell r="P476" t="str">
            <v>رنده</v>
          </cell>
          <cell r="AF476">
            <v>4</v>
          </cell>
          <cell r="AR476">
            <v>3000000</v>
          </cell>
        </row>
        <row r="477">
          <cell r="B477" t="str">
            <v>قالب پخت کلاچ پژو 405</v>
          </cell>
          <cell r="C477" t="str">
            <v>قالب تعمیری</v>
          </cell>
          <cell r="P477" t="str">
            <v>mold</v>
          </cell>
          <cell r="AF477">
            <v>2</v>
          </cell>
          <cell r="AR477">
            <v>1500000</v>
          </cell>
        </row>
        <row r="478">
          <cell r="B478" t="str">
            <v xml:space="preserve">پخت کلاچ پراید سکو </v>
          </cell>
          <cell r="C478" t="str">
            <v>قالب تعمیری</v>
          </cell>
          <cell r="P478" t="str">
            <v>پین</v>
          </cell>
          <cell r="AF478">
            <v>4</v>
          </cell>
          <cell r="AR478">
            <v>3000000</v>
          </cell>
        </row>
        <row r="479">
          <cell r="B479" t="str">
            <v>قالب پخت کلاچ پژو 405</v>
          </cell>
          <cell r="C479" t="str">
            <v>قالب تعمیری</v>
          </cell>
          <cell r="P479" t="str">
            <v>Stop</v>
          </cell>
          <cell r="AF479">
            <v>2</v>
          </cell>
          <cell r="AR479">
            <v>1500000</v>
          </cell>
        </row>
        <row r="480">
          <cell r="B480" t="str">
            <v>قالب پخت کلاچ پژو 405</v>
          </cell>
          <cell r="C480" t="str">
            <v>قالب تعمیری</v>
          </cell>
          <cell r="P480" t="str">
            <v>mold</v>
          </cell>
          <cell r="AF480">
            <v>3</v>
          </cell>
          <cell r="AR480">
            <v>2250000</v>
          </cell>
        </row>
        <row r="481">
          <cell r="B481" t="str">
            <v>قالب قطاری</v>
          </cell>
          <cell r="C481" t="str">
            <v>قالب تعمیری</v>
          </cell>
          <cell r="P481" t="str">
            <v>mold</v>
          </cell>
          <cell r="AF481">
            <v>1</v>
          </cell>
          <cell r="AR481">
            <v>750000</v>
          </cell>
        </row>
        <row r="482">
          <cell r="B482" t="str">
            <v>پخت کلاچ ایویکو سوراخدار</v>
          </cell>
          <cell r="C482" t="str">
            <v>قالب تعمیری</v>
          </cell>
          <cell r="P482" t="str">
            <v>MOLd</v>
          </cell>
          <cell r="AF482">
            <v>2</v>
          </cell>
          <cell r="AR482">
            <v>1500000</v>
          </cell>
        </row>
        <row r="483">
          <cell r="B483" t="str">
            <v>دستگاه پشم فلز</v>
          </cell>
          <cell r="C483" t="str">
            <v>قطعه تعمیری</v>
          </cell>
          <cell r="P483" t="str">
            <v>Shaft</v>
          </cell>
          <cell r="AF483">
            <v>2</v>
          </cell>
          <cell r="AR483">
            <v>1500000</v>
          </cell>
        </row>
        <row r="484">
          <cell r="B484" t="str">
            <v>دستگاه پرس پخت</v>
          </cell>
          <cell r="C484" t="str">
            <v>قطعه تعمیری</v>
          </cell>
          <cell r="P484" t="str">
            <v>Shaft</v>
          </cell>
          <cell r="AF484">
            <v>2</v>
          </cell>
          <cell r="AR484">
            <v>1500000</v>
          </cell>
        </row>
        <row r="485">
          <cell r="B485" t="str">
            <v>سوپاپ کلاچ</v>
          </cell>
          <cell r="C485" t="str">
            <v>قطعه تعمیری</v>
          </cell>
          <cell r="P485" t="str">
            <v>سوپاپ</v>
          </cell>
          <cell r="AF485">
            <v>2</v>
          </cell>
          <cell r="AR485">
            <v>1500000</v>
          </cell>
        </row>
        <row r="486">
          <cell r="B486" t="str">
            <v>دستگاه پرس 600 تن</v>
          </cell>
          <cell r="C486" t="str">
            <v>قطعه نو</v>
          </cell>
          <cell r="P486" t="str">
            <v>تفلن</v>
          </cell>
          <cell r="AF486">
            <v>2</v>
          </cell>
          <cell r="AR486">
            <v>1500000</v>
          </cell>
        </row>
        <row r="487">
          <cell r="B487" t="str">
            <v>قالب پخت کلاچ پژو 405</v>
          </cell>
          <cell r="C487" t="str">
            <v>قالب تعمیری</v>
          </cell>
          <cell r="P487" t="str">
            <v>میل راهنما</v>
          </cell>
          <cell r="AF487">
            <v>1.5</v>
          </cell>
          <cell r="AR487">
            <v>1125000</v>
          </cell>
        </row>
        <row r="488">
          <cell r="B488" t="str">
            <v>برشی نیوفیس C&amp;C</v>
          </cell>
          <cell r="C488" t="str">
            <v>قالب نو</v>
          </cell>
          <cell r="P488" t="str">
            <v>صفحه</v>
          </cell>
          <cell r="AF488">
            <v>11</v>
          </cell>
          <cell r="AR488">
            <v>8250000</v>
          </cell>
        </row>
        <row r="489">
          <cell r="B489" t="str">
            <v>قالب پخت کلاچ پژو 405</v>
          </cell>
          <cell r="C489" t="str">
            <v>قالب تعمیری</v>
          </cell>
          <cell r="P489" t="str">
            <v>Mandrel</v>
          </cell>
          <cell r="AF489">
            <v>11</v>
          </cell>
          <cell r="AR489">
            <v>16500000</v>
          </cell>
        </row>
        <row r="490">
          <cell r="B490" t="str">
            <v>قالب پخت کلاچ پژو 405</v>
          </cell>
          <cell r="C490" t="str">
            <v>قالب تعمیری</v>
          </cell>
          <cell r="P490" t="str">
            <v>Mandrel</v>
          </cell>
          <cell r="AF490">
            <v>5.5</v>
          </cell>
          <cell r="AR490">
            <v>8250000</v>
          </cell>
        </row>
        <row r="491">
          <cell r="B491" t="str">
            <v>قالب پخت کلاچ پژو 405</v>
          </cell>
          <cell r="C491" t="str">
            <v>قالب تعمیری</v>
          </cell>
          <cell r="P491" t="str">
            <v>top Plate</v>
          </cell>
          <cell r="AF491">
            <v>7.5</v>
          </cell>
          <cell r="AR491">
            <v>11250000</v>
          </cell>
        </row>
        <row r="492">
          <cell r="B492" t="str">
            <v>قالب عقب F12</v>
          </cell>
          <cell r="C492" t="str">
            <v>قالب نو</v>
          </cell>
          <cell r="P492" t="str">
            <v>فریم</v>
          </cell>
          <cell r="AF492">
            <v>3.5</v>
          </cell>
          <cell r="AR492">
            <v>5250000</v>
          </cell>
        </row>
        <row r="493">
          <cell r="B493" t="str">
            <v>صفحات 50*50 پخت کلاچ</v>
          </cell>
          <cell r="C493" t="str">
            <v>قالب تعمیری</v>
          </cell>
          <cell r="P493" t="str">
            <v>top Plate</v>
          </cell>
          <cell r="AF493">
            <v>3.5</v>
          </cell>
          <cell r="AR493">
            <v>2625000</v>
          </cell>
        </row>
        <row r="494">
          <cell r="B494" t="str">
            <v>پخت کلاچ پراید</v>
          </cell>
          <cell r="C494" t="str">
            <v>قالب تعمیری</v>
          </cell>
          <cell r="P494" t="str">
            <v>top Plate</v>
          </cell>
          <cell r="AF494">
            <v>7.5</v>
          </cell>
          <cell r="AR494">
            <v>5625000</v>
          </cell>
        </row>
        <row r="495">
          <cell r="B495" t="str">
            <v>آسیاب پشم فلز</v>
          </cell>
          <cell r="C495" t="str">
            <v>قطعه تعمیری</v>
          </cell>
          <cell r="P495" t="str">
            <v>پوسته یاتاقان</v>
          </cell>
          <cell r="AF495">
            <v>1.5</v>
          </cell>
          <cell r="AR495">
            <v>1125000</v>
          </cell>
        </row>
        <row r="496">
          <cell r="B496" t="str">
            <v>صفحه قالب یدک
700*500*65</v>
          </cell>
          <cell r="C496" t="str">
            <v>قطعه نو</v>
          </cell>
          <cell r="P496" t="str">
            <v>صفحه</v>
          </cell>
          <cell r="AF496">
            <v>5</v>
          </cell>
          <cell r="AR496">
            <v>3750000</v>
          </cell>
        </row>
        <row r="497">
          <cell r="B497" t="str">
            <v>قالب پخت کلاچ پژو 405</v>
          </cell>
          <cell r="C497" t="str">
            <v>قالب تعمیری</v>
          </cell>
          <cell r="P497" t="str">
            <v>واشر</v>
          </cell>
          <cell r="AF497">
            <v>4.333333333333333</v>
          </cell>
          <cell r="AR497">
            <v>3250000</v>
          </cell>
        </row>
        <row r="498">
          <cell r="B498" t="str">
            <v>پخت کلاچ پراید</v>
          </cell>
          <cell r="C498" t="str">
            <v>قالب تعمیری</v>
          </cell>
          <cell r="P498" t="str">
            <v>stop</v>
          </cell>
          <cell r="AF498">
            <v>4.333333333333333</v>
          </cell>
          <cell r="AR498">
            <v>3250000</v>
          </cell>
        </row>
        <row r="499">
          <cell r="B499" t="str">
            <v>سری نقطه جوش</v>
          </cell>
          <cell r="C499" t="str">
            <v>قطعه تعمیری</v>
          </cell>
          <cell r="P499" t="str">
            <v>مسی</v>
          </cell>
          <cell r="AF499">
            <v>2</v>
          </cell>
          <cell r="AR499">
            <v>1500000</v>
          </cell>
        </row>
        <row r="500">
          <cell r="B500" t="str">
            <v>قالب پخت کلاچ پژو 405</v>
          </cell>
          <cell r="C500" t="str">
            <v>قالب تعمیری</v>
          </cell>
          <cell r="P500" t="str">
            <v>Stop</v>
          </cell>
          <cell r="AF500">
            <v>2</v>
          </cell>
          <cell r="AR500">
            <v>1500000</v>
          </cell>
        </row>
        <row r="501">
          <cell r="B501" t="str">
            <v>پخت کلاچ ایویکو سوراخدار</v>
          </cell>
          <cell r="C501" t="str">
            <v>قالب تعمیری</v>
          </cell>
          <cell r="P501" t="str">
            <v>MOLd</v>
          </cell>
          <cell r="AF501">
            <v>3</v>
          </cell>
          <cell r="AR501">
            <v>2250000</v>
          </cell>
        </row>
        <row r="502">
          <cell r="B502" t="str">
            <v>قالب قطاری</v>
          </cell>
          <cell r="C502" t="str">
            <v>قالب تعمیری</v>
          </cell>
          <cell r="P502" t="str">
            <v>mold</v>
          </cell>
          <cell r="AF502">
            <v>5</v>
          </cell>
          <cell r="AR502">
            <v>3750000</v>
          </cell>
        </row>
        <row r="503">
          <cell r="B503" t="str">
            <v>قالب پخت کلاچ پژو 405</v>
          </cell>
          <cell r="C503" t="str">
            <v>قالب تعمیری</v>
          </cell>
          <cell r="P503" t="str">
            <v>Stop</v>
          </cell>
          <cell r="AF503">
            <v>3</v>
          </cell>
          <cell r="AR503">
            <v>2250000</v>
          </cell>
        </row>
        <row r="504">
          <cell r="B504" t="str">
            <v>پخت کلاچ ایویکو سوراخدار</v>
          </cell>
          <cell r="C504" t="str">
            <v>قالب تعمیری</v>
          </cell>
          <cell r="P504" t="str">
            <v>MOLd</v>
          </cell>
          <cell r="AF504">
            <v>2</v>
          </cell>
          <cell r="AR504">
            <v>1500000</v>
          </cell>
        </row>
        <row r="505">
          <cell r="B505" t="str">
            <v>قالب قطاری</v>
          </cell>
          <cell r="C505" t="str">
            <v>قالب تعمیری</v>
          </cell>
          <cell r="P505" t="str">
            <v>mold</v>
          </cell>
          <cell r="AF505">
            <v>4</v>
          </cell>
          <cell r="AR505">
            <v>3000000</v>
          </cell>
        </row>
        <row r="506">
          <cell r="B506" t="str">
            <v>قالب قطاری</v>
          </cell>
          <cell r="C506" t="str">
            <v>قالب تعمیری</v>
          </cell>
          <cell r="P506" t="str">
            <v>بدنه</v>
          </cell>
          <cell r="AF506">
            <v>2</v>
          </cell>
          <cell r="AR506">
            <v>1500000</v>
          </cell>
        </row>
        <row r="507">
          <cell r="B507" t="str">
            <v>قطعه کار سلمانی</v>
          </cell>
          <cell r="C507" t="str">
            <v>قطعه تعمیری</v>
          </cell>
          <cell r="P507" t="str">
            <v>قطعه</v>
          </cell>
          <cell r="AF507">
            <v>12</v>
          </cell>
          <cell r="AR507">
            <v>9000000</v>
          </cell>
        </row>
        <row r="508">
          <cell r="B508" t="str">
            <v>دستگاه پشم فلز</v>
          </cell>
          <cell r="C508" t="str">
            <v>قطعه تعمیری</v>
          </cell>
          <cell r="P508" t="str">
            <v>رنده</v>
          </cell>
          <cell r="AF508">
            <v>4</v>
          </cell>
          <cell r="AR508">
            <v>3000000</v>
          </cell>
        </row>
        <row r="509">
          <cell r="B509" t="str">
            <v>ویوینگ</v>
          </cell>
          <cell r="C509" t="str">
            <v>قطعه نو</v>
          </cell>
          <cell r="P509" t="str">
            <v>بوش راهنما</v>
          </cell>
          <cell r="AF509">
            <v>2</v>
          </cell>
          <cell r="AR509">
            <v>1500000</v>
          </cell>
        </row>
        <row r="510">
          <cell r="B510" t="str">
            <v>دستگاه پرس پخت</v>
          </cell>
          <cell r="C510" t="str">
            <v>قطعه نو</v>
          </cell>
          <cell r="P510" t="str">
            <v>مهره</v>
          </cell>
          <cell r="AF510">
            <v>2</v>
          </cell>
          <cell r="AR510">
            <v>1500000</v>
          </cell>
        </row>
        <row r="511">
          <cell r="B511" t="str">
            <v>پخت کلاچ ایویکو سوراخدار</v>
          </cell>
          <cell r="C511" t="str">
            <v>قالب تعمیری</v>
          </cell>
          <cell r="P511" t="str">
            <v>میل راهنما</v>
          </cell>
          <cell r="AF511">
            <v>3</v>
          </cell>
          <cell r="AR511">
            <v>2250000</v>
          </cell>
        </row>
        <row r="512">
          <cell r="B512" t="str">
            <v>دستگاه پرس پخت</v>
          </cell>
          <cell r="C512" t="str">
            <v>قطعه تعمیری</v>
          </cell>
          <cell r="P512" t="str">
            <v>Shaft</v>
          </cell>
          <cell r="AF512">
            <v>2</v>
          </cell>
          <cell r="AR512">
            <v>1500000</v>
          </cell>
        </row>
        <row r="513">
          <cell r="B513" t="str">
            <v>دستگاه پشم فلز</v>
          </cell>
          <cell r="C513" t="str">
            <v>قطعه تعمیری</v>
          </cell>
          <cell r="P513" t="str">
            <v>رنده</v>
          </cell>
          <cell r="AF513">
            <v>4</v>
          </cell>
          <cell r="AR513">
            <v>3000000</v>
          </cell>
        </row>
        <row r="514">
          <cell r="B514" t="str">
            <v xml:space="preserve">قالب پخت کلاچ پیکان </v>
          </cell>
          <cell r="C514" t="str">
            <v>قالب تعمیری</v>
          </cell>
          <cell r="P514" t="str">
            <v>stop</v>
          </cell>
          <cell r="AF514">
            <v>3</v>
          </cell>
          <cell r="AR514">
            <v>2250000</v>
          </cell>
        </row>
        <row r="515">
          <cell r="B515" t="str">
            <v>قالب پخت کلاچ پیکان</v>
          </cell>
          <cell r="C515" t="str">
            <v>قالب تعمیری</v>
          </cell>
          <cell r="P515" t="str">
            <v>MOLd</v>
          </cell>
          <cell r="AF515">
            <v>2</v>
          </cell>
          <cell r="AR515">
            <v>1500000</v>
          </cell>
        </row>
        <row r="516">
          <cell r="B516" t="str">
            <v>پخت کلاچ پراید</v>
          </cell>
          <cell r="C516" t="str">
            <v>قالب تعمیری</v>
          </cell>
          <cell r="P516" t="str">
            <v>top Plate</v>
          </cell>
          <cell r="AF516">
            <v>2</v>
          </cell>
          <cell r="AR516">
            <v>1500000</v>
          </cell>
        </row>
        <row r="517">
          <cell r="B517" t="str">
            <v>قالب پخت کلاچ پژو 405</v>
          </cell>
          <cell r="C517" t="str">
            <v>قالب تعمیری</v>
          </cell>
          <cell r="P517" t="str">
            <v>Mandrel</v>
          </cell>
          <cell r="AF517">
            <v>11</v>
          </cell>
          <cell r="AR517">
            <v>16500000</v>
          </cell>
        </row>
        <row r="518">
          <cell r="B518" t="str">
            <v>صفحه قالب یدک
700*500*65</v>
          </cell>
          <cell r="C518" t="str">
            <v>قطعه نو</v>
          </cell>
          <cell r="P518" t="str">
            <v>صفحه</v>
          </cell>
          <cell r="AF518">
            <v>6.5</v>
          </cell>
          <cell r="AR518">
            <v>4875000</v>
          </cell>
        </row>
        <row r="519">
          <cell r="B519" t="str">
            <v>قالب پخت کلاچ پژو 405</v>
          </cell>
          <cell r="C519" t="str">
            <v>قالب تعمیری</v>
          </cell>
          <cell r="P519" t="str">
            <v>Mandrel</v>
          </cell>
          <cell r="AF519">
            <v>11</v>
          </cell>
          <cell r="AR519">
            <v>16500000</v>
          </cell>
        </row>
        <row r="520">
          <cell r="B520" t="str">
            <v>قالب پخت کلاچ پژو 405</v>
          </cell>
          <cell r="C520" t="str">
            <v>قالب تعمیری</v>
          </cell>
          <cell r="P520" t="str">
            <v>top Plate</v>
          </cell>
          <cell r="AF520">
            <v>7</v>
          </cell>
          <cell r="AR520">
            <v>5250000</v>
          </cell>
        </row>
        <row r="521">
          <cell r="B521" t="str">
            <v>قالب پخت کلاچ پژو 405</v>
          </cell>
          <cell r="C521" t="str">
            <v>قالب تعمیری</v>
          </cell>
          <cell r="P521" t="str">
            <v>mold</v>
          </cell>
          <cell r="AF521">
            <v>4</v>
          </cell>
          <cell r="AR521">
            <v>3000000</v>
          </cell>
        </row>
        <row r="522">
          <cell r="B522" t="str">
            <v>پخت کلاچ پراید</v>
          </cell>
          <cell r="C522" t="str">
            <v>قالب تعمیری</v>
          </cell>
          <cell r="P522" t="str">
            <v>top Plate</v>
          </cell>
          <cell r="AF522">
            <v>11</v>
          </cell>
          <cell r="AR522">
            <v>8250000</v>
          </cell>
        </row>
        <row r="523">
          <cell r="B523" t="str">
            <v xml:space="preserve">قالب پخت کلاچ پیکان </v>
          </cell>
          <cell r="C523" t="str">
            <v>قالب تعمیری</v>
          </cell>
          <cell r="P523" t="str">
            <v>Stop</v>
          </cell>
          <cell r="AF523">
            <v>1</v>
          </cell>
          <cell r="AR523">
            <v>750000</v>
          </cell>
        </row>
        <row r="524">
          <cell r="B524" t="str">
            <v>برشی نیوفیس C&amp;C</v>
          </cell>
          <cell r="C524" t="str">
            <v>قالب نو</v>
          </cell>
          <cell r="P524" t="str">
            <v>صفحه</v>
          </cell>
          <cell r="AF524">
            <v>5.5</v>
          </cell>
          <cell r="AR524">
            <v>4125000</v>
          </cell>
        </row>
        <row r="525">
          <cell r="B525" t="str">
            <v>ابزار زنی</v>
          </cell>
          <cell r="C525" t="str">
            <v>قطعه تعمیری</v>
          </cell>
          <cell r="P525" t="str">
            <v>صفحه</v>
          </cell>
          <cell r="AF525">
            <v>5.5</v>
          </cell>
          <cell r="AR525">
            <v>4125000</v>
          </cell>
        </row>
        <row r="526">
          <cell r="B526" t="str">
            <v>قالب عقب F12</v>
          </cell>
          <cell r="C526" t="str">
            <v>قالب نو</v>
          </cell>
          <cell r="P526" t="str">
            <v>فریم</v>
          </cell>
          <cell r="AF526">
            <v>6.5</v>
          </cell>
          <cell r="AR526">
            <v>9750000</v>
          </cell>
        </row>
        <row r="527">
          <cell r="B527" t="str">
            <v>قالب پخت کلاچ پژو 405</v>
          </cell>
          <cell r="C527" t="str">
            <v>قالب تعمیری</v>
          </cell>
          <cell r="P527" t="str">
            <v>bottom plate</v>
          </cell>
          <cell r="AF527">
            <v>4.5</v>
          </cell>
          <cell r="AR527">
            <v>6750000</v>
          </cell>
        </row>
        <row r="528">
          <cell r="B528" t="str">
            <v>برشی نیوفیس C&amp;C</v>
          </cell>
          <cell r="C528" t="str">
            <v>قالب نو</v>
          </cell>
          <cell r="P528" t="str">
            <v>bottom plate</v>
          </cell>
          <cell r="AF528">
            <v>9</v>
          </cell>
          <cell r="AR528">
            <v>6750000</v>
          </cell>
        </row>
        <row r="529">
          <cell r="B529" t="str">
            <v>قالب عقب F12</v>
          </cell>
          <cell r="C529" t="str">
            <v>قالب نو</v>
          </cell>
          <cell r="P529" t="str">
            <v>Matrix</v>
          </cell>
          <cell r="AF529">
            <v>1</v>
          </cell>
          <cell r="AR529">
            <v>750000</v>
          </cell>
        </row>
        <row r="530">
          <cell r="B530" t="str">
            <v>قالب قطاری</v>
          </cell>
          <cell r="C530" t="str">
            <v>قالب تعمیری</v>
          </cell>
          <cell r="P530" t="str">
            <v>میل راهنما</v>
          </cell>
          <cell r="AF530">
            <v>4.5</v>
          </cell>
          <cell r="AR530">
            <v>3375000</v>
          </cell>
        </row>
        <row r="531">
          <cell r="B531" t="str">
            <v>سری نقطه جوش</v>
          </cell>
          <cell r="C531" t="str">
            <v>قطعه تعمیری</v>
          </cell>
          <cell r="P531" t="str">
            <v>مسی</v>
          </cell>
          <cell r="AF531">
            <v>2</v>
          </cell>
          <cell r="AR531">
            <v>1500000</v>
          </cell>
        </row>
        <row r="532">
          <cell r="B532" t="str">
            <v>ویوینگ</v>
          </cell>
          <cell r="C532" t="str">
            <v>قطعه نو</v>
          </cell>
          <cell r="P532" t="str">
            <v>Bush</v>
          </cell>
          <cell r="AF532">
            <v>4.5</v>
          </cell>
          <cell r="AR532">
            <v>3375000</v>
          </cell>
        </row>
        <row r="533">
          <cell r="B533" t="str">
            <v>دستگاه پرس پخت</v>
          </cell>
          <cell r="C533" t="str">
            <v>قطعه تعمیری</v>
          </cell>
          <cell r="P533" t="str">
            <v>سرجک</v>
          </cell>
          <cell r="AF533">
            <v>4</v>
          </cell>
          <cell r="AR533">
            <v>3000000</v>
          </cell>
        </row>
        <row r="534">
          <cell r="B534" t="str">
            <v>ویوینگ</v>
          </cell>
          <cell r="C534" t="str">
            <v>قطعه نو</v>
          </cell>
          <cell r="P534" t="str">
            <v>Bush</v>
          </cell>
          <cell r="AF534">
            <v>3</v>
          </cell>
          <cell r="AR534">
            <v>2250000</v>
          </cell>
        </row>
        <row r="535">
          <cell r="B535" t="str">
            <v>ویوینگ</v>
          </cell>
          <cell r="C535" t="str">
            <v>قطعه نو</v>
          </cell>
          <cell r="P535" t="str">
            <v>PIN</v>
          </cell>
          <cell r="AF535">
            <v>2</v>
          </cell>
          <cell r="AR535">
            <v>1500000</v>
          </cell>
        </row>
        <row r="536">
          <cell r="B536" t="str">
            <v>اهرم زنی</v>
          </cell>
          <cell r="C536" t="str">
            <v>قطعه تعمیری</v>
          </cell>
          <cell r="P536" t="str">
            <v>پیستون تفلنی</v>
          </cell>
          <cell r="AF536">
            <v>2</v>
          </cell>
          <cell r="AR536">
            <v>1500000</v>
          </cell>
        </row>
        <row r="537">
          <cell r="B537" t="str">
            <v xml:space="preserve">قالب پخت کلاچ پیکان </v>
          </cell>
          <cell r="C537" t="str">
            <v>قالب تعمیری</v>
          </cell>
          <cell r="P537" t="str">
            <v>mold</v>
          </cell>
          <cell r="AF537">
            <v>5</v>
          </cell>
          <cell r="AR537">
            <v>3750000</v>
          </cell>
        </row>
        <row r="538">
          <cell r="B538" t="str">
            <v>پخت کلاچ ده تن</v>
          </cell>
          <cell r="C538" t="str">
            <v>قالب تعمیری</v>
          </cell>
          <cell r="P538" t="str">
            <v>mold</v>
          </cell>
          <cell r="AF538">
            <v>6</v>
          </cell>
          <cell r="AR538">
            <v>4500000</v>
          </cell>
        </row>
        <row r="539">
          <cell r="B539" t="str">
            <v>قالب قطاری</v>
          </cell>
          <cell r="C539" t="str">
            <v>قالب تعمیری</v>
          </cell>
          <cell r="P539" t="str">
            <v>mold</v>
          </cell>
          <cell r="AF539">
            <v>2.5</v>
          </cell>
          <cell r="AR539">
            <v>1875000</v>
          </cell>
        </row>
        <row r="540">
          <cell r="B540" t="str">
            <v>قالب قطاری</v>
          </cell>
          <cell r="C540" t="str">
            <v>قالب تعمیری</v>
          </cell>
          <cell r="P540" t="str">
            <v>mold</v>
          </cell>
          <cell r="AF540">
            <v>1.5</v>
          </cell>
          <cell r="AR540">
            <v>1125000</v>
          </cell>
        </row>
        <row r="541">
          <cell r="B541" t="str">
            <v>قالب پخت کلاچ پژو 405</v>
          </cell>
          <cell r="C541" t="str">
            <v>قالب تعمیری</v>
          </cell>
          <cell r="P541" t="str">
            <v>mold</v>
          </cell>
          <cell r="AF541">
            <v>4</v>
          </cell>
          <cell r="AR541">
            <v>3000000</v>
          </cell>
        </row>
        <row r="542">
          <cell r="B542" t="str">
            <v>ویوینگ</v>
          </cell>
          <cell r="C542" t="str">
            <v>قطعه نو</v>
          </cell>
          <cell r="P542" t="str">
            <v>mini Shaft</v>
          </cell>
          <cell r="AF542">
            <v>1</v>
          </cell>
          <cell r="AR542">
            <v>750000</v>
          </cell>
        </row>
        <row r="543">
          <cell r="B543" t="str">
            <v>ویوینگ</v>
          </cell>
          <cell r="C543" t="str">
            <v>قطعه نو</v>
          </cell>
          <cell r="P543" t="str">
            <v>Big Shaft</v>
          </cell>
          <cell r="AF543">
            <v>1.5</v>
          </cell>
          <cell r="AR543">
            <v>1125000</v>
          </cell>
        </row>
        <row r="544">
          <cell r="B544" t="str">
            <v xml:space="preserve">قالب پخت کلاچ پیکان </v>
          </cell>
          <cell r="C544" t="str">
            <v>قالب تعمیری</v>
          </cell>
          <cell r="P544" t="str">
            <v>Mandrel</v>
          </cell>
          <cell r="AF544">
            <v>8</v>
          </cell>
          <cell r="AR544">
            <v>12000000</v>
          </cell>
        </row>
        <row r="545">
          <cell r="B545" t="str">
            <v xml:space="preserve">قالب پخت کلاچ پیکان </v>
          </cell>
          <cell r="C545" t="str">
            <v>قالب تعمیری</v>
          </cell>
          <cell r="P545" t="str">
            <v>Mandrel</v>
          </cell>
          <cell r="AF545">
            <v>3</v>
          </cell>
          <cell r="AR545">
            <v>4500000</v>
          </cell>
        </row>
        <row r="546">
          <cell r="B546" t="str">
            <v>دستگاه ساب سمباده ای</v>
          </cell>
          <cell r="C546" t="str">
            <v>قطعه تعمیری</v>
          </cell>
          <cell r="P546" t="str">
            <v>میز</v>
          </cell>
          <cell r="AF546">
            <v>11</v>
          </cell>
          <cell r="AR546">
            <v>8250000</v>
          </cell>
        </row>
        <row r="547">
          <cell r="B547" t="str">
            <v>قالب پخت کلاچ پژو 405</v>
          </cell>
          <cell r="C547" t="str">
            <v>قالب تعمیری</v>
          </cell>
          <cell r="P547" t="str">
            <v>Mandrel</v>
          </cell>
          <cell r="AF547">
            <v>9</v>
          </cell>
          <cell r="AR547">
            <v>13500000</v>
          </cell>
        </row>
        <row r="548">
          <cell r="B548" t="str">
            <v xml:space="preserve">قالب پخت کلاچ پیکان </v>
          </cell>
          <cell r="C548" t="str">
            <v>قالب تعمیری</v>
          </cell>
          <cell r="P548" t="str">
            <v>Mandrel</v>
          </cell>
          <cell r="AF548">
            <v>2</v>
          </cell>
          <cell r="AR548">
            <v>3000000</v>
          </cell>
        </row>
        <row r="549">
          <cell r="B549" t="str">
            <v>ابزار زنی</v>
          </cell>
          <cell r="C549" t="str">
            <v>قطعه تعمیری</v>
          </cell>
          <cell r="P549" t="str">
            <v>صفحه
81.5*200*15</v>
          </cell>
          <cell r="AF549">
            <v>5.5</v>
          </cell>
          <cell r="AR549">
            <v>4125000</v>
          </cell>
        </row>
        <row r="550">
          <cell r="B550" t="str">
            <v>لودر دیسکی  XGL 50</v>
          </cell>
          <cell r="C550" t="str">
            <v>قالب نو</v>
          </cell>
          <cell r="P550" t="str">
            <v>صفحه
260*10*15</v>
          </cell>
          <cell r="AF550">
            <v>5.5</v>
          </cell>
          <cell r="AR550">
            <v>4125000</v>
          </cell>
        </row>
        <row r="551">
          <cell r="B551" t="str">
            <v>صفحه قالب یدک
700*500*65</v>
          </cell>
          <cell r="C551" t="str">
            <v>قطعه نو</v>
          </cell>
          <cell r="P551" t="str">
            <v>صفحه</v>
          </cell>
          <cell r="AF551">
            <v>4.166666666666667</v>
          </cell>
          <cell r="AR551">
            <v>3125000</v>
          </cell>
        </row>
        <row r="552">
          <cell r="B552" t="str">
            <v>برشی نیوفیس C&amp;C</v>
          </cell>
          <cell r="C552" t="str">
            <v>قالب نو</v>
          </cell>
          <cell r="P552" t="str">
            <v>صفحه</v>
          </cell>
          <cell r="AF552">
            <v>2.3333333333333335</v>
          </cell>
          <cell r="AR552">
            <v>1750000</v>
          </cell>
        </row>
        <row r="553">
          <cell r="B553" t="str">
            <v>قالب پخت کلاچ پژو 405</v>
          </cell>
          <cell r="C553" t="str">
            <v>قالب تعمیری</v>
          </cell>
          <cell r="P553" t="str">
            <v>bottom plate</v>
          </cell>
          <cell r="AF553">
            <v>7.5</v>
          </cell>
          <cell r="AR553">
            <v>11250000</v>
          </cell>
        </row>
        <row r="554">
          <cell r="B554" t="str">
            <v>قالب پخت کلاچ پژو 405</v>
          </cell>
          <cell r="C554" t="str">
            <v>قالب تعمیری</v>
          </cell>
          <cell r="P554" t="str">
            <v>Mandrel</v>
          </cell>
          <cell r="AF554">
            <v>3</v>
          </cell>
          <cell r="AR554">
            <v>2250000</v>
          </cell>
        </row>
        <row r="555">
          <cell r="B555" t="str">
            <v>برش دستی</v>
          </cell>
          <cell r="C555" t="str">
            <v>قطعه تعمیری</v>
          </cell>
          <cell r="P555" t="str">
            <v>تیغه</v>
          </cell>
          <cell r="AF555">
            <v>3</v>
          </cell>
          <cell r="AR555">
            <v>2250000</v>
          </cell>
        </row>
        <row r="556">
          <cell r="B556" t="str">
            <v>قالب قطاری</v>
          </cell>
          <cell r="C556" t="str">
            <v>قالب تعمیری</v>
          </cell>
          <cell r="P556" t="str">
            <v>میل راهنما</v>
          </cell>
          <cell r="AF556">
            <v>3</v>
          </cell>
          <cell r="AR556">
            <v>2250000</v>
          </cell>
        </row>
        <row r="557">
          <cell r="B557" t="str">
            <v>سری نقطه جوش</v>
          </cell>
          <cell r="C557" t="str">
            <v>قطعه تعمیری</v>
          </cell>
          <cell r="P557" t="str">
            <v>مسی</v>
          </cell>
          <cell r="AF557">
            <v>1.5</v>
          </cell>
          <cell r="AR557">
            <v>1125000</v>
          </cell>
        </row>
        <row r="558">
          <cell r="B558" t="str">
            <v>قالب پخت کلاچ پژو 405</v>
          </cell>
          <cell r="C558" t="str">
            <v>قالب تعمیری</v>
          </cell>
          <cell r="P558" t="str">
            <v>پیچ</v>
          </cell>
          <cell r="AF558">
            <v>1.5</v>
          </cell>
          <cell r="AR558">
            <v>1125000</v>
          </cell>
        </row>
        <row r="559">
          <cell r="B559" t="str">
            <v>قالب پخت کلاچ پژو 405</v>
          </cell>
          <cell r="C559" t="str">
            <v>قالب تعمیری</v>
          </cell>
          <cell r="P559" t="str">
            <v>پین</v>
          </cell>
          <cell r="AF559">
            <v>3</v>
          </cell>
          <cell r="AR559">
            <v>2250000</v>
          </cell>
        </row>
        <row r="560">
          <cell r="B560" t="str">
            <v>قالب پخت کلاچ پژو 405</v>
          </cell>
          <cell r="C560" t="str">
            <v>قالب تعمیری</v>
          </cell>
          <cell r="P560" t="str">
            <v>پین واسطه</v>
          </cell>
          <cell r="AF560">
            <v>2</v>
          </cell>
          <cell r="AR560">
            <v>1500000</v>
          </cell>
        </row>
        <row r="561">
          <cell r="B561" t="str">
            <v>ویوینگ</v>
          </cell>
          <cell r="C561" t="str">
            <v>قطعه تعمیری</v>
          </cell>
          <cell r="P561" t="str">
            <v>Bush</v>
          </cell>
          <cell r="AF561">
            <v>2</v>
          </cell>
          <cell r="AR561">
            <v>1500000</v>
          </cell>
        </row>
        <row r="562">
          <cell r="B562" t="str">
            <v>دستگاه پشم فلز</v>
          </cell>
          <cell r="C562" t="str">
            <v>قطعه تعمیری</v>
          </cell>
          <cell r="P562" t="str">
            <v>واسطه</v>
          </cell>
          <cell r="AF562">
            <v>1</v>
          </cell>
          <cell r="AR562">
            <v>750000</v>
          </cell>
        </row>
        <row r="563">
          <cell r="B563" t="str">
            <v>پخت کلاچ ده تن</v>
          </cell>
          <cell r="C563" t="str">
            <v>قالب تعمیری</v>
          </cell>
          <cell r="P563" t="str">
            <v>mold</v>
          </cell>
          <cell r="AF563">
            <v>2</v>
          </cell>
          <cell r="AR563">
            <v>1500000</v>
          </cell>
        </row>
        <row r="564">
          <cell r="B564" t="str">
            <v>قالب پخت کلاچ پژو 405</v>
          </cell>
          <cell r="C564" t="str">
            <v>قالب تعمیری</v>
          </cell>
          <cell r="P564" t="str">
            <v>mold</v>
          </cell>
          <cell r="AF564">
            <v>3</v>
          </cell>
          <cell r="AR564">
            <v>2250000</v>
          </cell>
        </row>
        <row r="565">
          <cell r="B565" t="str">
            <v>قالب عقب F12</v>
          </cell>
          <cell r="C565" t="str">
            <v>قالب نو</v>
          </cell>
          <cell r="P565" t="str">
            <v>صفحه</v>
          </cell>
          <cell r="AF565">
            <v>2</v>
          </cell>
          <cell r="AR565">
            <v>1500000</v>
          </cell>
        </row>
        <row r="566">
          <cell r="B566" t="str">
            <v>قالب عقب F12</v>
          </cell>
          <cell r="C566" t="str">
            <v>قالب نو</v>
          </cell>
          <cell r="P566" t="str">
            <v>صفحه</v>
          </cell>
          <cell r="AF566">
            <v>3</v>
          </cell>
          <cell r="AR566">
            <v>2250000</v>
          </cell>
        </row>
        <row r="567">
          <cell r="B567" t="str">
            <v>قالب مینی بوس آریا</v>
          </cell>
          <cell r="C567" t="str">
            <v>قالب نو</v>
          </cell>
          <cell r="P567" t="str">
            <v>صفحه</v>
          </cell>
          <cell r="AF567">
            <v>1</v>
          </cell>
          <cell r="AR567">
            <v>750000</v>
          </cell>
        </row>
        <row r="568">
          <cell r="B568" t="str">
            <v>قالب مینی بوس آریا</v>
          </cell>
          <cell r="C568" t="str">
            <v>قالب نو</v>
          </cell>
          <cell r="P568" t="str">
            <v>Matrix</v>
          </cell>
          <cell r="AF568">
            <v>11</v>
          </cell>
          <cell r="AR568">
            <v>8250000</v>
          </cell>
        </row>
        <row r="569">
          <cell r="B569" t="str">
            <v>قالب پخت کلاچ پژو 405</v>
          </cell>
          <cell r="C569" t="str">
            <v>قالب تعمیری</v>
          </cell>
          <cell r="P569" t="str">
            <v>Stop</v>
          </cell>
          <cell r="AF569">
            <v>1</v>
          </cell>
          <cell r="AR569">
            <v>750000</v>
          </cell>
        </row>
        <row r="570">
          <cell r="B570" t="str">
            <v>قالب پخت کلاچ پژو 405</v>
          </cell>
          <cell r="C570" t="str">
            <v>قالب تعمیری</v>
          </cell>
          <cell r="P570" t="str">
            <v>Mandrel</v>
          </cell>
          <cell r="AF570">
            <v>2</v>
          </cell>
          <cell r="AR570">
            <v>1500000</v>
          </cell>
        </row>
        <row r="571">
          <cell r="B571" t="str">
            <v>قالب توری پگاسوز</v>
          </cell>
          <cell r="C571" t="str">
            <v>قالب تعمیری</v>
          </cell>
          <cell r="P571" t="str">
            <v>Matrix</v>
          </cell>
          <cell r="AF571">
            <v>2</v>
          </cell>
          <cell r="AR571">
            <v>1500000</v>
          </cell>
        </row>
        <row r="572">
          <cell r="B572" t="str">
            <v>قالب قطاری</v>
          </cell>
          <cell r="C572" t="str">
            <v>قالب تعمیری</v>
          </cell>
          <cell r="P572" t="str">
            <v>bottom plate</v>
          </cell>
          <cell r="AF572">
            <v>3</v>
          </cell>
          <cell r="AR572">
            <v>2250000</v>
          </cell>
        </row>
        <row r="573">
          <cell r="B573" t="str">
            <v>قالب قطاری</v>
          </cell>
          <cell r="C573" t="str">
            <v>قالب تعمیری</v>
          </cell>
          <cell r="P573" t="str">
            <v>bottom plate</v>
          </cell>
          <cell r="AF573">
            <v>1</v>
          </cell>
          <cell r="AR573">
            <v>750000</v>
          </cell>
        </row>
        <row r="574">
          <cell r="B574" t="str">
            <v>قالب پخت کلاچ پژو 405</v>
          </cell>
          <cell r="C574" t="str">
            <v>قالب تعمیری</v>
          </cell>
          <cell r="P574" t="str">
            <v>Mold</v>
          </cell>
          <cell r="AF574">
            <v>1</v>
          </cell>
          <cell r="AR574">
            <v>750000</v>
          </cell>
        </row>
        <row r="575">
          <cell r="B575" t="str">
            <v xml:space="preserve">قالب پخت کلاچ پیکان </v>
          </cell>
          <cell r="C575" t="str">
            <v>قالب تعمیری</v>
          </cell>
          <cell r="P575" t="str">
            <v>top Plate</v>
          </cell>
          <cell r="AF575">
            <v>2</v>
          </cell>
          <cell r="AR575">
            <v>1500000</v>
          </cell>
        </row>
        <row r="576">
          <cell r="B576" t="str">
            <v xml:space="preserve">قالب پخت کلاچ پیکان </v>
          </cell>
          <cell r="C576" t="str">
            <v>قالب تعمیری</v>
          </cell>
          <cell r="P576" t="str">
            <v>Mold</v>
          </cell>
          <cell r="AF576">
            <v>1</v>
          </cell>
          <cell r="AR576">
            <v>750000</v>
          </cell>
        </row>
        <row r="577">
          <cell r="B577" t="str">
            <v>برشی نیوفیس C&amp;C</v>
          </cell>
          <cell r="C577" t="str">
            <v>قالب نو</v>
          </cell>
          <cell r="P577" t="str">
            <v>صفحه</v>
          </cell>
          <cell r="AF577">
            <v>6.5</v>
          </cell>
          <cell r="AR577">
            <v>4875000</v>
          </cell>
        </row>
        <row r="578">
          <cell r="B578" t="str">
            <v xml:space="preserve">قالب پخت کلاچ پیکان </v>
          </cell>
          <cell r="C578" t="str">
            <v>قالب تعمیری</v>
          </cell>
          <cell r="P578" t="str">
            <v>Mandrel</v>
          </cell>
          <cell r="AF578">
            <v>11</v>
          </cell>
          <cell r="AR578">
            <v>16500000</v>
          </cell>
        </row>
        <row r="579">
          <cell r="B579" t="str">
            <v>برشی نیوفیس C&amp;C</v>
          </cell>
          <cell r="C579" t="str">
            <v>قالب نو</v>
          </cell>
          <cell r="P579" t="str">
            <v>top Plate</v>
          </cell>
          <cell r="AF579">
            <v>11</v>
          </cell>
          <cell r="AR579">
            <v>8250000</v>
          </cell>
        </row>
        <row r="580">
          <cell r="B580" t="str">
            <v xml:space="preserve">قالب پخت کلاچ پیکان </v>
          </cell>
          <cell r="C580" t="str">
            <v>قالب تعمیری</v>
          </cell>
          <cell r="P580" t="str">
            <v>Mandrel</v>
          </cell>
          <cell r="AF580">
            <v>11</v>
          </cell>
          <cell r="AR580">
            <v>16500000</v>
          </cell>
        </row>
        <row r="581">
          <cell r="B581" t="str">
            <v>قالب پخت کلاچ پژو 405</v>
          </cell>
          <cell r="C581" t="str">
            <v>قالب تعمیری</v>
          </cell>
          <cell r="P581" t="str">
            <v>Mold</v>
          </cell>
          <cell r="AF581">
            <v>7.5</v>
          </cell>
          <cell r="AR581">
            <v>5625000</v>
          </cell>
        </row>
        <row r="582">
          <cell r="B582" t="str">
            <v>پخت کلاچ پراید</v>
          </cell>
          <cell r="C582" t="str">
            <v>قالب تعمیری</v>
          </cell>
          <cell r="P582" t="str">
            <v>MOLd</v>
          </cell>
          <cell r="AF582">
            <v>3</v>
          </cell>
          <cell r="AR582">
            <v>2250000</v>
          </cell>
        </row>
        <row r="583">
          <cell r="B583" t="str">
            <v>قالب مینی بوس آریا</v>
          </cell>
          <cell r="C583" t="str">
            <v>قالب نو</v>
          </cell>
          <cell r="P583" t="str">
            <v>Matrix</v>
          </cell>
          <cell r="AF583">
            <v>11</v>
          </cell>
          <cell r="AR583">
            <v>8250000</v>
          </cell>
        </row>
        <row r="584">
          <cell r="B584" t="str">
            <v>برشی نیوفیس C&amp;C</v>
          </cell>
          <cell r="C584" t="str">
            <v>قالب نو</v>
          </cell>
          <cell r="P584" t="str">
            <v>صفحه</v>
          </cell>
          <cell r="AF584">
            <v>6</v>
          </cell>
          <cell r="AR584">
            <v>4500000</v>
          </cell>
        </row>
        <row r="585">
          <cell r="B585" t="str">
            <v>اصول 5S
کلاس ایمنی و بهداشت</v>
          </cell>
          <cell r="C585" t="str">
            <v>نظافت</v>
          </cell>
          <cell r="P585" t="str">
            <v>HSE</v>
          </cell>
          <cell r="AF585">
            <v>1.5</v>
          </cell>
          <cell r="AR585">
            <v>1125000</v>
          </cell>
        </row>
        <row r="586">
          <cell r="B586" t="str">
            <v>ویوینگ</v>
          </cell>
          <cell r="C586" t="str">
            <v>قطعه تعمیری</v>
          </cell>
          <cell r="P586" t="str">
            <v>نافی</v>
          </cell>
          <cell r="AF586">
            <v>9.5</v>
          </cell>
          <cell r="AR586">
            <v>7125000</v>
          </cell>
        </row>
        <row r="587">
          <cell r="B587" t="str">
            <v xml:space="preserve">قالب پخت کلاچ پیکان </v>
          </cell>
          <cell r="C587" t="str">
            <v>قالب تعمیری</v>
          </cell>
          <cell r="P587" t="str">
            <v>top Plate</v>
          </cell>
          <cell r="AF587">
            <v>5</v>
          </cell>
          <cell r="AR587">
            <v>3750000</v>
          </cell>
        </row>
        <row r="588">
          <cell r="B588" t="str">
            <v xml:space="preserve">قالب پخت کلاچ پیکان </v>
          </cell>
          <cell r="C588" t="str">
            <v>قالب تعمیری</v>
          </cell>
          <cell r="P588" t="str">
            <v>MOLd</v>
          </cell>
          <cell r="AF588">
            <v>4</v>
          </cell>
          <cell r="AR588">
            <v>3000000</v>
          </cell>
        </row>
        <row r="589">
          <cell r="B589" t="str">
            <v>قالب قطاری</v>
          </cell>
          <cell r="C589" t="str">
            <v>قالب تعمیری</v>
          </cell>
          <cell r="P589" t="str">
            <v>MOLd</v>
          </cell>
          <cell r="AF589">
            <v>2</v>
          </cell>
          <cell r="AR589">
            <v>1500000</v>
          </cell>
        </row>
        <row r="590">
          <cell r="B590" t="str">
            <v xml:space="preserve">قالب پخت کلاچ پیکان </v>
          </cell>
          <cell r="C590" t="str">
            <v>قالب تعمیری</v>
          </cell>
          <cell r="P590" t="str">
            <v>پیچ</v>
          </cell>
          <cell r="AF590">
            <v>4</v>
          </cell>
          <cell r="AR590">
            <v>3000000</v>
          </cell>
        </row>
        <row r="591">
          <cell r="B591" t="str">
            <v>قالب پخت کلاچ پژو 405</v>
          </cell>
          <cell r="C591" t="str">
            <v>قالب تعمیری</v>
          </cell>
          <cell r="P591" t="str">
            <v>پیچ</v>
          </cell>
          <cell r="AF591">
            <v>4</v>
          </cell>
          <cell r="AR591">
            <v>3000000</v>
          </cell>
        </row>
        <row r="592">
          <cell r="B592" t="str">
            <v xml:space="preserve">قالب پخت کلاچ پیکان </v>
          </cell>
          <cell r="C592" t="str">
            <v>قالب تعمیری</v>
          </cell>
          <cell r="P592" t="str">
            <v>Stop</v>
          </cell>
          <cell r="AF592">
            <v>2</v>
          </cell>
          <cell r="AR592">
            <v>1500000</v>
          </cell>
        </row>
        <row r="593">
          <cell r="B593" t="str">
            <v>سری نقطه جوش</v>
          </cell>
          <cell r="C593" t="str">
            <v>قطعه تعمیری</v>
          </cell>
          <cell r="P593" t="str">
            <v>مسی</v>
          </cell>
          <cell r="AF593">
            <v>1</v>
          </cell>
          <cell r="AR593">
            <v>750000</v>
          </cell>
        </row>
        <row r="594">
          <cell r="B594" t="str">
            <v xml:space="preserve">قالب پخت کلاچ پیکان </v>
          </cell>
          <cell r="C594" t="str">
            <v>قالب تعمیری</v>
          </cell>
          <cell r="P594" t="str">
            <v>MOLd</v>
          </cell>
          <cell r="AF594">
            <v>2</v>
          </cell>
          <cell r="AR594">
            <v>1500000</v>
          </cell>
        </row>
        <row r="595">
          <cell r="B595" t="str">
            <v>پخت کلاچ پراید</v>
          </cell>
          <cell r="C595" t="str">
            <v>قالب تعمیری</v>
          </cell>
          <cell r="P595" t="str">
            <v>MOLd</v>
          </cell>
          <cell r="AF595">
            <v>2</v>
          </cell>
          <cell r="AR595">
            <v>1500000</v>
          </cell>
        </row>
        <row r="596">
          <cell r="B596" t="str">
            <v xml:space="preserve">قالب پخت کلاچ پیکان </v>
          </cell>
          <cell r="C596" t="str">
            <v>قالب تعمیری</v>
          </cell>
          <cell r="P596" t="str">
            <v>MOLd</v>
          </cell>
          <cell r="AF596">
            <v>2</v>
          </cell>
          <cell r="AR596">
            <v>1500000</v>
          </cell>
        </row>
        <row r="597">
          <cell r="B597" t="str">
            <v>قالب قطاری</v>
          </cell>
          <cell r="C597" t="str">
            <v>قالب تعمیری</v>
          </cell>
          <cell r="P597" t="str">
            <v>MOLd</v>
          </cell>
          <cell r="AF597">
            <v>4</v>
          </cell>
          <cell r="AR597">
            <v>3000000</v>
          </cell>
        </row>
        <row r="598">
          <cell r="B598" t="str">
            <v xml:space="preserve">قالب پخت کلاچ پیکان </v>
          </cell>
          <cell r="C598" t="str">
            <v>قالب تعمیری</v>
          </cell>
          <cell r="P598" t="str">
            <v>Mandrel</v>
          </cell>
          <cell r="AF598">
            <v>7.5</v>
          </cell>
          <cell r="AR598">
            <v>11250000</v>
          </cell>
        </row>
        <row r="599">
          <cell r="B599" t="str">
            <v>دریل یزدخواستی کلاچ</v>
          </cell>
          <cell r="C599" t="str">
            <v>قطعه نو</v>
          </cell>
          <cell r="P599" t="str">
            <v>راهنمای پژو</v>
          </cell>
          <cell r="AF599">
            <v>5.5</v>
          </cell>
          <cell r="AR599">
            <v>8250000</v>
          </cell>
        </row>
        <row r="600">
          <cell r="B600" t="str">
            <v xml:space="preserve">قالب پخت کلاچ پیکان </v>
          </cell>
          <cell r="C600" t="str">
            <v>قالب تعمیری</v>
          </cell>
          <cell r="P600" t="str">
            <v>Mandrel</v>
          </cell>
          <cell r="AF600">
            <v>7.5</v>
          </cell>
          <cell r="AR600">
            <v>11250000</v>
          </cell>
        </row>
        <row r="601">
          <cell r="B601" t="str">
            <v>برشی نیوفیس C&amp;C</v>
          </cell>
          <cell r="C601" t="str">
            <v>قالب نو</v>
          </cell>
          <cell r="P601" t="str">
            <v>top Plate</v>
          </cell>
          <cell r="AF601">
            <v>7.5</v>
          </cell>
          <cell r="AR601">
            <v>5625000</v>
          </cell>
        </row>
        <row r="602">
          <cell r="B602" t="str">
            <v>قالب کوبه نک SAF</v>
          </cell>
          <cell r="C602" t="str">
            <v>قالب تعمیری</v>
          </cell>
          <cell r="P602" t="str">
            <v>میل راهنما</v>
          </cell>
          <cell r="AF602">
            <v>3</v>
          </cell>
          <cell r="AR602">
            <v>2250000</v>
          </cell>
        </row>
        <row r="603">
          <cell r="B603" t="str">
            <v xml:space="preserve">قالب پخت کلاچ پیکان </v>
          </cell>
          <cell r="C603" t="str">
            <v>قالب تعمیری</v>
          </cell>
          <cell r="P603" t="str">
            <v>پیچ</v>
          </cell>
          <cell r="AF603">
            <v>3</v>
          </cell>
          <cell r="AR603">
            <v>2250000</v>
          </cell>
        </row>
        <row r="604">
          <cell r="B604" t="str">
            <v>اصول 5S</v>
          </cell>
          <cell r="C604" t="str">
            <v>نظافت</v>
          </cell>
          <cell r="P604" t="str">
            <v>دستگاه</v>
          </cell>
          <cell r="AF604">
            <v>0.5</v>
          </cell>
          <cell r="AR604">
            <v>375000</v>
          </cell>
        </row>
        <row r="605">
          <cell r="B605" t="str">
            <v xml:space="preserve">قالب پخت کلاچ پیکان </v>
          </cell>
          <cell r="C605" t="str">
            <v>قالب تعمیری</v>
          </cell>
          <cell r="P605" t="str">
            <v>MOLd</v>
          </cell>
          <cell r="AF605">
            <v>4</v>
          </cell>
          <cell r="AR605">
            <v>3000000</v>
          </cell>
        </row>
        <row r="606">
          <cell r="B606" t="str">
            <v xml:space="preserve">قالب پخت کلاچ پیکان </v>
          </cell>
          <cell r="C606" t="str">
            <v>قالب تعمیری</v>
          </cell>
          <cell r="P606" t="str">
            <v>top Plate</v>
          </cell>
          <cell r="AF606">
            <v>1</v>
          </cell>
          <cell r="AR606">
            <v>750000</v>
          </cell>
        </row>
        <row r="607">
          <cell r="B607" t="str">
            <v>ویوینگ</v>
          </cell>
          <cell r="C607" t="str">
            <v>قطعه تعمیری</v>
          </cell>
          <cell r="P607" t="str">
            <v>نافی</v>
          </cell>
          <cell r="AF607">
            <v>3</v>
          </cell>
          <cell r="AR607">
            <v>2250000</v>
          </cell>
        </row>
        <row r="608">
          <cell r="B608" t="str">
            <v xml:space="preserve">قالب پخت کلاچ پیکان </v>
          </cell>
          <cell r="C608" t="str">
            <v>قالب تعمیری</v>
          </cell>
          <cell r="P608" t="str">
            <v>پین واسطه</v>
          </cell>
          <cell r="AF608">
            <v>2</v>
          </cell>
          <cell r="AR608">
            <v>1500000</v>
          </cell>
        </row>
        <row r="609">
          <cell r="B609" t="str">
            <v>اصول 5S</v>
          </cell>
          <cell r="C609" t="str">
            <v>نظافت</v>
          </cell>
          <cell r="P609" t="str">
            <v>دستگاه</v>
          </cell>
          <cell r="AF609">
            <v>2</v>
          </cell>
          <cell r="AR609">
            <v>1500000</v>
          </cell>
        </row>
        <row r="610">
          <cell r="B610" t="str">
            <v>قالب پخت SAF</v>
          </cell>
          <cell r="C610" t="str">
            <v>قالب تعمیری</v>
          </cell>
          <cell r="P610" t="str">
            <v>MOLd</v>
          </cell>
          <cell r="AF610">
            <v>3</v>
          </cell>
          <cell r="AR610">
            <v>2250000</v>
          </cell>
        </row>
        <row r="611">
          <cell r="B611" t="str">
            <v>پخت کلاچ پراید</v>
          </cell>
          <cell r="C611" t="str">
            <v>قالب تعمیری</v>
          </cell>
          <cell r="P611" t="str">
            <v>top Plate</v>
          </cell>
          <cell r="AF611">
            <v>2</v>
          </cell>
          <cell r="AR611">
            <v>1500000</v>
          </cell>
        </row>
        <row r="612">
          <cell r="B612" t="str">
            <v>اصول 5S</v>
          </cell>
          <cell r="C612" t="str">
            <v>نظافت</v>
          </cell>
          <cell r="P612" t="str">
            <v>دستگاه</v>
          </cell>
          <cell r="AF612">
            <v>1</v>
          </cell>
          <cell r="AR612">
            <v>750000</v>
          </cell>
        </row>
        <row r="613">
          <cell r="B613" t="str">
            <v>قالب پخت SAF</v>
          </cell>
          <cell r="C613" t="str">
            <v>قالب تعمیری</v>
          </cell>
          <cell r="P613" t="str">
            <v>MOLd</v>
          </cell>
          <cell r="AF613">
            <v>1</v>
          </cell>
          <cell r="AR613">
            <v>750000</v>
          </cell>
        </row>
        <row r="614">
          <cell r="B614" t="str">
            <v xml:space="preserve">قالب پخت کلاچ پیکان </v>
          </cell>
          <cell r="C614" t="str">
            <v>قالب تعمیری</v>
          </cell>
          <cell r="P614" t="str">
            <v>MOLd</v>
          </cell>
          <cell r="AF614">
            <v>2</v>
          </cell>
          <cell r="AR614">
            <v>1500000</v>
          </cell>
        </row>
        <row r="615">
          <cell r="B615" t="str">
            <v>قالب پخت کلاچ پژو 405</v>
          </cell>
          <cell r="C615" t="str">
            <v>قالب تعمیری</v>
          </cell>
          <cell r="P615" t="str">
            <v>MOLd</v>
          </cell>
          <cell r="AF615">
            <v>2.5</v>
          </cell>
          <cell r="AR615">
            <v>1875000</v>
          </cell>
        </row>
        <row r="616">
          <cell r="B616" t="str">
            <v>اصول 5S</v>
          </cell>
          <cell r="C616" t="str">
            <v>نظافت</v>
          </cell>
          <cell r="P616" t="str">
            <v>دستگاه</v>
          </cell>
          <cell r="AF616">
            <v>0.5</v>
          </cell>
          <cell r="AR616">
            <v>375000</v>
          </cell>
        </row>
        <row r="617">
          <cell r="B617" t="str">
            <v>قالب مینی بوس آریا</v>
          </cell>
          <cell r="C617" t="str">
            <v>قالب نو</v>
          </cell>
          <cell r="P617" t="str">
            <v>Matrix</v>
          </cell>
          <cell r="AF617">
            <v>4</v>
          </cell>
          <cell r="AR617">
            <v>3000000</v>
          </cell>
        </row>
        <row r="618">
          <cell r="B618" t="str">
            <v xml:space="preserve">قالب پخت کلاچ پیکان </v>
          </cell>
          <cell r="C618" t="str">
            <v>قالب تعمیری</v>
          </cell>
          <cell r="P618" t="str">
            <v>Mandrel</v>
          </cell>
          <cell r="AF618">
            <v>1</v>
          </cell>
          <cell r="AR618">
            <v>750000</v>
          </cell>
        </row>
        <row r="619">
          <cell r="B619" t="str">
            <v>برشی نیوفیس C&amp;C</v>
          </cell>
          <cell r="C619" t="str">
            <v>قالب نو</v>
          </cell>
          <cell r="P619" t="str">
            <v>صفحه</v>
          </cell>
          <cell r="AF619">
            <v>1</v>
          </cell>
          <cell r="AR619">
            <v>750000</v>
          </cell>
        </row>
        <row r="620">
          <cell r="B620" t="str">
            <v>پخت کلاچ پراید</v>
          </cell>
          <cell r="C620" t="str">
            <v>قالب تعمیری</v>
          </cell>
          <cell r="P620" t="str">
            <v>Mandrel</v>
          </cell>
          <cell r="AF620">
            <v>1</v>
          </cell>
          <cell r="AR620">
            <v>750000</v>
          </cell>
        </row>
        <row r="621">
          <cell r="B621" t="str">
            <v>قالب پخت کلاچ پژو 405</v>
          </cell>
          <cell r="C621" t="str">
            <v>قالب تعمیری</v>
          </cell>
          <cell r="P621" t="str">
            <v>mold</v>
          </cell>
          <cell r="AF621">
            <v>8</v>
          </cell>
          <cell r="AR621">
            <v>6000000</v>
          </cell>
        </row>
        <row r="622">
          <cell r="B622" t="str">
            <v>قالب عقب F12</v>
          </cell>
          <cell r="C622" t="str">
            <v>قالب نو</v>
          </cell>
          <cell r="P622" t="str">
            <v>Matrix</v>
          </cell>
          <cell r="AF622">
            <v>8</v>
          </cell>
          <cell r="AR622">
            <v>6000000</v>
          </cell>
        </row>
        <row r="623">
          <cell r="B623" t="str">
            <v>لودر دیسکی  XGL 50</v>
          </cell>
          <cell r="C623" t="str">
            <v>قالب نو</v>
          </cell>
          <cell r="P623" t="str">
            <v>Matrix</v>
          </cell>
          <cell r="AF623">
            <v>8</v>
          </cell>
          <cell r="AR623">
            <v>6000000</v>
          </cell>
        </row>
        <row r="624">
          <cell r="B624" t="str">
            <v>برشی نیوفیس C&amp;C</v>
          </cell>
          <cell r="C624" t="str">
            <v>قالب نو</v>
          </cell>
          <cell r="P624" t="str">
            <v>Mandrel</v>
          </cell>
          <cell r="AF624">
            <v>8</v>
          </cell>
          <cell r="AR624">
            <v>6000000</v>
          </cell>
        </row>
        <row r="625">
          <cell r="B625" t="str">
            <v>قالب مینی بوس آریا</v>
          </cell>
          <cell r="C625" t="str">
            <v>قالب نو</v>
          </cell>
          <cell r="P625" t="str">
            <v>Mandrel</v>
          </cell>
          <cell r="AF625">
            <v>4</v>
          </cell>
          <cell r="AR625">
            <v>3000000</v>
          </cell>
        </row>
        <row r="626">
          <cell r="B626" t="str">
            <v>لنت ترمز دیسكی جلو دیما(خم)</v>
          </cell>
          <cell r="C626" t="str">
            <v>قالب نو</v>
          </cell>
          <cell r="P626" t="str">
            <v>Matrix</v>
          </cell>
          <cell r="AF626">
            <v>5</v>
          </cell>
          <cell r="AR626">
            <v>3750000</v>
          </cell>
        </row>
        <row r="627">
          <cell r="B627" t="str">
            <v>قالب پخت کلاچ پژو 405</v>
          </cell>
          <cell r="C627" t="str">
            <v>قالب تعمیری</v>
          </cell>
          <cell r="P627" t="str">
            <v>mold</v>
          </cell>
          <cell r="AF627">
            <v>5</v>
          </cell>
          <cell r="AR627">
            <v>3750000</v>
          </cell>
        </row>
        <row r="628">
          <cell r="B628" t="str">
            <v>قالب عقب F12</v>
          </cell>
          <cell r="C628" t="str">
            <v>قالب نو</v>
          </cell>
          <cell r="P628" t="str">
            <v>Matrix</v>
          </cell>
          <cell r="AF628">
            <v>5</v>
          </cell>
          <cell r="AR628">
            <v>3750000</v>
          </cell>
        </row>
        <row r="629">
          <cell r="B629" t="str">
            <v>برشی نیوفیس C&amp;C</v>
          </cell>
          <cell r="C629" t="str">
            <v>قالب نو</v>
          </cell>
          <cell r="P629" t="str">
            <v>Mandrel</v>
          </cell>
          <cell r="AF629">
            <v>5</v>
          </cell>
          <cell r="AR629">
            <v>3750000</v>
          </cell>
        </row>
        <row r="630">
          <cell r="B630" t="str">
            <v>قالب مینی بوس آریا</v>
          </cell>
          <cell r="C630" t="str">
            <v>قالب نو</v>
          </cell>
          <cell r="P630" t="str">
            <v>Mandrel</v>
          </cell>
          <cell r="AF630">
            <v>5</v>
          </cell>
          <cell r="AR630">
            <v>3750000</v>
          </cell>
        </row>
        <row r="631">
          <cell r="B631" t="str">
            <v>قالب پخت کلاچ پژو 405</v>
          </cell>
          <cell r="C631" t="str">
            <v>قالب تعمیری</v>
          </cell>
          <cell r="P631" t="str">
            <v>mold</v>
          </cell>
          <cell r="AF631">
            <v>2</v>
          </cell>
          <cell r="AR631">
            <v>1500000</v>
          </cell>
        </row>
        <row r="632">
          <cell r="B632" t="str">
            <v>پخت کلاچ پراید</v>
          </cell>
          <cell r="C632" t="str">
            <v>قالب تعمیری</v>
          </cell>
          <cell r="P632" t="str">
            <v>سوپاپ</v>
          </cell>
          <cell r="AF632">
            <v>2</v>
          </cell>
          <cell r="AR632">
            <v>1500000</v>
          </cell>
        </row>
        <row r="633">
          <cell r="B633" t="str">
            <v>برشی نیوفیس C&amp;C</v>
          </cell>
          <cell r="C633" t="str">
            <v>قالب نو</v>
          </cell>
          <cell r="P633" t="str">
            <v>top Plate</v>
          </cell>
          <cell r="AF633">
            <v>11</v>
          </cell>
          <cell r="AR633">
            <v>8250000</v>
          </cell>
        </row>
        <row r="634">
          <cell r="B634" t="str">
            <v>دریل یزدخواستی کلاچ</v>
          </cell>
          <cell r="C634" t="str">
            <v>قطعه نو</v>
          </cell>
          <cell r="P634" t="str">
            <v>راهنمای پژو</v>
          </cell>
          <cell r="AF634">
            <v>4.5</v>
          </cell>
          <cell r="AR634">
            <v>6750000</v>
          </cell>
        </row>
        <row r="635">
          <cell r="B635" t="str">
            <v>دریل یزدخواستی کلاچ</v>
          </cell>
          <cell r="C635" t="str">
            <v>قطعه نو</v>
          </cell>
          <cell r="P635" t="str">
            <v>راهنمای پراید</v>
          </cell>
          <cell r="AF635">
            <v>6.5</v>
          </cell>
          <cell r="AR635">
            <v>9750000</v>
          </cell>
        </row>
        <row r="636">
          <cell r="B636" t="str">
            <v>پخت کلاچ پراید</v>
          </cell>
          <cell r="C636" t="str">
            <v>قالب تعمیری</v>
          </cell>
          <cell r="P636" t="str">
            <v>top Plate</v>
          </cell>
          <cell r="AF636">
            <v>11</v>
          </cell>
          <cell r="AR636">
            <v>8250000</v>
          </cell>
        </row>
        <row r="637">
          <cell r="B637" t="str">
            <v>برشی نیوفیس C&amp;C</v>
          </cell>
          <cell r="C637" t="str">
            <v>قالب نو</v>
          </cell>
          <cell r="P637" t="str">
            <v>bottom plate</v>
          </cell>
          <cell r="AF637">
            <v>11</v>
          </cell>
          <cell r="AR637">
            <v>8250000</v>
          </cell>
        </row>
        <row r="638">
          <cell r="B638" t="str">
            <v>پخت کلاچ پراید</v>
          </cell>
          <cell r="C638" t="str">
            <v>قالب تعمیری</v>
          </cell>
          <cell r="P638" t="str">
            <v>top Plate</v>
          </cell>
          <cell r="AF638">
            <v>7.5</v>
          </cell>
          <cell r="AR638">
            <v>11250000</v>
          </cell>
        </row>
        <row r="639">
          <cell r="B639" t="str">
            <v>پخت کلاچ پراید</v>
          </cell>
          <cell r="C639" t="str">
            <v>قالب تعمیری</v>
          </cell>
          <cell r="P639" t="str">
            <v>Mandrel</v>
          </cell>
          <cell r="AF639">
            <v>3.5</v>
          </cell>
          <cell r="AR639">
            <v>5250000</v>
          </cell>
        </row>
        <row r="640">
          <cell r="B640" t="str">
            <v xml:space="preserve">قالب پخت کلاچ پیکان </v>
          </cell>
          <cell r="C640" t="str">
            <v>قالب تعمیری</v>
          </cell>
          <cell r="P640" t="str">
            <v>top Plate</v>
          </cell>
          <cell r="AF640">
            <v>3.6666666666666665</v>
          </cell>
          <cell r="AR640">
            <v>2750000</v>
          </cell>
        </row>
        <row r="641">
          <cell r="B641" t="str">
            <v>دسته پران لنت</v>
          </cell>
          <cell r="C641" t="str">
            <v>قطعه نو</v>
          </cell>
          <cell r="P641" t="str">
            <v>دسته</v>
          </cell>
          <cell r="AF641">
            <v>3</v>
          </cell>
          <cell r="AR641">
            <v>2250000</v>
          </cell>
        </row>
        <row r="642">
          <cell r="B642" t="str">
            <v>پخت کلاچ پراید</v>
          </cell>
          <cell r="C642" t="str">
            <v>قالب تعمیری</v>
          </cell>
          <cell r="P642" t="str">
            <v>سوپاپ</v>
          </cell>
          <cell r="AF642">
            <v>4.5</v>
          </cell>
          <cell r="AR642">
            <v>3375000</v>
          </cell>
        </row>
        <row r="643">
          <cell r="B643" t="str">
            <v>سری نقطه جوش</v>
          </cell>
          <cell r="C643" t="str">
            <v>قطعه تعمیری</v>
          </cell>
          <cell r="P643" t="str">
            <v>مسی</v>
          </cell>
          <cell r="AF643">
            <v>1</v>
          </cell>
          <cell r="AR643">
            <v>750000</v>
          </cell>
        </row>
        <row r="644">
          <cell r="B644" t="str">
            <v>پخت کلاچ پراید</v>
          </cell>
          <cell r="C644" t="str">
            <v>قالب تعمیری</v>
          </cell>
          <cell r="P644" t="str">
            <v>Stop</v>
          </cell>
          <cell r="AF644">
            <v>4</v>
          </cell>
          <cell r="AR644">
            <v>3000000</v>
          </cell>
        </row>
        <row r="645">
          <cell r="B645" t="str">
            <v>پخت کلاچ پراید</v>
          </cell>
          <cell r="C645" t="str">
            <v>قالب تعمیری</v>
          </cell>
          <cell r="P645" t="str">
            <v>میل راهنما</v>
          </cell>
          <cell r="AF645">
            <v>4</v>
          </cell>
          <cell r="AR645">
            <v>3000000</v>
          </cell>
        </row>
        <row r="646">
          <cell r="B646" t="str">
            <v>برشی نیوفیس C&amp;C</v>
          </cell>
          <cell r="C646" t="str">
            <v>قالب نو</v>
          </cell>
          <cell r="P646" t="str">
            <v>bottom plate</v>
          </cell>
          <cell r="AF646">
            <v>1</v>
          </cell>
          <cell r="AR646">
            <v>750000</v>
          </cell>
        </row>
        <row r="647">
          <cell r="B647" t="str">
            <v>لودر دیسکی  XGL 50</v>
          </cell>
          <cell r="C647" t="str">
            <v>قالب نو</v>
          </cell>
          <cell r="P647" t="str">
            <v>top Plate</v>
          </cell>
          <cell r="AF647">
            <v>4</v>
          </cell>
          <cell r="AR647">
            <v>3000000</v>
          </cell>
        </row>
        <row r="648">
          <cell r="B648" t="str">
            <v>لودر دیسکی  XGL 50</v>
          </cell>
          <cell r="C648" t="str">
            <v>قالب نو</v>
          </cell>
          <cell r="P648" t="str">
            <v>Matrix</v>
          </cell>
          <cell r="AF648">
            <v>1.5</v>
          </cell>
          <cell r="AR648">
            <v>1125000</v>
          </cell>
        </row>
        <row r="649">
          <cell r="B649" t="str">
            <v>Hammer Mill Machine</v>
          </cell>
          <cell r="C649" t="str">
            <v>قطعه تعمیری</v>
          </cell>
          <cell r="P649" t="str">
            <v>فولی</v>
          </cell>
          <cell r="AF649">
            <v>5</v>
          </cell>
          <cell r="AR649">
            <v>3750000</v>
          </cell>
        </row>
        <row r="650">
          <cell r="B650" t="str">
            <v>دستگاه پرس پخت</v>
          </cell>
          <cell r="C650" t="str">
            <v>قطعه تعمیری</v>
          </cell>
          <cell r="P650" t="str">
            <v>فیوز</v>
          </cell>
          <cell r="AF650">
            <v>4</v>
          </cell>
          <cell r="AR650">
            <v>3000000</v>
          </cell>
        </row>
        <row r="651">
          <cell r="B651" t="str">
            <v>قالب پخت SAF</v>
          </cell>
          <cell r="C651" t="str">
            <v>قالب تعمیری</v>
          </cell>
          <cell r="P651" t="str">
            <v>میل راهنما</v>
          </cell>
          <cell r="AF651">
            <v>2</v>
          </cell>
          <cell r="AR651">
            <v>1500000</v>
          </cell>
        </row>
        <row r="652">
          <cell r="B652" t="str">
            <v>پخت کلاچ پراید</v>
          </cell>
          <cell r="C652" t="str">
            <v>قالب تعمیری</v>
          </cell>
          <cell r="P652" t="str">
            <v>سوپاپ</v>
          </cell>
          <cell r="AF652">
            <v>2</v>
          </cell>
          <cell r="AR652">
            <v>1500000</v>
          </cell>
        </row>
        <row r="653">
          <cell r="B653" t="str">
            <v xml:space="preserve">قالب پخت کلاچ پیکان </v>
          </cell>
          <cell r="C653" t="str">
            <v>قالب تعمیری</v>
          </cell>
          <cell r="P653" t="str">
            <v>سوپاپ</v>
          </cell>
          <cell r="AF653">
            <v>2</v>
          </cell>
          <cell r="AR653">
            <v>1500000</v>
          </cell>
        </row>
        <row r="654">
          <cell r="B654" t="str">
            <v>پخت کلاچ پراید</v>
          </cell>
          <cell r="C654" t="str">
            <v>قالب تعمیری</v>
          </cell>
          <cell r="P654" t="str">
            <v>mold</v>
          </cell>
          <cell r="AF654">
            <v>5</v>
          </cell>
          <cell r="AR654">
            <v>3750000</v>
          </cell>
        </row>
        <row r="655">
          <cell r="B655" t="str">
            <v>دسته پران لنت</v>
          </cell>
          <cell r="C655" t="str">
            <v>قطعه نو</v>
          </cell>
          <cell r="P655" t="str">
            <v>دسته</v>
          </cell>
          <cell r="AF655">
            <v>1</v>
          </cell>
          <cell r="AR655">
            <v>750000</v>
          </cell>
        </row>
        <row r="656">
          <cell r="B656" t="str">
            <v>پخت کلاچ پراید</v>
          </cell>
          <cell r="C656" t="str">
            <v>قالب تعمیری</v>
          </cell>
          <cell r="P656" t="str">
            <v>top Plate</v>
          </cell>
          <cell r="AF656">
            <v>1</v>
          </cell>
          <cell r="AR656">
            <v>750000</v>
          </cell>
        </row>
        <row r="657">
          <cell r="B657" t="str">
            <v>پخت کلاچ پراید</v>
          </cell>
          <cell r="C657" t="str">
            <v>قالب تعمیری</v>
          </cell>
          <cell r="P657" t="str">
            <v>top Plate</v>
          </cell>
          <cell r="AF657">
            <v>3</v>
          </cell>
          <cell r="AR657">
            <v>2250000</v>
          </cell>
        </row>
        <row r="658">
          <cell r="B658" t="str">
            <v>پخت کلاچ پراید</v>
          </cell>
          <cell r="C658" t="str">
            <v>قالب تعمیری</v>
          </cell>
          <cell r="P658" t="str">
            <v>رینگ</v>
          </cell>
          <cell r="AF658">
            <v>3</v>
          </cell>
          <cell r="AR658">
            <v>2250000</v>
          </cell>
        </row>
        <row r="659">
          <cell r="B659" t="str">
            <v>پخت کلاچ پراید</v>
          </cell>
          <cell r="C659" t="str">
            <v>قالب تعمیری</v>
          </cell>
          <cell r="P659" t="str">
            <v>stop</v>
          </cell>
          <cell r="AF659">
            <v>2</v>
          </cell>
          <cell r="AR659">
            <v>1500000</v>
          </cell>
        </row>
        <row r="660">
          <cell r="B660" t="str">
            <v>پخت کلاچ پراید</v>
          </cell>
          <cell r="C660" t="str">
            <v>قالب تعمیری</v>
          </cell>
          <cell r="P660" t="str">
            <v>mold</v>
          </cell>
          <cell r="AF660">
            <v>3</v>
          </cell>
          <cell r="AR660">
            <v>2250000</v>
          </cell>
        </row>
        <row r="661">
          <cell r="B661" t="str">
            <v>قالب پخت کلاچ پژو 405</v>
          </cell>
          <cell r="C661" t="str">
            <v>قالب تعمیری</v>
          </cell>
          <cell r="P661" t="str">
            <v>mold</v>
          </cell>
          <cell r="AF661">
            <v>12</v>
          </cell>
          <cell r="AR661">
            <v>9000000</v>
          </cell>
        </row>
        <row r="662">
          <cell r="B662" t="str">
            <v>برشی نیوفیس C&amp;C</v>
          </cell>
          <cell r="C662" t="str">
            <v>قالب نو</v>
          </cell>
          <cell r="P662" t="str">
            <v>Mandrel</v>
          </cell>
          <cell r="AF662">
            <v>4</v>
          </cell>
          <cell r="AR662">
            <v>3000000</v>
          </cell>
        </row>
        <row r="663">
          <cell r="B663" t="str">
            <v>دستگاه فرز</v>
          </cell>
          <cell r="C663" t="str">
            <v>قطعه تعمیری</v>
          </cell>
          <cell r="P663" t="str">
            <v>تیغه</v>
          </cell>
          <cell r="AF663">
            <v>2</v>
          </cell>
          <cell r="AR663">
            <v>1500000</v>
          </cell>
        </row>
        <row r="664">
          <cell r="B664" t="str">
            <v>لنت ترمز دیسكی جلو دیما(خم)</v>
          </cell>
          <cell r="C664" t="str">
            <v>قالب نو</v>
          </cell>
          <cell r="P664" t="str">
            <v>Matrix</v>
          </cell>
          <cell r="AF664">
            <v>12</v>
          </cell>
          <cell r="AR664">
            <v>9000000</v>
          </cell>
        </row>
        <row r="665">
          <cell r="B665" t="str">
            <v>قالب عقب F12</v>
          </cell>
          <cell r="C665" t="str">
            <v>قالب نو</v>
          </cell>
          <cell r="P665" t="str">
            <v>Matrix</v>
          </cell>
          <cell r="AF665">
            <v>12</v>
          </cell>
          <cell r="AR665">
            <v>9000000</v>
          </cell>
        </row>
        <row r="666">
          <cell r="B666" t="str">
            <v>قالب مینی بوس آریا</v>
          </cell>
          <cell r="C666" t="str">
            <v>قالب نو</v>
          </cell>
          <cell r="P666" t="str">
            <v>Mandrel</v>
          </cell>
          <cell r="AF666">
            <v>12</v>
          </cell>
          <cell r="AR666">
            <v>9000000</v>
          </cell>
        </row>
        <row r="667">
          <cell r="B667" t="str">
            <v>پخت کلاچ پراید</v>
          </cell>
          <cell r="C667" t="str">
            <v>قالب تعمیری</v>
          </cell>
          <cell r="P667" t="str">
            <v>Mandrel</v>
          </cell>
          <cell r="AF667">
            <v>11</v>
          </cell>
          <cell r="AR667">
            <v>16500000</v>
          </cell>
        </row>
        <row r="668">
          <cell r="B668" t="str">
            <v>لودر دیسکی  XGL 50</v>
          </cell>
          <cell r="C668" t="str">
            <v>قالب نو</v>
          </cell>
          <cell r="P668" t="str">
            <v>Matrix</v>
          </cell>
          <cell r="AF668">
            <v>6.5</v>
          </cell>
          <cell r="AR668">
            <v>4875000</v>
          </cell>
        </row>
        <row r="669">
          <cell r="B669" t="str">
            <v>برشی نیوفیس C&amp;C</v>
          </cell>
          <cell r="C669" t="str">
            <v>قالب نو</v>
          </cell>
          <cell r="P669" t="str">
            <v>top Plate</v>
          </cell>
          <cell r="AF669">
            <v>3.5</v>
          </cell>
          <cell r="AR669">
            <v>2625000</v>
          </cell>
        </row>
        <row r="670">
          <cell r="B670" t="str">
            <v>برشی نیوفیس C&amp;C</v>
          </cell>
          <cell r="C670" t="str">
            <v>قالب نو</v>
          </cell>
          <cell r="P670" t="str">
            <v>Matrix</v>
          </cell>
          <cell r="AF670">
            <v>7.5</v>
          </cell>
          <cell r="AR670">
            <v>5625000</v>
          </cell>
        </row>
        <row r="671">
          <cell r="B671" t="str">
            <v>دریل یزدخواستی کلاچ</v>
          </cell>
          <cell r="C671" t="str">
            <v>قطعه نو</v>
          </cell>
          <cell r="P671" t="str">
            <v>راهنمای پراید</v>
          </cell>
          <cell r="AF671">
            <v>3.5</v>
          </cell>
          <cell r="AR671">
            <v>5250000</v>
          </cell>
        </row>
        <row r="672">
          <cell r="B672" t="str">
            <v>برشی نیوفیس C&amp;C</v>
          </cell>
          <cell r="C672" t="str">
            <v>قالب نو</v>
          </cell>
          <cell r="P672" t="str">
            <v>Mandrel</v>
          </cell>
          <cell r="AF672">
            <v>7.5</v>
          </cell>
          <cell r="AR672">
            <v>11250000</v>
          </cell>
        </row>
        <row r="673">
          <cell r="B673" t="str">
            <v xml:space="preserve">قالب پخت کلاچ پیکان </v>
          </cell>
          <cell r="C673" t="str">
            <v>قالب تعمیری</v>
          </cell>
          <cell r="P673" t="str">
            <v>top Plate</v>
          </cell>
          <cell r="AF673">
            <v>11</v>
          </cell>
          <cell r="AR673">
            <v>8250000</v>
          </cell>
        </row>
        <row r="674">
          <cell r="B674" t="str">
            <v xml:space="preserve">قالب پخت کلاچ پیکان </v>
          </cell>
          <cell r="C674" t="str">
            <v>قالب تعمیری</v>
          </cell>
          <cell r="P674" t="str">
            <v>Stop</v>
          </cell>
          <cell r="AF674">
            <v>5</v>
          </cell>
          <cell r="AR674">
            <v>3750000</v>
          </cell>
        </row>
        <row r="675">
          <cell r="B675" t="str">
            <v>دستگاه پشم فلز آلمانی</v>
          </cell>
          <cell r="C675" t="str">
            <v>قطعه تعمیری</v>
          </cell>
          <cell r="P675" t="str">
            <v>کوبلینگ</v>
          </cell>
          <cell r="AF675">
            <v>6</v>
          </cell>
          <cell r="AR675">
            <v>4500000</v>
          </cell>
        </row>
        <row r="676">
          <cell r="B676" t="str">
            <v>پخت کلاچ پراید</v>
          </cell>
          <cell r="C676" t="str">
            <v>قالب تعمیری</v>
          </cell>
          <cell r="P676" t="str">
            <v>mold</v>
          </cell>
          <cell r="AF676">
            <v>3</v>
          </cell>
          <cell r="AR676">
            <v>2250000</v>
          </cell>
        </row>
        <row r="677">
          <cell r="B677" t="str">
            <v>قالب BPW تاجدار</v>
          </cell>
          <cell r="C677" t="str">
            <v>قالب تعمیری</v>
          </cell>
          <cell r="P677" t="str">
            <v>mold</v>
          </cell>
          <cell r="AF677">
            <v>3</v>
          </cell>
          <cell r="AR677">
            <v>2250000</v>
          </cell>
        </row>
        <row r="678">
          <cell r="B678" t="str">
            <v>پخت کلاچ ایویکو سوراخدار</v>
          </cell>
          <cell r="C678" t="str">
            <v>قالب تعمیری</v>
          </cell>
          <cell r="P678" t="str">
            <v>پین</v>
          </cell>
          <cell r="AF678">
            <v>3</v>
          </cell>
          <cell r="AR678">
            <v>2250000</v>
          </cell>
        </row>
        <row r="679">
          <cell r="B679" t="str">
            <v>پخت کلاچ پراید</v>
          </cell>
          <cell r="C679" t="str">
            <v>قالب تعمیری</v>
          </cell>
          <cell r="P679" t="str">
            <v>mold</v>
          </cell>
          <cell r="AF679">
            <v>2</v>
          </cell>
          <cell r="AR679">
            <v>1500000</v>
          </cell>
        </row>
        <row r="680">
          <cell r="B680" t="str">
            <v>قالب ولوو سوپر</v>
          </cell>
          <cell r="C680" t="str">
            <v>قالب تعمیری</v>
          </cell>
          <cell r="P680" t="str">
            <v>mold</v>
          </cell>
          <cell r="AF680">
            <v>2</v>
          </cell>
          <cell r="AR680">
            <v>1500000</v>
          </cell>
        </row>
        <row r="681">
          <cell r="B681" t="str">
            <v>ویوینگ</v>
          </cell>
          <cell r="C681" t="str">
            <v>قطعه تعمیری</v>
          </cell>
          <cell r="P681" t="str">
            <v>Shaft</v>
          </cell>
          <cell r="AF681">
            <v>1</v>
          </cell>
          <cell r="AR681">
            <v>750000</v>
          </cell>
        </row>
        <row r="682">
          <cell r="B682" t="str">
            <v>پخت کلاچ پراید</v>
          </cell>
          <cell r="C682" t="str">
            <v>قالب تعمیری</v>
          </cell>
          <cell r="P682" t="str">
            <v>Mold</v>
          </cell>
          <cell r="AF682">
            <v>0.5</v>
          </cell>
          <cell r="AR682">
            <v>375000</v>
          </cell>
        </row>
        <row r="683">
          <cell r="B683" t="str">
            <v>قالب ولوو سوپر</v>
          </cell>
          <cell r="C683" t="str">
            <v>قالب تعمیری</v>
          </cell>
          <cell r="P683" t="str">
            <v>mold</v>
          </cell>
          <cell r="AF683">
            <v>4</v>
          </cell>
          <cell r="AR683">
            <v>3000000</v>
          </cell>
        </row>
        <row r="684">
          <cell r="B684" t="str">
            <v>پخت کلاچ پراید</v>
          </cell>
          <cell r="C684" t="str">
            <v>قالب تعمیری</v>
          </cell>
          <cell r="P684" t="str">
            <v>Mold</v>
          </cell>
          <cell r="AF684">
            <v>1</v>
          </cell>
          <cell r="AR684">
            <v>750000</v>
          </cell>
        </row>
        <row r="685">
          <cell r="B685" t="str">
            <v>پخت کلاچ پراید</v>
          </cell>
          <cell r="C685" t="str">
            <v>قالب تعمیری</v>
          </cell>
          <cell r="P685" t="str">
            <v>top Plate</v>
          </cell>
          <cell r="AF685">
            <v>2</v>
          </cell>
          <cell r="AR685">
            <v>1500000</v>
          </cell>
        </row>
        <row r="686">
          <cell r="B686" t="str">
            <v>قالب BPW تاجدار</v>
          </cell>
          <cell r="C686" t="str">
            <v>قالب تعمیری</v>
          </cell>
          <cell r="P686" t="str">
            <v>Matrix</v>
          </cell>
          <cell r="AF686">
            <v>1.5</v>
          </cell>
          <cell r="AR686">
            <v>1125000</v>
          </cell>
        </row>
        <row r="687">
          <cell r="B687" t="str">
            <v>قالب BPW تاجدار</v>
          </cell>
          <cell r="C687" t="str">
            <v>قالب تعمیری</v>
          </cell>
          <cell r="P687" t="str">
            <v>Mandrel</v>
          </cell>
          <cell r="AF687">
            <v>1.5</v>
          </cell>
          <cell r="AR687">
            <v>1125000</v>
          </cell>
        </row>
        <row r="688">
          <cell r="B688" t="str">
            <v>برشی نیوفیس C&amp;C</v>
          </cell>
          <cell r="C688" t="str">
            <v>قالب نو</v>
          </cell>
          <cell r="P688" t="str">
            <v>top Plate</v>
          </cell>
          <cell r="AF688">
            <v>11</v>
          </cell>
          <cell r="AR688">
            <v>8250000</v>
          </cell>
        </row>
        <row r="689">
          <cell r="B689" t="str">
            <v>قالب توری SAF قدیم</v>
          </cell>
          <cell r="C689" t="str">
            <v>قالب تعمیری</v>
          </cell>
          <cell r="P689" t="str">
            <v>Matrix</v>
          </cell>
          <cell r="AF689">
            <v>1.5</v>
          </cell>
          <cell r="AR689">
            <v>1125000</v>
          </cell>
        </row>
        <row r="690">
          <cell r="B690" t="str">
            <v>قالب توری SAF قدیم</v>
          </cell>
          <cell r="C690" t="str">
            <v>قالب تعمیری</v>
          </cell>
          <cell r="P690" t="str">
            <v>Mandrel</v>
          </cell>
          <cell r="AF690">
            <v>1.5</v>
          </cell>
          <cell r="AR690">
            <v>1125000</v>
          </cell>
        </row>
        <row r="691">
          <cell r="B691" t="str">
            <v>لنت ترمز دیسكی جلو دیما(خم)</v>
          </cell>
          <cell r="C691" t="str">
            <v>قالب نو</v>
          </cell>
          <cell r="P691" t="str">
            <v>Mandrel</v>
          </cell>
          <cell r="AF691">
            <v>3</v>
          </cell>
          <cell r="AR691">
            <v>2250000</v>
          </cell>
        </row>
        <row r="692">
          <cell r="B692" t="str">
            <v>دستگاه پرس پخت</v>
          </cell>
          <cell r="C692" t="str">
            <v>قطعه تعمیری</v>
          </cell>
          <cell r="P692" t="str">
            <v>فیوز</v>
          </cell>
          <cell r="AF692">
            <v>2</v>
          </cell>
          <cell r="AR692">
            <v>1500000</v>
          </cell>
        </row>
        <row r="693">
          <cell r="B693" t="str">
            <v>دستگاه پشم فلز آلمانی</v>
          </cell>
          <cell r="C693" t="str">
            <v>قطعه تعمیری</v>
          </cell>
          <cell r="P693" t="str">
            <v>کوبلینگ</v>
          </cell>
          <cell r="AF693">
            <v>1</v>
          </cell>
          <cell r="AR693">
            <v>750000</v>
          </cell>
        </row>
        <row r="694">
          <cell r="B694" t="str">
            <v>دستگاه پشم فلز آلمانی</v>
          </cell>
          <cell r="C694" t="str">
            <v>قطعه نو</v>
          </cell>
          <cell r="P694" t="str">
            <v>Bush</v>
          </cell>
          <cell r="AF694">
            <v>2</v>
          </cell>
          <cell r="AR694">
            <v>1500000</v>
          </cell>
        </row>
        <row r="695">
          <cell r="B695" t="str">
            <v>دستگاه پشم فلز آلمانی</v>
          </cell>
          <cell r="C695" t="str">
            <v>قطعه نو</v>
          </cell>
          <cell r="P695" t="str">
            <v>کوبلینگ</v>
          </cell>
          <cell r="AF695">
            <v>1</v>
          </cell>
          <cell r="AR695">
            <v>750000</v>
          </cell>
        </row>
        <row r="696">
          <cell r="B696" t="str">
            <v>قالب پخت کلاچ پژو 405</v>
          </cell>
          <cell r="C696" t="str">
            <v>قالب تعمیری</v>
          </cell>
          <cell r="P696" t="str">
            <v>mold</v>
          </cell>
          <cell r="AF696">
            <v>3</v>
          </cell>
          <cell r="AR696">
            <v>2250000</v>
          </cell>
        </row>
        <row r="697">
          <cell r="B697" t="str">
            <v>قالب مینی بوس آریا</v>
          </cell>
          <cell r="C697" t="str">
            <v>قالب نو</v>
          </cell>
          <cell r="P697" t="str">
            <v>Matrix</v>
          </cell>
          <cell r="AF697">
            <v>9</v>
          </cell>
          <cell r="AR697">
            <v>6750000</v>
          </cell>
        </row>
        <row r="698">
          <cell r="B698" t="str">
            <v>لنت ترمز دیسكی جلو دیما(خم)</v>
          </cell>
          <cell r="C698" t="str">
            <v>قالب نو</v>
          </cell>
          <cell r="P698" t="str">
            <v>mold</v>
          </cell>
          <cell r="AF698">
            <v>6</v>
          </cell>
          <cell r="AR698">
            <v>4500000</v>
          </cell>
        </row>
        <row r="699">
          <cell r="B699" t="str">
            <v>قالب عقب F12</v>
          </cell>
          <cell r="C699" t="str">
            <v>قالب نو</v>
          </cell>
          <cell r="P699" t="str">
            <v>Matrix</v>
          </cell>
          <cell r="AF699">
            <v>12</v>
          </cell>
          <cell r="AR699">
            <v>9000000</v>
          </cell>
        </row>
        <row r="700">
          <cell r="B700" t="str">
            <v>قالب مینی بوس آریا</v>
          </cell>
          <cell r="C700" t="str">
            <v>قالب نو</v>
          </cell>
          <cell r="P700" t="str">
            <v>پشت سنبه</v>
          </cell>
          <cell r="AF700">
            <v>6</v>
          </cell>
          <cell r="AR700">
            <v>4500000</v>
          </cell>
        </row>
        <row r="701">
          <cell r="B701" t="str">
            <v>لودر دیسکی  XGL 50</v>
          </cell>
          <cell r="C701" t="str">
            <v>قالب نو</v>
          </cell>
          <cell r="P701" t="str">
            <v>Mandrel</v>
          </cell>
          <cell r="AF701">
            <v>6</v>
          </cell>
          <cell r="AR701">
            <v>4500000</v>
          </cell>
        </row>
        <row r="702">
          <cell r="B702" t="str">
            <v>لودر دیسکی  XGL 50</v>
          </cell>
          <cell r="C702" t="str">
            <v>قالب نو</v>
          </cell>
          <cell r="P702" t="str">
            <v>Matrix</v>
          </cell>
          <cell r="AF702">
            <v>6.5</v>
          </cell>
          <cell r="AR702">
            <v>4875000</v>
          </cell>
        </row>
        <row r="703">
          <cell r="B703" t="str">
            <v>برشی نیوفیس C&amp;C</v>
          </cell>
          <cell r="C703" t="str">
            <v>قالب نو</v>
          </cell>
          <cell r="P703" t="str">
            <v>صفحه راهنما</v>
          </cell>
          <cell r="AF703">
            <v>7.5</v>
          </cell>
          <cell r="AR703">
            <v>11250000</v>
          </cell>
        </row>
        <row r="704">
          <cell r="B704" t="str">
            <v>برشی نیوفیس C&amp;C</v>
          </cell>
          <cell r="C704" t="str">
            <v>قالب نو</v>
          </cell>
          <cell r="P704" t="str">
            <v>کفشک گیر</v>
          </cell>
          <cell r="AF704">
            <v>3.5</v>
          </cell>
          <cell r="AR704">
            <v>5250000</v>
          </cell>
        </row>
        <row r="705">
          <cell r="B705" t="str">
            <v>پخت کلاچ پراید</v>
          </cell>
          <cell r="C705" t="str">
            <v>قالب تعمیری</v>
          </cell>
          <cell r="P705" t="str">
            <v>Matrix</v>
          </cell>
          <cell r="AF705">
            <v>6.5</v>
          </cell>
          <cell r="AR705">
            <v>9750000</v>
          </cell>
        </row>
        <row r="706">
          <cell r="B706" t="str">
            <v>پخت کلاچ پراید</v>
          </cell>
          <cell r="C706" t="str">
            <v>قالب تعمیری</v>
          </cell>
          <cell r="P706" t="str">
            <v>Mandrel</v>
          </cell>
          <cell r="AF706">
            <v>4.5</v>
          </cell>
          <cell r="AR706">
            <v>6750000</v>
          </cell>
        </row>
        <row r="707">
          <cell r="B707" t="str">
            <v>دستگاه پشم فلز آلمانی</v>
          </cell>
          <cell r="C707" t="str">
            <v>قطعه تعمیری</v>
          </cell>
          <cell r="P707" t="str">
            <v>کوبلینگ</v>
          </cell>
          <cell r="AF707">
            <v>4</v>
          </cell>
          <cell r="AR707">
            <v>3000000</v>
          </cell>
        </row>
        <row r="708">
          <cell r="B708" t="str">
            <v>دستگاه پرس پخت</v>
          </cell>
          <cell r="C708" t="str">
            <v>قطعه تعمیری</v>
          </cell>
          <cell r="P708" t="str">
            <v>پیتسوله</v>
          </cell>
          <cell r="AF708">
            <v>4.333333333333333</v>
          </cell>
          <cell r="AR708">
            <v>3250000</v>
          </cell>
        </row>
        <row r="709">
          <cell r="B709" t="str">
            <v>پخت کلاچ ایویکو سوراخدار</v>
          </cell>
          <cell r="C709" t="str">
            <v>قالب تعمیری</v>
          </cell>
          <cell r="P709" t="str">
            <v>پین</v>
          </cell>
          <cell r="AF709">
            <v>4</v>
          </cell>
          <cell r="AR709">
            <v>3000000</v>
          </cell>
        </row>
        <row r="710">
          <cell r="B710" t="str">
            <v>قالب ولوو سوپر</v>
          </cell>
          <cell r="C710" t="str">
            <v>قالب تعمیری</v>
          </cell>
          <cell r="P710" t="str">
            <v>mold</v>
          </cell>
          <cell r="AF710">
            <v>3</v>
          </cell>
          <cell r="AR710">
            <v>2250000</v>
          </cell>
        </row>
        <row r="711">
          <cell r="B711" t="str">
            <v xml:space="preserve">قالب پخت کلاچ پیکان </v>
          </cell>
          <cell r="C711" t="str">
            <v>قالب تعمیری</v>
          </cell>
          <cell r="P711" t="str">
            <v>top Plate</v>
          </cell>
          <cell r="AF711">
            <v>11</v>
          </cell>
          <cell r="AR711">
            <v>8250000</v>
          </cell>
        </row>
        <row r="712">
          <cell r="B712" t="str">
            <v>قالب ولوو سوپر</v>
          </cell>
          <cell r="C712" t="str">
            <v>قالب تعمیری</v>
          </cell>
          <cell r="P712" t="str">
            <v>mold</v>
          </cell>
          <cell r="AF712">
            <v>5</v>
          </cell>
          <cell r="AR712">
            <v>3750000</v>
          </cell>
        </row>
        <row r="713">
          <cell r="B713" t="str">
            <v>برشی نیوفیس C&amp;C</v>
          </cell>
          <cell r="C713" t="str">
            <v>قالب نو</v>
          </cell>
          <cell r="P713" t="str">
            <v>mold</v>
          </cell>
          <cell r="AF713">
            <v>2</v>
          </cell>
          <cell r="AR713">
            <v>1500000</v>
          </cell>
        </row>
        <row r="714">
          <cell r="B714" t="str">
            <v>پخت کلاچ پراید</v>
          </cell>
          <cell r="C714" t="str">
            <v>قالب تعمیری</v>
          </cell>
          <cell r="P714" t="str">
            <v>mold</v>
          </cell>
          <cell r="AF714">
            <v>3</v>
          </cell>
          <cell r="AR714">
            <v>2250000</v>
          </cell>
        </row>
        <row r="715">
          <cell r="B715" t="str">
            <v>قالب مینی بوس آریا</v>
          </cell>
          <cell r="C715" t="str">
            <v>قالب نو</v>
          </cell>
          <cell r="P715" t="str">
            <v>mold</v>
          </cell>
          <cell r="AF715">
            <v>12</v>
          </cell>
          <cell r="AR715">
            <v>9000000</v>
          </cell>
        </row>
        <row r="716">
          <cell r="B716" t="str">
            <v>لنت ترمز دیسكی جلو دیما(خم)</v>
          </cell>
          <cell r="C716" t="str">
            <v>قالب نو</v>
          </cell>
          <cell r="P716" t="str">
            <v>Mandrel</v>
          </cell>
          <cell r="AF716">
            <v>6</v>
          </cell>
          <cell r="AR716">
            <v>4500000</v>
          </cell>
        </row>
        <row r="717">
          <cell r="B717" t="str">
            <v>قالب عقب F12</v>
          </cell>
          <cell r="C717" t="str">
            <v>قالب نو</v>
          </cell>
          <cell r="P717" t="str">
            <v>Matrix</v>
          </cell>
          <cell r="AF717">
            <v>12</v>
          </cell>
          <cell r="AR717">
            <v>9000000</v>
          </cell>
        </row>
        <row r="718">
          <cell r="B718" t="str">
            <v>Hammer Mill Machine</v>
          </cell>
          <cell r="C718" t="str">
            <v>قطعه تعمیری</v>
          </cell>
          <cell r="P718" t="str">
            <v>کوبلینگ</v>
          </cell>
          <cell r="AF718">
            <v>5.5</v>
          </cell>
          <cell r="AR718">
            <v>4125000</v>
          </cell>
        </row>
        <row r="719">
          <cell r="B719" t="str">
            <v>دستگاه پرس پخت</v>
          </cell>
          <cell r="C719" t="str">
            <v>قطعه تعمیری</v>
          </cell>
          <cell r="P719" t="str">
            <v>فیوز</v>
          </cell>
          <cell r="AF719">
            <v>1</v>
          </cell>
          <cell r="AR719">
            <v>750000</v>
          </cell>
        </row>
        <row r="720">
          <cell r="B720" t="str">
            <v>ویوینگ</v>
          </cell>
          <cell r="C720" t="str">
            <v>قطعه تعمیری</v>
          </cell>
          <cell r="P720" t="str">
            <v>نافی</v>
          </cell>
          <cell r="AF720">
            <v>2.5</v>
          </cell>
          <cell r="AR720">
            <v>1875000</v>
          </cell>
        </row>
        <row r="721">
          <cell r="B721" t="str">
            <v>قالب ولوو سوپر</v>
          </cell>
          <cell r="C721" t="str">
            <v>قالب تعمیری</v>
          </cell>
          <cell r="P721" t="str">
            <v>mold</v>
          </cell>
          <cell r="AF721">
            <v>5</v>
          </cell>
          <cell r="AR721">
            <v>3750000</v>
          </cell>
        </row>
        <row r="722">
          <cell r="B722" t="str">
            <v>برشی نیوفیس C&amp;C</v>
          </cell>
          <cell r="C722" t="str">
            <v>قالب نو</v>
          </cell>
          <cell r="P722" t="str">
            <v>top Plate</v>
          </cell>
          <cell r="AF722">
            <v>1</v>
          </cell>
          <cell r="AR722">
            <v>750000</v>
          </cell>
        </row>
        <row r="723">
          <cell r="B723" t="str">
            <v>Hammer Mill Machine</v>
          </cell>
          <cell r="C723" t="str">
            <v>قطعه تعمیری</v>
          </cell>
          <cell r="P723" t="str">
            <v>Shaft</v>
          </cell>
          <cell r="AF723">
            <v>1</v>
          </cell>
          <cell r="AR723">
            <v>750000</v>
          </cell>
        </row>
        <row r="724">
          <cell r="B724" t="str">
            <v>پخت کلاچ پراید</v>
          </cell>
          <cell r="C724" t="str">
            <v>قالب تعمیری</v>
          </cell>
          <cell r="P724" t="str">
            <v>mold</v>
          </cell>
          <cell r="AF724">
            <v>1</v>
          </cell>
          <cell r="AR724">
            <v>750000</v>
          </cell>
        </row>
        <row r="725">
          <cell r="B725" t="str">
            <v>برشی نیوفیس C&amp;C</v>
          </cell>
          <cell r="C725" t="str">
            <v>قالب نو</v>
          </cell>
          <cell r="P725" t="str">
            <v>top Plate</v>
          </cell>
          <cell r="AF725">
            <v>9</v>
          </cell>
          <cell r="AR725">
            <v>6750000</v>
          </cell>
        </row>
        <row r="726">
          <cell r="B726" t="str">
            <v>قالب ولوو سوپر</v>
          </cell>
          <cell r="C726" t="str">
            <v>قالب تعمیری</v>
          </cell>
          <cell r="P726" t="str">
            <v>Mandrel</v>
          </cell>
          <cell r="AF726">
            <v>3</v>
          </cell>
          <cell r="AR726">
            <v>2250000</v>
          </cell>
        </row>
        <row r="727">
          <cell r="B727" t="str">
            <v>پخت کلاچ پراید</v>
          </cell>
          <cell r="C727" t="str">
            <v>قالب تعمیری</v>
          </cell>
          <cell r="P727" t="str">
            <v>Stop</v>
          </cell>
          <cell r="AF727">
            <v>1</v>
          </cell>
          <cell r="AR727">
            <v>750000</v>
          </cell>
        </row>
        <row r="728">
          <cell r="B728" t="str">
            <v>برشی نیوفیس C&amp;C</v>
          </cell>
          <cell r="C728" t="str">
            <v>قالب نو</v>
          </cell>
          <cell r="P728" t="str">
            <v>top Plate</v>
          </cell>
          <cell r="AF728">
            <v>3</v>
          </cell>
          <cell r="AR728">
            <v>2250000</v>
          </cell>
        </row>
        <row r="729">
          <cell r="B729" t="str">
            <v xml:space="preserve">قالب پخت کلاچ پیکان </v>
          </cell>
          <cell r="C729" t="str">
            <v>قالب تعمیری</v>
          </cell>
          <cell r="P729" t="str">
            <v>bottom plate</v>
          </cell>
          <cell r="AF729">
            <v>11</v>
          </cell>
          <cell r="AR729">
            <v>16500000</v>
          </cell>
        </row>
        <row r="730">
          <cell r="B730" t="str">
            <v>Hammer Mill Machine</v>
          </cell>
          <cell r="C730" t="str">
            <v>قطعه نو</v>
          </cell>
          <cell r="P730" t="str">
            <v>ریل</v>
          </cell>
          <cell r="AF730">
            <v>11</v>
          </cell>
          <cell r="AR730">
            <v>8250000</v>
          </cell>
        </row>
        <row r="731">
          <cell r="B731" t="str">
            <v>Hammer Mill Machine</v>
          </cell>
          <cell r="C731" t="str">
            <v>قطعه نو</v>
          </cell>
          <cell r="P731" t="str">
            <v>روبند ریل</v>
          </cell>
          <cell r="AF731">
            <v>3.5</v>
          </cell>
          <cell r="AR731">
            <v>2625000</v>
          </cell>
        </row>
        <row r="732">
          <cell r="B732" t="str">
            <v>Hammer Mill Machine</v>
          </cell>
          <cell r="C732" t="str">
            <v>قطعه نو</v>
          </cell>
          <cell r="P732" t="str">
            <v>روبند ریل</v>
          </cell>
          <cell r="AF732">
            <v>3</v>
          </cell>
          <cell r="AR732">
            <v>2250000</v>
          </cell>
        </row>
        <row r="733">
          <cell r="B733" t="str">
            <v>برشی نیوفیس C&amp;C</v>
          </cell>
          <cell r="C733" t="str">
            <v>قالب نو</v>
          </cell>
          <cell r="P733" t="str">
            <v>کفشک گیر</v>
          </cell>
          <cell r="AF733">
            <v>6.5</v>
          </cell>
          <cell r="AR733">
            <v>9750000</v>
          </cell>
        </row>
        <row r="734">
          <cell r="B734" t="str">
            <v>برشی نیوفیس C&amp;C</v>
          </cell>
          <cell r="C734" t="str">
            <v>قالب نو</v>
          </cell>
          <cell r="P734" t="str">
            <v>top Plate</v>
          </cell>
          <cell r="AF734">
            <v>4.5</v>
          </cell>
          <cell r="AR734">
            <v>6750000</v>
          </cell>
        </row>
        <row r="735">
          <cell r="B735" t="str">
            <v>دستگاه پرس پخت</v>
          </cell>
          <cell r="C735" t="str">
            <v>قطعه تعمیری</v>
          </cell>
          <cell r="P735" t="str">
            <v>فیوز</v>
          </cell>
          <cell r="AF735">
            <v>2</v>
          </cell>
          <cell r="AR735">
            <v>1500000</v>
          </cell>
        </row>
        <row r="736">
          <cell r="B736" t="str">
            <v>ویوینگ</v>
          </cell>
          <cell r="C736" t="str">
            <v>قطعه تعمیری</v>
          </cell>
          <cell r="P736" t="str">
            <v>دولویی</v>
          </cell>
          <cell r="AF736">
            <v>9</v>
          </cell>
          <cell r="AR736">
            <v>6750000</v>
          </cell>
        </row>
        <row r="737">
          <cell r="B737" t="str">
            <v>دستگاه پرس پخت</v>
          </cell>
          <cell r="C737" t="str">
            <v>قطعه نو</v>
          </cell>
          <cell r="P737" t="str">
            <v>پیتسوله</v>
          </cell>
          <cell r="AF737">
            <v>4</v>
          </cell>
          <cell r="AR737">
            <v>3000000</v>
          </cell>
        </row>
        <row r="738">
          <cell r="B738" t="str">
            <v>ایسوزو 6 تن</v>
          </cell>
          <cell r="C738" t="str">
            <v>قالب تعمیری</v>
          </cell>
          <cell r="P738" t="str">
            <v>میل راهنما</v>
          </cell>
          <cell r="AF738">
            <v>4</v>
          </cell>
          <cell r="AR738">
            <v>3000000</v>
          </cell>
        </row>
        <row r="739">
          <cell r="B739" t="str">
            <v>ایسوزو 6 تن</v>
          </cell>
          <cell r="C739" t="str">
            <v>قالب تعمیری</v>
          </cell>
          <cell r="P739" t="str">
            <v>پیچ</v>
          </cell>
          <cell r="AF739">
            <v>3</v>
          </cell>
          <cell r="AR739">
            <v>2250000</v>
          </cell>
        </row>
        <row r="740">
          <cell r="B740" t="str">
            <v xml:space="preserve">قالب پخت کلاچ پیکان </v>
          </cell>
          <cell r="C740" t="str">
            <v>قالب تعمیری</v>
          </cell>
          <cell r="P740" t="str">
            <v>top Plate</v>
          </cell>
          <cell r="AF740">
            <v>3.5</v>
          </cell>
          <cell r="AR740">
            <v>2625000</v>
          </cell>
        </row>
        <row r="741">
          <cell r="B741" t="str">
            <v>پایه پرچ لنت نیسان</v>
          </cell>
          <cell r="C741" t="str">
            <v>قطعه نو</v>
          </cell>
          <cell r="P741" t="str">
            <v>قطعه</v>
          </cell>
          <cell r="AF741">
            <v>2</v>
          </cell>
          <cell r="AR741">
            <v>1500000</v>
          </cell>
        </row>
        <row r="742">
          <cell r="B742" t="str">
            <v>Hammer Mill Machine</v>
          </cell>
          <cell r="C742" t="str">
            <v>قطعه نو</v>
          </cell>
          <cell r="P742" t="str">
            <v>قطعه</v>
          </cell>
          <cell r="AF742">
            <v>5.5</v>
          </cell>
          <cell r="AR742">
            <v>4125000</v>
          </cell>
        </row>
        <row r="743">
          <cell r="B743" t="str">
            <v>Hammer Mill Machine</v>
          </cell>
          <cell r="C743" t="str">
            <v>قطعه نو</v>
          </cell>
          <cell r="P743" t="str">
            <v>تیغه</v>
          </cell>
          <cell r="AF743">
            <v>2</v>
          </cell>
          <cell r="AR743">
            <v>1500000</v>
          </cell>
        </row>
        <row r="744">
          <cell r="B744" t="str">
            <v>ده تن سوراخدار</v>
          </cell>
          <cell r="C744" t="str">
            <v>قالب تعمیری</v>
          </cell>
          <cell r="P744" t="str">
            <v>mold</v>
          </cell>
          <cell r="AF744">
            <v>1</v>
          </cell>
          <cell r="AR744">
            <v>750000</v>
          </cell>
        </row>
        <row r="745">
          <cell r="B745" t="str">
            <v>پخت کلاچ اینترکولر</v>
          </cell>
          <cell r="C745" t="str">
            <v>قالب تعمیری</v>
          </cell>
          <cell r="P745" t="str">
            <v>mold</v>
          </cell>
          <cell r="AF745">
            <v>3</v>
          </cell>
          <cell r="AR745">
            <v>2250000</v>
          </cell>
        </row>
        <row r="746">
          <cell r="B746" t="str">
            <v>پخت کلاچ پراید</v>
          </cell>
          <cell r="C746" t="str">
            <v>قالب تعمیری</v>
          </cell>
          <cell r="P746" t="str">
            <v>mold</v>
          </cell>
          <cell r="AF746">
            <v>2</v>
          </cell>
          <cell r="AR746">
            <v>1500000</v>
          </cell>
        </row>
        <row r="747">
          <cell r="B747" t="str">
            <v>پخت کلاچ پراید</v>
          </cell>
          <cell r="C747" t="str">
            <v>قالب تعمیری</v>
          </cell>
          <cell r="P747" t="str">
            <v>mold</v>
          </cell>
          <cell r="AF747">
            <v>2.5</v>
          </cell>
          <cell r="AR747">
            <v>1875000</v>
          </cell>
        </row>
        <row r="748">
          <cell r="B748" t="str">
            <v>جلو ریو</v>
          </cell>
          <cell r="C748" t="str">
            <v>قالب تعمیری</v>
          </cell>
          <cell r="P748" t="str">
            <v>mold</v>
          </cell>
          <cell r="AF748">
            <v>0.5</v>
          </cell>
          <cell r="AR748">
            <v>375000</v>
          </cell>
        </row>
        <row r="749">
          <cell r="B749" t="str">
            <v>Hammer Mill Machine</v>
          </cell>
          <cell r="C749" t="str">
            <v>قطعه نو</v>
          </cell>
          <cell r="P749" t="str">
            <v>قطعات</v>
          </cell>
          <cell r="AF749">
            <v>1</v>
          </cell>
          <cell r="AR749">
            <v>750000</v>
          </cell>
        </row>
        <row r="750">
          <cell r="B750" t="str">
            <v>ایسوزو 6 تن</v>
          </cell>
          <cell r="C750" t="str">
            <v>قالب تعمیری</v>
          </cell>
          <cell r="P750" t="str">
            <v>mold</v>
          </cell>
          <cell r="AF750">
            <v>1</v>
          </cell>
          <cell r="AR750">
            <v>750000</v>
          </cell>
        </row>
        <row r="751">
          <cell r="B751" t="str">
            <v>ایسوزو 6 تن</v>
          </cell>
          <cell r="C751" t="str">
            <v>قالب تعمیری</v>
          </cell>
          <cell r="P751" t="str">
            <v>top Plate</v>
          </cell>
          <cell r="AF751">
            <v>1</v>
          </cell>
          <cell r="AR751">
            <v>750000</v>
          </cell>
        </row>
        <row r="752">
          <cell r="B752" t="str">
            <v>ایسوزو 6 تن</v>
          </cell>
          <cell r="C752" t="str">
            <v>قالب تعمیری</v>
          </cell>
          <cell r="P752" t="str">
            <v>bottom plate</v>
          </cell>
          <cell r="AF752">
            <v>1</v>
          </cell>
          <cell r="AR752">
            <v>750000</v>
          </cell>
        </row>
        <row r="753">
          <cell r="B753" t="str">
            <v>ده تن سوراخدار</v>
          </cell>
          <cell r="C753" t="str">
            <v>قالب تعمیری</v>
          </cell>
          <cell r="P753" t="str">
            <v>mold</v>
          </cell>
          <cell r="AF753">
            <v>1</v>
          </cell>
          <cell r="AR753">
            <v>750000</v>
          </cell>
        </row>
        <row r="754">
          <cell r="B754" t="str">
            <v>پخت کلاچ اینترکولر</v>
          </cell>
          <cell r="C754" t="str">
            <v>قالب تعمیری</v>
          </cell>
          <cell r="P754" t="str">
            <v>mold</v>
          </cell>
          <cell r="AF754">
            <v>1</v>
          </cell>
          <cell r="AR754">
            <v>750000</v>
          </cell>
        </row>
        <row r="755">
          <cell r="B755" t="str">
            <v>برشی نیوفیس C&amp;C</v>
          </cell>
          <cell r="C755" t="str">
            <v>قالب نو</v>
          </cell>
          <cell r="P755" t="str">
            <v>top Plate</v>
          </cell>
          <cell r="AF755">
            <v>11</v>
          </cell>
          <cell r="AR755">
            <v>8250000</v>
          </cell>
        </row>
        <row r="756">
          <cell r="B756" t="str">
            <v>برشی نیوفیس C&amp;C</v>
          </cell>
          <cell r="C756" t="str">
            <v>قالب نو</v>
          </cell>
          <cell r="P756" t="str">
            <v>bottom plate</v>
          </cell>
          <cell r="AF756">
            <v>5</v>
          </cell>
          <cell r="AR756">
            <v>3750000</v>
          </cell>
        </row>
        <row r="757">
          <cell r="B757" t="str">
            <v>قالب توری SAF قدیم</v>
          </cell>
          <cell r="C757" t="str">
            <v>قالب تعمیری</v>
          </cell>
          <cell r="P757" t="str">
            <v>Matrix</v>
          </cell>
          <cell r="AF757">
            <v>1.5</v>
          </cell>
          <cell r="AR757">
            <v>1125000</v>
          </cell>
        </row>
        <row r="758">
          <cell r="B758" t="str">
            <v>قالب توری SAF قدیم</v>
          </cell>
          <cell r="C758" t="str">
            <v>قالب تعمیری</v>
          </cell>
          <cell r="P758" t="str">
            <v>Mandrel</v>
          </cell>
          <cell r="AF758">
            <v>1.5</v>
          </cell>
          <cell r="AR758">
            <v>1125000</v>
          </cell>
        </row>
        <row r="759">
          <cell r="B759" t="str">
            <v>پخت کلاچ پراید</v>
          </cell>
          <cell r="C759" t="str">
            <v>قالب تعمیری</v>
          </cell>
          <cell r="P759" t="str">
            <v>Stop</v>
          </cell>
          <cell r="AF759">
            <v>2</v>
          </cell>
          <cell r="AR759">
            <v>1500000</v>
          </cell>
        </row>
        <row r="760">
          <cell r="B760" t="str">
            <v>Hammer Mill Machine</v>
          </cell>
          <cell r="C760" t="str">
            <v>قطعه نو</v>
          </cell>
          <cell r="P760" t="str">
            <v>ریل</v>
          </cell>
          <cell r="AF760">
            <v>11</v>
          </cell>
          <cell r="AR760">
            <v>8250000</v>
          </cell>
        </row>
        <row r="761">
          <cell r="B761" t="str">
            <v>Hammer Mill Machine</v>
          </cell>
          <cell r="C761" t="str">
            <v>قطعه تعمیری</v>
          </cell>
          <cell r="P761" t="str">
            <v>رینگ</v>
          </cell>
          <cell r="AF761">
            <v>11</v>
          </cell>
          <cell r="AR761">
            <v>8250000</v>
          </cell>
        </row>
        <row r="762">
          <cell r="B762" t="str">
            <v xml:space="preserve">قالب پخت کلاچ پیکان </v>
          </cell>
          <cell r="C762" t="str">
            <v>قالب تعمیری</v>
          </cell>
          <cell r="P762" t="str">
            <v>bottom plate</v>
          </cell>
          <cell r="AF762">
            <v>8</v>
          </cell>
          <cell r="AR762">
            <v>12000000</v>
          </cell>
        </row>
        <row r="763">
          <cell r="B763" t="str">
            <v xml:space="preserve">قالب پخت کلاچ پیکان </v>
          </cell>
          <cell r="C763" t="str">
            <v>قالب تعمیری</v>
          </cell>
          <cell r="P763" t="str">
            <v>top Plate</v>
          </cell>
          <cell r="AF763">
            <v>3</v>
          </cell>
          <cell r="AR763">
            <v>4500000</v>
          </cell>
        </row>
        <row r="764">
          <cell r="B764" t="str">
            <v>برشی نیوفیس C&amp;C</v>
          </cell>
          <cell r="C764" t="str">
            <v>قالب نو</v>
          </cell>
          <cell r="P764" t="str">
            <v>top Plate</v>
          </cell>
          <cell r="AF764">
            <v>9</v>
          </cell>
          <cell r="AR764">
            <v>13500000</v>
          </cell>
        </row>
        <row r="765">
          <cell r="B765" t="str">
            <v>سوراخکاری پیلسان</v>
          </cell>
          <cell r="C765" t="str">
            <v>قطعه نو</v>
          </cell>
          <cell r="P765" t="str">
            <v>Mandrel</v>
          </cell>
          <cell r="AF765">
            <v>2</v>
          </cell>
          <cell r="AR765">
            <v>3000000</v>
          </cell>
        </row>
        <row r="766">
          <cell r="B766" t="str">
            <v>ویوینگ</v>
          </cell>
          <cell r="C766" t="str">
            <v>قطعه تعمیری</v>
          </cell>
          <cell r="P766" t="str">
            <v>دولویی</v>
          </cell>
          <cell r="AF766">
            <v>0.75</v>
          </cell>
          <cell r="AR766">
            <v>562500</v>
          </cell>
        </row>
        <row r="767">
          <cell r="B767" t="str">
            <v>دستگاه پشم فلز</v>
          </cell>
          <cell r="C767" t="str">
            <v>قطعه تعمیری</v>
          </cell>
          <cell r="P767" t="str">
            <v>U</v>
          </cell>
          <cell r="AF767">
            <v>5.75</v>
          </cell>
          <cell r="AR767">
            <v>4312500</v>
          </cell>
        </row>
        <row r="768">
          <cell r="B768" t="str">
            <v>پخت کلاچ اینترکولر</v>
          </cell>
          <cell r="C768" t="str">
            <v>قالب تعمیری</v>
          </cell>
          <cell r="P768" t="str">
            <v>mold</v>
          </cell>
          <cell r="AF768">
            <v>4</v>
          </cell>
          <cell r="AR768">
            <v>3000000</v>
          </cell>
        </row>
        <row r="769">
          <cell r="B769" t="str">
            <v>قالب ولوو سوپر</v>
          </cell>
          <cell r="C769" t="str">
            <v>قالب تعمیری</v>
          </cell>
          <cell r="P769" t="str">
            <v>روبند</v>
          </cell>
          <cell r="AF769">
            <v>4</v>
          </cell>
          <cell r="AR769">
            <v>3000000</v>
          </cell>
        </row>
        <row r="770">
          <cell r="B770" t="str">
            <v xml:space="preserve">قالب پخت کلاچ پیکان </v>
          </cell>
          <cell r="C770" t="str">
            <v>قالب تعمیری</v>
          </cell>
          <cell r="P770" t="str">
            <v>top Plate</v>
          </cell>
          <cell r="AF770">
            <v>2</v>
          </cell>
          <cell r="AR770">
            <v>1500000</v>
          </cell>
        </row>
        <row r="771">
          <cell r="B771" t="str">
            <v>ایسوزو 6 تن</v>
          </cell>
          <cell r="C771" t="str">
            <v>قالب تعمیری</v>
          </cell>
          <cell r="P771" t="str">
            <v>bottom plate</v>
          </cell>
          <cell r="AF771">
            <v>4</v>
          </cell>
          <cell r="AR771">
            <v>3000000</v>
          </cell>
        </row>
        <row r="772">
          <cell r="B772" t="str">
            <v>شمش پراید</v>
          </cell>
          <cell r="C772" t="str">
            <v>قالب نو</v>
          </cell>
          <cell r="P772" t="str">
            <v>Stop</v>
          </cell>
          <cell r="AF772">
            <v>1</v>
          </cell>
          <cell r="AR772">
            <v>750000</v>
          </cell>
        </row>
        <row r="773">
          <cell r="B773" t="str">
            <v>دریل یزدخواستی کلاچ</v>
          </cell>
          <cell r="C773" t="str">
            <v>قطعه نو</v>
          </cell>
          <cell r="P773" t="str">
            <v>راهنمای پراید</v>
          </cell>
          <cell r="AF773">
            <v>1</v>
          </cell>
          <cell r="AR773">
            <v>750000</v>
          </cell>
        </row>
        <row r="774">
          <cell r="B774" t="str">
            <v xml:space="preserve">قالب پخت کلاچ پیکان </v>
          </cell>
          <cell r="C774" t="str">
            <v>قالب تعمیری</v>
          </cell>
          <cell r="P774" t="str">
            <v>top Plate</v>
          </cell>
          <cell r="AF774">
            <v>2</v>
          </cell>
          <cell r="AR774">
            <v>1500000</v>
          </cell>
        </row>
        <row r="775">
          <cell r="B775" t="str">
            <v>ایسوزو 6 تن</v>
          </cell>
          <cell r="C775" t="str">
            <v>قالب تعمیری</v>
          </cell>
          <cell r="P775" t="str">
            <v>میل راهنما</v>
          </cell>
          <cell r="AF775">
            <v>4</v>
          </cell>
          <cell r="AR775">
            <v>3000000</v>
          </cell>
        </row>
        <row r="776">
          <cell r="B776" t="str">
            <v>شمش پراید</v>
          </cell>
          <cell r="C776" t="str">
            <v>قالب نو</v>
          </cell>
          <cell r="P776" t="str">
            <v>Stop</v>
          </cell>
          <cell r="AF776">
            <v>3</v>
          </cell>
          <cell r="AR776">
            <v>2250000</v>
          </cell>
        </row>
        <row r="777">
          <cell r="B777" t="str">
            <v>Hammer Mill Machine</v>
          </cell>
          <cell r="C777" t="str">
            <v>قطعه نو</v>
          </cell>
          <cell r="P777" t="str">
            <v>Bush</v>
          </cell>
          <cell r="AF777">
            <v>2</v>
          </cell>
          <cell r="AR777">
            <v>1500000</v>
          </cell>
        </row>
        <row r="778">
          <cell r="B778" t="str">
            <v xml:space="preserve">قالب پخت کلاچ پیکان </v>
          </cell>
          <cell r="C778" t="str">
            <v>قالب تعمیری</v>
          </cell>
          <cell r="P778" t="str">
            <v>Bush</v>
          </cell>
          <cell r="AF778">
            <v>2</v>
          </cell>
          <cell r="AR778">
            <v>1500000</v>
          </cell>
        </row>
        <row r="779">
          <cell r="B779" t="str">
            <v>قالب مینی بوس آریا</v>
          </cell>
          <cell r="C779" t="str">
            <v>قالب نو</v>
          </cell>
          <cell r="P779" t="str">
            <v>Matrix</v>
          </cell>
          <cell r="AF779">
            <v>12</v>
          </cell>
          <cell r="AR779">
            <v>9000000</v>
          </cell>
        </row>
        <row r="780">
          <cell r="B780" t="str">
            <v>برشی نیوفیس C&amp;C</v>
          </cell>
          <cell r="C780" t="str">
            <v>قالب نو</v>
          </cell>
          <cell r="P780" t="str">
            <v>نگهدارنده Mandrel</v>
          </cell>
          <cell r="AF780">
            <v>7</v>
          </cell>
          <cell r="AR780">
            <v>5250000</v>
          </cell>
        </row>
        <row r="781">
          <cell r="B781" t="str">
            <v>قالب کوبه نک SAF</v>
          </cell>
          <cell r="C781" t="str">
            <v>قالب تعمیری</v>
          </cell>
          <cell r="P781" t="str">
            <v>top Plate</v>
          </cell>
          <cell r="AF781">
            <v>1</v>
          </cell>
          <cell r="AR781">
            <v>750000</v>
          </cell>
        </row>
        <row r="782">
          <cell r="B782" t="str">
            <v>قالب پخت کلاچ پژو 405</v>
          </cell>
          <cell r="C782" t="str">
            <v>قالب تعمیری</v>
          </cell>
          <cell r="P782" t="str">
            <v>mold</v>
          </cell>
          <cell r="AF782">
            <v>4</v>
          </cell>
          <cell r="AR782">
            <v>3000000</v>
          </cell>
        </row>
        <row r="783">
          <cell r="B783" t="str">
            <v>دستگاه فرز</v>
          </cell>
          <cell r="C783" t="str">
            <v>قطعه تعمیری</v>
          </cell>
          <cell r="P783" t="str">
            <v>تیغه</v>
          </cell>
          <cell r="AF783">
            <v>4</v>
          </cell>
          <cell r="AR783">
            <v>3000000</v>
          </cell>
        </row>
        <row r="784">
          <cell r="B784" t="str">
            <v>قالب عقب F12</v>
          </cell>
          <cell r="C784" t="str">
            <v>قالب نو</v>
          </cell>
          <cell r="P784" t="str">
            <v>Matrix</v>
          </cell>
          <cell r="AF784">
            <v>12</v>
          </cell>
          <cell r="AR784">
            <v>9000000</v>
          </cell>
        </row>
        <row r="785">
          <cell r="B785" t="str">
            <v>دستگاه پرس پخت</v>
          </cell>
          <cell r="C785" t="str">
            <v>قطعه تعمیری</v>
          </cell>
          <cell r="P785" t="str">
            <v>جک</v>
          </cell>
          <cell r="AF785">
            <v>2.5</v>
          </cell>
          <cell r="AR785">
            <v>1875000</v>
          </cell>
        </row>
        <row r="786">
          <cell r="B786" t="str">
            <v>ویوینگ</v>
          </cell>
          <cell r="C786" t="str">
            <v>قطعه تعمیری</v>
          </cell>
          <cell r="P786" t="str">
            <v>دولویی</v>
          </cell>
          <cell r="AF786">
            <v>2</v>
          </cell>
          <cell r="AR786">
            <v>1500000</v>
          </cell>
        </row>
        <row r="787">
          <cell r="B787" t="str">
            <v>ویوینگ</v>
          </cell>
          <cell r="C787" t="str">
            <v>قطعه تعمیری</v>
          </cell>
          <cell r="P787" t="str">
            <v>دولویی</v>
          </cell>
          <cell r="AF787">
            <v>1.5</v>
          </cell>
          <cell r="AR787">
            <v>1125000</v>
          </cell>
        </row>
        <row r="788">
          <cell r="B788" t="str">
            <v>دستگاه پرس پخت</v>
          </cell>
          <cell r="C788" t="str">
            <v>قطعه تعمیری</v>
          </cell>
          <cell r="P788" t="str">
            <v>جک</v>
          </cell>
          <cell r="AF788">
            <v>1.5</v>
          </cell>
          <cell r="AR788">
            <v>1125000</v>
          </cell>
        </row>
        <row r="789">
          <cell r="B789" t="str">
            <v>دستگاه پرس پخت</v>
          </cell>
          <cell r="C789" t="str">
            <v>قطعه تعمیری</v>
          </cell>
          <cell r="P789" t="str">
            <v>فیوز</v>
          </cell>
          <cell r="AF789">
            <v>1</v>
          </cell>
          <cell r="AR789">
            <v>750000</v>
          </cell>
        </row>
      </sheetData>
      <sheetData sheetId="4">
        <row r="1">
          <cell r="B1" t="str">
            <v>قالب / قطعه / دستگاه</v>
          </cell>
          <cell r="C1" t="str">
            <v>نوع تعمیر</v>
          </cell>
          <cell r="P1" t="str">
            <v>قطعه</v>
          </cell>
          <cell r="AR1" t="str">
            <v>قیمت کار شده
(تومان)</v>
          </cell>
        </row>
        <row r="2">
          <cell r="B2" t="str">
            <v>سوراخکاری پیلسان</v>
          </cell>
          <cell r="C2" t="str">
            <v>قطعه نو</v>
          </cell>
          <cell r="P2" t="str">
            <v>Mandrel</v>
          </cell>
          <cell r="AR2">
            <v>11250000</v>
          </cell>
        </row>
        <row r="3">
          <cell r="B3" t="str">
            <v>Hammer Mill Machine</v>
          </cell>
          <cell r="C3" t="str">
            <v>قطعه تعمیری</v>
          </cell>
          <cell r="P3" t="str">
            <v>رینگ</v>
          </cell>
          <cell r="AR3">
            <v>5625000</v>
          </cell>
        </row>
        <row r="4">
          <cell r="B4" t="str">
            <v>شمش پراید</v>
          </cell>
          <cell r="C4" t="str">
            <v>قالب نو</v>
          </cell>
          <cell r="P4" t="str">
            <v>صفحه</v>
          </cell>
          <cell r="AR4">
            <v>5625000</v>
          </cell>
        </row>
        <row r="5">
          <cell r="B5" t="str">
            <v xml:space="preserve">قالب پخت کلاچ پیکان </v>
          </cell>
          <cell r="C5" t="str">
            <v>قالب تعمیری</v>
          </cell>
          <cell r="P5" t="str">
            <v>Mold</v>
          </cell>
          <cell r="AR5">
            <v>2625000</v>
          </cell>
        </row>
        <row r="6">
          <cell r="B6" t="str">
            <v>قالب ولوو سوپر</v>
          </cell>
          <cell r="C6" t="str">
            <v>قالب تعمیری</v>
          </cell>
          <cell r="P6" t="str">
            <v>روبند</v>
          </cell>
          <cell r="AR6">
            <v>2250000</v>
          </cell>
        </row>
        <row r="7">
          <cell r="B7" t="str">
            <v>اصول 5S</v>
          </cell>
          <cell r="C7" t="str">
            <v>نظافت</v>
          </cell>
          <cell r="P7" t="str">
            <v>دستگاه</v>
          </cell>
          <cell r="AR7">
            <v>750000</v>
          </cell>
        </row>
        <row r="8">
          <cell r="B8" t="str">
            <v>اصول 5S</v>
          </cell>
          <cell r="C8" t="str">
            <v>نظافت</v>
          </cell>
          <cell r="P8" t="str">
            <v>دستگاه</v>
          </cell>
          <cell r="AR8">
            <v>750000</v>
          </cell>
        </row>
        <row r="9">
          <cell r="B9" t="str">
            <v xml:space="preserve">قالب پخت کلاچ پیکان </v>
          </cell>
          <cell r="C9" t="str">
            <v>قالب تعمیری</v>
          </cell>
          <cell r="P9" t="str">
            <v>top Plate</v>
          </cell>
          <cell r="AR9">
            <v>3750000</v>
          </cell>
        </row>
        <row r="10">
          <cell r="B10" t="str">
            <v xml:space="preserve">قالب پخت کلاچ پیکان </v>
          </cell>
          <cell r="C10" t="str">
            <v>قالب تعمیری</v>
          </cell>
          <cell r="P10" t="str">
            <v>bottom plate</v>
          </cell>
          <cell r="AR10">
            <v>7500000</v>
          </cell>
        </row>
        <row r="11">
          <cell r="B11" t="str">
            <v xml:space="preserve">قالب پخت کلاچ پیکان </v>
          </cell>
          <cell r="C11" t="str">
            <v>قالب تعمیری</v>
          </cell>
          <cell r="P11" t="str">
            <v>top Plate</v>
          </cell>
          <cell r="AR11">
            <v>2500000</v>
          </cell>
        </row>
        <row r="12">
          <cell r="B12" t="str">
            <v xml:space="preserve">قالب پخت کلاچ پیکان </v>
          </cell>
          <cell r="C12" t="str">
            <v>قالب تعمیری</v>
          </cell>
          <cell r="P12" t="str">
            <v>میل راهنما</v>
          </cell>
          <cell r="AR12">
            <v>2500000</v>
          </cell>
        </row>
        <row r="13">
          <cell r="B13" t="str">
            <v>اصول 5S</v>
          </cell>
          <cell r="C13" t="str">
            <v>نظافت</v>
          </cell>
          <cell r="P13" t="str">
            <v>دستگاه</v>
          </cell>
          <cell r="AR13">
            <v>625000</v>
          </cell>
        </row>
        <row r="14">
          <cell r="B14" t="str">
            <v>ایسوزو 6 تن</v>
          </cell>
          <cell r="C14" t="str">
            <v>قالب تعمیری</v>
          </cell>
          <cell r="P14" t="str">
            <v>میل راهنما</v>
          </cell>
          <cell r="AR14">
            <v>3000000</v>
          </cell>
        </row>
        <row r="15">
          <cell r="B15" t="str">
            <v>سری نقطه جوش</v>
          </cell>
          <cell r="C15" t="str">
            <v>قطعه تعمیری</v>
          </cell>
          <cell r="P15" t="str">
            <v>مسی</v>
          </cell>
          <cell r="AR15">
            <v>750000</v>
          </cell>
        </row>
        <row r="16">
          <cell r="B16" t="str">
            <v>اصول 5S</v>
          </cell>
          <cell r="C16" t="str">
            <v>نظافت</v>
          </cell>
          <cell r="P16" t="str">
            <v>دستگاه</v>
          </cell>
          <cell r="AR16">
            <v>1125000</v>
          </cell>
        </row>
        <row r="17">
          <cell r="B17" t="str">
            <v>دستگاه پرس پخت</v>
          </cell>
          <cell r="C17" t="str">
            <v>قطعه تعمیری</v>
          </cell>
          <cell r="P17" t="str">
            <v>فیوز</v>
          </cell>
          <cell r="AR17">
            <v>3000000</v>
          </cell>
        </row>
        <row r="18">
          <cell r="B18" t="str">
            <v>دیتگاه وایر</v>
          </cell>
          <cell r="C18" t="str">
            <v>قطعه نو</v>
          </cell>
          <cell r="P18" t="str">
            <v>Bush</v>
          </cell>
          <cell r="AR18">
            <v>750000</v>
          </cell>
        </row>
        <row r="19">
          <cell r="B19" t="str">
            <v>قالب پخت کلاچ پژو 405</v>
          </cell>
          <cell r="C19" t="str">
            <v>قالب تعمیری</v>
          </cell>
          <cell r="P19" t="str">
            <v>پین واسطه</v>
          </cell>
          <cell r="AR19">
            <v>750000</v>
          </cell>
        </row>
        <row r="20">
          <cell r="B20" t="str">
            <v>اصول 5S</v>
          </cell>
          <cell r="C20" t="str">
            <v>نظافت</v>
          </cell>
          <cell r="P20" t="str">
            <v>دستگاه</v>
          </cell>
          <cell r="AR20">
            <v>750000</v>
          </cell>
        </row>
        <row r="21">
          <cell r="B21" t="str">
            <v>قالب مینی بوس آریا</v>
          </cell>
          <cell r="C21" t="str">
            <v>قالب نو</v>
          </cell>
          <cell r="P21" t="str">
            <v>Matrix</v>
          </cell>
          <cell r="AR21">
            <v>6000000</v>
          </cell>
        </row>
        <row r="22">
          <cell r="B22" t="str">
            <v>قالب پخت کلاچ پژو 405</v>
          </cell>
          <cell r="C22" t="str">
            <v>قالب تعمیری</v>
          </cell>
          <cell r="P22" t="str">
            <v>mold</v>
          </cell>
          <cell r="AR22">
            <v>6000000</v>
          </cell>
        </row>
        <row r="23">
          <cell r="B23" t="str">
            <v>قلم پژو 405</v>
          </cell>
          <cell r="C23" t="str">
            <v>قطعه تعمیری</v>
          </cell>
          <cell r="P23" t="str">
            <v>قلم</v>
          </cell>
          <cell r="AR23">
            <v>3750000</v>
          </cell>
        </row>
        <row r="24">
          <cell r="B24" t="str">
            <v>قالب عقب F12</v>
          </cell>
          <cell r="C24" t="str">
            <v>قالب تعمیری</v>
          </cell>
          <cell r="P24" t="str">
            <v>Matrix</v>
          </cell>
          <cell r="AR24">
            <v>6000000</v>
          </cell>
        </row>
        <row r="25">
          <cell r="B25" t="str">
            <v xml:space="preserve">قالب پخت کلاچ پیکان </v>
          </cell>
          <cell r="C25" t="str">
            <v>قالب تعمیری</v>
          </cell>
          <cell r="P25" t="str">
            <v>Mold</v>
          </cell>
          <cell r="AR25">
            <v>1875000</v>
          </cell>
        </row>
        <row r="26">
          <cell r="B26" t="str">
            <v>رادیاتور آغشته کاری</v>
          </cell>
          <cell r="C26" t="str">
            <v>قطعه تعمیری</v>
          </cell>
          <cell r="P26" t="str">
            <v>قوطی</v>
          </cell>
          <cell r="AR26">
            <v>375000</v>
          </cell>
        </row>
        <row r="27">
          <cell r="B27" t="str">
            <v>ویوینگ</v>
          </cell>
          <cell r="C27" t="str">
            <v>قطعه تعمیری</v>
          </cell>
          <cell r="P27" t="str">
            <v>صفحه</v>
          </cell>
          <cell r="AR27">
            <v>750000</v>
          </cell>
        </row>
        <row r="28">
          <cell r="B28" t="str">
            <v>ایسوزو 6 تن</v>
          </cell>
          <cell r="C28" t="str">
            <v>قالب تعمیری</v>
          </cell>
          <cell r="P28" t="str">
            <v>top Plate</v>
          </cell>
          <cell r="AR28">
            <v>1875000</v>
          </cell>
        </row>
        <row r="30">
          <cell r="B30" t="str">
            <v>قالب ولوو سوپر</v>
          </cell>
          <cell r="C30" t="str">
            <v>قالب تعمیری</v>
          </cell>
          <cell r="P30" t="str">
            <v>روبند</v>
          </cell>
          <cell r="AF30">
            <v>3</v>
          </cell>
          <cell r="AR30">
            <v>2250000</v>
          </cell>
        </row>
        <row r="31">
          <cell r="B31" t="str">
            <v>قالب ولوو سوپر</v>
          </cell>
          <cell r="C31" t="str">
            <v>قالب تعمیری</v>
          </cell>
          <cell r="P31" t="str">
            <v>روبند</v>
          </cell>
          <cell r="AF31">
            <v>8</v>
          </cell>
          <cell r="AR31">
            <v>6000000</v>
          </cell>
        </row>
        <row r="32">
          <cell r="B32" t="str">
            <v>برشی نیوفیس C&amp;C</v>
          </cell>
          <cell r="C32" t="str">
            <v>قالب نو</v>
          </cell>
          <cell r="P32" t="str">
            <v>ورقگیر</v>
          </cell>
          <cell r="AF32">
            <v>3.5</v>
          </cell>
          <cell r="AR32">
            <v>5250000</v>
          </cell>
        </row>
        <row r="33">
          <cell r="B33" t="str">
            <v>ویوینگ</v>
          </cell>
          <cell r="C33" t="str">
            <v>قالب تعمیری</v>
          </cell>
          <cell r="P33" t="str">
            <v>صفحه توری</v>
          </cell>
          <cell r="AF33">
            <v>7.5</v>
          </cell>
          <cell r="AR33">
            <v>11250000</v>
          </cell>
        </row>
        <row r="34">
          <cell r="B34" t="str">
            <v>Hammer Mill Machine</v>
          </cell>
          <cell r="C34" t="str">
            <v>قطعه تعمیری</v>
          </cell>
          <cell r="P34" t="str">
            <v>رینگ</v>
          </cell>
          <cell r="AF34">
            <v>7.5</v>
          </cell>
          <cell r="AR34">
            <v>5625000</v>
          </cell>
        </row>
        <row r="35">
          <cell r="B35" t="str">
            <v>ویوینگ</v>
          </cell>
          <cell r="C35" t="str">
            <v>قالب تعمیری</v>
          </cell>
          <cell r="P35" t="str">
            <v>صفحه توری</v>
          </cell>
          <cell r="AF35">
            <v>3.5</v>
          </cell>
          <cell r="AR35">
            <v>2625000</v>
          </cell>
        </row>
        <row r="36">
          <cell r="B36" t="str">
            <v>جلو سمند سورن</v>
          </cell>
          <cell r="C36" t="str">
            <v>قالب تعمیری</v>
          </cell>
          <cell r="P36" t="str">
            <v>میل راهنما</v>
          </cell>
          <cell r="AF36">
            <v>4.166666666666667</v>
          </cell>
          <cell r="AR36">
            <v>3125000</v>
          </cell>
        </row>
        <row r="37">
          <cell r="B37" t="str">
            <v>جلو ریو</v>
          </cell>
          <cell r="C37" t="str">
            <v>قالب تعمیری</v>
          </cell>
          <cell r="P37" t="str">
            <v>میل راهنما</v>
          </cell>
          <cell r="AF37">
            <v>4.166666666666667</v>
          </cell>
          <cell r="AR37">
            <v>3125000</v>
          </cell>
        </row>
        <row r="38">
          <cell r="B38" t="str">
            <v>جلو ریو</v>
          </cell>
          <cell r="C38" t="str">
            <v>قالب تعمیری</v>
          </cell>
          <cell r="P38" t="str">
            <v>پیچ</v>
          </cell>
          <cell r="AF38">
            <v>2.1666666666666665</v>
          </cell>
          <cell r="AR38">
            <v>1625000</v>
          </cell>
        </row>
        <row r="39">
          <cell r="B39" t="str">
            <v>قالب مینی بوس آریا</v>
          </cell>
          <cell r="C39" t="str">
            <v>قالب نو</v>
          </cell>
          <cell r="P39" t="str">
            <v>Matrix</v>
          </cell>
          <cell r="AF39">
            <v>12</v>
          </cell>
          <cell r="AR39">
            <v>9000000</v>
          </cell>
        </row>
        <row r="40">
          <cell r="B40" t="str">
            <v>قالب پخت کلاچ پژو 405</v>
          </cell>
          <cell r="C40" t="str">
            <v>قالب تعمیری</v>
          </cell>
          <cell r="P40" t="str">
            <v>mold</v>
          </cell>
          <cell r="AF40">
            <v>8</v>
          </cell>
          <cell r="AR40">
            <v>6000000</v>
          </cell>
        </row>
        <row r="41">
          <cell r="B41" t="str">
            <v>قالب مینی بوس آریا</v>
          </cell>
          <cell r="C41" t="str">
            <v>قالب نو</v>
          </cell>
          <cell r="P41" t="str">
            <v>پشت سنبه</v>
          </cell>
          <cell r="AF41">
            <v>12</v>
          </cell>
          <cell r="AR41">
            <v>9000000</v>
          </cell>
        </row>
        <row r="42">
          <cell r="B42" t="str">
            <v>قالب عقب F12</v>
          </cell>
          <cell r="C42" t="str">
            <v>قالب تعمیری</v>
          </cell>
          <cell r="P42" t="str">
            <v>Matrix</v>
          </cell>
          <cell r="AF42">
            <v>12</v>
          </cell>
          <cell r="AR42">
            <v>9000000</v>
          </cell>
        </row>
        <row r="43">
          <cell r="B43" t="str">
            <v>Hammer Mill Machine</v>
          </cell>
          <cell r="C43" t="str">
            <v>قطعه تعمیری</v>
          </cell>
          <cell r="P43" t="str">
            <v>رینگ</v>
          </cell>
          <cell r="AF43">
            <v>4</v>
          </cell>
          <cell r="AR43">
            <v>3000000</v>
          </cell>
        </row>
        <row r="44">
          <cell r="B44" t="str">
            <v>قالب ولوو سوپر</v>
          </cell>
          <cell r="C44" t="str">
            <v>قالب تعمیری</v>
          </cell>
          <cell r="P44" t="str">
            <v>روبند</v>
          </cell>
          <cell r="AF44">
            <v>2</v>
          </cell>
          <cell r="AR44">
            <v>1500000</v>
          </cell>
        </row>
        <row r="45">
          <cell r="B45" t="str">
            <v>سوراخکاری پیلسان</v>
          </cell>
          <cell r="C45" t="str">
            <v>قطعه نو</v>
          </cell>
          <cell r="P45" t="str">
            <v>top Plate</v>
          </cell>
          <cell r="AF45">
            <v>0.5</v>
          </cell>
          <cell r="AR45">
            <v>375000</v>
          </cell>
        </row>
        <row r="46">
          <cell r="B46" t="str">
            <v>کوبه برش پراید</v>
          </cell>
          <cell r="C46" t="str">
            <v>قطعه تعمیری</v>
          </cell>
          <cell r="P46" t="str">
            <v>کوبه</v>
          </cell>
          <cell r="AF46">
            <v>0.5</v>
          </cell>
          <cell r="AR46">
            <v>375000</v>
          </cell>
        </row>
        <row r="47">
          <cell r="B47" t="str">
            <v>جلو ریو</v>
          </cell>
          <cell r="C47" t="str">
            <v>قالب تعمیری</v>
          </cell>
          <cell r="P47" t="str">
            <v>Mold</v>
          </cell>
          <cell r="AF47">
            <v>4</v>
          </cell>
          <cell r="AR47">
            <v>3000000</v>
          </cell>
        </row>
        <row r="48">
          <cell r="B48" t="str">
            <v>دریل یزدخواستی کلاچ</v>
          </cell>
          <cell r="C48" t="str">
            <v>قطعه نو</v>
          </cell>
          <cell r="P48" t="str">
            <v>فیکسچر پراید</v>
          </cell>
          <cell r="AF48">
            <v>1</v>
          </cell>
          <cell r="AR48">
            <v>750000</v>
          </cell>
        </row>
        <row r="49">
          <cell r="B49" t="str">
            <v>پخت کلاچ پراید</v>
          </cell>
          <cell r="C49" t="str">
            <v>قالب تعمیری</v>
          </cell>
          <cell r="P49" t="str">
            <v>mold</v>
          </cell>
          <cell r="AF49">
            <v>2</v>
          </cell>
          <cell r="AR49">
            <v>1500000</v>
          </cell>
        </row>
        <row r="50">
          <cell r="B50" t="str">
            <v>پخت کلاچ 309 سوراخدار</v>
          </cell>
          <cell r="C50" t="str">
            <v>قالب تعمیری</v>
          </cell>
          <cell r="P50" t="str">
            <v>mold</v>
          </cell>
          <cell r="AF50">
            <v>1</v>
          </cell>
          <cell r="AR50">
            <v>750000</v>
          </cell>
        </row>
        <row r="51">
          <cell r="B51" t="str">
            <v>شمش پراید</v>
          </cell>
          <cell r="C51" t="str">
            <v>قالب نو</v>
          </cell>
          <cell r="P51" t="str">
            <v>صفحه</v>
          </cell>
          <cell r="AF51">
            <v>3</v>
          </cell>
          <cell r="AR51">
            <v>2250000</v>
          </cell>
        </row>
        <row r="52">
          <cell r="B52" t="str">
            <v>لنت ترمز دیسكی جلو دیما(خم)</v>
          </cell>
          <cell r="C52" t="str">
            <v>قالب نو</v>
          </cell>
          <cell r="P52" t="str">
            <v>Matrix</v>
          </cell>
          <cell r="AF52">
            <v>1</v>
          </cell>
          <cell r="AR52">
            <v>750000</v>
          </cell>
        </row>
        <row r="53">
          <cell r="B53" t="str">
            <v>پخت کلاچ 309 سوراخدار</v>
          </cell>
          <cell r="C53" t="str">
            <v>قالب تعمیری</v>
          </cell>
          <cell r="P53" t="str">
            <v>Mandrel</v>
          </cell>
          <cell r="AF53">
            <v>2</v>
          </cell>
          <cell r="AR53">
            <v>1500000</v>
          </cell>
        </row>
        <row r="54">
          <cell r="B54" t="str">
            <v>پخت کلاچ 309 سوراخدار</v>
          </cell>
          <cell r="C54" t="str">
            <v>قالب تعمیری</v>
          </cell>
          <cell r="P54" t="str">
            <v>top Plate</v>
          </cell>
          <cell r="AF54">
            <v>8</v>
          </cell>
          <cell r="AR54">
            <v>6000000</v>
          </cell>
        </row>
        <row r="55">
          <cell r="B55" t="str">
            <v>ایسوزو 6 تن</v>
          </cell>
          <cell r="C55" t="str">
            <v>قالب تعمیری</v>
          </cell>
          <cell r="P55" t="str">
            <v>top Plate</v>
          </cell>
          <cell r="AF55">
            <v>3</v>
          </cell>
          <cell r="AR55">
            <v>2250000</v>
          </cell>
        </row>
        <row r="56">
          <cell r="B56" t="str">
            <v>برشی نیوفیس C&amp;C</v>
          </cell>
          <cell r="C56" t="str">
            <v>قالب نو</v>
          </cell>
          <cell r="P56" t="str">
            <v>top Plate</v>
          </cell>
          <cell r="AF56">
            <v>3</v>
          </cell>
          <cell r="AR56">
            <v>2250000</v>
          </cell>
        </row>
        <row r="57">
          <cell r="B57" t="str">
            <v>جلو سمند سورن</v>
          </cell>
          <cell r="C57" t="str">
            <v>قالب تعمیری</v>
          </cell>
          <cell r="P57" t="str">
            <v>mold</v>
          </cell>
          <cell r="AF57">
            <v>2</v>
          </cell>
          <cell r="AR57">
            <v>1500000</v>
          </cell>
        </row>
        <row r="58">
          <cell r="B58" t="str">
            <v>جلو ریو</v>
          </cell>
          <cell r="C58" t="str">
            <v>قالب تعمیری</v>
          </cell>
          <cell r="P58" t="str">
            <v>Mold</v>
          </cell>
          <cell r="AF58">
            <v>2</v>
          </cell>
          <cell r="AR58">
            <v>1500000</v>
          </cell>
        </row>
        <row r="59">
          <cell r="B59" t="str">
            <v>پخت کلاچ 309 سوراخدار</v>
          </cell>
          <cell r="C59" t="str">
            <v>قالب تعمیری</v>
          </cell>
          <cell r="P59" t="str">
            <v>Mold</v>
          </cell>
          <cell r="AF59">
            <v>1</v>
          </cell>
          <cell r="AR59">
            <v>750000</v>
          </cell>
        </row>
        <row r="60">
          <cell r="B60" t="str">
            <v>دستگاه رولینگ</v>
          </cell>
          <cell r="C60" t="str">
            <v>قطعه نو</v>
          </cell>
          <cell r="P60" t="str">
            <v>پیچ</v>
          </cell>
          <cell r="AF60">
            <v>4</v>
          </cell>
          <cell r="AR60">
            <v>3000000</v>
          </cell>
        </row>
        <row r="61">
          <cell r="B61" t="str">
            <v>قالب پخت کلاچ پژو 405</v>
          </cell>
          <cell r="C61" t="str">
            <v>قالب تعمیری</v>
          </cell>
          <cell r="P61" t="str">
            <v>پین واسطه</v>
          </cell>
          <cell r="AF61">
            <v>3</v>
          </cell>
          <cell r="AR61">
            <v>2250000</v>
          </cell>
        </row>
        <row r="62">
          <cell r="B62" t="str">
            <v xml:space="preserve">قالب پخت کلاچ پیکان </v>
          </cell>
          <cell r="C62" t="str">
            <v>قالب تعمیری</v>
          </cell>
          <cell r="P62" t="str">
            <v>پیچ</v>
          </cell>
          <cell r="AF62">
            <v>1</v>
          </cell>
          <cell r="AR62">
            <v>750000</v>
          </cell>
        </row>
        <row r="63">
          <cell r="B63" t="str">
            <v>جلو ریو</v>
          </cell>
          <cell r="C63" t="str">
            <v>قالب تعمیری</v>
          </cell>
          <cell r="P63" t="str">
            <v>پیچ</v>
          </cell>
          <cell r="AF63">
            <v>1</v>
          </cell>
          <cell r="AR63">
            <v>750000</v>
          </cell>
        </row>
        <row r="64">
          <cell r="B64" t="str">
            <v>دستگاه پشم فلز</v>
          </cell>
          <cell r="C64" t="str">
            <v>قطعه تعمیری</v>
          </cell>
          <cell r="P64" t="str">
            <v>نگهدارنده تیغه</v>
          </cell>
          <cell r="AF64">
            <v>6.5</v>
          </cell>
          <cell r="AR64">
            <v>4875000</v>
          </cell>
        </row>
        <row r="65">
          <cell r="B65" t="str">
            <v>پخت عقب پژو 405 شمشی پایه کوتاه</v>
          </cell>
          <cell r="C65" t="str">
            <v>قالب نو</v>
          </cell>
          <cell r="P65" t="str">
            <v>Bottom Mandrel</v>
          </cell>
          <cell r="AF65">
            <v>7.5</v>
          </cell>
          <cell r="AR65">
            <v>11250000</v>
          </cell>
        </row>
        <row r="66">
          <cell r="B66" t="str">
            <v xml:space="preserve">قالب پخت کلاچ پیکان </v>
          </cell>
          <cell r="C66" t="str">
            <v>قالب تعمیری</v>
          </cell>
          <cell r="P66" t="str">
            <v>bottom plate</v>
          </cell>
          <cell r="AF66">
            <v>7.5</v>
          </cell>
          <cell r="AR66">
            <v>11250000</v>
          </cell>
        </row>
        <row r="67">
          <cell r="B67" t="str">
            <v xml:space="preserve">قالب پخت کلاچ پیکان </v>
          </cell>
          <cell r="C67" t="str">
            <v>قالب تعمیری</v>
          </cell>
          <cell r="P67" t="str">
            <v>top Plate</v>
          </cell>
          <cell r="AF67">
            <v>3.5</v>
          </cell>
          <cell r="AR67">
            <v>5250000</v>
          </cell>
        </row>
        <row r="68">
          <cell r="B68" t="str">
            <v>ویوینگ</v>
          </cell>
          <cell r="C68" t="str">
            <v>قطعه تعمیری</v>
          </cell>
          <cell r="P68" t="str">
            <v>صفحه توری</v>
          </cell>
          <cell r="AF68">
            <v>4.5</v>
          </cell>
          <cell r="AR68">
            <v>3375000</v>
          </cell>
        </row>
        <row r="69">
          <cell r="B69" t="str">
            <v>ساب ترابوزا</v>
          </cell>
          <cell r="C69" t="str">
            <v>قطعه تعمیری</v>
          </cell>
          <cell r="P69" t="str">
            <v>صفحه</v>
          </cell>
          <cell r="AF69">
            <v>6.5</v>
          </cell>
          <cell r="AR69">
            <v>4875000</v>
          </cell>
        </row>
        <row r="70">
          <cell r="B70" t="str">
            <v>پخت کلاچ ایسوزو</v>
          </cell>
          <cell r="C70" t="str">
            <v>قالب تعمیری</v>
          </cell>
          <cell r="P70" t="str">
            <v>mold</v>
          </cell>
          <cell r="AF70">
            <v>1</v>
          </cell>
          <cell r="AR70">
            <v>750000</v>
          </cell>
        </row>
        <row r="71">
          <cell r="B71" t="str">
            <v>پخت کلاچ 309 سوراخدار</v>
          </cell>
          <cell r="C71" t="str">
            <v>قالب تعمیری</v>
          </cell>
          <cell r="P71" t="str">
            <v>mold</v>
          </cell>
          <cell r="AF71">
            <v>1</v>
          </cell>
          <cell r="AR71">
            <v>750000</v>
          </cell>
        </row>
        <row r="72">
          <cell r="B72" t="str">
            <v xml:space="preserve">قالب پخت کلاچ پیکان </v>
          </cell>
          <cell r="C72" t="str">
            <v>قالب تعمیری</v>
          </cell>
          <cell r="P72" t="str">
            <v>Shaft میل راهنما</v>
          </cell>
          <cell r="AF72">
            <v>2</v>
          </cell>
          <cell r="AR72">
            <v>1500000</v>
          </cell>
        </row>
        <row r="73">
          <cell r="B73" t="str">
            <v xml:space="preserve">قالب پخت کلاچ پیکان </v>
          </cell>
          <cell r="C73" t="str">
            <v>قالب تعمیری</v>
          </cell>
          <cell r="P73" t="str">
            <v>top Plate</v>
          </cell>
          <cell r="AF73">
            <v>4</v>
          </cell>
          <cell r="AR73">
            <v>3000000</v>
          </cell>
        </row>
        <row r="74">
          <cell r="B74" t="str">
            <v>ویوینگ</v>
          </cell>
          <cell r="C74" t="str">
            <v>قطعه تعمیری</v>
          </cell>
          <cell r="P74" t="str">
            <v>صفحه توری</v>
          </cell>
          <cell r="AF74">
            <v>1.5</v>
          </cell>
          <cell r="AR74">
            <v>2250000</v>
          </cell>
        </row>
        <row r="75">
          <cell r="B75" t="str">
            <v>سوراخکاری پیلسان</v>
          </cell>
          <cell r="C75" t="str">
            <v>قطعه نو</v>
          </cell>
          <cell r="P75" t="str">
            <v>کوبه</v>
          </cell>
          <cell r="AF75">
            <v>6.5</v>
          </cell>
          <cell r="AR75">
            <v>9750000</v>
          </cell>
        </row>
        <row r="76">
          <cell r="B76" t="str">
            <v>ویوینگ</v>
          </cell>
          <cell r="C76" t="str">
            <v>قطعه تعمیری</v>
          </cell>
          <cell r="P76" t="str">
            <v>صفحه توری</v>
          </cell>
          <cell r="AF76">
            <v>3</v>
          </cell>
          <cell r="AR76">
            <v>4500000</v>
          </cell>
        </row>
        <row r="77">
          <cell r="B77" t="str">
            <v>پخت کلاچ 309 سوراخدار</v>
          </cell>
          <cell r="C77" t="str">
            <v>قالب تعمیری</v>
          </cell>
          <cell r="P77" t="str">
            <v>top Plate</v>
          </cell>
          <cell r="AF77">
            <v>11</v>
          </cell>
          <cell r="AR77">
            <v>8250000</v>
          </cell>
        </row>
        <row r="78">
          <cell r="B78" t="str">
            <v>برشی نیوفیس C&amp;C</v>
          </cell>
          <cell r="C78" t="str">
            <v>قالب نو</v>
          </cell>
          <cell r="P78" t="str">
            <v>top Plate</v>
          </cell>
          <cell r="AF78">
            <v>3.5</v>
          </cell>
          <cell r="AR78">
            <v>2625000</v>
          </cell>
        </row>
        <row r="79">
          <cell r="B79" t="str">
            <v>لنت ترمز دیسكی جلو دیما(خم)</v>
          </cell>
          <cell r="C79" t="str">
            <v>قالب نو</v>
          </cell>
          <cell r="P79" t="str">
            <v>top Plate</v>
          </cell>
          <cell r="AF79">
            <v>3.5</v>
          </cell>
          <cell r="AR79">
            <v>2625000</v>
          </cell>
        </row>
        <row r="80">
          <cell r="B80" t="str">
            <v>Hammer Mill Machine</v>
          </cell>
          <cell r="C80" t="str">
            <v>قطعه تعمیری</v>
          </cell>
          <cell r="P80" t="str">
            <v>Bush</v>
          </cell>
          <cell r="AF80">
            <v>4</v>
          </cell>
          <cell r="AR80">
            <v>3000000</v>
          </cell>
        </row>
        <row r="81">
          <cell r="B81" t="str">
            <v>سری نقطه جوش</v>
          </cell>
          <cell r="C81" t="str">
            <v>قطعه تعمیری</v>
          </cell>
          <cell r="P81" t="str">
            <v>مسی</v>
          </cell>
          <cell r="AF81">
            <v>1</v>
          </cell>
          <cell r="AR81">
            <v>750000</v>
          </cell>
        </row>
        <row r="82">
          <cell r="B82" t="str">
            <v xml:space="preserve">قالب پخت کلاچ پیکان </v>
          </cell>
          <cell r="C82" t="str">
            <v>قالب تعمیری</v>
          </cell>
          <cell r="P82" t="str">
            <v>میل راهنما</v>
          </cell>
          <cell r="AF82">
            <v>3.3333333333333335</v>
          </cell>
          <cell r="AR82">
            <v>2500000</v>
          </cell>
        </row>
        <row r="83">
          <cell r="B83" t="str">
            <v>قالب مینی بوس آریا</v>
          </cell>
          <cell r="C83" t="str">
            <v>قالب نو</v>
          </cell>
          <cell r="P83" t="str">
            <v>Matrix</v>
          </cell>
          <cell r="AF83">
            <v>12</v>
          </cell>
          <cell r="AR83">
            <v>9000000</v>
          </cell>
        </row>
        <row r="84">
          <cell r="B84" t="str">
            <v xml:space="preserve">قالب پخت کلاچ پیکان </v>
          </cell>
          <cell r="C84" t="str">
            <v>قالب تعمیری</v>
          </cell>
          <cell r="P84" t="str">
            <v>mold</v>
          </cell>
          <cell r="AF84">
            <v>7</v>
          </cell>
          <cell r="AR84">
            <v>5250000</v>
          </cell>
        </row>
        <row r="85">
          <cell r="B85" t="str">
            <v>قالب مینی بوس آریا</v>
          </cell>
          <cell r="C85" t="str">
            <v>قالب نو</v>
          </cell>
          <cell r="P85" t="str">
            <v>پشت سنبه</v>
          </cell>
          <cell r="AF85">
            <v>4</v>
          </cell>
          <cell r="AR85">
            <v>3000000</v>
          </cell>
        </row>
        <row r="86">
          <cell r="B86" t="str">
            <v>قالب عقب F12</v>
          </cell>
          <cell r="C86" t="str">
            <v>قالب تعمیری</v>
          </cell>
          <cell r="P86" t="str">
            <v>Matrix</v>
          </cell>
          <cell r="AF86">
            <v>12</v>
          </cell>
          <cell r="AR86">
            <v>9000000</v>
          </cell>
        </row>
        <row r="87">
          <cell r="B87" t="str">
            <v>جلو سمند سورن</v>
          </cell>
          <cell r="C87" t="str">
            <v>قالب تعمیری</v>
          </cell>
          <cell r="P87" t="str">
            <v>پشت سنبه</v>
          </cell>
          <cell r="AF87">
            <v>8</v>
          </cell>
          <cell r="AR87">
            <v>6000000</v>
          </cell>
        </row>
        <row r="88">
          <cell r="B88" t="str">
            <v>جلو سمند سورن</v>
          </cell>
          <cell r="C88" t="str">
            <v>قالب تعمیری</v>
          </cell>
          <cell r="P88" t="str">
            <v>پشت سنبه</v>
          </cell>
          <cell r="AF88">
            <v>5</v>
          </cell>
          <cell r="AR88">
            <v>3750000</v>
          </cell>
        </row>
        <row r="89">
          <cell r="B89" t="str">
            <v>پخت کلاچ 309 سوراخدار</v>
          </cell>
          <cell r="C89" t="str">
            <v>قالب تعمیری</v>
          </cell>
          <cell r="P89" t="str">
            <v>میل راهنما</v>
          </cell>
          <cell r="AF89">
            <v>2</v>
          </cell>
          <cell r="AR89">
            <v>1500000</v>
          </cell>
        </row>
        <row r="90">
          <cell r="B90" t="str">
            <v>پخت کلاچ 309 سوراخدار</v>
          </cell>
          <cell r="C90" t="str">
            <v>قالب تعمیری</v>
          </cell>
          <cell r="P90" t="str">
            <v>پین واسطه</v>
          </cell>
          <cell r="AF90">
            <v>2</v>
          </cell>
          <cell r="AR90">
            <v>1500000</v>
          </cell>
        </row>
        <row r="91">
          <cell r="B91" t="str">
            <v>پخت کلاچ 309 سوراخدار</v>
          </cell>
          <cell r="C91" t="str">
            <v>قالب تعمیری</v>
          </cell>
          <cell r="P91" t="str">
            <v>پین واسطه</v>
          </cell>
          <cell r="AF91">
            <v>2</v>
          </cell>
          <cell r="AR91">
            <v>1500000</v>
          </cell>
        </row>
        <row r="92">
          <cell r="B92" t="str">
            <v>جلو ریو</v>
          </cell>
          <cell r="C92" t="str">
            <v>قالب تعمیری</v>
          </cell>
          <cell r="P92" t="str">
            <v>Mold</v>
          </cell>
          <cell r="AF92">
            <v>3</v>
          </cell>
          <cell r="AR92">
            <v>2250000</v>
          </cell>
        </row>
        <row r="93">
          <cell r="B93" t="str">
            <v>جلو ریو</v>
          </cell>
          <cell r="C93" t="str">
            <v>قالب تعمیری</v>
          </cell>
          <cell r="P93" t="str">
            <v>Mold</v>
          </cell>
          <cell r="AF93">
            <v>3</v>
          </cell>
          <cell r="AR93">
            <v>2250000</v>
          </cell>
        </row>
        <row r="94">
          <cell r="B94" t="str">
            <v xml:space="preserve">قالب پخت کلاچ پیکان </v>
          </cell>
          <cell r="C94" t="str">
            <v>قالب تعمیری</v>
          </cell>
          <cell r="P94" t="str">
            <v>Mold</v>
          </cell>
          <cell r="AF94">
            <v>2</v>
          </cell>
          <cell r="AR94">
            <v>1500000</v>
          </cell>
        </row>
        <row r="95">
          <cell r="B95" t="str">
            <v>قالب ولوو سوپر</v>
          </cell>
          <cell r="C95" t="str">
            <v>قالب تعمیری</v>
          </cell>
          <cell r="P95" t="str">
            <v>روبند</v>
          </cell>
          <cell r="AF95">
            <v>1</v>
          </cell>
          <cell r="AR95">
            <v>750000</v>
          </cell>
        </row>
        <row r="96">
          <cell r="B96" t="str">
            <v>پخت کلاچ 309 سوراخدار</v>
          </cell>
          <cell r="C96" t="str">
            <v>قالب تعمیری</v>
          </cell>
          <cell r="P96" t="str">
            <v>Mold</v>
          </cell>
          <cell r="AF96">
            <v>1</v>
          </cell>
          <cell r="AR96">
            <v>750000</v>
          </cell>
        </row>
        <row r="97">
          <cell r="B97" t="str">
            <v>پخت کلاچ ایسوزو</v>
          </cell>
          <cell r="C97" t="str">
            <v>قالب تعمیری</v>
          </cell>
          <cell r="P97" t="str">
            <v>mold</v>
          </cell>
          <cell r="AF97">
            <v>1</v>
          </cell>
          <cell r="AR97">
            <v>750000</v>
          </cell>
        </row>
        <row r="98">
          <cell r="B98" t="str">
            <v>ویوینگ</v>
          </cell>
          <cell r="C98" t="str">
            <v>قطعه تعمیری</v>
          </cell>
          <cell r="P98" t="str">
            <v>صفحه توری</v>
          </cell>
          <cell r="AF98">
            <v>3</v>
          </cell>
          <cell r="AR98">
            <v>2250000</v>
          </cell>
        </row>
        <row r="99">
          <cell r="B99" t="str">
            <v>پخت عقب پژو 405 شمشی پایه کوتاه</v>
          </cell>
          <cell r="C99" t="str">
            <v>قالب نو</v>
          </cell>
          <cell r="P99" t="str">
            <v>Bottom Mandrel</v>
          </cell>
          <cell r="AF99">
            <v>11</v>
          </cell>
          <cell r="AR99">
            <v>16500000</v>
          </cell>
        </row>
        <row r="100">
          <cell r="B100" t="str">
            <v>دستگاه پشم فلز</v>
          </cell>
          <cell r="C100" t="str">
            <v>قطعه تعمیری</v>
          </cell>
          <cell r="P100" t="str">
            <v>نگهدارنده تیغه</v>
          </cell>
          <cell r="AF100">
            <v>6.5</v>
          </cell>
          <cell r="AR100">
            <v>4875000</v>
          </cell>
        </row>
        <row r="101">
          <cell r="B101" t="str">
            <v>آسیاب پشم فلز</v>
          </cell>
          <cell r="C101" t="str">
            <v>قطعه تعمیری</v>
          </cell>
          <cell r="P101" t="str">
            <v>فرایول</v>
          </cell>
          <cell r="AF101">
            <v>1</v>
          </cell>
          <cell r="AR101">
            <v>750000</v>
          </cell>
        </row>
        <row r="102">
          <cell r="B102" t="str">
            <v>قالب ولوو سوپر</v>
          </cell>
          <cell r="C102" t="str">
            <v>قالب تعمیری</v>
          </cell>
          <cell r="P102" t="str">
            <v>فریم</v>
          </cell>
          <cell r="AF102">
            <v>10</v>
          </cell>
          <cell r="AR102">
            <v>7500000</v>
          </cell>
        </row>
        <row r="103">
          <cell r="B103" t="str">
            <v>ویوینگ</v>
          </cell>
          <cell r="C103" t="str">
            <v>قطعه تعمیری</v>
          </cell>
          <cell r="P103" t="str">
            <v>صفحه توری</v>
          </cell>
          <cell r="AF103">
            <v>2</v>
          </cell>
          <cell r="AR103">
            <v>3000000</v>
          </cell>
        </row>
        <row r="104">
          <cell r="B104" t="str">
            <v>برشی نیوفیس C&amp;C</v>
          </cell>
          <cell r="C104" t="str">
            <v>قالب نو</v>
          </cell>
          <cell r="P104" t="str">
            <v>Mandrel</v>
          </cell>
          <cell r="AF104">
            <v>2.5</v>
          </cell>
          <cell r="AR104">
            <v>3750000</v>
          </cell>
        </row>
        <row r="105">
          <cell r="B105" t="str">
            <v>برشی نیوفیس C&amp;C</v>
          </cell>
          <cell r="C105" t="str">
            <v>قالب نو</v>
          </cell>
          <cell r="P105" t="str">
            <v xml:space="preserve">کوبه </v>
          </cell>
          <cell r="AF105">
            <v>3</v>
          </cell>
          <cell r="AR105">
            <v>4500000</v>
          </cell>
        </row>
        <row r="106">
          <cell r="B106" t="str">
            <v>ویوینگ</v>
          </cell>
          <cell r="C106" t="str">
            <v>قطعه تعمیری</v>
          </cell>
          <cell r="P106" t="str">
            <v>Bush</v>
          </cell>
          <cell r="AF106">
            <v>3</v>
          </cell>
          <cell r="AR106">
            <v>2250000</v>
          </cell>
        </row>
        <row r="107">
          <cell r="B107" t="str">
            <v>کولر</v>
          </cell>
          <cell r="C107" t="str">
            <v>دستگاه تعمیری</v>
          </cell>
          <cell r="P107" t="str">
            <v>کولر</v>
          </cell>
          <cell r="AF107">
            <v>3</v>
          </cell>
          <cell r="AR107">
            <v>2250000</v>
          </cell>
        </row>
        <row r="108">
          <cell r="B108" t="str">
            <v>دستگاه چسب زنی</v>
          </cell>
          <cell r="C108" t="str">
            <v>قطعه تعمیری</v>
          </cell>
          <cell r="P108" t="str">
            <v>Bush</v>
          </cell>
          <cell r="AF108">
            <v>3</v>
          </cell>
          <cell r="AR108">
            <v>2250000</v>
          </cell>
        </row>
        <row r="109">
          <cell r="B109" t="str">
            <v xml:space="preserve">قالب پخت کلاچ پیکان </v>
          </cell>
          <cell r="C109" t="str">
            <v>قالب تعمیری</v>
          </cell>
          <cell r="P109" t="str">
            <v>top Plate</v>
          </cell>
          <cell r="AF109">
            <v>5</v>
          </cell>
          <cell r="AR109">
            <v>3750000</v>
          </cell>
        </row>
        <row r="110">
          <cell r="B110" t="str">
            <v xml:space="preserve">قالب پخت کلاچ پیکان </v>
          </cell>
          <cell r="C110" t="str">
            <v>قالب تعمیری</v>
          </cell>
          <cell r="P110" t="str">
            <v>میل راهنما</v>
          </cell>
          <cell r="AF110">
            <v>2</v>
          </cell>
          <cell r="AR110">
            <v>1500000</v>
          </cell>
        </row>
        <row r="111">
          <cell r="B111" t="str">
            <v>قالب توری پگاسوز</v>
          </cell>
          <cell r="C111" t="str">
            <v>قالب تعمیری</v>
          </cell>
          <cell r="P111" t="str">
            <v>mold</v>
          </cell>
          <cell r="AF111">
            <v>2</v>
          </cell>
          <cell r="AR111">
            <v>1500000</v>
          </cell>
        </row>
        <row r="112">
          <cell r="B112" t="str">
            <v>پخت کلاچ پراید</v>
          </cell>
          <cell r="C112" t="str">
            <v>قالب تعمیری</v>
          </cell>
          <cell r="P112" t="str">
            <v>پیچ سوپاپ</v>
          </cell>
          <cell r="AF112">
            <v>1</v>
          </cell>
          <cell r="AR112">
            <v>750000</v>
          </cell>
        </row>
        <row r="113">
          <cell r="B113" t="str">
            <v>Hammer Mill Machine</v>
          </cell>
          <cell r="C113" t="str">
            <v>قطعه نو</v>
          </cell>
          <cell r="P113" t="str">
            <v>پولکی</v>
          </cell>
          <cell r="AF113">
            <v>2</v>
          </cell>
          <cell r="AR113">
            <v>1500000</v>
          </cell>
        </row>
        <row r="114">
          <cell r="B114" t="str">
            <v>پخت کلاچ پراید</v>
          </cell>
          <cell r="C114" t="str">
            <v>قالب تعمیری</v>
          </cell>
          <cell r="P114" t="str">
            <v>میل راهنما</v>
          </cell>
          <cell r="AF114">
            <v>2</v>
          </cell>
          <cell r="AR114">
            <v>1500000</v>
          </cell>
        </row>
        <row r="115">
          <cell r="B115" t="str">
            <v>سری نقطه جوش</v>
          </cell>
          <cell r="C115" t="str">
            <v>قطعه تعمیری</v>
          </cell>
          <cell r="P115" t="str">
            <v>مسی</v>
          </cell>
          <cell r="AF115">
            <v>2</v>
          </cell>
          <cell r="AR115">
            <v>1500000</v>
          </cell>
        </row>
        <row r="116">
          <cell r="B116" t="str">
            <v>پخت کلاچ پراید</v>
          </cell>
          <cell r="C116" t="str">
            <v>قالب تعمیری</v>
          </cell>
          <cell r="P116" t="str">
            <v>پیچ</v>
          </cell>
          <cell r="AF116">
            <v>2</v>
          </cell>
          <cell r="AR116">
            <v>1500000</v>
          </cell>
        </row>
        <row r="117">
          <cell r="B117" t="str">
            <v>پخت کلاچ 309 سوراخدار</v>
          </cell>
          <cell r="C117" t="str">
            <v>قالب تعمیری</v>
          </cell>
          <cell r="P117" t="str">
            <v>top Plate</v>
          </cell>
          <cell r="AF117">
            <v>6</v>
          </cell>
          <cell r="AR117">
            <v>4500000</v>
          </cell>
        </row>
        <row r="118">
          <cell r="B118" t="str">
            <v>برشی نیوفیس C&amp;C</v>
          </cell>
          <cell r="C118" t="str">
            <v>قالب نو</v>
          </cell>
          <cell r="P118" t="str">
            <v>top Plate</v>
          </cell>
          <cell r="AF118">
            <v>2.5</v>
          </cell>
          <cell r="AR118">
            <v>1875000</v>
          </cell>
        </row>
        <row r="119">
          <cell r="B119" t="str">
            <v>لنت ترمز دیسكی جلو دیما(خم)</v>
          </cell>
          <cell r="C119" t="str">
            <v>قالب نو</v>
          </cell>
          <cell r="P119" t="str">
            <v>top Plate</v>
          </cell>
          <cell r="AF119">
            <v>2.5</v>
          </cell>
          <cell r="AR119">
            <v>1875000</v>
          </cell>
        </row>
        <row r="120">
          <cell r="B120" t="str">
            <v>پخت کلاچ 309 سوراخدار</v>
          </cell>
          <cell r="C120" t="str">
            <v>قالب تعمیری</v>
          </cell>
          <cell r="P120" t="str">
            <v>top Plate</v>
          </cell>
          <cell r="AF120">
            <v>5</v>
          </cell>
          <cell r="AR120">
            <v>3750000</v>
          </cell>
        </row>
        <row r="121">
          <cell r="B121" t="str">
            <v>قالب توری پگاسوز</v>
          </cell>
          <cell r="C121" t="str">
            <v>قالب تعمیری</v>
          </cell>
          <cell r="P121" t="str">
            <v>Mandrel</v>
          </cell>
          <cell r="AF121">
            <v>1</v>
          </cell>
          <cell r="AR121">
            <v>750000</v>
          </cell>
        </row>
        <row r="122">
          <cell r="B122" t="str">
            <v xml:space="preserve">قالب پخت کلاچ پیکان </v>
          </cell>
          <cell r="C122" t="str">
            <v>قالب تعمیری</v>
          </cell>
          <cell r="P122" t="str">
            <v>Matrix</v>
          </cell>
          <cell r="AF122">
            <v>2.5</v>
          </cell>
          <cell r="AR122">
            <v>1875000</v>
          </cell>
        </row>
        <row r="123">
          <cell r="B123" t="str">
            <v>قالب ولوو سوپر</v>
          </cell>
          <cell r="C123" t="str">
            <v>قالب تعمیری</v>
          </cell>
          <cell r="P123" t="str">
            <v>روبند</v>
          </cell>
          <cell r="AF123">
            <v>1.5</v>
          </cell>
          <cell r="AR123">
            <v>1125000</v>
          </cell>
        </row>
        <row r="124">
          <cell r="B124" t="str">
            <v>قالب مینی بوس آریا</v>
          </cell>
          <cell r="C124" t="str">
            <v>قالب نو</v>
          </cell>
          <cell r="P124" t="str">
            <v>Matrix</v>
          </cell>
          <cell r="AF124">
            <v>11</v>
          </cell>
          <cell r="AR124">
            <v>8250000</v>
          </cell>
        </row>
        <row r="125">
          <cell r="B125" t="str">
            <v>جلو سمند سورن</v>
          </cell>
          <cell r="C125" t="str">
            <v>قالب تعمیری</v>
          </cell>
          <cell r="P125" t="str">
            <v>پشت سنبه</v>
          </cell>
          <cell r="AF125">
            <v>11</v>
          </cell>
          <cell r="AR125">
            <v>8250000</v>
          </cell>
        </row>
        <row r="126">
          <cell r="B126" t="str">
            <v>جلو سمند سورن</v>
          </cell>
          <cell r="C126" t="str">
            <v>قالب تعمیری</v>
          </cell>
          <cell r="P126" t="str">
            <v>پشت سنبه</v>
          </cell>
          <cell r="AF126">
            <v>11</v>
          </cell>
          <cell r="AR126">
            <v>8250000</v>
          </cell>
        </row>
        <row r="127">
          <cell r="B127" t="str">
            <v>قالب عقب F12</v>
          </cell>
          <cell r="C127" t="str">
            <v>قالب نو</v>
          </cell>
          <cell r="P127" t="str">
            <v>Matrix</v>
          </cell>
          <cell r="AF127">
            <v>11</v>
          </cell>
          <cell r="AR127">
            <v>8250000</v>
          </cell>
        </row>
        <row r="128">
          <cell r="B128" t="str">
            <v>ویوینگ</v>
          </cell>
          <cell r="C128" t="str">
            <v>قطعه تعمیری</v>
          </cell>
          <cell r="P128" t="str">
            <v xml:space="preserve">Shaft </v>
          </cell>
          <cell r="AF128">
            <v>6</v>
          </cell>
          <cell r="AR128">
            <v>4500000</v>
          </cell>
        </row>
        <row r="129">
          <cell r="B129" t="str">
            <v>ویوینگ</v>
          </cell>
          <cell r="C129" t="str">
            <v>قطعه تعمیری</v>
          </cell>
          <cell r="P129" t="str">
            <v xml:space="preserve">Shaft </v>
          </cell>
          <cell r="AF129">
            <v>1</v>
          </cell>
          <cell r="AR129">
            <v>750000</v>
          </cell>
        </row>
        <row r="130">
          <cell r="B130" t="str">
            <v>قالب ولوو سوپر</v>
          </cell>
          <cell r="C130" t="str">
            <v>قالب تعمیری</v>
          </cell>
          <cell r="P130" t="str">
            <v>روبند</v>
          </cell>
          <cell r="AF130">
            <v>11</v>
          </cell>
          <cell r="AR130">
            <v>8250000</v>
          </cell>
        </row>
        <row r="131">
          <cell r="B131" t="str">
            <v>لنت ترمز دیسكی جلو دیما(خم)</v>
          </cell>
          <cell r="C131" t="str">
            <v>قالب نو</v>
          </cell>
          <cell r="P131" t="str">
            <v>صفحه</v>
          </cell>
          <cell r="AF131">
            <v>7.5</v>
          </cell>
          <cell r="AR131">
            <v>5625000</v>
          </cell>
        </row>
        <row r="132">
          <cell r="B132" t="str">
            <v>پخت کلاچ پراید</v>
          </cell>
          <cell r="C132" t="str">
            <v>قالب تعمیری</v>
          </cell>
          <cell r="P132" t="str">
            <v>mold</v>
          </cell>
          <cell r="AF132">
            <v>3.5</v>
          </cell>
          <cell r="AR132">
            <v>2625000</v>
          </cell>
        </row>
        <row r="133">
          <cell r="B133" t="str">
            <v>پخت عقب پژو 405 شمشی پایه کوتاه</v>
          </cell>
          <cell r="C133" t="str">
            <v>قالب نو</v>
          </cell>
          <cell r="P133" t="str">
            <v>Bottom Mandrel</v>
          </cell>
          <cell r="AF133">
            <v>13</v>
          </cell>
          <cell r="AR133">
            <v>19500000</v>
          </cell>
        </row>
        <row r="134">
          <cell r="B134" t="str">
            <v>دستگاه پشم فلز</v>
          </cell>
          <cell r="C134" t="str">
            <v>قطعه تعمیری</v>
          </cell>
          <cell r="P134" t="str">
            <v>نگهدارنده تیغه</v>
          </cell>
          <cell r="AF134">
            <v>6.5</v>
          </cell>
          <cell r="AR134">
            <v>4875000</v>
          </cell>
        </row>
        <row r="135">
          <cell r="B135" t="str">
            <v>قالب ولوو سوپر</v>
          </cell>
          <cell r="C135" t="str">
            <v>قالب تعمیری</v>
          </cell>
          <cell r="P135" t="str">
            <v>Matrix</v>
          </cell>
          <cell r="AF135">
            <v>11</v>
          </cell>
          <cell r="AR135">
            <v>8250000</v>
          </cell>
        </row>
        <row r="136">
          <cell r="B136" t="str">
            <v>قالب پخت کلاچ پژو 405</v>
          </cell>
          <cell r="C136" t="str">
            <v>قالب تعمیری</v>
          </cell>
          <cell r="P136" t="str">
            <v>سوپاپ</v>
          </cell>
          <cell r="AF136">
            <v>3</v>
          </cell>
          <cell r="AR136">
            <v>2250000</v>
          </cell>
        </row>
        <row r="137">
          <cell r="B137" t="str">
            <v>پخت کلاچ پراید</v>
          </cell>
          <cell r="C137" t="str">
            <v>قالب تعمیری</v>
          </cell>
          <cell r="P137" t="str">
            <v>top Plate</v>
          </cell>
          <cell r="AF137">
            <v>8</v>
          </cell>
          <cell r="AR137">
            <v>6000000</v>
          </cell>
        </row>
        <row r="138">
          <cell r="B138" t="str">
            <v>ویوینگ</v>
          </cell>
          <cell r="C138" t="str">
            <v>قطعه تعمیری</v>
          </cell>
          <cell r="P138" t="str">
            <v>توپی</v>
          </cell>
          <cell r="AF138">
            <v>4.5</v>
          </cell>
          <cell r="AR138">
            <v>3375000</v>
          </cell>
        </row>
        <row r="139">
          <cell r="B139" t="str">
            <v>ویوینگ</v>
          </cell>
          <cell r="C139" t="str">
            <v>قطعه تعمیری</v>
          </cell>
          <cell r="P139" t="str">
            <v>توپی</v>
          </cell>
          <cell r="AF139">
            <v>4.5</v>
          </cell>
          <cell r="AR139">
            <v>3375000</v>
          </cell>
        </row>
        <row r="140">
          <cell r="B140" t="str">
            <v>دستگاه پرچ زنی</v>
          </cell>
          <cell r="C140" t="str">
            <v>قطعه تعمیری</v>
          </cell>
          <cell r="P140" t="str">
            <v>فلانچ</v>
          </cell>
          <cell r="AF140">
            <v>1</v>
          </cell>
          <cell r="AR140">
            <v>750000</v>
          </cell>
        </row>
        <row r="141">
          <cell r="B141" t="str">
            <v>دستگاه پرچ زنی</v>
          </cell>
          <cell r="C141" t="str">
            <v>قطعه تعمیری</v>
          </cell>
          <cell r="P141" t="str">
            <v>فلانچ</v>
          </cell>
          <cell r="AF141">
            <v>1</v>
          </cell>
          <cell r="AR141">
            <v>750000</v>
          </cell>
        </row>
        <row r="142">
          <cell r="B142" t="str">
            <v>لنت ترمز دیسكی جلو دیما(خم)</v>
          </cell>
          <cell r="C142" t="str">
            <v>قالب نو</v>
          </cell>
          <cell r="P142" t="str">
            <v>bottom plate</v>
          </cell>
          <cell r="AF142">
            <v>3</v>
          </cell>
          <cell r="AR142">
            <v>2250000</v>
          </cell>
        </row>
        <row r="143">
          <cell r="B143" t="str">
            <v>پخت کلاچ 309 سوراخدار</v>
          </cell>
          <cell r="C143" t="str">
            <v>قالب تعمیری</v>
          </cell>
          <cell r="P143" t="str">
            <v>top Plate</v>
          </cell>
          <cell r="AF143">
            <v>6</v>
          </cell>
          <cell r="AR143">
            <v>4500000</v>
          </cell>
        </row>
        <row r="144">
          <cell r="B144" t="str">
            <v>جلو سمند سورن</v>
          </cell>
          <cell r="C144" t="str">
            <v>قالب تعمیری</v>
          </cell>
          <cell r="P144" t="str">
            <v>کفی قالب</v>
          </cell>
          <cell r="AF144">
            <v>5</v>
          </cell>
          <cell r="AR144">
            <v>3750000</v>
          </cell>
        </row>
        <row r="145">
          <cell r="B145" t="str">
            <v>پخت کلاچ 309 سوراخدار</v>
          </cell>
          <cell r="C145" t="str">
            <v>قالب تعمیری</v>
          </cell>
          <cell r="P145" t="str">
            <v>میل راهنما</v>
          </cell>
          <cell r="AF145">
            <v>4</v>
          </cell>
          <cell r="AR145">
            <v>3000000</v>
          </cell>
        </row>
        <row r="146">
          <cell r="B146" t="str">
            <v>قالب پخت کلاچ پژو 405</v>
          </cell>
          <cell r="C146" t="str">
            <v>قالب تعمیری</v>
          </cell>
          <cell r="P146" t="str">
            <v>Stop</v>
          </cell>
          <cell r="AF146">
            <v>4</v>
          </cell>
          <cell r="AR146">
            <v>3000000</v>
          </cell>
        </row>
        <row r="147">
          <cell r="B147" t="str">
            <v>سری نقطه جوش</v>
          </cell>
          <cell r="C147" t="str">
            <v>قطعه تعمیری</v>
          </cell>
          <cell r="P147" t="str">
            <v>مسی</v>
          </cell>
          <cell r="AF147">
            <v>1</v>
          </cell>
          <cell r="AR147">
            <v>750000</v>
          </cell>
        </row>
        <row r="148">
          <cell r="B148" t="str">
            <v>برشی نیوفیس C&amp;C</v>
          </cell>
          <cell r="C148" t="str">
            <v>قالب نو</v>
          </cell>
          <cell r="P148" t="str">
            <v>Mandrel</v>
          </cell>
          <cell r="AF148">
            <v>2.5</v>
          </cell>
          <cell r="AR148">
            <v>3750000</v>
          </cell>
        </row>
        <row r="149">
          <cell r="B149" t="str">
            <v>لودر دیسکی XGL 50</v>
          </cell>
          <cell r="C149" t="str">
            <v>قالب نو</v>
          </cell>
          <cell r="P149" t="str">
            <v>Mandrel</v>
          </cell>
          <cell r="AF149">
            <v>3</v>
          </cell>
          <cell r="AR149">
            <v>4500000</v>
          </cell>
        </row>
        <row r="150">
          <cell r="B150" t="str">
            <v>لنت ترمز دیسكی جلو دیما(خم)</v>
          </cell>
          <cell r="C150" t="str">
            <v>قالب نو</v>
          </cell>
          <cell r="P150" t="str">
            <v>Matrix</v>
          </cell>
          <cell r="AF150">
            <v>5.5</v>
          </cell>
          <cell r="AR150">
            <v>8250000</v>
          </cell>
        </row>
        <row r="151">
          <cell r="B151" t="str">
            <v>دستگاه پرچ زنی</v>
          </cell>
          <cell r="C151" t="str">
            <v>قطعه تعمیری</v>
          </cell>
          <cell r="P151" t="str">
            <v>فلانچ</v>
          </cell>
          <cell r="AF151">
            <v>3</v>
          </cell>
          <cell r="AR151">
            <v>2250000</v>
          </cell>
        </row>
        <row r="152">
          <cell r="B152" t="str">
            <v>ساب ترابوزا</v>
          </cell>
          <cell r="C152" t="str">
            <v>قطعه نو</v>
          </cell>
          <cell r="P152" t="str">
            <v>Bush</v>
          </cell>
          <cell r="AF152">
            <v>3</v>
          </cell>
          <cell r="AR152">
            <v>2250000</v>
          </cell>
        </row>
        <row r="153">
          <cell r="B153" t="str">
            <v>Hammer Mill Machine</v>
          </cell>
          <cell r="C153" t="str">
            <v>قطعه نو</v>
          </cell>
          <cell r="P153" t="str">
            <v>واشر</v>
          </cell>
          <cell r="AF153">
            <v>1</v>
          </cell>
          <cell r="AR153">
            <v>750000</v>
          </cell>
        </row>
        <row r="154">
          <cell r="B154" t="str">
            <v>دستگاه پرس پخت</v>
          </cell>
          <cell r="C154" t="str">
            <v>قطعه نو</v>
          </cell>
          <cell r="P154" t="str">
            <v>مهره</v>
          </cell>
          <cell r="AF154">
            <v>2</v>
          </cell>
          <cell r="AR154">
            <v>1500000</v>
          </cell>
        </row>
        <row r="155">
          <cell r="B155" t="str">
            <v>دستگاه پرس پخت</v>
          </cell>
          <cell r="C155" t="str">
            <v>قطعه تعمیری</v>
          </cell>
          <cell r="P155" t="str">
            <v>Shaft</v>
          </cell>
          <cell r="AF155">
            <v>3</v>
          </cell>
          <cell r="AR155">
            <v>2250000</v>
          </cell>
        </row>
        <row r="156">
          <cell r="B156" t="str">
            <v>قالب پخت SAF</v>
          </cell>
          <cell r="C156" t="str">
            <v>قالب تعمیری</v>
          </cell>
          <cell r="P156" t="str">
            <v>Matrix</v>
          </cell>
          <cell r="AF156">
            <v>12</v>
          </cell>
          <cell r="AR156">
            <v>9000000</v>
          </cell>
        </row>
        <row r="157">
          <cell r="B157" t="str">
            <v>جلو سمند سورن</v>
          </cell>
          <cell r="C157" t="str">
            <v>قالب تعمیری</v>
          </cell>
          <cell r="P157" t="str">
            <v>پشت سنبه</v>
          </cell>
          <cell r="AF157">
            <v>3</v>
          </cell>
          <cell r="AR157">
            <v>2250000</v>
          </cell>
        </row>
        <row r="158">
          <cell r="B158" t="str">
            <v>فیکسچر کفشک پژو 405</v>
          </cell>
          <cell r="C158" t="str">
            <v>قطعه نو</v>
          </cell>
          <cell r="P158" t="str">
            <v xml:space="preserve">فیکسچر </v>
          </cell>
          <cell r="AF158">
            <v>6</v>
          </cell>
          <cell r="AR158">
            <v>4500000</v>
          </cell>
        </row>
        <row r="159">
          <cell r="B159" t="str">
            <v>جلو سمند سورن</v>
          </cell>
          <cell r="C159" t="str">
            <v>قالب تعمیری</v>
          </cell>
          <cell r="P159" t="str">
            <v>پشت سنبه</v>
          </cell>
          <cell r="AF159">
            <v>9</v>
          </cell>
          <cell r="AR159">
            <v>6750000</v>
          </cell>
        </row>
        <row r="160">
          <cell r="B160" t="str">
            <v>لنت ترمز دیسكی جلو دیما(خم)</v>
          </cell>
          <cell r="C160" t="str">
            <v>قالب نو</v>
          </cell>
          <cell r="P160" t="str">
            <v>Mandrel</v>
          </cell>
          <cell r="AF160">
            <v>12</v>
          </cell>
          <cell r="AR160">
            <v>9000000</v>
          </cell>
        </row>
        <row r="161">
          <cell r="B161" t="str">
            <v>برشی نیوفیس C&amp;C</v>
          </cell>
          <cell r="C161" t="str">
            <v>قالب نو</v>
          </cell>
          <cell r="P161" t="str">
            <v>mold</v>
          </cell>
          <cell r="AF161">
            <v>4</v>
          </cell>
          <cell r="AR161">
            <v>3000000</v>
          </cell>
        </row>
        <row r="162">
          <cell r="B162" t="str">
            <v>پخت کلاچ ده تن</v>
          </cell>
          <cell r="C162" t="str">
            <v>قالب تعمیری</v>
          </cell>
          <cell r="P162" t="str">
            <v xml:space="preserve">پین </v>
          </cell>
          <cell r="AF162">
            <v>5</v>
          </cell>
          <cell r="AR162">
            <v>3750000</v>
          </cell>
        </row>
        <row r="163">
          <cell r="B163" t="str">
            <v>پخت عقب پژو 405 شمشی پایه کوتاه</v>
          </cell>
          <cell r="C163" t="str">
            <v>قالب نو</v>
          </cell>
          <cell r="P163" t="str">
            <v>mold</v>
          </cell>
          <cell r="AF163">
            <v>2</v>
          </cell>
          <cell r="AR163">
            <v>1500000</v>
          </cell>
        </row>
        <row r="164">
          <cell r="B164" t="str">
            <v>پخت عقب پژو 405 شمشی پایه کوتاه</v>
          </cell>
          <cell r="C164" t="str">
            <v>قالب نو</v>
          </cell>
          <cell r="P164" t="str">
            <v>Bottom Mandrel</v>
          </cell>
          <cell r="AF164">
            <v>11</v>
          </cell>
          <cell r="AR164">
            <v>16500000</v>
          </cell>
        </row>
        <row r="165">
          <cell r="B165" t="str">
            <v>پخت کلاچ پراید</v>
          </cell>
          <cell r="C165" t="str">
            <v>قالب تعمیری</v>
          </cell>
          <cell r="P165" t="str">
            <v>top Plate</v>
          </cell>
          <cell r="AF165">
            <v>11</v>
          </cell>
          <cell r="AR165">
            <v>8250000</v>
          </cell>
        </row>
        <row r="166">
          <cell r="B166" t="str">
            <v>قالب ولوو سوپر</v>
          </cell>
          <cell r="C166" t="str">
            <v>قالب تعمیری</v>
          </cell>
          <cell r="P166" t="str">
            <v>Matrix</v>
          </cell>
          <cell r="AF166">
            <v>11</v>
          </cell>
          <cell r="AR166">
            <v>8250000</v>
          </cell>
        </row>
        <row r="167">
          <cell r="B167" t="str">
            <v>لنت ترمز دیسكی جلو دیما(خم)</v>
          </cell>
          <cell r="C167" t="str">
            <v>قالب نو</v>
          </cell>
          <cell r="P167" t="str">
            <v>Matrix</v>
          </cell>
          <cell r="AF167">
            <v>5.5</v>
          </cell>
          <cell r="AR167">
            <v>8250000</v>
          </cell>
        </row>
        <row r="168">
          <cell r="B168" t="str">
            <v>برشی نیوفیس C&amp;C</v>
          </cell>
          <cell r="C168" t="str">
            <v>قالب نو</v>
          </cell>
          <cell r="P168" t="str">
            <v>Mandrel</v>
          </cell>
          <cell r="AF168">
            <v>5.5</v>
          </cell>
          <cell r="AR168">
            <v>8250000</v>
          </cell>
        </row>
        <row r="169">
          <cell r="B169" t="str">
            <v>دستگاه پرس پخت</v>
          </cell>
          <cell r="C169" t="str">
            <v>قطعه نو</v>
          </cell>
          <cell r="P169" t="str">
            <v>مهره</v>
          </cell>
          <cell r="AF169">
            <v>2</v>
          </cell>
          <cell r="AR169">
            <v>1500000</v>
          </cell>
        </row>
        <row r="170">
          <cell r="B170" t="str">
            <v>دستگاه پرس پخت</v>
          </cell>
          <cell r="C170" t="str">
            <v>قطعه تعمیری</v>
          </cell>
          <cell r="P170" t="str">
            <v>Shaft</v>
          </cell>
          <cell r="AF170">
            <v>2</v>
          </cell>
          <cell r="AR170">
            <v>1500000</v>
          </cell>
        </row>
        <row r="171">
          <cell r="B171" t="str">
            <v>دستگاه پرس 400 تن</v>
          </cell>
          <cell r="C171" t="str">
            <v>قطعه تعمیری</v>
          </cell>
          <cell r="P171" t="str">
            <v>جک</v>
          </cell>
          <cell r="AF171">
            <v>1</v>
          </cell>
          <cell r="AR171">
            <v>750000</v>
          </cell>
        </row>
        <row r="172">
          <cell r="B172" t="str">
            <v>دستگاه پرس 400 تن</v>
          </cell>
          <cell r="C172" t="str">
            <v>قطعه تعمیری</v>
          </cell>
          <cell r="P172" t="str">
            <v>جک</v>
          </cell>
          <cell r="AF172">
            <v>1</v>
          </cell>
          <cell r="AR172">
            <v>750000</v>
          </cell>
        </row>
        <row r="173">
          <cell r="B173" t="str">
            <v>دستگاه پرس 400 تن</v>
          </cell>
          <cell r="C173" t="str">
            <v>قطعه تعمیری</v>
          </cell>
          <cell r="P173" t="str">
            <v>جک</v>
          </cell>
          <cell r="AF173">
            <v>1</v>
          </cell>
          <cell r="AR173">
            <v>750000</v>
          </cell>
        </row>
        <row r="174">
          <cell r="B174" t="str">
            <v>دستگاه پرس 400 تن</v>
          </cell>
          <cell r="C174" t="str">
            <v>قطعه نو</v>
          </cell>
          <cell r="P174" t="str">
            <v>مهره</v>
          </cell>
          <cell r="AF174">
            <v>2</v>
          </cell>
          <cell r="AR174">
            <v>1500000</v>
          </cell>
        </row>
        <row r="175">
          <cell r="B175" t="str">
            <v>قالب مینی بوس آریا</v>
          </cell>
          <cell r="C175" t="str">
            <v>قالب نو</v>
          </cell>
          <cell r="P175" t="str">
            <v>mold</v>
          </cell>
          <cell r="AF175">
            <v>2.5</v>
          </cell>
          <cell r="AR175">
            <v>1875000</v>
          </cell>
        </row>
        <row r="176">
          <cell r="B176" t="str">
            <v>قالب مینی بوس آریا</v>
          </cell>
          <cell r="C176" t="str">
            <v>قالب نو</v>
          </cell>
          <cell r="P176" t="str">
            <v>پشت سنبه</v>
          </cell>
          <cell r="AF176">
            <v>1.5</v>
          </cell>
          <cell r="AR176">
            <v>1125000</v>
          </cell>
        </row>
        <row r="177">
          <cell r="B177" t="str">
            <v>شمش پراید</v>
          </cell>
          <cell r="C177" t="str">
            <v>قالب نو</v>
          </cell>
          <cell r="P177" t="str">
            <v>mold</v>
          </cell>
          <cell r="AF177">
            <v>3</v>
          </cell>
          <cell r="AR177">
            <v>2250000</v>
          </cell>
        </row>
        <row r="178">
          <cell r="B178" t="str">
            <v>ویوینگ</v>
          </cell>
          <cell r="C178" t="str">
            <v>قطعه تعمیری</v>
          </cell>
          <cell r="P178" t="str">
            <v>Shaft</v>
          </cell>
          <cell r="AF178">
            <v>0.5</v>
          </cell>
          <cell r="AR178">
            <v>375000</v>
          </cell>
        </row>
        <row r="179">
          <cell r="B179" t="str">
            <v>ویوینگ</v>
          </cell>
          <cell r="C179" t="str">
            <v>قطعه تعمیری</v>
          </cell>
          <cell r="P179" t="str">
            <v>Shaft</v>
          </cell>
          <cell r="AF179">
            <v>0.5</v>
          </cell>
          <cell r="AR179">
            <v>375000</v>
          </cell>
        </row>
        <row r="180">
          <cell r="B180" t="str">
            <v>برشی نیوفیس C&amp;C</v>
          </cell>
          <cell r="C180" t="str">
            <v>قالب نو</v>
          </cell>
          <cell r="P180" t="str">
            <v>mold</v>
          </cell>
          <cell r="AF180">
            <v>1</v>
          </cell>
          <cell r="AR180">
            <v>750000</v>
          </cell>
        </row>
        <row r="181">
          <cell r="B181" t="str">
            <v>برشی نیوفیس C&amp;C</v>
          </cell>
          <cell r="C181" t="str">
            <v>قالب نو</v>
          </cell>
          <cell r="P181" t="str">
            <v>mold</v>
          </cell>
          <cell r="AF181">
            <v>2</v>
          </cell>
          <cell r="AR181">
            <v>1500000</v>
          </cell>
        </row>
        <row r="182">
          <cell r="B182" t="str">
            <v>قالب پخت SAF</v>
          </cell>
          <cell r="C182" t="str">
            <v>قالب تعمیری</v>
          </cell>
          <cell r="P182" t="str">
            <v>Matrix</v>
          </cell>
          <cell r="AF182">
            <v>10</v>
          </cell>
          <cell r="AR182">
            <v>7500000</v>
          </cell>
        </row>
        <row r="183">
          <cell r="B183" t="str">
            <v>سری تراش</v>
          </cell>
          <cell r="C183" t="str">
            <v>قطعه تعمیری</v>
          </cell>
          <cell r="P183" t="str">
            <v>Nose Cap</v>
          </cell>
          <cell r="AF183">
            <v>2</v>
          </cell>
          <cell r="AR183">
            <v>1500000</v>
          </cell>
        </row>
        <row r="184">
          <cell r="B184" t="str">
            <v>قالب مینی بوس آریا</v>
          </cell>
          <cell r="C184" t="str">
            <v>قالب نو</v>
          </cell>
          <cell r="P184" t="str">
            <v>mold</v>
          </cell>
          <cell r="AF184">
            <v>8</v>
          </cell>
          <cell r="AR184">
            <v>6000000</v>
          </cell>
        </row>
        <row r="185">
          <cell r="B185" t="str">
            <v>دسنگاه چسب زنی</v>
          </cell>
          <cell r="C185" t="str">
            <v>قطعه نو</v>
          </cell>
          <cell r="P185" t="str">
            <v>چرخ دنده</v>
          </cell>
          <cell r="AF185">
            <v>6</v>
          </cell>
          <cell r="AR185">
            <v>4500000</v>
          </cell>
        </row>
        <row r="186">
          <cell r="B186" t="str">
            <v>لنت ترمز دیسكی جلو دیما(خم)</v>
          </cell>
          <cell r="C186" t="str">
            <v>قالب نو</v>
          </cell>
          <cell r="P186" t="str">
            <v>top Plate</v>
          </cell>
          <cell r="AF186">
            <v>2</v>
          </cell>
          <cell r="AR186">
            <v>1500000</v>
          </cell>
        </row>
        <row r="187">
          <cell r="B187" t="str">
            <v>دسنگاه چسب زنی</v>
          </cell>
          <cell r="C187" t="str">
            <v>قطعه نو</v>
          </cell>
          <cell r="P187" t="str">
            <v>چرخ دنده</v>
          </cell>
          <cell r="AF187">
            <v>7</v>
          </cell>
          <cell r="AR187">
            <v>5250000</v>
          </cell>
        </row>
        <row r="188">
          <cell r="B188" t="str">
            <v>فیکسچر کفشک پژو 405</v>
          </cell>
          <cell r="C188" t="str">
            <v>قطعه نو</v>
          </cell>
          <cell r="P188" t="str">
            <v xml:space="preserve">فیکسچر </v>
          </cell>
          <cell r="AF188">
            <v>3</v>
          </cell>
          <cell r="AR188">
            <v>2250000</v>
          </cell>
        </row>
        <row r="189">
          <cell r="B189" t="str">
            <v>قالب کوبه نک SAF</v>
          </cell>
          <cell r="C189" t="str">
            <v>قالب تعمیری</v>
          </cell>
          <cell r="P189" t="str">
            <v>Mandrel</v>
          </cell>
          <cell r="AF189">
            <v>1</v>
          </cell>
          <cell r="AR189">
            <v>750000</v>
          </cell>
        </row>
        <row r="190">
          <cell r="B190" t="str">
            <v>جلو سمند سورن</v>
          </cell>
          <cell r="C190" t="str">
            <v>قالب تعمیری</v>
          </cell>
          <cell r="P190" t="str">
            <v>bottom plate</v>
          </cell>
          <cell r="AF190">
            <v>10</v>
          </cell>
          <cell r="AR190">
            <v>7500000</v>
          </cell>
        </row>
        <row r="191">
          <cell r="B191" t="str">
            <v>پخت کلاچ ایسوزو</v>
          </cell>
          <cell r="C191" t="str">
            <v>قالب تعمیری</v>
          </cell>
          <cell r="P191" t="str">
            <v>Matrix</v>
          </cell>
          <cell r="AF191">
            <v>1</v>
          </cell>
          <cell r="AR191">
            <v>750000</v>
          </cell>
        </row>
        <row r="192">
          <cell r="B192" t="str">
            <v>پخت کلاچ ایسوزو</v>
          </cell>
          <cell r="C192" t="str">
            <v>قالب تعمیری</v>
          </cell>
          <cell r="P192" t="str">
            <v>Matrix</v>
          </cell>
          <cell r="AF192">
            <v>5.5</v>
          </cell>
          <cell r="AR192">
            <v>4125000</v>
          </cell>
        </row>
        <row r="193">
          <cell r="B193" t="str">
            <v>قالب مینی بوس آریا</v>
          </cell>
          <cell r="C193" t="str">
            <v>قالب نو</v>
          </cell>
          <cell r="P193" t="str">
            <v>پشت سنبه</v>
          </cell>
          <cell r="AF193">
            <v>1.5</v>
          </cell>
          <cell r="AR193">
            <v>1125000</v>
          </cell>
        </row>
        <row r="194">
          <cell r="B194" t="str">
            <v>شمش پراید</v>
          </cell>
          <cell r="C194" t="str">
            <v>قالب نو</v>
          </cell>
          <cell r="P194" t="str">
            <v>mold</v>
          </cell>
          <cell r="AF194">
            <v>1.5</v>
          </cell>
          <cell r="AR194">
            <v>1125000</v>
          </cell>
        </row>
        <row r="195">
          <cell r="B195" t="str">
            <v>ویوینگ</v>
          </cell>
          <cell r="C195" t="str">
            <v>قطعه تعمیری</v>
          </cell>
          <cell r="P195" t="str">
            <v>Shaft</v>
          </cell>
          <cell r="AF195">
            <v>2</v>
          </cell>
          <cell r="AR195">
            <v>1500000</v>
          </cell>
        </row>
        <row r="196">
          <cell r="B196" t="str">
            <v>ویوینگ</v>
          </cell>
          <cell r="C196" t="str">
            <v>قطعه تعمیری</v>
          </cell>
          <cell r="P196" t="str">
            <v>Shaft</v>
          </cell>
          <cell r="AF196">
            <v>1</v>
          </cell>
          <cell r="AR196">
            <v>750000</v>
          </cell>
        </row>
        <row r="197">
          <cell r="B197" t="str">
            <v>برشی نیوفیس C&amp;C</v>
          </cell>
          <cell r="C197" t="str">
            <v>قالب نو</v>
          </cell>
          <cell r="P197" t="str">
            <v>mold</v>
          </cell>
          <cell r="AF197">
            <v>1</v>
          </cell>
          <cell r="AR197">
            <v>750000</v>
          </cell>
        </row>
        <row r="198">
          <cell r="B198" t="str">
            <v>برشی نیوفیس C&amp;C</v>
          </cell>
          <cell r="C198" t="str">
            <v>قالب نو</v>
          </cell>
          <cell r="P198" t="str">
            <v>mold</v>
          </cell>
          <cell r="AF198">
            <v>1</v>
          </cell>
          <cell r="AR198">
            <v>750000</v>
          </cell>
        </row>
        <row r="199">
          <cell r="B199" t="str">
            <v>شمش پراید</v>
          </cell>
          <cell r="C199" t="str">
            <v>قالب نو</v>
          </cell>
          <cell r="P199" t="str">
            <v>mold</v>
          </cell>
          <cell r="AF199">
            <v>3</v>
          </cell>
          <cell r="AR199">
            <v>2250000</v>
          </cell>
        </row>
        <row r="200">
          <cell r="B200" t="str">
            <v xml:space="preserve">قالب پخت کلاچ پیکان </v>
          </cell>
          <cell r="C200" t="str">
            <v>قالب تعمیری</v>
          </cell>
          <cell r="P200" t="str">
            <v>mold</v>
          </cell>
          <cell r="AF200">
            <v>3</v>
          </cell>
          <cell r="AR200">
            <v>2250000</v>
          </cell>
        </row>
        <row r="201">
          <cell r="B201" t="str">
            <v>برشی نیوفیس C&amp;C</v>
          </cell>
          <cell r="C201" t="str">
            <v>قالب نو</v>
          </cell>
          <cell r="P201" t="str">
            <v>Mandrel</v>
          </cell>
          <cell r="AF201">
            <v>7.5</v>
          </cell>
          <cell r="AR201">
            <v>11250000</v>
          </cell>
        </row>
        <row r="202">
          <cell r="B202" t="str">
            <v>دستگاه پشم فلز</v>
          </cell>
          <cell r="C202" t="str">
            <v>قطعه تعمیری</v>
          </cell>
          <cell r="P202" t="str">
            <v>نگهدارنده تیغه</v>
          </cell>
          <cell r="AF202">
            <v>6.5</v>
          </cell>
          <cell r="AR202">
            <v>4875000</v>
          </cell>
        </row>
        <row r="203">
          <cell r="B203" t="str">
            <v>لنت ترمز دیسكی جلو دیما(خم)</v>
          </cell>
          <cell r="C203" t="str">
            <v>قالب نو</v>
          </cell>
          <cell r="P203" t="str">
            <v>bottom plate</v>
          </cell>
          <cell r="AF203">
            <v>7.5</v>
          </cell>
          <cell r="AR203">
            <v>5625000</v>
          </cell>
        </row>
        <row r="204">
          <cell r="B204" t="str">
            <v>شمش پراید</v>
          </cell>
          <cell r="C204" t="str">
            <v>قالب نو</v>
          </cell>
          <cell r="P204" t="str">
            <v>mold</v>
          </cell>
          <cell r="AF204">
            <v>1</v>
          </cell>
          <cell r="AR204">
            <v>750000</v>
          </cell>
        </row>
        <row r="205">
          <cell r="B205" t="str">
            <v xml:space="preserve">قالب پخت کلاچ پیکان </v>
          </cell>
          <cell r="C205" t="str">
            <v>قالب تعمیری</v>
          </cell>
          <cell r="P205" t="str">
            <v>پین</v>
          </cell>
          <cell r="AF205">
            <v>6</v>
          </cell>
          <cell r="AR205">
            <v>4500000</v>
          </cell>
        </row>
        <row r="206">
          <cell r="B206" t="str">
            <v>اصول 5S</v>
          </cell>
          <cell r="C206" t="str">
            <v>نظافت</v>
          </cell>
          <cell r="P206" t="str">
            <v>دستگاه</v>
          </cell>
          <cell r="AF206">
            <v>1</v>
          </cell>
          <cell r="AR206">
            <v>750000</v>
          </cell>
        </row>
        <row r="207">
          <cell r="B207" t="str">
            <v>شمش پراید</v>
          </cell>
          <cell r="C207" t="str">
            <v>قالب نو</v>
          </cell>
          <cell r="P207" t="str">
            <v>mold</v>
          </cell>
          <cell r="AF207">
            <v>3</v>
          </cell>
          <cell r="AR207">
            <v>2250000</v>
          </cell>
        </row>
        <row r="208">
          <cell r="B208" t="str">
            <v xml:space="preserve">قالب پخت کلاچ پیکان </v>
          </cell>
          <cell r="C208" t="str">
            <v>قالب تعمیری</v>
          </cell>
          <cell r="P208" t="str">
            <v>پین</v>
          </cell>
          <cell r="AF208">
            <v>2</v>
          </cell>
          <cell r="AR208">
            <v>1500000</v>
          </cell>
        </row>
        <row r="209">
          <cell r="B209" t="str">
            <v>پخت کلاچ ایسوزو</v>
          </cell>
          <cell r="C209" t="str">
            <v>قالب تعمیری</v>
          </cell>
          <cell r="P209" t="str">
            <v>Matrix</v>
          </cell>
          <cell r="AF209">
            <v>2</v>
          </cell>
          <cell r="AR209">
            <v>1500000</v>
          </cell>
        </row>
        <row r="210">
          <cell r="B210" t="str">
            <v>اصول 5S</v>
          </cell>
          <cell r="C210" t="str">
            <v>نظافت</v>
          </cell>
          <cell r="P210" t="str">
            <v>دستگاه</v>
          </cell>
          <cell r="AF210">
            <v>1</v>
          </cell>
          <cell r="AR210">
            <v>750000</v>
          </cell>
        </row>
        <row r="211">
          <cell r="B211" t="str">
            <v>قالب پخت SAF</v>
          </cell>
          <cell r="C211" t="str">
            <v>قالب تعمیری</v>
          </cell>
          <cell r="P211" t="str">
            <v>Matrix</v>
          </cell>
          <cell r="AF211">
            <v>8</v>
          </cell>
          <cell r="AR211">
            <v>6000000</v>
          </cell>
        </row>
        <row r="212">
          <cell r="B212" t="str">
            <v>قالب مینی بوس آریا</v>
          </cell>
          <cell r="C212" t="str">
            <v>قالب نو</v>
          </cell>
          <cell r="P212" t="str">
            <v>mold</v>
          </cell>
          <cell r="AF212">
            <v>8</v>
          </cell>
          <cell r="AR212">
            <v>6000000</v>
          </cell>
        </row>
        <row r="213">
          <cell r="B213" t="str">
            <v>دسنگاه چسب زنی</v>
          </cell>
          <cell r="C213" t="str">
            <v>قطعه نو</v>
          </cell>
          <cell r="P213" t="str">
            <v>چرخ دنده</v>
          </cell>
          <cell r="AF213">
            <v>8</v>
          </cell>
          <cell r="AR213">
            <v>6000000</v>
          </cell>
        </row>
        <row r="214">
          <cell r="B214" t="str">
            <v>دسنگاه چسب زنی</v>
          </cell>
          <cell r="C214" t="str">
            <v>قطعه نو</v>
          </cell>
          <cell r="P214" t="str">
            <v>چرخ دنده</v>
          </cell>
          <cell r="AF214">
            <v>8</v>
          </cell>
          <cell r="AR214">
            <v>6000000</v>
          </cell>
        </row>
        <row r="215">
          <cell r="B215" t="str">
            <v>ابزار زنی</v>
          </cell>
          <cell r="C215" t="str">
            <v>قطعه نو</v>
          </cell>
          <cell r="P215" t="str">
            <v>غلطک</v>
          </cell>
          <cell r="AF215">
            <v>4</v>
          </cell>
          <cell r="AR215">
            <v>3000000</v>
          </cell>
        </row>
        <row r="216">
          <cell r="B216" t="str">
            <v>جک ترمز کلاچ</v>
          </cell>
          <cell r="C216" t="str">
            <v>قطعه تعمیری</v>
          </cell>
          <cell r="P216" t="str">
            <v>گلدونی</v>
          </cell>
          <cell r="AF216">
            <v>1</v>
          </cell>
          <cell r="AR216">
            <v>750000</v>
          </cell>
        </row>
        <row r="217">
          <cell r="B217" t="str">
            <v>دستگاه پرس 400 تن</v>
          </cell>
          <cell r="C217" t="str">
            <v>قطعه نو</v>
          </cell>
          <cell r="P217" t="str">
            <v>مهره</v>
          </cell>
          <cell r="AF217">
            <v>1</v>
          </cell>
          <cell r="AR217">
            <v>750000</v>
          </cell>
        </row>
        <row r="218">
          <cell r="B218" t="str">
            <v>اصول 5S</v>
          </cell>
          <cell r="C218" t="str">
            <v>نظافت</v>
          </cell>
          <cell r="P218" t="str">
            <v>دستگاه</v>
          </cell>
          <cell r="AF218">
            <v>1</v>
          </cell>
          <cell r="AR218">
            <v>750000</v>
          </cell>
        </row>
        <row r="219">
          <cell r="B219" t="str">
            <v>شمش پراید</v>
          </cell>
          <cell r="C219" t="str">
            <v>قالب نو</v>
          </cell>
          <cell r="P219" t="str">
            <v>mold</v>
          </cell>
          <cell r="AF219">
            <v>2</v>
          </cell>
          <cell r="AR219">
            <v>1500000</v>
          </cell>
        </row>
        <row r="220">
          <cell r="B220" t="str">
            <v>شمش پراید</v>
          </cell>
          <cell r="C220" t="str">
            <v>قالب نو</v>
          </cell>
          <cell r="P220" t="str">
            <v>mold</v>
          </cell>
          <cell r="AF220">
            <v>1</v>
          </cell>
          <cell r="AR220">
            <v>750000</v>
          </cell>
        </row>
        <row r="221">
          <cell r="B221" t="str">
            <v>قالب ولوو سوپر</v>
          </cell>
          <cell r="C221" t="str">
            <v>قالب تعمیری</v>
          </cell>
          <cell r="P221" t="str">
            <v>mold</v>
          </cell>
          <cell r="AF221">
            <v>1</v>
          </cell>
          <cell r="AR221">
            <v>750000</v>
          </cell>
        </row>
        <row r="222">
          <cell r="B222" t="str">
            <v>اصول 5S</v>
          </cell>
          <cell r="C222" t="str">
            <v>نظافت</v>
          </cell>
          <cell r="P222" t="str">
            <v>دستگاه</v>
          </cell>
          <cell r="AF222">
            <v>1</v>
          </cell>
          <cell r="AR222">
            <v>750000</v>
          </cell>
        </row>
        <row r="223">
          <cell r="B223" t="str">
            <v>پخت کلاچ پراید</v>
          </cell>
          <cell r="C223" t="str">
            <v>قالب تعمیری</v>
          </cell>
          <cell r="P223" t="str">
            <v>top Plate</v>
          </cell>
          <cell r="AF223">
            <v>11</v>
          </cell>
          <cell r="AR223">
            <v>8250000</v>
          </cell>
        </row>
        <row r="224">
          <cell r="B224" t="str">
            <v>پخت کلاچ 309 سوراخدار</v>
          </cell>
          <cell r="C224" t="str">
            <v>قالب تعمیری</v>
          </cell>
          <cell r="P224" t="str">
            <v>Matrix</v>
          </cell>
          <cell r="AF224">
            <v>5.5</v>
          </cell>
          <cell r="AR224">
            <v>8250000</v>
          </cell>
        </row>
        <row r="225">
          <cell r="B225" t="str">
            <v>پخت عقب پژو 405 شمشی پایه کوتاه</v>
          </cell>
          <cell r="C225" t="str">
            <v>قالب نو</v>
          </cell>
          <cell r="P225" t="str">
            <v>Bottom Mandrel</v>
          </cell>
          <cell r="AF225">
            <v>7.5</v>
          </cell>
          <cell r="AR225">
            <v>11250000</v>
          </cell>
        </row>
        <row r="226">
          <cell r="B226" t="str">
            <v>برشی نیوفیس C&amp;C</v>
          </cell>
          <cell r="C226" t="str">
            <v>قالب نو</v>
          </cell>
          <cell r="P226" t="str">
            <v>Mandrel</v>
          </cell>
          <cell r="AF226">
            <v>7.5</v>
          </cell>
          <cell r="AR226">
            <v>11250000</v>
          </cell>
        </row>
        <row r="227">
          <cell r="B227" t="str">
            <v>لودر دیسکی XGL 50</v>
          </cell>
          <cell r="C227" t="str">
            <v>قالب نو</v>
          </cell>
          <cell r="P227" t="str">
            <v>bottom plate</v>
          </cell>
          <cell r="AF227">
            <v>7.5</v>
          </cell>
          <cell r="AR227">
            <v>11250000</v>
          </cell>
        </row>
        <row r="228">
          <cell r="B228" t="str">
            <v xml:space="preserve">قالب پخت کلاچ پیکان </v>
          </cell>
          <cell r="C228" t="str">
            <v>قالب تعمیری</v>
          </cell>
          <cell r="P228" t="str">
            <v>mold</v>
          </cell>
          <cell r="AF228">
            <v>7.5</v>
          </cell>
          <cell r="AR228">
            <v>5625000</v>
          </cell>
        </row>
        <row r="229">
          <cell r="B229" t="str">
            <v xml:space="preserve">قالب پخت کلاچ پیکان </v>
          </cell>
          <cell r="C229" t="str">
            <v>قالب تعمیری</v>
          </cell>
          <cell r="P229" t="str">
            <v>mold</v>
          </cell>
          <cell r="AF229">
            <v>7.5</v>
          </cell>
          <cell r="AR229">
            <v>5625000</v>
          </cell>
        </row>
        <row r="230">
          <cell r="B230" t="str">
            <v>پخت کلاچ ایسوزو</v>
          </cell>
          <cell r="C230" t="str">
            <v>قالب تعمیری</v>
          </cell>
          <cell r="P230" t="str">
            <v>Matrix</v>
          </cell>
          <cell r="AF230">
            <v>3</v>
          </cell>
          <cell r="AR230">
            <v>2250000</v>
          </cell>
        </row>
        <row r="231">
          <cell r="B231" t="str">
            <v>پخت کلاچ ایسوزو</v>
          </cell>
          <cell r="C231" t="str">
            <v>قالب تعمیری</v>
          </cell>
          <cell r="P231" t="str">
            <v>top Plate</v>
          </cell>
          <cell r="AF231">
            <v>2</v>
          </cell>
          <cell r="AR231">
            <v>1500000</v>
          </cell>
        </row>
        <row r="232">
          <cell r="B232" t="str">
            <v>پخت کلاچ تیبا چپ</v>
          </cell>
          <cell r="C232" t="str">
            <v>قالب نو</v>
          </cell>
          <cell r="P232" t="str">
            <v>bottom plate</v>
          </cell>
          <cell r="AF232">
            <v>8</v>
          </cell>
          <cell r="AR232">
            <v>6000000</v>
          </cell>
        </row>
        <row r="233">
          <cell r="B233" t="str">
            <v>پخت کلاچ تیبا چپ</v>
          </cell>
          <cell r="C233" t="str">
            <v>قالب نو</v>
          </cell>
          <cell r="P233" t="str">
            <v>top Plate</v>
          </cell>
          <cell r="AF233">
            <v>3</v>
          </cell>
          <cell r="AR233">
            <v>2250000</v>
          </cell>
        </row>
        <row r="234">
          <cell r="B234" t="str">
            <v>دستگاه پشم فلز</v>
          </cell>
          <cell r="C234" t="str">
            <v>قطعه تعمیری</v>
          </cell>
          <cell r="P234" t="str">
            <v>نگهدارنده تیغه</v>
          </cell>
          <cell r="AF234">
            <v>3.5</v>
          </cell>
          <cell r="AR234">
            <v>2625000</v>
          </cell>
        </row>
        <row r="235">
          <cell r="B235" t="str">
            <v>دستگاه پشم فلز</v>
          </cell>
          <cell r="C235" t="str">
            <v>قطعه تعمیری</v>
          </cell>
          <cell r="P235" t="str">
            <v>نگهدارنده تیغه</v>
          </cell>
          <cell r="AF235">
            <v>3</v>
          </cell>
          <cell r="AR235">
            <v>2250000</v>
          </cell>
        </row>
        <row r="236">
          <cell r="B236" t="str">
            <v>دستگاه پشم فلز</v>
          </cell>
          <cell r="C236" t="str">
            <v>قطعه تعمیری</v>
          </cell>
          <cell r="P236" t="str">
            <v>نگهدارنده تیغه</v>
          </cell>
          <cell r="AF236">
            <v>2</v>
          </cell>
          <cell r="AR236">
            <v>1500000</v>
          </cell>
        </row>
        <row r="237">
          <cell r="B237" t="str">
            <v>پخت کلاچ پراید</v>
          </cell>
          <cell r="C237" t="str">
            <v>قالب تعمیری</v>
          </cell>
          <cell r="P237" t="str">
            <v>واسطه</v>
          </cell>
          <cell r="AF237">
            <v>3</v>
          </cell>
          <cell r="AR237">
            <v>2250000</v>
          </cell>
        </row>
        <row r="238">
          <cell r="B238" t="str">
            <v>دستگاه پرس پخت</v>
          </cell>
          <cell r="C238" t="str">
            <v>قطعه تعمیری</v>
          </cell>
          <cell r="P238" t="str">
            <v>رینگ سیلندر</v>
          </cell>
          <cell r="AF238">
            <v>2</v>
          </cell>
          <cell r="AR238">
            <v>1500000</v>
          </cell>
        </row>
        <row r="239">
          <cell r="B239" t="str">
            <v>شمش پراید</v>
          </cell>
          <cell r="C239" t="str">
            <v>قالب نو</v>
          </cell>
          <cell r="P239" t="str">
            <v>mold</v>
          </cell>
          <cell r="AF239">
            <v>0.5</v>
          </cell>
          <cell r="AR239">
            <v>375000</v>
          </cell>
        </row>
        <row r="240">
          <cell r="B240" t="str">
            <v xml:space="preserve">قالب پخت کلاچ پیکان </v>
          </cell>
          <cell r="C240" t="str">
            <v>قالب تعمیری</v>
          </cell>
          <cell r="P240" t="str">
            <v>mold</v>
          </cell>
          <cell r="AF240">
            <v>2</v>
          </cell>
          <cell r="AR240">
            <v>1500000</v>
          </cell>
        </row>
        <row r="241">
          <cell r="B241" t="str">
            <v>ابزار زنی</v>
          </cell>
          <cell r="C241" t="str">
            <v>قطعه نو</v>
          </cell>
          <cell r="P241" t="str">
            <v>Shaft</v>
          </cell>
          <cell r="AF241">
            <v>2</v>
          </cell>
          <cell r="AR241">
            <v>1500000</v>
          </cell>
        </row>
        <row r="242">
          <cell r="B242" t="str">
            <v>آغشته کاری</v>
          </cell>
          <cell r="C242" t="str">
            <v>قطعه تعمیری</v>
          </cell>
          <cell r="P242" t="str">
            <v>پیچ تنظیم</v>
          </cell>
          <cell r="AF242">
            <v>2</v>
          </cell>
          <cell r="AR242">
            <v>1500000</v>
          </cell>
        </row>
        <row r="243">
          <cell r="B243" t="str">
            <v>آغشته کاری</v>
          </cell>
          <cell r="C243" t="str">
            <v>قطعه تعمیری</v>
          </cell>
          <cell r="P243" t="str">
            <v>پیچ تنظیم</v>
          </cell>
          <cell r="AF243">
            <v>2</v>
          </cell>
          <cell r="AR243">
            <v>1500000</v>
          </cell>
        </row>
        <row r="244">
          <cell r="B244" t="str">
            <v>بسته بندی</v>
          </cell>
          <cell r="C244" t="str">
            <v>قطعه نو</v>
          </cell>
          <cell r="P244" t="str">
            <v>اورینگ</v>
          </cell>
          <cell r="AF244">
            <v>1</v>
          </cell>
          <cell r="AR244">
            <v>750000</v>
          </cell>
        </row>
        <row r="245">
          <cell r="B245" t="str">
            <v>ابزار زنی</v>
          </cell>
          <cell r="C245" t="str">
            <v>قطعه نو</v>
          </cell>
          <cell r="P245" t="str">
            <v>Shaft</v>
          </cell>
          <cell r="AF245">
            <v>4</v>
          </cell>
          <cell r="AR245">
            <v>3000000</v>
          </cell>
        </row>
        <row r="246">
          <cell r="B246" t="str">
            <v>پخت کلاچ ایویکو سوراخدار</v>
          </cell>
          <cell r="C246" t="str">
            <v>قالب تعمیری</v>
          </cell>
          <cell r="P246" t="str">
            <v>mold</v>
          </cell>
          <cell r="AF246">
            <v>1.5</v>
          </cell>
          <cell r="AR246">
            <v>1125000</v>
          </cell>
        </row>
        <row r="247">
          <cell r="B247" t="str">
            <v>پخت کلاچ ایویکو سوراخدار</v>
          </cell>
          <cell r="C247" t="str">
            <v>قالب تعمیری</v>
          </cell>
          <cell r="P247" t="str">
            <v>پین</v>
          </cell>
          <cell r="AF247">
            <v>1.5</v>
          </cell>
          <cell r="AR247">
            <v>1125000</v>
          </cell>
        </row>
        <row r="248">
          <cell r="B248" t="str">
            <v xml:space="preserve">قالب پخت کلاچ پیکان </v>
          </cell>
          <cell r="C248" t="str">
            <v>قالب تعمیری</v>
          </cell>
          <cell r="P248" t="str">
            <v>رینگ</v>
          </cell>
          <cell r="AF248">
            <v>2</v>
          </cell>
          <cell r="AR248">
            <v>1500000</v>
          </cell>
        </row>
        <row r="249">
          <cell r="B249" t="str">
            <v xml:space="preserve">قالب پخت کلاچ پیکان </v>
          </cell>
          <cell r="C249" t="str">
            <v>قالب تعمیری</v>
          </cell>
          <cell r="P249" t="str">
            <v>mold</v>
          </cell>
          <cell r="AF249">
            <v>2.5</v>
          </cell>
          <cell r="AR249">
            <v>1875000</v>
          </cell>
        </row>
        <row r="250">
          <cell r="B250" t="str">
            <v>بسته بندی</v>
          </cell>
          <cell r="C250" t="str">
            <v>قطعه تعمیری</v>
          </cell>
          <cell r="P250" t="str">
            <v>Shaft</v>
          </cell>
          <cell r="AF250">
            <v>4</v>
          </cell>
          <cell r="AR250">
            <v>3000000</v>
          </cell>
        </row>
        <row r="251">
          <cell r="B251" t="str">
            <v>پخت کلاچ 309 سوراخدار</v>
          </cell>
          <cell r="C251" t="str">
            <v>قالب تعمیری</v>
          </cell>
          <cell r="P251" t="str">
            <v>mold</v>
          </cell>
          <cell r="AF251">
            <v>3</v>
          </cell>
          <cell r="AR251">
            <v>2250000</v>
          </cell>
        </row>
        <row r="252">
          <cell r="B252" t="str">
            <v>دستگاه پرس پخت</v>
          </cell>
          <cell r="C252" t="str">
            <v>قطعه تعمیری</v>
          </cell>
          <cell r="P252" t="str">
            <v>رینگ سیلندر</v>
          </cell>
          <cell r="AF252">
            <v>2.5</v>
          </cell>
          <cell r="AR252">
            <v>1875000</v>
          </cell>
        </row>
        <row r="253">
          <cell r="B253" t="str">
            <v xml:space="preserve">قالب پخت کلاچ پیکان </v>
          </cell>
          <cell r="C253" t="str">
            <v>قالب تعمیری</v>
          </cell>
          <cell r="P253" t="str">
            <v>mold</v>
          </cell>
          <cell r="AF253">
            <v>2.5</v>
          </cell>
          <cell r="AR253">
            <v>1875000</v>
          </cell>
        </row>
        <row r="254">
          <cell r="B254" t="str">
            <v>پخت عقب پژو 405 شمشی پایه کوتاه</v>
          </cell>
          <cell r="C254" t="str">
            <v>قالب نو</v>
          </cell>
          <cell r="P254" t="str">
            <v>Bottom Mandrel</v>
          </cell>
          <cell r="AF254">
            <v>7.5</v>
          </cell>
          <cell r="AR254">
            <v>11250000</v>
          </cell>
        </row>
        <row r="255">
          <cell r="B255" t="str">
            <v xml:space="preserve">قالب پخت کلاچ پیکان </v>
          </cell>
          <cell r="C255" t="str">
            <v>قالب تعمیری</v>
          </cell>
          <cell r="P255" t="str">
            <v>top Plate</v>
          </cell>
          <cell r="AF255">
            <v>5</v>
          </cell>
          <cell r="AR255">
            <v>3750000</v>
          </cell>
        </row>
        <row r="256">
          <cell r="B256" t="str">
            <v xml:space="preserve">قالب پخت کلاچ پیکان </v>
          </cell>
          <cell r="C256" t="str">
            <v>قالب تعمیری</v>
          </cell>
          <cell r="P256" t="str">
            <v>top Plate</v>
          </cell>
          <cell r="AF256">
            <v>7.5</v>
          </cell>
          <cell r="AR256">
            <v>5625000</v>
          </cell>
        </row>
        <row r="257">
          <cell r="B257" t="str">
            <v>پخت کلاچ تیبا راست</v>
          </cell>
          <cell r="C257" t="str">
            <v>قالب نو</v>
          </cell>
          <cell r="P257" t="str">
            <v>bottom plate</v>
          </cell>
          <cell r="AF257">
            <v>7.5</v>
          </cell>
          <cell r="AR257">
            <v>5625000</v>
          </cell>
        </row>
        <row r="258">
          <cell r="B258" t="str">
            <v>قالب پخت کلاچ پژو 405</v>
          </cell>
          <cell r="C258" t="str">
            <v>قالب تعمیری</v>
          </cell>
          <cell r="P258" t="str">
            <v>mold</v>
          </cell>
          <cell r="AF258">
            <v>2</v>
          </cell>
          <cell r="AR258">
            <v>1500000</v>
          </cell>
        </row>
        <row r="259">
          <cell r="B259" t="str">
            <v>قالب پخت کلاچ پژو 405</v>
          </cell>
          <cell r="C259" t="str">
            <v>قالب تعمیری</v>
          </cell>
          <cell r="P259" t="str">
            <v>سوپاپ</v>
          </cell>
          <cell r="AF259">
            <v>3.5</v>
          </cell>
          <cell r="AR259">
            <v>2625000</v>
          </cell>
        </row>
        <row r="260">
          <cell r="B260" t="str">
            <v>لودر دیسکی XGL 50</v>
          </cell>
          <cell r="C260" t="str">
            <v>قالب نو</v>
          </cell>
          <cell r="P260" t="str">
            <v>top Plate</v>
          </cell>
          <cell r="AF260">
            <v>5.5</v>
          </cell>
          <cell r="AR260">
            <v>8250000</v>
          </cell>
        </row>
        <row r="261">
          <cell r="B261" t="str">
            <v>لودر دیسکی XGL 50</v>
          </cell>
          <cell r="C261" t="str">
            <v>قالب نو</v>
          </cell>
          <cell r="P261" t="str">
            <v>صفحه راهنما</v>
          </cell>
          <cell r="AF261">
            <v>4.5</v>
          </cell>
          <cell r="AR261">
            <v>6750000</v>
          </cell>
        </row>
        <row r="262">
          <cell r="B262" t="str">
            <v>قالب پخت کلاچ پژو 405</v>
          </cell>
          <cell r="C262" t="str">
            <v>قالب تعمیری</v>
          </cell>
          <cell r="P262" t="str">
            <v>mold</v>
          </cell>
          <cell r="AF262">
            <v>2</v>
          </cell>
          <cell r="AR262">
            <v>1500000</v>
          </cell>
        </row>
        <row r="263">
          <cell r="B263" t="str">
            <v>قالب پخت کلاچ پژو 405</v>
          </cell>
          <cell r="C263" t="str">
            <v>قالب تعمیری</v>
          </cell>
          <cell r="P263" t="str">
            <v>سوپاپ</v>
          </cell>
          <cell r="AF263">
            <v>2</v>
          </cell>
          <cell r="AR263">
            <v>1500000</v>
          </cell>
        </row>
        <row r="264">
          <cell r="B264" t="str">
            <v>پخت کلاچ پراید</v>
          </cell>
          <cell r="C264" t="str">
            <v>قالب تعمیری</v>
          </cell>
          <cell r="P264" t="str">
            <v>واسطه</v>
          </cell>
          <cell r="AF264">
            <v>1</v>
          </cell>
          <cell r="AR264">
            <v>750000</v>
          </cell>
        </row>
        <row r="265">
          <cell r="B265" t="str">
            <v>ابزار زنی</v>
          </cell>
          <cell r="C265" t="str">
            <v>قطعه نو</v>
          </cell>
          <cell r="P265" t="str">
            <v>Shaft</v>
          </cell>
          <cell r="AF265">
            <v>1</v>
          </cell>
          <cell r="AR265">
            <v>750000</v>
          </cell>
        </row>
        <row r="266">
          <cell r="B266" t="str">
            <v>دستگاه پشم فلز</v>
          </cell>
          <cell r="C266" t="str">
            <v>قطعه تعمیری</v>
          </cell>
          <cell r="P266" t="str">
            <v>نگهدارنده تیغه</v>
          </cell>
          <cell r="AF266">
            <v>4</v>
          </cell>
          <cell r="AR266">
            <v>3000000</v>
          </cell>
        </row>
        <row r="267">
          <cell r="B267" t="str">
            <v>قالب پخت کلاچ پژو 405</v>
          </cell>
          <cell r="C267" t="str">
            <v>قالب تعمیری</v>
          </cell>
          <cell r="P267" t="str">
            <v>mold</v>
          </cell>
          <cell r="AF267">
            <v>2</v>
          </cell>
          <cell r="AR267">
            <v>1500000</v>
          </cell>
        </row>
        <row r="268">
          <cell r="B268" t="str">
            <v>قالب پخت کلاچ پژو 405</v>
          </cell>
          <cell r="C268" t="str">
            <v>قالب تعمیری</v>
          </cell>
          <cell r="P268" t="str">
            <v>سوپاپ</v>
          </cell>
          <cell r="AF268">
            <v>1</v>
          </cell>
          <cell r="AR268">
            <v>750000</v>
          </cell>
        </row>
        <row r="269">
          <cell r="B269" t="str">
            <v>پخت کلاچ پراید</v>
          </cell>
          <cell r="C269" t="str">
            <v>قالب تعمیری</v>
          </cell>
          <cell r="P269" t="str">
            <v>top Plate</v>
          </cell>
          <cell r="AF269">
            <v>7.5</v>
          </cell>
          <cell r="AR269">
            <v>5625000</v>
          </cell>
        </row>
        <row r="270">
          <cell r="B270" t="str">
            <v>لودر دیسکی XGL 50</v>
          </cell>
          <cell r="C270" t="str">
            <v>قالب نو</v>
          </cell>
          <cell r="P270" t="str">
            <v>صفحه راهنما</v>
          </cell>
          <cell r="AF270">
            <v>4.5</v>
          </cell>
          <cell r="AR270">
            <v>6750000</v>
          </cell>
        </row>
        <row r="271">
          <cell r="B271" t="str">
            <v>قالب شمشی عقب پیکان</v>
          </cell>
          <cell r="C271" t="str">
            <v>قالب نو</v>
          </cell>
          <cell r="P271" t="str">
            <v>Bottom Mandrel</v>
          </cell>
          <cell r="AF271">
            <v>7</v>
          </cell>
          <cell r="AR271">
            <v>10500000</v>
          </cell>
        </row>
        <row r="272">
          <cell r="B272" t="str">
            <v>پخت عقب پژو 405 شمشی پایه کوتاه</v>
          </cell>
          <cell r="C272" t="str">
            <v>قالب نو</v>
          </cell>
          <cell r="P272" t="str">
            <v>Bottom Mandrel</v>
          </cell>
          <cell r="AF272">
            <v>7.5</v>
          </cell>
          <cell r="AR272">
            <v>11250000</v>
          </cell>
        </row>
        <row r="273">
          <cell r="B273" t="str">
            <v>دستگاه پشم فلز</v>
          </cell>
          <cell r="C273" t="str">
            <v>قطعه تعمیری</v>
          </cell>
          <cell r="P273" t="str">
            <v>Shaft</v>
          </cell>
          <cell r="AF273">
            <v>2.5</v>
          </cell>
          <cell r="AR273">
            <v>1875000</v>
          </cell>
        </row>
        <row r="274">
          <cell r="B274" t="str">
            <v>قالب پخت کلاچ پژو 405</v>
          </cell>
          <cell r="C274" t="str">
            <v>قالب تعمیری</v>
          </cell>
          <cell r="P274" t="str">
            <v>واسطه</v>
          </cell>
          <cell r="AF274">
            <v>3</v>
          </cell>
          <cell r="AR274">
            <v>2250000</v>
          </cell>
        </row>
        <row r="275">
          <cell r="B275" t="str">
            <v>ترابوزا</v>
          </cell>
          <cell r="C275" t="str">
            <v>قالب تعمیری</v>
          </cell>
          <cell r="P275" t="str">
            <v>top Plate</v>
          </cell>
          <cell r="AF275">
            <v>2</v>
          </cell>
          <cell r="AR275">
            <v>1500000</v>
          </cell>
        </row>
        <row r="276">
          <cell r="B276" t="str">
            <v>پخت کلاچ لندکروز</v>
          </cell>
          <cell r="C276" t="str">
            <v>قالب تعمیری</v>
          </cell>
          <cell r="P276" t="str">
            <v>mold</v>
          </cell>
          <cell r="AF276">
            <v>2</v>
          </cell>
          <cell r="AR276">
            <v>1500000</v>
          </cell>
        </row>
        <row r="277">
          <cell r="B277" t="str">
            <v>فوتون 107</v>
          </cell>
          <cell r="C277" t="str">
            <v>قالب تعمیری</v>
          </cell>
          <cell r="P277" t="str">
            <v>mold</v>
          </cell>
          <cell r="AF277">
            <v>2</v>
          </cell>
          <cell r="AR277">
            <v>1500000</v>
          </cell>
        </row>
        <row r="278">
          <cell r="B278" t="str">
            <v>قالب پخت کلاچ پژو 405</v>
          </cell>
          <cell r="C278" t="str">
            <v>قالب تعمیری</v>
          </cell>
          <cell r="P278" t="str">
            <v>Stop</v>
          </cell>
          <cell r="AF278">
            <v>4.666666666666667</v>
          </cell>
          <cell r="AR278">
            <v>3500000</v>
          </cell>
        </row>
        <row r="279">
          <cell r="B279" t="str">
            <v>قالب پخت کلاچ پژو 405</v>
          </cell>
          <cell r="C279" t="str">
            <v>قالب تعمیری</v>
          </cell>
          <cell r="P279" t="str">
            <v>Stop</v>
          </cell>
          <cell r="AF279">
            <v>7.5</v>
          </cell>
          <cell r="AR279">
            <v>5625000</v>
          </cell>
        </row>
        <row r="280">
          <cell r="B280" t="str">
            <v>پخت عقب پژو 405 شمشی پایه کوتاه</v>
          </cell>
          <cell r="C280" t="str">
            <v>قالب نو</v>
          </cell>
          <cell r="P280" t="str">
            <v>Bottom Mandrel</v>
          </cell>
          <cell r="AF280">
            <v>7.5</v>
          </cell>
          <cell r="AR280">
            <v>11250000</v>
          </cell>
        </row>
        <row r="281">
          <cell r="B281" t="str">
            <v>قالب پخت کلاچ پژو 405</v>
          </cell>
          <cell r="C281" t="str">
            <v>قالب تعمیری</v>
          </cell>
          <cell r="P281" t="str">
            <v>Stop</v>
          </cell>
          <cell r="AF281">
            <v>4.5</v>
          </cell>
          <cell r="AR281">
            <v>3375000</v>
          </cell>
        </row>
        <row r="282">
          <cell r="B282" t="str">
            <v>برشی نیوفیس C&amp;C</v>
          </cell>
          <cell r="C282" t="str">
            <v>قالب نو</v>
          </cell>
          <cell r="P282" t="str">
            <v>top Plate</v>
          </cell>
          <cell r="AF282">
            <v>7.5</v>
          </cell>
          <cell r="AR282">
            <v>5625000</v>
          </cell>
        </row>
        <row r="283">
          <cell r="B283" t="str">
            <v>پخت کلاچ تیبا راست</v>
          </cell>
          <cell r="C283" t="str">
            <v>قالب نو</v>
          </cell>
          <cell r="P283" t="str">
            <v>bottom plate</v>
          </cell>
          <cell r="AF283">
            <v>5</v>
          </cell>
          <cell r="AR283">
            <v>3750000</v>
          </cell>
        </row>
        <row r="284">
          <cell r="B284" t="str">
            <v>قالب پخت کلاچ پژو 405</v>
          </cell>
          <cell r="C284" t="str">
            <v>قالب تعمیری</v>
          </cell>
          <cell r="P284" t="str">
            <v>Stop</v>
          </cell>
          <cell r="AF284">
            <v>2</v>
          </cell>
          <cell r="AR284">
            <v>1500000</v>
          </cell>
        </row>
        <row r="285">
          <cell r="B285" t="str">
            <v>پخت کلاچ تیبا راست</v>
          </cell>
          <cell r="C285" t="str">
            <v>قالب نو</v>
          </cell>
          <cell r="P285" t="str">
            <v>top Plate</v>
          </cell>
          <cell r="AF285">
            <v>11</v>
          </cell>
          <cell r="AR285">
            <v>8250000</v>
          </cell>
        </row>
        <row r="286">
          <cell r="B286" t="str">
            <v>برشی نیوفیس C&amp;C</v>
          </cell>
          <cell r="C286" t="str">
            <v>قالب نو</v>
          </cell>
          <cell r="P286" t="str">
            <v>ورقگیر</v>
          </cell>
          <cell r="AF286">
            <v>2</v>
          </cell>
          <cell r="AR286">
            <v>1500000</v>
          </cell>
        </row>
        <row r="287">
          <cell r="B287" t="str">
            <v>جک ترمز کلاچ</v>
          </cell>
          <cell r="C287" t="str">
            <v>قطعه تعمیری</v>
          </cell>
          <cell r="P287" t="str">
            <v>گلدونی</v>
          </cell>
          <cell r="AF287">
            <v>1</v>
          </cell>
          <cell r="AR287">
            <v>750000</v>
          </cell>
        </row>
        <row r="288">
          <cell r="B288" t="str">
            <v>پخت کلاچ تیبا راست</v>
          </cell>
          <cell r="C288" t="str">
            <v>قالب نو</v>
          </cell>
          <cell r="P288" t="str">
            <v>Matrix</v>
          </cell>
          <cell r="AF288">
            <v>6.5</v>
          </cell>
          <cell r="AR288">
            <v>4875000</v>
          </cell>
        </row>
        <row r="289">
          <cell r="B289" t="str">
            <v>پخت کلاچ تیبا راست</v>
          </cell>
          <cell r="C289" t="str">
            <v>قالب نو</v>
          </cell>
          <cell r="P289" t="str">
            <v>bottom plate</v>
          </cell>
          <cell r="AF289">
            <v>6.5</v>
          </cell>
          <cell r="AR289">
            <v>4875000</v>
          </cell>
        </row>
        <row r="290">
          <cell r="B290" t="str">
            <v>ترابوزا</v>
          </cell>
          <cell r="C290" t="str">
            <v>قالب تعمیری</v>
          </cell>
          <cell r="P290" t="str">
            <v>top Plate</v>
          </cell>
          <cell r="AF290">
            <v>5</v>
          </cell>
          <cell r="AR290">
            <v>3750000</v>
          </cell>
        </row>
        <row r="291">
          <cell r="B291" t="str">
            <v>فوتون 107</v>
          </cell>
          <cell r="C291" t="str">
            <v>قالب تعمیری</v>
          </cell>
          <cell r="P291" t="str">
            <v>mold</v>
          </cell>
          <cell r="AF291">
            <v>6.5</v>
          </cell>
          <cell r="AR291">
            <v>4875000</v>
          </cell>
        </row>
        <row r="292">
          <cell r="B292" t="str">
            <v>اصول 5S</v>
          </cell>
          <cell r="C292" t="str">
            <v>نظافت</v>
          </cell>
          <cell r="P292" t="str">
            <v>دستگاه</v>
          </cell>
          <cell r="AF292">
            <v>1</v>
          </cell>
          <cell r="AR292">
            <v>750000</v>
          </cell>
        </row>
        <row r="293">
          <cell r="B293" t="str">
            <v>لودر دیسکی XGL 50</v>
          </cell>
          <cell r="C293" t="str">
            <v>قالب نو</v>
          </cell>
          <cell r="P293" t="str">
            <v>صفحه راهنما</v>
          </cell>
          <cell r="AF293">
            <v>7.5</v>
          </cell>
          <cell r="AR293">
            <v>11250000</v>
          </cell>
        </row>
        <row r="294">
          <cell r="B294" t="str">
            <v>قالب شمشی عقب پیکان</v>
          </cell>
          <cell r="C294" t="str">
            <v>قالب نو</v>
          </cell>
          <cell r="P294" t="str">
            <v>Bottom Mandrel</v>
          </cell>
          <cell r="AF294">
            <v>7.5</v>
          </cell>
          <cell r="AR294">
            <v>11250000</v>
          </cell>
        </row>
        <row r="295">
          <cell r="B295" t="str">
            <v>برشی نیوفیس C&amp;C</v>
          </cell>
          <cell r="C295" t="str">
            <v>قالب نو</v>
          </cell>
          <cell r="P295" t="str">
            <v>top Plate</v>
          </cell>
          <cell r="AF295">
            <v>4.5</v>
          </cell>
          <cell r="AR295">
            <v>3375000</v>
          </cell>
        </row>
        <row r="296">
          <cell r="B296" t="str">
            <v>برشی نیوفیس C&amp;C</v>
          </cell>
          <cell r="C296" t="str">
            <v>قالب نو</v>
          </cell>
          <cell r="P296" t="str">
            <v>top Plate</v>
          </cell>
          <cell r="AF296">
            <v>11</v>
          </cell>
          <cell r="AR296">
            <v>8250000</v>
          </cell>
        </row>
        <row r="297">
          <cell r="B297" t="str">
            <v>قالب شمشی عقب پیکان</v>
          </cell>
          <cell r="C297" t="str">
            <v>قالب نو</v>
          </cell>
          <cell r="P297" t="str">
            <v>Bottom Mandrel</v>
          </cell>
          <cell r="AF297">
            <v>7.5</v>
          </cell>
          <cell r="AR297">
            <v>11250000</v>
          </cell>
        </row>
        <row r="298">
          <cell r="B298" t="str">
            <v>لودر دیسکی XGL 50</v>
          </cell>
          <cell r="C298" t="str">
            <v>قالب نو</v>
          </cell>
          <cell r="P298" t="str">
            <v>Mandrel</v>
          </cell>
          <cell r="AF298">
            <v>7.5</v>
          </cell>
          <cell r="AR298">
            <v>11250000</v>
          </cell>
        </row>
        <row r="299">
          <cell r="B299" t="str">
            <v>برشی نیوفیس C&amp;C</v>
          </cell>
          <cell r="C299" t="str">
            <v>قالب نو</v>
          </cell>
          <cell r="P299" t="str">
            <v>ورقگیر</v>
          </cell>
          <cell r="AF299">
            <v>4.5</v>
          </cell>
          <cell r="AR299">
            <v>6750000</v>
          </cell>
        </row>
        <row r="300">
          <cell r="B300" t="str">
            <v>لودر دیسکی XGL 50</v>
          </cell>
          <cell r="C300" t="str">
            <v>قالب نو</v>
          </cell>
          <cell r="P300" t="str">
            <v>Matrix</v>
          </cell>
          <cell r="AF300">
            <v>11</v>
          </cell>
          <cell r="AR300">
            <v>16500000</v>
          </cell>
        </row>
        <row r="301">
          <cell r="B301" t="str">
            <v>قالب پخت SAF</v>
          </cell>
          <cell r="C301" t="str">
            <v>قالب تعمیری</v>
          </cell>
          <cell r="P301" t="str">
            <v>Matrix</v>
          </cell>
          <cell r="AF301">
            <v>12</v>
          </cell>
          <cell r="AR301">
            <v>9000000</v>
          </cell>
        </row>
        <row r="302">
          <cell r="B302" t="str">
            <v>دسنگاه چسب زنی</v>
          </cell>
          <cell r="C302" t="str">
            <v>قطعه نو</v>
          </cell>
          <cell r="P302" t="str">
            <v>Bush</v>
          </cell>
          <cell r="AF302">
            <v>4</v>
          </cell>
          <cell r="AR302">
            <v>3000000</v>
          </cell>
        </row>
        <row r="303">
          <cell r="B303" t="str">
            <v>دسنگاه چسب زنی</v>
          </cell>
          <cell r="C303" t="str">
            <v>قطعه نو</v>
          </cell>
          <cell r="P303" t="str">
            <v>واشر</v>
          </cell>
          <cell r="AF303">
            <v>3</v>
          </cell>
          <cell r="AR303">
            <v>2250000</v>
          </cell>
        </row>
        <row r="304">
          <cell r="B304" t="str">
            <v>دسنگاه چسب زنی</v>
          </cell>
          <cell r="C304" t="str">
            <v>قطعه نو</v>
          </cell>
          <cell r="P304" t="str">
            <v>چرخ دنده</v>
          </cell>
          <cell r="AF304">
            <v>9</v>
          </cell>
          <cell r="AR304">
            <v>6750000</v>
          </cell>
        </row>
        <row r="305">
          <cell r="B305" t="str">
            <v>لودر دیسکی XGL 50</v>
          </cell>
          <cell r="C305" t="str">
            <v>قالب نو</v>
          </cell>
          <cell r="P305" t="str">
            <v>Bush</v>
          </cell>
          <cell r="AF305">
            <v>8</v>
          </cell>
          <cell r="AR305">
            <v>6000000</v>
          </cell>
        </row>
        <row r="306">
          <cell r="B306" t="str">
            <v>قطعه بیرونی</v>
          </cell>
          <cell r="C306" t="str">
            <v>قطعه تعمیری</v>
          </cell>
          <cell r="P306" t="str">
            <v>قطعه</v>
          </cell>
          <cell r="AF306">
            <v>0.5</v>
          </cell>
          <cell r="AR306">
            <v>375000</v>
          </cell>
        </row>
        <row r="307">
          <cell r="B307" t="str">
            <v>فوتون 107</v>
          </cell>
          <cell r="C307" t="str">
            <v>قالب تعمیری</v>
          </cell>
          <cell r="P307" t="str">
            <v>mold</v>
          </cell>
          <cell r="AF307">
            <v>2</v>
          </cell>
          <cell r="AR307">
            <v>1500000</v>
          </cell>
        </row>
        <row r="308">
          <cell r="B308" t="str">
            <v>پایه پرچ عقب نیسان</v>
          </cell>
          <cell r="C308" t="str">
            <v>قطعه نو</v>
          </cell>
          <cell r="P308" t="str">
            <v>Mandrel</v>
          </cell>
          <cell r="AF308">
            <v>6.5</v>
          </cell>
          <cell r="AR308">
            <v>4875000</v>
          </cell>
        </row>
        <row r="309">
          <cell r="B309" t="str">
            <v>اصول 5S</v>
          </cell>
          <cell r="C309" t="str">
            <v>نظافت</v>
          </cell>
          <cell r="P309" t="str">
            <v>دستگاه</v>
          </cell>
          <cell r="AF309">
            <v>1</v>
          </cell>
          <cell r="AR309">
            <v>750000</v>
          </cell>
        </row>
        <row r="310">
          <cell r="B310" t="str">
            <v>پایه پرچ عقب نیسان</v>
          </cell>
          <cell r="C310" t="str">
            <v>قطعه نو</v>
          </cell>
          <cell r="P310" t="str">
            <v>Mandrel</v>
          </cell>
          <cell r="AF310">
            <v>4</v>
          </cell>
          <cell r="AR310">
            <v>3000000</v>
          </cell>
        </row>
        <row r="311">
          <cell r="B311" t="str">
            <v>برشی نیوفیس C&amp;C</v>
          </cell>
          <cell r="C311" t="str">
            <v>قالب نو</v>
          </cell>
          <cell r="P311" t="str">
            <v>ورقگیر</v>
          </cell>
          <cell r="AF311">
            <v>3</v>
          </cell>
          <cell r="AR311">
            <v>2250000</v>
          </cell>
        </row>
        <row r="312">
          <cell r="B312" t="str">
            <v>دستگاه ساب سمباده ای</v>
          </cell>
          <cell r="C312" t="str">
            <v>قطعه تعمیری</v>
          </cell>
          <cell r="P312" t="str">
            <v>میز</v>
          </cell>
          <cell r="AF312">
            <v>3</v>
          </cell>
          <cell r="AR312">
            <v>2250000</v>
          </cell>
        </row>
        <row r="313">
          <cell r="B313" t="str">
            <v>ساب ترابوزا</v>
          </cell>
          <cell r="C313" t="str">
            <v>قطعه نو</v>
          </cell>
          <cell r="P313" t="str">
            <v>درام</v>
          </cell>
          <cell r="AF313">
            <v>9</v>
          </cell>
          <cell r="AR313">
            <v>6750000</v>
          </cell>
        </row>
        <row r="314">
          <cell r="B314" t="str">
            <v>قالب عقب F12</v>
          </cell>
          <cell r="C314" t="str">
            <v>قالب نو</v>
          </cell>
          <cell r="P314" t="str">
            <v>Matrix</v>
          </cell>
          <cell r="AF314">
            <v>11</v>
          </cell>
          <cell r="AR314">
            <v>16500000</v>
          </cell>
        </row>
        <row r="315">
          <cell r="B315" t="str">
            <v>پخت عقب پژو 405 شمشی پایه کوتاه</v>
          </cell>
          <cell r="C315" t="str">
            <v>قالب نو</v>
          </cell>
          <cell r="P315" t="str">
            <v>Bottom Mandrel</v>
          </cell>
          <cell r="AF315">
            <v>11</v>
          </cell>
          <cell r="AR315">
            <v>16500000</v>
          </cell>
        </row>
        <row r="316">
          <cell r="B316" t="str">
            <v>قالب شمشی عقب پیکان</v>
          </cell>
          <cell r="C316" t="str">
            <v>قالب نو</v>
          </cell>
          <cell r="P316" t="str">
            <v>صفحه</v>
          </cell>
          <cell r="AF316">
            <v>6.5</v>
          </cell>
          <cell r="AR316">
            <v>4875000</v>
          </cell>
        </row>
        <row r="317">
          <cell r="B317" t="str">
            <v>پخت کلاچ تیبا چپ</v>
          </cell>
          <cell r="C317" t="str">
            <v>قالب نو</v>
          </cell>
          <cell r="P317" t="str">
            <v>top Plate</v>
          </cell>
          <cell r="AF317">
            <v>11</v>
          </cell>
          <cell r="AR317">
            <v>8250000</v>
          </cell>
        </row>
        <row r="318">
          <cell r="B318" t="str">
            <v>پخت عقب پژو 405 شمشی پایه کوتاه</v>
          </cell>
          <cell r="C318" t="str">
            <v>قالب نو</v>
          </cell>
          <cell r="P318" t="str">
            <v>Bottom Mandrel</v>
          </cell>
          <cell r="AF318">
            <v>11</v>
          </cell>
          <cell r="AR318">
            <v>16500000</v>
          </cell>
        </row>
        <row r="319">
          <cell r="B319" t="str">
            <v>برشی نیوفیس C&amp;C</v>
          </cell>
          <cell r="C319" t="str">
            <v>قالب نو</v>
          </cell>
          <cell r="P319" t="str">
            <v>Matrix</v>
          </cell>
          <cell r="AF319">
            <v>7.5</v>
          </cell>
          <cell r="AR319">
            <v>11250000</v>
          </cell>
        </row>
        <row r="320">
          <cell r="B320" t="str">
            <v>قالب پخت SAF</v>
          </cell>
          <cell r="C320" t="str">
            <v>قالب تعمیری</v>
          </cell>
          <cell r="P320" t="str">
            <v>Matrix</v>
          </cell>
          <cell r="AF320">
            <v>12</v>
          </cell>
          <cell r="AR320">
            <v>9000000</v>
          </cell>
        </row>
        <row r="321">
          <cell r="B321" t="str">
            <v>دسنگاه چسب زنی</v>
          </cell>
          <cell r="C321" t="str">
            <v>قطعه نو</v>
          </cell>
          <cell r="P321" t="str">
            <v>Bush</v>
          </cell>
          <cell r="AF321">
            <v>11</v>
          </cell>
          <cell r="AR321">
            <v>8250000</v>
          </cell>
        </row>
        <row r="322">
          <cell r="B322" t="str">
            <v>ترابوزا</v>
          </cell>
          <cell r="C322" t="str">
            <v>قالب تعمیری</v>
          </cell>
          <cell r="P322" t="str">
            <v>Mold</v>
          </cell>
          <cell r="AF322">
            <v>12</v>
          </cell>
          <cell r="AR322">
            <v>9000000</v>
          </cell>
        </row>
        <row r="323">
          <cell r="B323" t="str">
            <v>قطعه بیرونی</v>
          </cell>
          <cell r="C323" t="str">
            <v>قطعه تعمیری</v>
          </cell>
          <cell r="P323" t="str">
            <v>قطعه</v>
          </cell>
          <cell r="AF323">
            <v>2</v>
          </cell>
          <cell r="AR323">
            <v>1500000</v>
          </cell>
        </row>
        <row r="324">
          <cell r="B324" t="str">
            <v>ویوینگ</v>
          </cell>
          <cell r="C324" t="str">
            <v>قطعه تعمیری</v>
          </cell>
          <cell r="P324" t="str">
            <v>پیچ تنظیم</v>
          </cell>
          <cell r="AF324">
            <v>1</v>
          </cell>
          <cell r="AR324">
            <v>750000</v>
          </cell>
        </row>
        <row r="325">
          <cell r="B325" t="str">
            <v>ساب ترابوزا</v>
          </cell>
          <cell r="C325" t="str">
            <v>قطعه نو</v>
          </cell>
          <cell r="P325" t="str">
            <v>درام نافی</v>
          </cell>
          <cell r="AF325">
            <v>3</v>
          </cell>
          <cell r="AR325">
            <v>2250000</v>
          </cell>
        </row>
        <row r="326">
          <cell r="B326" t="str">
            <v>ابزار زنی</v>
          </cell>
          <cell r="C326" t="str">
            <v>قطعه تعمیری</v>
          </cell>
          <cell r="P326" t="str">
            <v>غلطک</v>
          </cell>
          <cell r="AF326">
            <v>2</v>
          </cell>
          <cell r="AR326">
            <v>1500000</v>
          </cell>
        </row>
        <row r="327">
          <cell r="B327" t="str">
            <v>میکس</v>
          </cell>
          <cell r="C327" t="str">
            <v>قطعه نو</v>
          </cell>
          <cell r="P327" t="str">
            <v>Shaft</v>
          </cell>
          <cell r="AF327">
            <v>3</v>
          </cell>
          <cell r="AR327">
            <v>2250000</v>
          </cell>
        </row>
        <row r="328">
          <cell r="B328" t="str">
            <v>آغشته کاری</v>
          </cell>
          <cell r="C328" t="str">
            <v>قطعه نو</v>
          </cell>
          <cell r="P328" t="str">
            <v>Shaft</v>
          </cell>
          <cell r="AF328">
            <v>2</v>
          </cell>
          <cell r="AR328">
            <v>1500000</v>
          </cell>
        </row>
        <row r="329">
          <cell r="B329" t="str">
            <v>سری تراش</v>
          </cell>
          <cell r="C329" t="str">
            <v>قطعه نو</v>
          </cell>
          <cell r="P329" t="str">
            <v>NOSE CAP A25</v>
          </cell>
          <cell r="AF329">
            <v>11</v>
          </cell>
          <cell r="AR329">
            <v>8250000</v>
          </cell>
        </row>
        <row r="330">
          <cell r="B330" t="str">
            <v>سری تراش</v>
          </cell>
          <cell r="C330" t="str">
            <v>قطعه نو</v>
          </cell>
          <cell r="P330" t="str">
            <v>NOSE CAP A25</v>
          </cell>
          <cell r="AF330">
            <v>3.3333333333333335</v>
          </cell>
          <cell r="AR330">
            <v>2500000</v>
          </cell>
        </row>
        <row r="331">
          <cell r="B331" t="str">
            <v>پایه پرچ عقب نیسان</v>
          </cell>
          <cell r="C331" t="str">
            <v>قطعه تعمیری</v>
          </cell>
          <cell r="P331" t="str">
            <v>Mandrel</v>
          </cell>
          <cell r="AF331">
            <v>5</v>
          </cell>
          <cell r="AR331">
            <v>3750000</v>
          </cell>
        </row>
        <row r="332">
          <cell r="B332" t="str">
            <v>ساب کف گرگی</v>
          </cell>
          <cell r="C332" t="str">
            <v>قطعه تعمیری</v>
          </cell>
          <cell r="P332" t="str">
            <v>Piston</v>
          </cell>
          <cell r="AF332">
            <v>2.6666666666666665</v>
          </cell>
          <cell r="AR332">
            <v>2000000</v>
          </cell>
        </row>
        <row r="333">
          <cell r="B333" t="str">
            <v>سری تراش</v>
          </cell>
          <cell r="C333" t="str">
            <v>قطعه نو</v>
          </cell>
          <cell r="P333" t="str">
            <v>NOSE CAP A25</v>
          </cell>
          <cell r="AF333">
            <v>1</v>
          </cell>
          <cell r="AR333">
            <v>750000</v>
          </cell>
        </row>
        <row r="334">
          <cell r="B334" t="str">
            <v>پخت عقب پژو 405 شمشی پایه کوتاه</v>
          </cell>
          <cell r="C334" t="str">
            <v>قالب نو</v>
          </cell>
          <cell r="P334" t="str">
            <v>mold</v>
          </cell>
          <cell r="AF334">
            <v>1</v>
          </cell>
          <cell r="AR334">
            <v>750000</v>
          </cell>
        </row>
        <row r="335">
          <cell r="B335" t="str">
            <v xml:space="preserve">پخت کلاچ پراید سکو </v>
          </cell>
          <cell r="C335" t="str">
            <v>قالب تعمیری</v>
          </cell>
          <cell r="P335" t="str">
            <v>mold</v>
          </cell>
          <cell r="AF335">
            <v>2</v>
          </cell>
          <cell r="AR335">
            <v>1500000</v>
          </cell>
        </row>
        <row r="336">
          <cell r="B336" t="str">
            <v>فوتون 107</v>
          </cell>
          <cell r="C336" t="str">
            <v>قالب تعمیری</v>
          </cell>
          <cell r="P336" t="str">
            <v>mold</v>
          </cell>
          <cell r="AF336">
            <v>2</v>
          </cell>
          <cell r="AR336">
            <v>1500000</v>
          </cell>
        </row>
        <row r="337">
          <cell r="B337" t="str">
            <v>فوتون 107</v>
          </cell>
          <cell r="C337" t="str">
            <v>قالب تعمیری</v>
          </cell>
          <cell r="P337" t="str">
            <v>mold</v>
          </cell>
          <cell r="AF337">
            <v>2</v>
          </cell>
          <cell r="AR337">
            <v>1500000</v>
          </cell>
        </row>
        <row r="338">
          <cell r="B338" t="str">
            <v xml:space="preserve">پخت کلاچ پراید سکو </v>
          </cell>
          <cell r="C338" t="str">
            <v>قالب تعمیری</v>
          </cell>
          <cell r="P338" t="str">
            <v>mold</v>
          </cell>
          <cell r="AF338">
            <v>3</v>
          </cell>
          <cell r="AR338">
            <v>2250000</v>
          </cell>
        </row>
        <row r="339">
          <cell r="B339" t="str">
            <v>پخت کلاچ تیبا چپ</v>
          </cell>
          <cell r="C339" t="str">
            <v>قالب نو</v>
          </cell>
          <cell r="P339" t="str">
            <v>bottom plate</v>
          </cell>
          <cell r="AF339">
            <v>11</v>
          </cell>
          <cell r="AR339">
            <v>8250000</v>
          </cell>
        </row>
        <row r="340">
          <cell r="B340" t="str">
            <v>پخت کلاچ لندکروز</v>
          </cell>
          <cell r="C340" t="str">
            <v>قالب تعمیری</v>
          </cell>
          <cell r="P340" t="str">
            <v>Matrix</v>
          </cell>
          <cell r="AF340">
            <v>7.5</v>
          </cell>
          <cell r="AR340">
            <v>5625000</v>
          </cell>
        </row>
        <row r="341">
          <cell r="B341" t="str">
            <v>پخت کلاچ لندکروز</v>
          </cell>
          <cell r="C341" t="str">
            <v>قالب تعمیری</v>
          </cell>
          <cell r="P341" t="str">
            <v>bottom plate</v>
          </cell>
          <cell r="AF341">
            <v>3.5</v>
          </cell>
          <cell r="AR341">
            <v>2625000</v>
          </cell>
        </row>
        <row r="342">
          <cell r="B342" t="str">
            <v>دستگاه ساب سمباده ای</v>
          </cell>
          <cell r="C342" t="str">
            <v>قطعه تعمیری</v>
          </cell>
          <cell r="P342" t="str">
            <v>میز</v>
          </cell>
          <cell r="AF342">
            <v>5.5</v>
          </cell>
          <cell r="AR342">
            <v>4125000</v>
          </cell>
        </row>
        <row r="343">
          <cell r="B343" t="str">
            <v>قالب پخت SAF</v>
          </cell>
          <cell r="C343" t="str">
            <v>قالب نو</v>
          </cell>
          <cell r="P343" t="str">
            <v>Matrix</v>
          </cell>
          <cell r="AF343">
            <v>5.5</v>
          </cell>
          <cell r="AR343">
            <v>4125000</v>
          </cell>
        </row>
        <row r="344">
          <cell r="B344" t="str">
            <v>پخت کلاچ تیبا چپ</v>
          </cell>
          <cell r="C344" t="str">
            <v>قالب نو</v>
          </cell>
          <cell r="P344" t="str">
            <v>top Plate</v>
          </cell>
          <cell r="AF344">
            <v>11</v>
          </cell>
          <cell r="AR344">
            <v>8250000</v>
          </cell>
        </row>
        <row r="345">
          <cell r="B345" t="str">
            <v>لودر دیسکی XGL 50</v>
          </cell>
          <cell r="C345" t="str">
            <v>قالب نو</v>
          </cell>
          <cell r="P345" t="str">
            <v>Bush Mandrel</v>
          </cell>
          <cell r="AF345">
            <v>9</v>
          </cell>
          <cell r="AR345">
            <v>13500000</v>
          </cell>
        </row>
        <row r="346">
          <cell r="B346" t="str">
            <v>اصول 5S</v>
          </cell>
          <cell r="C346" t="str">
            <v>نظافت</v>
          </cell>
          <cell r="P346" t="str">
            <v>دستگاه</v>
          </cell>
          <cell r="AF346">
            <v>2</v>
          </cell>
          <cell r="AR346">
            <v>3000000</v>
          </cell>
        </row>
        <row r="347">
          <cell r="B347" t="str">
            <v>پخت عقب پژو 405 شمشی پایه کوتاه</v>
          </cell>
          <cell r="C347" t="str">
            <v>قالب نو</v>
          </cell>
          <cell r="P347" t="str">
            <v>bottom plate</v>
          </cell>
          <cell r="AF347">
            <v>11</v>
          </cell>
          <cell r="AR347">
            <v>16500000</v>
          </cell>
        </row>
        <row r="348">
          <cell r="B348" t="str">
            <v>قالب عقب F12</v>
          </cell>
          <cell r="C348" t="str">
            <v>قالب نو</v>
          </cell>
          <cell r="P348" t="str">
            <v>Matrix</v>
          </cell>
          <cell r="AF348">
            <v>11</v>
          </cell>
          <cell r="AR348">
            <v>16500000</v>
          </cell>
        </row>
        <row r="349">
          <cell r="B349" t="str">
            <v>قالب شمشی عقب پیکان</v>
          </cell>
          <cell r="C349" t="str">
            <v>قالب نو</v>
          </cell>
          <cell r="P349" t="str">
            <v>top Plate</v>
          </cell>
          <cell r="AF349">
            <v>6.5</v>
          </cell>
          <cell r="AR349">
            <v>4875000</v>
          </cell>
        </row>
        <row r="350">
          <cell r="B350" t="str">
            <v>پخت عقب پژو 405 شمشی پایه کوتاه</v>
          </cell>
          <cell r="C350" t="str">
            <v>قالب نو</v>
          </cell>
          <cell r="P350" t="str">
            <v>Pin</v>
          </cell>
          <cell r="AF350">
            <v>4</v>
          </cell>
          <cell r="AR350">
            <v>3000000</v>
          </cell>
        </row>
        <row r="351">
          <cell r="B351" t="str">
            <v>سری تراش</v>
          </cell>
          <cell r="C351" t="str">
            <v>قطعه نو</v>
          </cell>
          <cell r="P351" t="str">
            <v>NOSE CAP A25</v>
          </cell>
          <cell r="AF351">
            <v>7</v>
          </cell>
          <cell r="AR351">
            <v>5250000</v>
          </cell>
        </row>
        <row r="352">
          <cell r="B352" t="str">
            <v>لنت ترمز دیسكی جلو دیما(خم)</v>
          </cell>
          <cell r="C352" t="str">
            <v>قالب نو</v>
          </cell>
          <cell r="P352" t="str">
            <v>top Plate</v>
          </cell>
          <cell r="AF352">
            <v>5.5</v>
          </cell>
          <cell r="AR352">
            <v>4125000</v>
          </cell>
        </row>
        <row r="353">
          <cell r="B353" t="str">
            <v>برشی نیوفیس C&amp;C</v>
          </cell>
          <cell r="C353" t="str">
            <v>قالب نو</v>
          </cell>
          <cell r="P353" t="str">
            <v>bottom plate</v>
          </cell>
          <cell r="AF353">
            <v>2</v>
          </cell>
          <cell r="AR353">
            <v>1500000</v>
          </cell>
        </row>
        <row r="354">
          <cell r="B354" t="str">
            <v>دستگاه پشم فلز</v>
          </cell>
          <cell r="C354" t="str">
            <v>قطعه تعمیری</v>
          </cell>
          <cell r="P354" t="str">
            <v>Shaft</v>
          </cell>
          <cell r="AF354">
            <v>3.5</v>
          </cell>
          <cell r="AR354">
            <v>2625000</v>
          </cell>
        </row>
        <row r="355">
          <cell r="B355" t="str">
            <v>برشی نیوفیس C&amp;C</v>
          </cell>
          <cell r="C355" t="str">
            <v>قالب نو</v>
          </cell>
          <cell r="P355" t="str">
            <v>bottom plate</v>
          </cell>
          <cell r="AF355">
            <v>2</v>
          </cell>
          <cell r="AR355">
            <v>1500000</v>
          </cell>
        </row>
        <row r="356">
          <cell r="B356" t="str">
            <v>برشی نیوفیس C&amp;C</v>
          </cell>
          <cell r="C356" t="str">
            <v>قالب نو</v>
          </cell>
          <cell r="P356" t="str">
            <v>bottom plate</v>
          </cell>
          <cell r="AF356">
            <v>2</v>
          </cell>
          <cell r="AR356">
            <v>1500000</v>
          </cell>
        </row>
        <row r="357">
          <cell r="B357" t="str">
            <v xml:space="preserve">پخت کلاچ پراید سکو </v>
          </cell>
          <cell r="C357" t="str">
            <v>قالب تعمیری</v>
          </cell>
          <cell r="P357" t="str">
            <v>pin</v>
          </cell>
          <cell r="AF357">
            <v>3</v>
          </cell>
          <cell r="AR357">
            <v>2250000</v>
          </cell>
        </row>
        <row r="358">
          <cell r="B358" t="str">
            <v xml:space="preserve">پخت کلاچ پراید سکو </v>
          </cell>
          <cell r="C358" t="str">
            <v>قالب تعمیری</v>
          </cell>
          <cell r="P358" t="str">
            <v>سوپاپ</v>
          </cell>
          <cell r="AF358">
            <v>2</v>
          </cell>
          <cell r="AR358">
            <v>1500000</v>
          </cell>
        </row>
        <row r="359">
          <cell r="B359" t="str">
            <v xml:space="preserve">پخت کلاچ پراید سکو </v>
          </cell>
          <cell r="C359" t="str">
            <v>قالب تعمیری</v>
          </cell>
          <cell r="P359" t="str">
            <v>pin</v>
          </cell>
          <cell r="AF359">
            <v>2.5</v>
          </cell>
          <cell r="AR359">
            <v>1875000</v>
          </cell>
        </row>
        <row r="360">
          <cell r="B360" t="str">
            <v xml:space="preserve">پخت کلاچ پراید سکو </v>
          </cell>
          <cell r="C360" t="str">
            <v>قالب تعمیری</v>
          </cell>
          <cell r="P360" t="str">
            <v>سوپاپ</v>
          </cell>
          <cell r="AF360">
            <v>2.5</v>
          </cell>
          <cell r="AR360">
            <v>1875000</v>
          </cell>
        </row>
        <row r="361">
          <cell r="B361" t="str">
            <v>ویوینگ</v>
          </cell>
          <cell r="C361" t="str">
            <v>قطعه تعمیری</v>
          </cell>
          <cell r="P361" t="str">
            <v>پیچ تنظیم</v>
          </cell>
          <cell r="AF361">
            <v>2</v>
          </cell>
          <cell r="AR361">
            <v>1500000</v>
          </cell>
        </row>
        <row r="362">
          <cell r="B362" t="str">
            <v>پخت عقب پژو 405 شمشی پایه کوتاه</v>
          </cell>
          <cell r="C362" t="str">
            <v>قالب نو</v>
          </cell>
          <cell r="P362" t="str">
            <v>bottom plate</v>
          </cell>
          <cell r="AF362">
            <v>2</v>
          </cell>
          <cell r="AR362">
            <v>1500000</v>
          </cell>
        </row>
        <row r="363">
          <cell r="B363" t="str">
            <v>پخت کلاچ تیبا چپ</v>
          </cell>
          <cell r="C363" t="str">
            <v>قالب نو</v>
          </cell>
          <cell r="P363" t="str">
            <v>bottom plate</v>
          </cell>
          <cell r="AF363">
            <v>11</v>
          </cell>
          <cell r="AR363">
            <v>8250000</v>
          </cell>
        </row>
        <row r="364">
          <cell r="B364" t="str">
            <v>پخت کلاچ لندکروز</v>
          </cell>
          <cell r="C364" t="str">
            <v>قالب تعمیری</v>
          </cell>
          <cell r="P364" t="str">
            <v>bottom plate</v>
          </cell>
          <cell r="AF364">
            <v>8</v>
          </cell>
          <cell r="AR364">
            <v>6000000</v>
          </cell>
        </row>
        <row r="365">
          <cell r="B365" t="str">
            <v>برشی نیوفیس C&amp;C</v>
          </cell>
          <cell r="C365" t="str">
            <v>قالب نو</v>
          </cell>
          <cell r="P365" t="str">
            <v>top Plate</v>
          </cell>
          <cell r="AF365">
            <v>2</v>
          </cell>
          <cell r="AR365">
            <v>1500000</v>
          </cell>
        </row>
        <row r="366">
          <cell r="B366" t="str">
            <v>پخت کلاچ تیبا راست</v>
          </cell>
          <cell r="C366" t="str">
            <v>قالب نو</v>
          </cell>
          <cell r="P366" t="str">
            <v>top Plate</v>
          </cell>
          <cell r="AF366">
            <v>1</v>
          </cell>
          <cell r="AR366">
            <v>750000</v>
          </cell>
        </row>
        <row r="367">
          <cell r="B367" t="str">
            <v>قالب پخت SAF</v>
          </cell>
          <cell r="C367" t="str">
            <v>قالب تعمیری</v>
          </cell>
          <cell r="P367" t="str">
            <v>Matrix</v>
          </cell>
          <cell r="AF367">
            <v>12</v>
          </cell>
          <cell r="AR367">
            <v>9000000</v>
          </cell>
        </row>
        <row r="368">
          <cell r="B368" t="str">
            <v>ترابوزا</v>
          </cell>
          <cell r="C368" t="str">
            <v>قالب تعمیری</v>
          </cell>
          <cell r="P368" t="str">
            <v>Mold</v>
          </cell>
          <cell r="AF368">
            <v>12</v>
          </cell>
          <cell r="AR368">
            <v>9000000</v>
          </cell>
        </row>
        <row r="369">
          <cell r="B369" t="str">
            <v>دستگاه پشم فلز</v>
          </cell>
          <cell r="C369" t="str">
            <v>قطعه تعمیری</v>
          </cell>
          <cell r="P369" t="str">
            <v>صفحه</v>
          </cell>
          <cell r="AF369">
            <v>4</v>
          </cell>
          <cell r="AR369">
            <v>3000000</v>
          </cell>
        </row>
        <row r="370">
          <cell r="B370" t="str">
            <v>دستگاه فرز</v>
          </cell>
          <cell r="C370" t="str">
            <v>قطعه تعمیری</v>
          </cell>
          <cell r="P370" t="str">
            <v>تیغه</v>
          </cell>
          <cell r="AF370">
            <v>1</v>
          </cell>
          <cell r="AR370">
            <v>750000</v>
          </cell>
        </row>
        <row r="371">
          <cell r="B371" t="str">
            <v>میکس</v>
          </cell>
          <cell r="C371" t="str">
            <v>قطعه تعمیری</v>
          </cell>
          <cell r="P371" t="str">
            <v>تیغه آسیاب</v>
          </cell>
          <cell r="AF371">
            <v>8</v>
          </cell>
          <cell r="AR371">
            <v>6000000</v>
          </cell>
        </row>
        <row r="372">
          <cell r="B372" t="str">
            <v>سری تراش</v>
          </cell>
          <cell r="C372" t="str">
            <v>قطعه نو</v>
          </cell>
          <cell r="P372" t="str">
            <v>NOSE CAP A25</v>
          </cell>
          <cell r="AF372">
            <v>1</v>
          </cell>
          <cell r="AR372">
            <v>750000</v>
          </cell>
        </row>
        <row r="373">
          <cell r="B373" t="str">
            <v>قالب پخت SAF</v>
          </cell>
          <cell r="C373" t="str">
            <v>قالب نو</v>
          </cell>
          <cell r="P373" t="str">
            <v>Matrix</v>
          </cell>
          <cell r="AF373">
            <v>12</v>
          </cell>
          <cell r="AR373">
            <v>9000000</v>
          </cell>
        </row>
        <row r="374">
          <cell r="B374" t="str">
            <v>پخت عقب پژو 405 شمشی پایه کوتاه</v>
          </cell>
          <cell r="C374" t="str">
            <v>قالب نو</v>
          </cell>
          <cell r="P374" t="str">
            <v>Mandrel</v>
          </cell>
          <cell r="AF374">
            <v>11</v>
          </cell>
          <cell r="AR374">
            <v>16500000</v>
          </cell>
        </row>
        <row r="375">
          <cell r="B375" t="str">
            <v>پخت کلاچ لندکروز</v>
          </cell>
          <cell r="C375" t="str">
            <v>قالب تعمیری</v>
          </cell>
          <cell r="P375" t="str">
            <v>Matrix</v>
          </cell>
          <cell r="AF375">
            <v>11</v>
          </cell>
          <cell r="AR375">
            <v>16500000</v>
          </cell>
        </row>
        <row r="376">
          <cell r="B376" t="str">
            <v>قالب شمشی عقب پیکان</v>
          </cell>
          <cell r="C376" t="str">
            <v>قالب نو</v>
          </cell>
          <cell r="P376" t="str">
            <v>top Plate</v>
          </cell>
          <cell r="AF376">
            <v>6.5</v>
          </cell>
          <cell r="AR376">
            <v>4875000</v>
          </cell>
        </row>
        <row r="377">
          <cell r="B377" t="str">
            <v>قالب پخت SAF</v>
          </cell>
          <cell r="C377" t="str">
            <v>قالب نو</v>
          </cell>
          <cell r="P377" t="str">
            <v>Matrix</v>
          </cell>
          <cell r="AF377">
            <v>12</v>
          </cell>
          <cell r="AR377">
            <v>9000000</v>
          </cell>
        </row>
        <row r="378">
          <cell r="B378" t="str">
            <v>قالب پخت SAF</v>
          </cell>
          <cell r="C378" t="str">
            <v>قالب تعمیری</v>
          </cell>
          <cell r="P378" t="str">
            <v>Matrix</v>
          </cell>
          <cell r="AF378">
            <v>3</v>
          </cell>
          <cell r="AR378">
            <v>2250000</v>
          </cell>
        </row>
        <row r="379">
          <cell r="B379" t="str">
            <v>عقب لیفتراک</v>
          </cell>
          <cell r="C379" t="str">
            <v>قطعه نو</v>
          </cell>
          <cell r="P379" t="str">
            <v>Pin</v>
          </cell>
          <cell r="AF379">
            <v>3</v>
          </cell>
          <cell r="AR379">
            <v>2250000</v>
          </cell>
        </row>
        <row r="380">
          <cell r="B380" t="str">
            <v>قالب پخت SAF</v>
          </cell>
          <cell r="C380" t="str">
            <v>قالب نو</v>
          </cell>
          <cell r="P380" t="str">
            <v>Matrix</v>
          </cell>
          <cell r="AF380">
            <v>6</v>
          </cell>
          <cell r="AR380">
            <v>4500000</v>
          </cell>
        </row>
        <row r="381">
          <cell r="B381" t="str">
            <v>قالب پخت SAF</v>
          </cell>
          <cell r="C381" t="str">
            <v>قالب تعمیری</v>
          </cell>
          <cell r="P381" t="str">
            <v>Matrix</v>
          </cell>
          <cell r="AF381">
            <v>6</v>
          </cell>
          <cell r="AR381">
            <v>4500000</v>
          </cell>
        </row>
        <row r="382">
          <cell r="B382" t="str">
            <v>نگهدارنده پلاک قالب</v>
          </cell>
          <cell r="C382" t="str">
            <v>قطعه نو</v>
          </cell>
          <cell r="P382" t="str">
            <v>نگهدارنده U</v>
          </cell>
          <cell r="AF382">
            <v>6</v>
          </cell>
          <cell r="AR382">
            <v>4500000</v>
          </cell>
        </row>
        <row r="383">
          <cell r="B383" t="str">
            <v>دستگاه پرس 600 تن</v>
          </cell>
          <cell r="C383" t="str">
            <v>قطعه نو</v>
          </cell>
          <cell r="P383" t="str">
            <v>مهره  ستون</v>
          </cell>
          <cell r="AF383">
            <v>4</v>
          </cell>
          <cell r="AR383">
            <v>3000000</v>
          </cell>
        </row>
        <row r="384">
          <cell r="B384" t="str">
            <v>پخت عقب پژو 405 شمشی پایه کوتاه</v>
          </cell>
          <cell r="C384" t="str">
            <v>قالب نو</v>
          </cell>
          <cell r="P384" t="str">
            <v>دیواره کناری</v>
          </cell>
          <cell r="AF384">
            <v>7.5</v>
          </cell>
          <cell r="AR384">
            <v>5625000</v>
          </cell>
        </row>
        <row r="385">
          <cell r="B385" t="str">
            <v>پین عقب پژو 405</v>
          </cell>
          <cell r="C385" t="str">
            <v>قطعه نو</v>
          </cell>
          <cell r="P385" t="str">
            <v>عقب پژو 405</v>
          </cell>
          <cell r="AF385">
            <v>1.5</v>
          </cell>
          <cell r="AR385">
            <v>1125000</v>
          </cell>
        </row>
        <row r="386">
          <cell r="B386" t="str">
            <v>فوتون 107</v>
          </cell>
          <cell r="C386" t="str">
            <v>قالب تعمیری</v>
          </cell>
          <cell r="P386" t="str">
            <v>Mandrel</v>
          </cell>
          <cell r="AF386">
            <v>2</v>
          </cell>
          <cell r="AR386">
            <v>1500000</v>
          </cell>
        </row>
        <row r="387">
          <cell r="B387" t="str">
            <v>فوتون 107</v>
          </cell>
          <cell r="C387" t="str">
            <v>قالب تعمیری</v>
          </cell>
          <cell r="P387" t="str">
            <v>Mandrel</v>
          </cell>
          <cell r="AF387">
            <v>1.5</v>
          </cell>
          <cell r="AR387">
            <v>1125000</v>
          </cell>
        </row>
        <row r="388">
          <cell r="B388" t="str">
            <v>پین عقب پژو 405</v>
          </cell>
          <cell r="C388" t="str">
            <v>قطعه نو</v>
          </cell>
          <cell r="P388" t="str">
            <v>عقب پژو 405</v>
          </cell>
          <cell r="AF388">
            <v>5</v>
          </cell>
          <cell r="AR388">
            <v>3750000</v>
          </cell>
        </row>
        <row r="389">
          <cell r="B389" t="str">
            <v>پین عقب پژو 405</v>
          </cell>
          <cell r="C389" t="str">
            <v>قطعه نو</v>
          </cell>
          <cell r="P389" t="str">
            <v>عقب پژو 405</v>
          </cell>
          <cell r="AF389">
            <v>6.5</v>
          </cell>
          <cell r="AR389">
            <v>4875000</v>
          </cell>
        </row>
        <row r="390">
          <cell r="B390" t="str">
            <v>دسنگاه چسب زنی</v>
          </cell>
          <cell r="C390" t="str">
            <v>قطعه نو</v>
          </cell>
          <cell r="P390" t="str">
            <v>شانه</v>
          </cell>
          <cell r="AF390">
            <v>2.5</v>
          </cell>
          <cell r="AR390">
            <v>3750000</v>
          </cell>
        </row>
        <row r="391">
          <cell r="B391" t="str">
            <v>قالب شمشی عقب پیکان</v>
          </cell>
          <cell r="C391" t="str">
            <v>قالب نو</v>
          </cell>
          <cell r="P391" t="str">
            <v>لچکی</v>
          </cell>
          <cell r="AF391">
            <v>8.5</v>
          </cell>
          <cell r="AR391">
            <v>12750000</v>
          </cell>
        </row>
        <row r="392">
          <cell r="B392" t="str">
            <v>فیکسچر کفشک پژو 405</v>
          </cell>
          <cell r="C392" t="str">
            <v>قطعه نو</v>
          </cell>
          <cell r="P392" t="str">
            <v>گیج</v>
          </cell>
          <cell r="AF392">
            <v>6.5</v>
          </cell>
          <cell r="AR392">
            <v>9750000</v>
          </cell>
        </row>
        <row r="393">
          <cell r="B393" t="str">
            <v>پایه پرچ عقب نیسان</v>
          </cell>
          <cell r="C393" t="str">
            <v>قطعه تعمیری</v>
          </cell>
          <cell r="P393" t="str">
            <v>تفلن</v>
          </cell>
          <cell r="AF393">
            <v>6.5</v>
          </cell>
          <cell r="AR393">
            <v>9750000</v>
          </cell>
        </row>
        <row r="394">
          <cell r="B394" t="str">
            <v>پخت کلاچ تیبا چپ</v>
          </cell>
          <cell r="C394" t="str">
            <v>قالب نو</v>
          </cell>
          <cell r="P394" t="str">
            <v>top Plate</v>
          </cell>
          <cell r="AF394">
            <v>3.5</v>
          </cell>
          <cell r="AR394">
            <v>2625000</v>
          </cell>
        </row>
        <row r="395">
          <cell r="B395" t="str">
            <v>پخت عقب پژو 405 شمشی پایه کوتاه</v>
          </cell>
          <cell r="C395" t="str">
            <v>قالب نو</v>
          </cell>
          <cell r="P395" t="str">
            <v>دیواره کناری</v>
          </cell>
          <cell r="AF395">
            <v>7.5</v>
          </cell>
          <cell r="AR395">
            <v>5625000</v>
          </cell>
        </row>
        <row r="396">
          <cell r="B396" t="str">
            <v>پخت عقب پژو 405 شمشی پایه کوتاه</v>
          </cell>
          <cell r="C396" t="str">
            <v>قالب نو</v>
          </cell>
          <cell r="P396" t="str">
            <v>دیواره کناری</v>
          </cell>
          <cell r="AF396">
            <v>6.5</v>
          </cell>
          <cell r="AR396">
            <v>4875000</v>
          </cell>
        </row>
        <row r="397">
          <cell r="B397" t="str">
            <v>پخت کلاچ تیبا چپ</v>
          </cell>
          <cell r="C397" t="str">
            <v>قالب نو</v>
          </cell>
          <cell r="P397" t="str">
            <v>bottom plate</v>
          </cell>
          <cell r="AF397">
            <v>11</v>
          </cell>
          <cell r="AR397">
            <v>8250000</v>
          </cell>
        </row>
        <row r="398">
          <cell r="B398" t="str">
            <v>پخت کلاچ تیبا راست</v>
          </cell>
          <cell r="C398" t="str">
            <v>قالب نو</v>
          </cell>
          <cell r="P398" t="str">
            <v>top Plate</v>
          </cell>
          <cell r="AF398">
            <v>3</v>
          </cell>
          <cell r="AR398">
            <v>2250000</v>
          </cell>
        </row>
        <row r="399">
          <cell r="B399" t="str">
            <v>پخت عقب پژو 405 شمشی پایه کوتاه</v>
          </cell>
          <cell r="C399" t="str">
            <v>قالب نو</v>
          </cell>
          <cell r="P399" t="str">
            <v>دیواره کناری</v>
          </cell>
          <cell r="AF399">
            <v>2</v>
          </cell>
          <cell r="AR399">
            <v>1500000</v>
          </cell>
        </row>
        <row r="400">
          <cell r="B400" t="str">
            <v>پخت کلاچ لندکروز</v>
          </cell>
          <cell r="C400" t="str">
            <v>قالب تعمیری</v>
          </cell>
          <cell r="P400" t="str">
            <v>bottom plate</v>
          </cell>
          <cell r="AF400">
            <v>4</v>
          </cell>
          <cell r="AR400">
            <v>3000000</v>
          </cell>
        </row>
        <row r="401">
          <cell r="B401" t="str">
            <v>فوتون 107</v>
          </cell>
          <cell r="C401" t="str">
            <v>قالب تعمیری</v>
          </cell>
          <cell r="P401" t="str">
            <v>Mandrel</v>
          </cell>
          <cell r="AF401">
            <v>2</v>
          </cell>
          <cell r="AR401">
            <v>1500000</v>
          </cell>
        </row>
        <row r="402">
          <cell r="B402" t="str">
            <v xml:space="preserve">قالب پخت کلاچ پیکان </v>
          </cell>
          <cell r="C402" t="str">
            <v>قالب تعمیری</v>
          </cell>
          <cell r="P402" t="str">
            <v>Mandrel</v>
          </cell>
          <cell r="AF402">
            <v>2</v>
          </cell>
          <cell r="AR402">
            <v>1500000</v>
          </cell>
        </row>
        <row r="403">
          <cell r="B403" t="str">
            <v>قالب پخت کلاچ پژو 405</v>
          </cell>
          <cell r="C403" t="str">
            <v>قالب تعمیری</v>
          </cell>
          <cell r="P403" t="str">
            <v>Mandrel</v>
          </cell>
          <cell r="AF403">
            <v>2</v>
          </cell>
          <cell r="AR403">
            <v>1500000</v>
          </cell>
        </row>
        <row r="404">
          <cell r="B404" t="str">
            <v>پخت کلاچ ایسوزو</v>
          </cell>
          <cell r="C404" t="str">
            <v>قالب تعمیری</v>
          </cell>
          <cell r="P404" t="str">
            <v>top Plate</v>
          </cell>
          <cell r="AF404">
            <v>6.5</v>
          </cell>
          <cell r="AR404">
            <v>4875000</v>
          </cell>
        </row>
        <row r="405">
          <cell r="B405" t="str">
            <v>فوتون 107</v>
          </cell>
          <cell r="C405" t="str">
            <v>قالب تعمیری</v>
          </cell>
          <cell r="P405" t="str">
            <v>Mandrel</v>
          </cell>
          <cell r="AF405">
            <v>2</v>
          </cell>
          <cell r="AR405">
            <v>1500000</v>
          </cell>
        </row>
        <row r="406">
          <cell r="B406" t="str">
            <v>شمش پراید</v>
          </cell>
          <cell r="C406" t="str">
            <v>قالب نو</v>
          </cell>
          <cell r="P406" t="str">
            <v>Mold</v>
          </cell>
          <cell r="AF406">
            <v>5</v>
          </cell>
          <cell r="AR406">
            <v>3750000</v>
          </cell>
        </row>
        <row r="407">
          <cell r="B407" t="str">
            <v>قالب پخت کلاچ پژو 405</v>
          </cell>
          <cell r="C407" t="str">
            <v>قالب تعمیری</v>
          </cell>
          <cell r="P407" t="str">
            <v>Mold</v>
          </cell>
          <cell r="AF407">
            <v>2</v>
          </cell>
          <cell r="AR407">
            <v>1500000</v>
          </cell>
        </row>
        <row r="408">
          <cell r="B408" t="str">
            <v xml:space="preserve">قالب پخت کلاچ پیکان </v>
          </cell>
          <cell r="C408" t="str">
            <v>قالب تعمیری</v>
          </cell>
          <cell r="P408" t="str">
            <v>Mold</v>
          </cell>
          <cell r="AF408">
            <v>2</v>
          </cell>
          <cell r="AR408">
            <v>1500000</v>
          </cell>
        </row>
        <row r="409">
          <cell r="B409" t="str">
            <v xml:space="preserve">قالب پخت کلاچ پیکان </v>
          </cell>
          <cell r="C409" t="str">
            <v>قالب تعمیری</v>
          </cell>
          <cell r="P409" t="str">
            <v>Mold</v>
          </cell>
          <cell r="AF409">
            <v>3</v>
          </cell>
          <cell r="AR409">
            <v>2250000</v>
          </cell>
        </row>
        <row r="410">
          <cell r="B410" t="str">
            <v>قالب پخت کلاچ پژو 405</v>
          </cell>
          <cell r="C410" t="str">
            <v>قالب تعمیری</v>
          </cell>
          <cell r="P410" t="str">
            <v>Mold</v>
          </cell>
          <cell r="AF410">
            <v>2</v>
          </cell>
          <cell r="AR410">
            <v>1500000</v>
          </cell>
        </row>
        <row r="411">
          <cell r="B411" t="str">
            <v>سری تراش</v>
          </cell>
          <cell r="C411" t="str">
            <v>قطعه نو</v>
          </cell>
          <cell r="P411" t="str">
            <v>NOSE CAP A25</v>
          </cell>
          <cell r="AF411">
            <v>3</v>
          </cell>
          <cell r="AR411">
            <v>2250000</v>
          </cell>
        </row>
        <row r="412">
          <cell r="B412" t="str">
            <v>ویوینگ</v>
          </cell>
          <cell r="C412" t="str">
            <v>قطعه نو</v>
          </cell>
          <cell r="P412" t="str">
            <v>Bush</v>
          </cell>
          <cell r="AF412">
            <v>2</v>
          </cell>
          <cell r="AR412">
            <v>1500000</v>
          </cell>
        </row>
        <row r="413">
          <cell r="B413" t="str">
            <v>ترابوزا</v>
          </cell>
          <cell r="C413" t="str">
            <v>قالب تعمیری</v>
          </cell>
          <cell r="P413" t="str">
            <v>میل راهنما</v>
          </cell>
          <cell r="AF413">
            <v>2</v>
          </cell>
          <cell r="AR413">
            <v>1500000</v>
          </cell>
        </row>
        <row r="414">
          <cell r="B414" t="str">
            <v>پایه پرچ عقب نیسان</v>
          </cell>
          <cell r="C414" t="str">
            <v>قطعه تعمیری</v>
          </cell>
          <cell r="P414" t="str">
            <v>Mandrel</v>
          </cell>
          <cell r="AF414">
            <v>4</v>
          </cell>
          <cell r="AR414">
            <v>3000000</v>
          </cell>
        </row>
        <row r="415">
          <cell r="B415" t="str">
            <v>ترابوزا</v>
          </cell>
          <cell r="C415" t="str">
            <v>قالب تعمیری</v>
          </cell>
          <cell r="P415" t="str">
            <v>top Plate</v>
          </cell>
          <cell r="AF415">
            <v>1</v>
          </cell>
          <cell r="AR415">
            <v>750000</v>
          </cell>
        </row>
        <row r="416">
          <cell r="B416" t="str">
            <v>ترابوزا</v>
          </cell>
          <cell r="C416" t="str">
            <v>قالب تعمیری</v>
          </cell>
          <cell r="P416" t="str">
            <v>bottom plate</v>
          </cell>
          <cell r="AF416">
            <v>2</v>
          </cell>
          <cell r="AR416">
            <v>1500000</v>
          </cell>
        </row>
        <row r="417">
          <cell r="B417" t="str">
            <v>ترابوزا</v>
          </cell>
          <cell r="C417" t="str">
            <v>قالب تعمیری</v>
          </cell>
          <cell r="P417" t="str">
            <v>Mold</v>
          </cell>
          <cell r="AF417">
            <v>1</v>
          </cell>
          <cell r="AR417">
            <v>750000</v>
          </cell>
        </row>
        <row r="418">
          <cell r="B418" t="str">
            <v>ویوینگ</v>
          </cell>
          <cell r="C418" t="str">
            <v>قطعه تعمیری</v>
          </cell>
          <cell r="P418" t="str">
            <v>Shaft</v>
          </cell>
          <cell r="AF418">
            <v>1</v>
          </cell>
          <cell r="AR418">
            <v>750000</v>
          </cell>
        </row>
        <row r="419">
          <cell r="B419" t="str">
            <v>هواکش</v>
          </cell>
          <cell r="C419" t="str">
            <v>قطعه تعمیری</v>
          </cell>
          <cell r="P419" t="str">
            <v>Shaft</v>
          </cell>
          <cell r="AF419">
            <v>1</v>
          </cell>
          <cell r="AR419">
            <v>750000</v>
          </cell>
        </row>
        <row r="420">
          <cell r="B420" t="str">
            <v>پخت عقب پژو 405 شمشی پایه کوتاه</v>
          </cell>
          <cell r="C420" t="str">
            <v>قالب نو</v>
          </cell>
          <cell r="P420" t="str">
            <v>Mold</v>
          </cell>
          <cell r="AF420">
            <v>4</v>
          </cell>
          <cell r="AR420">
            <v>3000000</v>
          </cell>
        </row>
        <row r="421">
          <cell r="B421" t="str">
            <v>ویوینگ</v>
          </cell>
          <cell r="C421" t="str">
            <v>قطعه تعمیری</v>
          </cell>
          <cell r="P421" t="str">
            <v>Shaft</v>
          </cell>
          <cell r="AF421">
            <v>2.5</v>
          </cell>
          <cell r="AR421">
            <v>1875000</v>
          </cell>
        </row>
        <row r="422">
          <cell r="B422" t="str">
            <v>پخت کلاچ لندکروز</v>
          </cell>
          <cell r="C422" t="str">
            <v>قالب تعمیری</v>
          </cell>
          <cell r="P422" t="str">
            <v>Matrix</v>
          </cell>
          <cell r="AF422">
            <v>6.5</v>
          </cell>
          <cell r="AR422">
            <v>9750000</v>
          </cell>
        </row>
        <row r="423">
          <cell r="B423" t="str">
            <v>پخت کلاچ لندکروز</v>
          </cell>
          <cell r="C423" t="str">
            <v>قالب تعمیری</v>
          </cell>
          <cell r="P423" t="str">
            <v>Matrix</v>
          </cell>
          <cell r="AF423">
            <v>6.5</v>
          </cell>
          <cell r="AR423">
            <v>9750000</v>
          </cell>
        </row>
        <row r="424">
          <cell r="B424" t="str">
            <v>پخت عقب پژو 405 شمشی پایه کوتاه</v>
          </cell>
          <cell r="C424" t="str">
            <v>قالب نو</v>
          </cell>
          <cell r="P424" t="str">
            <v>دیواره کناری</v>
          </cell>
          <cell r="AF424">
            <v>2.5</v>
          </cell>
          <cell r="AR424">
            <v>1875000</v>
          </cell>
        </row>
        <row r="425">
          <cell r="B425" t="str">
            <v>پخت کلاچ تیبا راست</v>
          </cell>
          <cell r="C425" t="str">
            <v>قالب نو</v>
          </cell>
          <cell r="P425" t="str">
            <v>bottom plate</v>
          </cell>
          <cell r="AF425">
            <v>8.5</v>
          </cell>
          <cell r="AR425">
            <v>6375000</v>
          </cell>
        </row>
        <row r="426">
          <cell r="B426" t="str">
            <v>پین عقب پژو 405</v>
          </cell>
          <cell r="C426" t="str">
            <v>قطعه نو</v>
          </cell>
          <cell r="P426" t="str">
            <v>عقب پژو 405</v>
          </cell>
          <cell r="AF426">
            <v>11</v>
          </cell>
          <cell r="AR426">
            <v>8250000</v>
          </cell>
        </row>
        <row r="427">
          <cell r="B427" t="str">
            <v>پخت کلاچ لندکروز</v>
          </cell>
          <cell r="C427" t="str">
            <v>قالب تعمیری</v>
          </cell>
          <cell r="P427" t="str">
            <v>Matrix</v>
          </cell>
          <cell r="AF427">
            <v>11</v>
          </cell>
          <cell r="AR427">
            <v>16500000</v>
          </cell>
        </row>
        <row r="428">
          <cell r="B428" t="str">
            <v>قالب پخت کلاچ پژو 405</v>
          </cell>
          <cell r="C428" t="str">
            <v>قالب تعمیری</v>
          </cell>
          <cell r="P428" t="str">
            <v>top Plate</v>
          </cell>
          <cell r="AF428">
            <v>2.5</v>
          </cell>
          <cell r="AR428">
            <v>1875000</v>
          </cell>
        </row>
        <row r="429">
          <cell r="B429" t="str">
            <v>قالب پخت کلاچ پژو 405</v>
          </cell>
          <cell r="C429" t="str">
            <v>قالب تعمیری</v>
          </cell>
          <cell r="P429" t="str">
            <v>top Plate</v>
          </cell>
          <cell r="AF429">
            <v>2.5</v>
          </cell>
          <cell r="AR429">
            <v>1875000</v>
          </cell>
        </row>
        <row r="430">
          <cell r="B430" t="str">
            <v>فوتون 107</v>
          </cell>
          <cell r="C430" t="str">
            <v>قالب تعمیری</v>
          </cell>
          <cell r="P430" t="str">
            <v>صفحات کناری</v>
          </cell>
          <cell r="AF430">
            <v>1.5</v>
          </cell>
          <cell r="AR430">
            <v>1125000</v>
          </cell>
        </row>
        <row r="431">
          <cell r="B431" t="str">
            <v>ترابوزا</v>
          </cell>
          <cell r="C431" t="str">
            <v>قالب تعمیری</v>
          </cell>
          <cell r="P431" t="str">
            <v>top Plate</v>
          </cell>
          <cell r="AF431">
            <v>4</v>
          </cell>
          <cell r="AR431">
            <v>3000000</v>
          </cell>
        </row>
        <row r="432">
          <cell r="B432" t="str">
            <v>ترابوزا</v>
          </cell>
          <cell r="C432" t="str">
            <v>قالب تعمیری</v>
          </cell>
          <cell r="P432" t="str">
            <v>bottom plate</v>
          </cell>
          <cell r="AF432">
            <v>1</v>
          </cell>
          <cell r="AR432">
            <v>750000</v>
          </cell>
        </row>
        <row r="433">
          <cell r="B433" t="str">
            <v>ترابوزا</v>
          </cell>
          <cell r="C433" t="str">
            <v>قالب تعمیری</v>
          </cell>
          <cell r="P433" t="str">
            <v>Mold</v>
          </cell>
          <cell r="AF433">
            <v>3</v>
          </cell>
          <cell r="AR433">
            <v>2250000</v>
          </cell>
        </row>
        <row r="434">
          <cell r="B434" t="str">
            <v>قالب پخت SAF</v>
          </cell>
          <cell r="C434" t="str">
            <v>قالب نو</v>
          </cell>
          <cell r="P434" t="str">
            <v>Matrix</v>
          </cell>
          <cell r="AF434">
            <v>12</v>
          </cell>
          <cell r="AR434">
            <v>9000000</v>
          </cell>
        </row>
        <row r="435">
          <cell r="B435" t="str">
            <v>قالب پخت SAF</v>
          </cell>
          <cell r="C435" t="str">
            <v>قالب تعمیری</v>
          </cell>
          <cell r="P435" t="str">
            <v>Matrix</v>
          </cell>
          <cell r="AF435">
            <v>12</v>
          </cell>
          <cell r="AR435">
            <v>9000000</v>
          </cell>
        </row>
        <row r="436">
          <cell r="B436" t="str">
            <v>نگهدارنده پلاک قالب</v>
          </cell>
          <cell r="C436" t="str">
            <v>قطعه نو</v>
          </cell>
          <cell r="P436" t="str">
            <v>نگهدارنده U</v>
          </cell>
          <cell r="AF436">
            <v>12</v>
          </cell>
          <cell r="AR436">
            <v>9000000</v>
          </cell>
        </row>
        <row r="437">
          <cell r="B437" t="str">
            <v>دستگاه پرس 600 تن</v>
          </cell>
          <cell r="C437" t="str">
            <v>قطعه نو</v>
          </cell>
          <cell r="P437" t="str">
            <v>مهره  ستون</v>
          </cell>
          <cell r="AF437">
            <v>12</v>
          </cell>
          <cell r="AR437">
            <v>9000000</v>
          </cell>
        </row>
        <row r="438">
          <cell r="B438" t="str">
            <v>پایه پرچ عقب نیسان</v>
          </cell>
          <cell r="C438" t="str">
            <v>قطعه تعمیری</v>
          </cell>
          <cell r="P438" t="str">
            <v>تفلن</v>
          </cell>
          <cell r="AF438">
            <v>11</v>
          </cell>
          <cell r="AR438">
            <v>16500000</v>
          </cell>
        </row>
        <row r="439">
          <cell r="B439" t="str">
            <v>ترابوزا</v>
          </cell>
          <cell r="C439" t="str">
            <v>قالب تعمیری</v>
          </cell>
          <cell r="P439" t="str">
            <v>Mold</v>
          </cell>
          <cell r="AF439">
            <v>4</v>
          </cell>
          <cell r="AR439">
            <v>3000000</v>
          </cell>
        </row>
        <row r="440">
          <cell r="B440" t="str">
            <v>پخت عقب پژو 405 شمشی پایه کوتاه</v>
          </cell>
          <cell r="C440" t="str">
            <v>قالب نو</v>
          </cell>
          <cell r="P440" t="str">
            <v>Stop</v>
          </cell>
          <cell r="AF440">
            <v>3</v>
          </cell>
          <cell r="AR440">
            <v>2250000</v>
          </cell>
        </row>
        <row r="441">
          <cell r="B441" t="str">
            <v>پخت عقب پژو 405 شمشی پایه کوتاه</v>
          </cell>
          <cell r="C441" t="str">
            <v>قالب نو</v>
          </cell>
          <cell r="P441" t="str">
            <v>Mold</v>
          </cell>
          <cell r="AF441">
            <v>3</v>
          </cell>
          <cell r="AR441">
            <v>2250000</v>
          </cell>
        </row>
        <row r="442">
          <cell r="B442" t="str">
            <v>پخت عقب پژو 405 شمشی پایه کوتاه</v>
          </cell>
          <cell r="C442" t="str">
            <v>قالب نو</v>
          </cell>
          <cell r="P442" t="str">
            <v>Stop</v>
          </cell>
          <cell r="AF442">
            <v>2</v>
          </cell>
          <cell r="AR442">
            <v>1500000</v>
          </cell>
        </row>
        <row r="443">
          <cell r="B443" t="str">
            <v>نگهدارنده پلاک قالب</v>
          </cell>
          <cell r="C443" t="str">
            <v>قطعه نو</v>
          </cell>
          <cell r="P443" t="str">
            <v>نگهدارنده U</v>
          </cell>
          <cell r="AF443">
            <v>4</v>
          </cell>
          <cell r="AR443">
            <v>3000000</v>
          </cell>
        </row>
        <row r="444">
          <cell r="B444" t="str">
            <v>پخت عقب پژو 405 شمشی پایه کوتاه</v>
          </cell>
          <cell r="C444" t="str">
            <v>قالب نو</v>
          </cell>
          <cell r="P444" t="str">
            <v>Mold</v>
          </cell>
          <cell r="AF444">
            <v>5</v>
          </cell>
          <cell r="AR444">
            <v>3750000</v>
          </cell>
        </row>
        <row r="445">
          <cell r="B445" t="str">
            <v>پایه پرچ عقب نیسان</v>
          </cell>
          <cell r="C445" t="str">
            <v>قطعه تعمیری</v>
          </cell>
          <cell r="P445" t="str">
            <v>Mandrel</v>
          </cell>
          <cell r="AF445">
            <v>3</v>
          </cell>
          <cell r="AR445">
            <v>2250000</v>
          </cell>
        </row>
        <row r="446">
          <cell r="B446" t="str">
            <v>پایه پرچ عقب نیسان</v>
          </cell>
          <cell r="C446" t="str">
            <v>قطعه تعمیری</v>
          </cell>
          <cell r="P446" t="str">
            <v>Shaft</v>
          </cell>
          <cell r="AF446">
            <v>3</v>
          </cell>
          <cell r="AR446">
            <v>2250000</v>
          </cell>
        </row>
        <row r="447">
          <cell r="B447" t="str">
            <v>سری نقطه جوش</v>
          </cell>
          <cell r="C447" t="str">
            <v>قطعه تعمیری</v>
          </cell>
          <cell r="P447" t="str">
            <v>مسی</v>
          </cell>
          <cell r="AF447">
            <v>1</v>
          </cell>
          <cell r="AR447">
            <v>750000</v>
          </cell>
        </row>
        <row r="448">
          <cell r="B448" t="str">
            <v>قالب پخت کلاچ پژو 405</v>
          </cell>
          <cell r="C448" t="str">
            <v>قالب تعمیری</v>
          </cell>
          <cell r="P448" t="str">
            <v>پیچ واسطه</v>
          </cell>
          <cell r="AF448">
            <v>4</v>
          </cell>
          <cell r="AR448">
            <v>3000000</v>
          </cell>
        </row>
        <row r="449">
          <cell r="B449" t="str">
            <v>پخت کلاچ لندکروز</v>
          </cell>
          <cell r="C449" t="str">
            <v>قالب تعمیری</v>
          </cell>
          <cell r="P449" t="str">
            <v>top Plate</v>
          </cell>
          <cell r="AF449">
            <v>4</v>
          </cell>
          <cell r="AR449">
            <v>3000000</v>
          </cell>
        </row>
        <row r="450">
          <cell r="B450" t="str">
            <v>پخت کلاچ ایسوزو</v>
          </cell>
          <cell r="C450" t="str">
            <v>قالب تعمیری</v>
          </cell>
          <cell r="P450" t="str">
            <v>top Plate</v>
          </cell>
          <cell r="AF450">
            <v>9</v>
          </cell>
          <cell r="AR450">
            <v>6750000</v>
          </cell>
        </row>
        <row r="451">
          <cell r="B451" t="str">
            <v>پخت عقب پژو 405 شمشی پایه کوتاه</v>
          </cell>
          <cell r="C451" t="str">
            <v>قالب نو</v>
          </cell>
          <cell r="P451" t="str">
            <v>Stop</v>
          </cell>
          <cell r="AF451">
            <v>1</v>
          </cell>
          <cell r="AR451">
            <v>750000</v>
          </cell>
        </row>
        <row r="452">
          <cell r="B452" t="str">
            <v>فوتون 107</v>
          </cell>
          <cell r="C452" t="str">
            <v>قالب تعمیری</v>
          </cell>
          <cell r="P452" t="str">
            <v>Mandrel</v>
          </cell>
          <cell r="AF452">
            <v>6</v>
          </cell>
          <cell r="AR452">
            <v>4500000</v>
          </cell>
        </row>
        <row r="453">
          <cell r="B453" t="str">
            <v>قالب پخت کلاچ پژو 405</v>
          </cell>
          <cell r="C453" t="str">
            <v>قالب تعمیری</v>
          </cell>
          <cell r="P453" t="str">
            <v>top Plate</v>
          </cell>
          <cell r="AF453">
            <v>2</v>
          </cell>
          <cell r="AR453">
            <v>1500000</v>
          </cell>
        </row>
        <row r="454">
          <cell r="B454" t="str">
            <v>پخت کلاچ 302 سوراخدار</v>
          </cell>
          <cell r="C454" t="str">
            <v>قالب تعمیری</v>
          </cell>
          <cell r="P454" t="str">
            <v>پیچ</v>
          </cell>
          <cell r="AF454">
            <v>5.5</v>
          </cell>
          <cell r="AR454">
            <v>4125000</v>
          </cell>
        </row>
        <row r="455">
          <cell r="B455" t="str">
            <v>پخت کلاچ 302 سوراخدار</v>
          </cell>
          <cell r="C455" t="str">
            <v>قالب تعمیری</v>
          </cell>
          <cell r="P455" t="str">
            <v>پیچ واسطه</v>
          </cell>
          <cell r="AF455">
            <v>5.5</v>
          </cell>
          <cell r="AR455">
            <v>4125000</v>
          </cell>
        </row>
        <row r="456">
          <cell r="B456" t="str">
            <v>پخت کلاچ 302 سوراخدار</v>
          </cell>
          <cell r="C456" t="str">
            <v>قالب تعمیری</v>
          </cell>
          <cell r="P456" t="str">
            <v>Mold</v>
          </cell>
          <cell r="AF456">
            <v>3</v>
          </cell>
          <cell r="AR456">
            <v>2250000</v>
          </cell>
        </row>
        <row r="457">
          <cell r="B457" t="str">
            <v>پخت کلاچ ایویکو سوراخدار</v>
          </cell>
          <cell r="C457" t="str">
            <v>قالب تعمیری</v>
          </cell>
          <cell r="P457" t="str">
            <v>Mold</v>
          </cell>
          <cell r="AF457">
            <v>3</v>
          </cell>
          <cell r="AR457">
            <v>2250000</v>
          </cell>
        </row>
        <row r="458">
          <cell r="B458" t="str">
            <v>دستگاه پرس 600 تن</v>
          </cell>
          <cell r="C458" t="str">
            <v>قطعه نو</v>
          </cell>
          <cell r="P458" t="str">
            <v>مهره  ستون</v>
          </cell>
          <cell r="AF458">
            <v>2</v>
          </cell>
          <cell r="AR458">
            <v>1500000</v>
          </cell>
        </row>
        <row r="459">
          <cell r="B459" t="str">
            <v>پخت عقب پژو 405 شمشی پایه کوتاه</v>
          </cell>
          <cell r="C459" t="str">
            <v>قالب نو</v>
          </cell>
          <cell r="P459" t="str">
            <v>Mold</v>
          </cell>
          <cell r="AF459">
            <v>1.5</v>
          </cell>
          <cell r="AR459">
            <v>1125000</v>
          </cell>
        </row>
        <row r="460">
          <cell r="B460" t="str">
            <v>پخت کلاچ 302 سوراخدار</v>
          </cell>
          <cell r="C460" t="str">
            <v>قالب تعمیری</v>
          </cell>
          <cell r="P460" t="str">
            <v>Mold</v>
          </cell>
          <cell r="AF460">
            <v>3</v>
          </cell>
          <cell r="AR460">
            <v>2250000</v>
          </cell>
        </row>
        <row r="461">
          <cell r="B461" t="str">
            <v>قالب پخت کلاچ پژو 405</v>
          </cell>
          <cell r="C461" t="str">
            <v>قالب تعمیری</v>
          </cell>
          <cell r="P461" t="str">
            <v>Mold</v>
          </cell>
          <cell r="AF461">
            <v>1.5</v>
          </cell>
          <cell r="AR461">
            <v>1125000</v>
          </cell>
        </row>
        <row r="462">
          <cell r="B462" t="str">
            <v>پخت کلاچ 302 سوراخدار</v>
          </cell>
          <cell r="C462" t="str">
            <v>قالب تعمیری</v>
          </cell>
          <cell r="P462" t="str">
            <v>پیچ بریده</v>
          </cell>
          <cell r="AF462">
            <v>1.5</v>
          </cell>
          <cell r="AR462">
            <v>1125000</v>
          </cell>
        </row>
        <row r="463">
          <cell r="B463" t="str">
            <v>پخت کلاچ ایویکو سوراخدار</v>
          </cell>
          <cell r="C463" t="str">
            <v>قالب تعمیری</v>
          </cell>
          <cell r="P463" t="str">
            <v>Mold</v>
          </cell>
          <cell r="AF463">
            <v>3</v>
          </cell>
          <cell r="AR463">
            <v>2250000</v>
          </cell>
        </row>
        <row r="464">
          <cell r="B464" t="str">
            <v>قالب پخت SAF</v>
          </cell>
          <cell r="C464" t="str">
            <v>قالب نو</v>
          </cell>
          <cell r="P464" t="str">
            <v>top Plate</v>
          </cell>
          <cell r="AF464">
            <v>7.5</v>
          </cell>
          <cell r="AR464">
            <v>11250000</v>
          </cell>
        </row>
        <row r="465">
          <cell r="B465" t="str">
            <v>پخت کلاچ تیبا راست</v>
          </cell>
          <cell r="C465" t="str">
            <v>قالب نو</v>
          </cell>
          <cell r="P465" t="str">
            <v>bottom plate</v>
          </cell>
          <cell r="AF465">
            <v>3.5</v>
          </cell>
          <cell r="AR465">
            <v>5250000</v>
          </cell>
        </row>
        <row r="466">
          <cell r="B466" t="str">
            <v>فوتون 107</v>
          </cell>
          <cell r="C466" t="str">
            <v>قالب تعمیری</v>
          </cell>
          <cell r="P466" t="str">
            <v>Mandrel</v>
          </cell>
          <cell r="AF466">
            <v>11</v>
          </cell>
          <cell r="AR466">
            <v>8250000</v>
          </cell>
        </row>
        <row r="467">
          <cell r="B467" t="str">
            <v>قالب پخت کلاچ پژو 405</v>
          </cell>
          <cell r="C467" t="str">
            <v>قالب تعمیری</v>
          </cell>
          <cell r="P467" t="str">
            <v>top Plate</v>
          </cell>
          <cell r="AF467">
            <v>9</v>
          </cell>
          <cell r="AR467">
            <v>6750000</v>
          </cell>
        </row>
        <row r="468">
          <cell r="B468" t="str">
            <v>پخت عقب پژو 405 شمشی پایه کوتاه</v>
          </cell>
          <cell r="C468" t="str">
            <v>قالب نو</v>
          </cell>
          <cell r="P468" t="str">
            <v>دیواره کناری</v>
          </cell>
          <cell r="AF468">
            <v>2</v>
          </cell>
          <cell r="AR468">
            <v>1500000</v>
          </cell>
        </row>
        <row r="469">
          <cell r="B469" t="str">
            <v>فوتون 107</v>
          </cell>
          <cell r="C469" t="str">
            <v>قالب تعمیری</v>
          </cell>
          <cell r="P469" t="str">
            <v>صفحات داخلی</v>
          </cell>
          <cell r="AF469">
            <v>1.5</v>
          </cell>
          <cell r="AR469">
            <v>1125000</v>
          </cell>
        </row>
        <row r="470">
          <cell r="B470" t="str">
            <v>دستگاه پرس 600 تن</v>
          </cell>
          <cell r="C470" t="str">
            <v>قطعه نو</v>
          </cell>
          <cell r="P470" t="str">
            <v>مهره  ستون</v>
          </cell>
          <cell r="AF470">
            <v>3</v>
          </cell>
          <cell r="AR470">
            <v>2250000</v>
          </cell>
        </row>
        <row r="471">
          <cell r="B471" t="str">
            <v>فوتون 107</v>
          </cell>
          <cell r="C471" t="str">
            <v>قالب تعمیری</v>
          </cell>
          <cell r="P471" t="str">
            <v>صفحات داخلی</v>
          </cell>
          <cell r="AF471">
            <v>2</v>
          </cell>
          <cell r="AR471">
            <v>1500000</v>
          </cell>
        </row>
        <row r="472">
          <cell r="B472" t="str">
            <v>پین عقب پژو 405</v>
          </cell>
          <cell r="C472" t="str">
            <v>قطعه نو</v>
          </cell>
          <cell r="P472" t="str">
            <v>عقب پژو 405</v>
          </cell>
          <cell r="AF472">
            <v>11</v>
          </cell>
          <cell r="AR472">
            <v>8250000</v>
          </cell>
        </row>
        <row r="473">
          <cell r="B473" t="str">
            <v>پخت کلاچ تیبا راست</v>
          </cell>
          <cell r="C473" t="str">
            <v>قالب نو</v>
          </cell>
          <cell r="P473" t="str">
            <v>bottom plate</v>
          </cell>
          <cell r="AF473">
            <v>3.5</v>
          </cell>
          <cell r="AR473">
            <v>2625000</v>
          </cell>
        </row>
        <row r="474">
          <cell r="B474" t="str">
            <v>فوتون 107</v>
          </cell>
          <cell r="C474" t="str">
            <v>قالب تعمیری</v>
          </cell>
          <cell r="P474" t="str">
            <v>Mandrel</v>
          </cell>
          <cell r="AF474">
            <v>4</v>
          </cell>
          <cell r="AR474">
            <v>3000000</v>
          </cell>
        </row>
        <row r="475">
          <cell r="B475" t="str">
            <v>پخت کلاچ ایسوزو</v>
          </cell>
          <cell r="C475" t="str">
            <v>قالب تعمیری</v>
          </cell>
          <cell r="P475" t="str">
            <v>top Plate</v>
          </cell>
          <cell r="AF475">
            <v>3.5</v>
          </cell>
          <cell r="AR475">
            <v>2625000</v>
          </cell>
        </row>
        <row r="476">
          <cell r="B476" t="str">
            <v>پخت کلاچ لندکروز</v>
          </cell>
          <cell r="C476" t="str">
            <v>قالب تعمیری</v>
          </cell>
          <cell r="P476" t="str">
            <v>Matrix</v>
          </cell>
          <cell r="AF476">
            <v>11</v>
          </cell>
          <cell r="AR476">
            <v>16500000</v>
          </cell>
        </row>
        <row r="477">
          <cell r="B477" t="str">
            <v>قالب پخت SAF</v>
          </cell>
          <cell r="C477" t="str">
            <v>قالب تعمیری</v>
          </cell>
          <cell r="P477" t="str">
            <v>Matrix</v>
          </cell>
          <cell r="AF477">
            <v>12</v>
          </cell>
          <cell r="AR477">
            <v>9000000</v>
          </cell>
        </row>
        <row r="478">
          <cell r="B478" t="str">
            <v>نگهدارنده پلاک قالب</v>
          </cell>
          <cell r="C478" t="str">
            <v>قطعه نو</v>
          </cell>
          <cell r="P478" t="str">
            <v>نگهدارنده U</v>
          </cell>
          <cell r="AF478">
            <v>12</v>
          </cell>
          <cell r="AR478">
            <v>9000000</v>
          </cell>
        </row>
        <row r="479">
          <cell r="B479" t="str">
            <v>عقب لیفتراک</v>
          </cell>
          <cell r="C479" t="str">
            <v>قطعه نو</v>
          </cell>
          <cell r="P479" t="str">
            <v>Pin</v>
          </cell>
          <cell r="AF479">
            <v>3</v>
          </cell>
          <cell r="AR479">
            <v>2250000</v>
          </cell>
        </row>
        <row r="480">
          <cell r="B480" t="str">
            <v>دستگاه فرز</v>
          </cell>
          <cell r="C480" t="str">
            <v>قطعه تعمیری</v>
          </cell>
          <cell r="P480" t="str">
            <v>تیغه</v>
          </cell>
          <cell r="AF480">
            <v>3</v>
          </cell>
          <cell r="AR480">
            <v>2250000</v>
          </cell>
        </row>
        <row r="481">
          <cell r="B481" t="str">
            <v>فوتون 107</v>
          </cell>
          <cell r="C481" t="str">
            <v>قالب تعمیری</v>
          </cell>
          <cell r="P481" t="str">
            <v>top insert</v>
          </cell>
          <cell r="AF481">
            <v>12</v>
          </cell>
          <cell r="AR481">
            <v>9000000</v>
          </cell>
        </row>
        <row r="482">
          <cell r="B482" t="str">
            <v>قالب پخت کلاچ پژو 405</v>
          </cell>
          <cell r="C482" t="str">
            <v>قالب تعمیری</v>
          </cell>
          <cell r="P482" t="str">
            <v>Mold</v>
          </cell>
          <cell r="AF482">
            <v>6</v>
          </cell>
          <cell r="AR482">
            <v>4500000</v>
          </cell>
        </row>
        <row r="483">
          <cell r="B483" t="str">
            <v>پایه پرچ عقب نیسان</v>
          </cell>
          <cell r="C483" t="str">
            <v>قطعه تعمیری</v>
          </cell>
          <cell r="P483" t="str">
            <v>Parch rivet</v>
          </cell>
          <cell r="AF483">
            <v>4</v>
          </cell>
          <cell r="AR483">
            <v>6000000</v>
          </cell>
        </row>
        <row r="484">
          <cell r="B484" t="str">
            <v>دریل یزدخواستی کلاچ</v>
          </cell>
          <cell r="C484" t="str">
            <v>قطعه نو</v>
          </cell>
          <cell r="P484" t="str">
            <v>فیکسچر پراید</v>
          </cell>
          <cell r="AF484">
            <v>3.5</v>
          </cell>
          <cell r="AR484">
            <v>5250000</v>
          </cell>
        </row>
        <row r="485">
          <cell r="B485" t="str">
            <v>دریل یزدخواستی کلاچ</v>
          </cell>
          <cell r="C485" t="str">
            <v>قطعه نو</v>
          </cell>
          <cell r="P485" t="str">
            <v>Rahnama Plate of Peykan</v>
          </cell>
          <cell r="AF485">
            <v>1.5</v>
          </cell>
          <cell r="AR485">
            <v>2250000</v>
          </cell>
        </row>
        <row r="486">
          <cell r="B486" t="str">
            <v>آغشته کاری</v>
          </cell>
          <cell r="C486" t="str">
            <v>قطعه تعمیری</v>
          </cell>
          <cell r="P486" t="str">
            <v>Shaft</v>
          </cell>
          <cell r="AF486">
            <v>2</v>
          </cell>
          <cell r="AR486">
            <v>1500000</v>
          </cell>
        </row>
        <row r="487">
          <cell r="B487" t="str">
            <v>ساب ترابوزا</v>
          </cell>
          <cell r="C487" t="str">
            <v>قطعه نو</v>
          </cell>
          <cell r="P487" t="str">
            <v>درام نافی</v>
          </cell>
          <cell r="AF487">
            <v>9</v>
          </cell>
          <cell r="AR487">
            <v>6750000</v>
          </cell>
        </row>
        <row r="488">
          <cell r="B488" t="str">
            <v>پخت کلاچ تیبا راست</v>
          </cell>
          <cell r="C488" t="str">
            <v>قالب نو</v>
          </cell>
          <cell r="P488" t="str">
            <v>bottom plate</v>
          </cell>
          <cell r="AF488">
            <v>11</v>
          </cell>
          <cell r="AR488">
            <v>16500000</v>
          </cell>
        </row>
        <row r="489">
          <cell r="B489" t="str">
            <v>قالب پخت SAF</v>
          </cell>
          <cell r="C489" t="str">
            <v>قالب نو</v>
          </cell>
          <cell r="P489" t="str">
            <v>bottom plate</v>
          </cell>
          <cell r="AF489">
            <v>8.5</v>
          </cell>
          <cell r="AR489">
            <v>12750000</v>
          </cell>
        </row>
        <row r="490">
          <cell r="B490" t="str">
            <v>پخت کلاچ لندکروز</v>
          </cell>
          <cell r="C490" t="str">
            <v>قالب تعمیری</v>
          </cell>
          <cell r="P490" t="str">
            <v>Matrix</v>
          </cell>
          <cell r="AF490">
            <v>2.5</v>
          </cell>
          <cell r="AR490">
            <v>3750000</v>
          </cell>
        </row>
        <row r="491">
          <cell r="B491" t="str">
            <v>قالب پخت SAF</v>
          </cell>
          <cell r="C491" t="str">
            <v>قالب نو</v>
          </cell>
          <cell r="P491" t="str">
            <v>bottom plate</v>
          </cell>
          <cell r="AF491">
            <v>11</v>
          </cell>
          <cell r="AR491">
            <v>16500000</v>
          </cell>
        </row>
        <row r="492">
          <cell r="B492" t="str">
            <v>پخت کلاچ ایسوزو</v>
          </cell>
          <cell r="C492" t="str">
            <v>قالب تعمیری</v>
          </cell>
          <cell r="P492" t="str">
            <v>top Plate</v>
          </cell>
          <cell r="AF492">
            <v>11</v>
          </cell>
          <cell r="AR492">
            <v>8250000</v>
          </cell>
        </row>
        <row r="493">
          <cell r="B493" t="str">
            <v>پخت کلاچ ایسوزو</v>
          </cell>
          <cell r="C493" t="str">
            <v>قالب تعمیری</v>
          </cell>
          <cell r="P493" t="str">
            <v>top Plate</v>
          </cell>
          <cell r="AF493">
            <v>11</v>
          </cell>
          <cell r="AR493">
            <v>8250000</v>
          </cell>
        </row>
        <row r="494">
          <cell r="B494" t="str">
            <v>فوتون 107</v>
          </cell>
          <cell r="C494" t="str">
            <v>قالب تعمیری</v>
          </cell>
          <cell r="P494" t="str">
            <v>صفحات داخلی</v>
          </cell>
          <cell r="AF494">
            <v>6.5</v>
          </cell>
          <cell r="AR494">
            <v>4875000</v>
          </cell>
        </row>
        <row r="495">
          <cell r="B495" t="str">
            <v>فوتون 107</v>
          </cell>
          <cell r="C495" t="str">
            <v>قالب تعمیری</v>
          </cell>
          <cell r="P495" t="str">
            <v>صفحات داخلی</v>
          </cell>
          <cell r="AF495">
            <v>6.5</v>
          </cell>
          <cell r="AR495">
            <v>4875000</v>
          </cell>
        </row>
        <row r="496">
          <cell r="B496" t="str">
            <v>دریل یزدخواستی کلاچ</v>
          </cell>
          <cell r="C496" t="str">
            <v>قطعه نو</v>
          </cell>
          <cell r="P496" t="str">
            <v>Rahnama Plate of Peykan</v>
          </cell>
          <cell r="AF496">
            <v>8.5</v>
          </cell>
          <cell r="AR496">
            <v>12750000</v>
          </cell>
        </row>
        <row r="497">
          <cell r="B497" t="str">
            <v>دریل یزدخواستی کلاچ</v>
          </cell>
          <cell r="C497" t="str">
            <v>قطعه نو</v>
          </cell>
          <cell r="P497" t="str">
            <v>Rahnama Plate of Peykan</v>
          </cell>
          <cell r="AF497">
            <v>9.3333333333333339</v>
          </cell>
          <cell r="AR497">
            <v>14000000</v>
          </cell>
        </row>
        <row r="498">
          <cell r="B498" t="str">
            <v>آغشته کاری</v>
          </cell>
          <cell r="C498" t="str">
            <v>قطعه تعمیری</v>
          </cell>
          <cell r="P498" t="str">
            <v>Shaft</v>
          </cell>
          <cell r="AF498">
            <v>2</v>
          </cell>
          <cell r="AR498">
            <v>1500000</v>
          </cell>
        </row>
        <row r="499">
          <cell r="B499" t="str">
            <v>سری تراش</v>
          </cell>
          <cell r="C499" t="str">
            <v>قطعه نو</v>
          </cell>
          <cell r="P499" t="str">
            <v>NOSE CAP A25</v>
          </cell>
          <cell r="AF499">
            <v>2</v>
          </cell>
          <cell r="AR499">
            <v>1500000</v>
          </cell>
        </row>
        <row r="500">
          <cell r="B500" t="str">
            <v>دستگاه پشم فلز</v>
          </cell>
          <cell r="C500" t="str">
            <v>قطعه تعمیری</v>
          </cell>
          <cell r="P500" t="str">
            <v>پیچ</v>
          </cell>
          <cell r="AF500">
            <v>3</v>
          </cell>
          <cell r="AR500">
            <v>2250000</v>
          </cell>
        </row>
        <row r="501">
          <cell r="B501" t="str">
            <v>Pin zob ahan</v>
          </cell>
          <cell r="C501" t="str">
            <v>قطعه نو</v>
          </cell>
          <cell r="P501" t="str">
            <v>Pin</v>
          </cell>
          <cell r="AF501">
            <v>4</v>
          </cell>
          <cell r="AR501">
            <v>3000000</v>
          </cell>
        </row>
        <row r="502">
          <cell r="B502" t="str">
            <v>Pin zob ahan</v>
          </cell>
          <cell r="C502" t="str">
            <v>قطعه نو</v>
          </cell>
          <cell r="P502" t="str">
            <v>Pin</v>
          </cell>
          <cell r="AF502">
            <v>11</v>
          </cell>
          <cell r="AR502">
            <v>8250000</v>
          </cell>
        </row>
        <row r="503">
          <cell r="B503" t="str">
            <v>فوتون 107</v>
          </cell>
          <cell r="C503" t="str">
            <v>قالب تعمیری</v>
          </cell>
          <cell r="P503" t="str">
            <v>Mandrel</v>
          </cell>
          <cell r="AF503">
            <v>11</v>
          </cell>
          <cell r="AR503">
            <v>8250000</v>
          </cell>
        </row>
        <row r="504">
          <cell r="B504" t="str">
            <v>پخت عقب پژو 405 شمشی پایه کوتاه</v>
          </cell>
          <cell r="C504" t="str">
            <v>قالب نو</v>
          </cell>
          <cell r="P504" t="str">
            <v>دیواره کناری</v>
          </cell>
          <cell r="AF504">
            <v>1</v>
          </cell>
          <cell r="AR504">
            <v>750000</v>
          </cell>
        </row>
        <row r="505">
          <cell r="B505" t="str">
            <v>قالب پخت SAF</v>
          </cell>
          <cell r="C505" t="str">
            <v>قالب تعمیری</v>
          </cell>
          <cell r="P505" t="str">
            <v>صفحه</v>
          </cell>
          <cell r="AF505">
            <v>4</v>
          </cell>
          <cell r="AR505">
            <v>3000000</v>
          </cell>
        </row>
        <row r="506">
          <cell r="B506" t="str">
            <v>قالب پخت SAF</v>
          </cell>
          <cell r="C506" t="str">
            <v>قالب تعمیری</v>
          </cell>
          <cell r="P506" t="str">
            <v>صفحه</v>
          </cell>
          <cell r="AF506">
            <v>11</v>
          </cell>
          <cell r="AR506">
            <v>8250000</v>
          </cell>
        </row>
        <row r="507">
          <cell r="B507" t="str">
            <v>پخت کلاچ پژو 206 TU5</v>
          </cell>
          <cell r="C507" t="str">
            <v>قالب تعمیری</v>
          </cell>
          <cell r="P507" t="str">
            <v>Mandrel</v>
          </cell>
          <cell r="AF507">
            <v>4</v>
          </cell>
          <cell r="AR507">
            <v>3000000</v>
          </cell>
        </row>
        <row r="508">
          <cell r="B508" t="str">
            <v>فوتون 107</v>
          </cell>
          <cell r="C508" t="str">
            <v>قالب تعمیری</v>
          </cell>
          <cell r="P508" t="str">
            <v>Mandrel</v>
          </cell>
          <cell r="AF508">
            <v>7</v>
          </cell>
          <cell r="AR508">
            <v>5250000</v>
          </cell>
        </row>
        <row r="509">
          <cell r="B509" t="str">
            <v>قالب پخت کلاچ پژو 405</v>
          </cell>
          <cell r="C509" t="str">
            <v>قالب تعمیری</v>
          </cell>
          <cell r="P509" t="str">
            <v>Mold</v>
          </cell>
          <cell r="AF509">
            <v>3</v>
          </cell>
          <cell r="AR509">
            <v>2250000</v>
          </cell>
        </row>
        <row r="510">
          <cell r="B510" t="str">
            <v>دستگاه پرس 600 تن</v>
          </cell>
          <cell r="C510" t="str">
            <v>قطعه نو</v>
          </cell>
          <cell r="P510" t="str">
            <v>مهره  ستون</v>
          </cell>
          <cell r="AF510">
            <v>3</v>
          </cell>
          <cell r="AR510">
            <v>2250000</v>
          </cell>
        </row>
        <row r="511">
          <cell r="B511" t="str">
            <v>پخت کلاچ پژو 206 TU5</v>
          </cell>
          <cell r="C511" t="str">
            <v>قالب تعمیری</v>
          </cell>
          <cell r="P511" t="str">
            <v>Mold</v>
          </cell>
          <cell r="AF511">
            <v>3</v>
          </cell>
          <cell r="AR511">
            <v>2250000</v>
          </cell>
        </row>
        <row r="512">
          <cell r="B512" t="str">
            <v>قالب عقب F12</v>
          </cell>
          <cell r="C512" t="str">
            <v>قالب نو</v>
          </cell>
          <cell r="P512" t="str">
            <v>Mold</v>
          </cell>
          <cell r="AF512">
            <v>2</v>
          </cell>
          <cell r="AR512">
            <v>1500000</v>
          </cell>
        </row>
        <row r="513">
          <cell r="B513" t="str">
            <v>قالب شمشی عقب پیکان</v>
          </cell>
          <cell r="C513" t="str">
            <v>قالب نو</v>
          </cell>
          <cell r="P513" t="str">
            <v>Mold</v>
          </cell>
          <cell r="AF513">
            <v>2</v>
          </cell>
          <cell r="AR513">
            <v>1500000</v>
          </cell>
        </row>
        <row r="514">
          <cell r="B514" t="str">
            <v>قالب شمشی عقب پیکان</v>
          </cell>
          <cell r="C514" t="str">
            <v>قالب نو</v>
          </cell>
          <cell r="P514" t="str">
            <v>Mold</v>
          </cell>
          <cell r="AF514">
            <v>2</v>
          </cell>
          <cell r="AR514">
            <v>1500000</v>
          </cell>
        </row>
        <row r="515">
          <cell r="B515" t="str">
            <v>قالب پخت کلاچ پژو 405</v>
          </cell>
          <cell r="C515" t="str">
            <v>قالب تعمیری</v>
          </cell>
          <cell r="P515" t="str">
            <v>Mold</v>
          </cell>
          <cell r="AF515">
            <v>2</v>
          </cell>
          <cell r="AR515">
            <v>1500000</v>
          </cell>
        </row>
        <row r="516">
          <cell r="B516" t="str">
            <v>قالب مترو مشهد</v>
          </cell>
          <cell r="C516" t="str">
            <v>قالب تعمیری</v>
          </cell>
          <cell r="P516" t="str">
            <v>Mold</v>
          </cell>
          <cell r="AF516">
            <v>3</v>
          </cell>
          <cell r="AR516">
            <v>2250000</v>
          </cell>
        </row>
        <row r="517">
          <cell r="B517" t="str">
            <v>ساب ترابوزا</v>
          </cell>
          <cell r="C517" t="str">
            <v>قطعه نو</v>
          </cell>
          <cell r="P517" t="str">
            <v>درام نافی</v>
          </cell>
          <cell r="AF517">
            <v>5</v>
          </cell>
          <cell r="AR517">
            <v>3750000</v>
          </cell>
        </row>
        <row r="518">
          <cell r="B518" t="str">
            <v>آغشته کاری</v>
          </cell>
          <cell r="C518" t="str">
            <v>قطعه تعمیری</v>
          </cell>
          <cell r="P518" t="str">
            <v>Shaft</v>
          </cell>
          <cell r="AF518">
            <v>1</v>
          </cell>
          <cell r="AR518">
            <v>750000</v>
          </cell>
        </row>
        <row r="519">
          <cell r="B519" t="str">
            <v>ساب سمباده ای</v>
          </cell>
          <cell r="C519" t="str">
            <v>قطعه تعمیری</v>
          </cell>
          <cell r="P519" t="str">
            <v>توپی</v>
          </cell>
          <cell r="AF519">
            <v>2</v>
          </cell>
          <cell r="AR519">
            <v>1500000</v>
          </cell>
        </row>
        <row r="520">
          <cell r="B520" t="str">
            <v>ویوینگ</v>
          </cell>
          <cell r="C520" t="str">
            <v>قطعه نو</v>
          </cell>
          <cell r="P520" t="str">
            <v>Bush</v>
          </cell>
          <cell r="AF520">
            <v>3</v>
          </cell>
          <cell r="AR520">
            <v>2250000</v>
          </cell>
        </row>
        <row r="521">
          <cell r="B521" t="str">
            <v>ویوینگ</v>
          </cell>
          <cell r="C521" t="str">
            <v>قطعه تعمیری</v>
          </cell>
          <cell r="P521" t="str">
            <v>Shaft</v>
          </cell>
          <cell r="AF521">
            <v>3</v>
          </cell>
          <cell r="AR521">
            <v>2250000</v>
          </cell>
        </row>
        <row r="522">
          <cell r="B522" t="str">
            <v>دستگاه پرس 600 تن</v>
          </cell>
          <cell r="C522" t="str">
            <v>قطعه نو</v>
          </cell>
          <cell r="P522" t="str">
            <v>مهره  ستون</v>
          </cell>
          <cell r="AF522">
            <v>6</v>
          </cell>
          <cell r="AR522">
            <v>4500000</v>
          </cell>
        </row>
        <row r="523">
          <cell r="B523" t="str">
            <v>ویوینگ</v>
          </cell>
          <cell r="C523" t="str">
            <v>قطعه تعمیری</v>
          </cell>
          <cell r="P523" t="str">
            <v>Shaft</v>
          </cell>
          <cell r="AF523">
            <v>0.5</v>
          </cell>
          <cell r="AR523">
            <v>375000</v>
          </cell>
        </row>
        <row r="524">
          <cell r="B524" t="str">
            <v>آغشته کاری</v>
          </cell>
          <cell r="C524" t="str">
            <v>قطعه تعمیری</v>
          </cell>
          <cell r="P524" t="str">
            <v>تیغه</v>
          </cell>
          <cell r="AF524">
            <v>0.5</v>
          </cell>
          <cell r="AR524">
            <v>375000</v>
          </cell>
        </row>
        <row r="525">
          <cell r="B525" t="str">
            <v>قالب پخت کلاچ پژو 405</v>
          </cell>
          <cell r="C525" t="str">
            <v>قالب تعمیری</v>
          </cell>
          <cell r="P525" t="str">
            <v>Pin</v>
          </cell>
          <cell r="AF525">
            <v>3</v>
          </cell>
          <cell r="AR525">
            <v>2250000</v>
          </cell>
        </row>
        <row r="526">
          <cell r="B526" t="str">
            <v>پخت کلاچ پژو 206 TU5</v>
          </cell>
          <cell r="C526" t="str">
            <v>قالب تعمیری</v>
          </cell>
          <cell r="P526" t="str">
            <v>Mold</v>
          </cell>
          <cell r="AF526">
            <v>5</v>
          </cell>
          <cell r="AR526">
            <v>3750000</v>
          </cell>
        </row>
        <row r="527">
          <cell r="B527" t="str">
            <v>آغشته کاری</v>
          </cell>
          <cell r="C527" t="str">
            <v>قطعه تعمیری</v>
          </cell>
          <cell r="P527" t="str">
            <v>فولی</v>
          </cell>
          <cell r="AF527">
            <v>1</v>
          </cell>
          <cell r="AR527">
            <v>750000</v>
          </cell>
        </row>
        <row r="528">
          <cell r="B528" t="str">
            <v>ویوینگ</v>
          </cell>
          <cell r="C528" t="str">
            <v>قطعه تعمیری</v>
          </cell>
          <cell r="P528" t="str">
            <v>Shaft</v>
          </cell>
          <cell r="AF528">
            <v>1</v>
          </cell>
          <cell r="AR528">
            <v>750000</v>
          </cell>
        </row>
        <row r="529">
          <cell r="B529" t="str">
            <v>قالب پخت کلاچ پژو 405</v>
          </cell>
          <cell r="C529" t="str">
            <v>قالب تعمیری</v>
          </cell>
          <cell r="P529" t="str">
            <v>سوپاپ</v>
          </cell>
          <cell r="AF529">
            <v>2.5</v>
          </cell>
          <cell r="AR529">
            <v>1875000</v>
          </cell>
        </row>
        <row r="530">
          <cell r="B530" t="str">
            <v>قالب شمشی عقب پیکان</v>
          </cell>
          <cell r="C530" t="str">
            <v>قالب نو</v>
          </cell>
          <cell r="P530" t="str">
            <v>Mold</v>
          </cell>
          <cell r="AF530">
            <v>1.5</v>
          </cell>
          <cell r="AR530">
            <v>1125000</v>
          </cell>
        </row>
        <row r="531">
          <cell r="B531" t="str">
            <v>قالب عقب F12</v>
          </cell>
          <cell r="C531" t="str">
            <v>قالب نو</v>
          </cell>
          <cell r="P531" t="str">
            <v>Mold</v>
          </cell>
          <cell r="AF531">
            <v>2</v>
          </cell>
          <cell r="AR531">
            <v>1500000</v>
          </cell>
        </row>
        <row r="532">
          <cell r="B532" t="str">
            <v>قالب پخت کلاچ پژو 405</v>
          </cell>
          <cell r="C532" t="str">
            <v>قالب تعمیری</v>
          </cell>
          <cell r="P532" t="str">
            <v>top Plate</v>
          </cell>
          <cell r="AF532">
            <v>1</v>
          </cell>
          <cell r="AR532">
            <v>750000</v>
          </cell>
        </row>
        <row r="533">
          <cell r="B533" t="str">
            <v>قالب پخت SAF</v>
          </cell>
          <cell r="C533" t="str">
            <v>قالب تعمیری</v>
          </cell>
          <cell r="P533" t="str">
            <v>Matrix</v>
          </cell>
          <cell r="AF533">
            <v>12</v>
          </cell>
          <cell r="AR533">
            <v>9000000</v>
          </cell>
        </row>
        <row r="534">
          <cell r="B534" t="str">
            <v>نگهدارنده پلاک قالب</v>
          </cell>
          <cell r="C534" t="str">
            <v>قطعه نو</v>
          </cell>
          <cell r="P534" t="str">
            <v>نگهدارنده U</v>
          </cell>
          <cell r="AF534">
            <v>6</v>
          </cell>
          <cell r="AR534">
            <v>4500000</v>
          </cell>
        </row>
        <row r="535">
          <cell r="B535" t="str">
            <v>Pin zob ahan</v>
          </cell>
          <cell r="C535" t="str">
            <v>قطعه نو</v>
          </cell>
          <cell r="P535" t="str">
            <v>قلم تراش پین</v>
          </cell>
          <cell r="AF535">
            <v>2</v>
          </cell>
          <cell r="AR535">
            <v>1500000</v>
          </cell>
        </row>
        <row r="536">
          <cell r="B536" t="str">
            <v>قلم ریو</v>
          </cell>
          <cell r="C536" t="str">
            <v>قطعه تعمیری</v>
          </cell>
          <cell r="P536" t="str">
            <v>قلم</v>
          </cell>
          <cell r="AF536">
            <v>3</v>
          </cell>
          <cell r="AR536">
            <v>2250000</v>
          </cell>
        </row>
        <row r="537">
          <cell r="B537" t="str">
            <v>قالب پخت کلاچ پژو 405</v>
          </cell>
          <cell r="C537" t="str">
            <v>قالب تعمیری</v>
          </cell>
          <cell r="P537" t="str">
            <v>Mold</v>
          </cell>
          <cell r="AF537">
            <v>12</v>
          </cell>
          <cell r="AR537">
            <v>9000000</v>
          </cell>
        </row>
        <row r="538">
          <cell r="B538" t="str">
            <v>دستگاه پرس 600 تن</v>
          </cell>
          <cell r="C538" t="str">
            <v>قطعه نو</v>
          </cell>
          <cell r="P538" t="str">
            <v>مهره  ستون</v>
          </cell>
          <cell r="AF538">
            <v>12</v>
          </cell>
          <cell r="AR538">
            <v>9000000</v>
          </cell>
        </row>
        <row r="539">
          <cell r="B539" t="str">
            <v>فوتون 107</v>
          </cell>
          <cell r="C539" t="str">
            <v>قالب تعمیری</v>
          </cell>
          <cell r="P539" t="str">
            <v>Mandrel</v>
          </cell>
          <cell r="AF539">
            <v>11</v>
          </cell>
          <cell r="AR539">
            <v>8250000</v>
          </cell>
        </row>
        <row r="540">
          <cell r="B540" t="str">
            <v>فوتون 107</v>
          </cell>
          <cell r="C540" t="str">
            <v>قالب تعمیری</v>
          </cell>
          <cell r="P540" t="str">
            <v>Mandrel</v>
          </cell>
          <cell r="AF540">
            <v>11</v>
          </cell>
          <cell r="AR540">
            <v>8250000</v>
          </cell>
        </row>
        <row r="541">
          <cell r="B541" t="str">
            <v>قلم ریو</v>
          </cell>
          <cell r="C541" t="str">
            <v>قطعه تعمیری</v>
          </cell>
          <cell r="P541" t="str">
            <v>قلم</v>
          </cell>
          <cell r="AF541">
            <v>2</v>
          </cell>
          <cell r="AR541">
            <v>1500000</v>
          </cell>
        </row>
        <row r="542">
          <cell r="B542" t="str">
            <v>قالب پخت کلاچ پژو 405</v>
          </cell>
          <cell r="C542" t="str">
            <v>قالب تعمیری</v>
          </cell>
          <cell r="P542" t="str">
            <v>Mold</v>
          </cell>
          <cell r="AF542">
            <v>3</v>
          </cell>
          <cell r="AR542">
            <v>2250000</v>
          </cell>
        </row>
        <row r="543">
          <cell r="B543" t="str">
            <v>عقب لیفتراک</v>
          </cell>
          <cell r="C543" t="str">
            <v>قطعه نو</v>
          </cell>
          <cell r="P543" t="str">
            <v>Pin</v>
          </cell>
          <cell r="AF543">
            <v>1</v>
          </cell>
          <cell r="AR543">
            <v>750000</v>
          </cell>
        </row>
        <row r="544">
          <cell r="B544" t="str">
            <v>نگهدارنده پلاک قالب</v>
          </cell>
          <cell r="C544" t="str">
            <v>قطعه نو</v>
          </cell>
          <cell r="P544" t="str">
            <v>نگهدارنده U</v>
          </cell>
          <cell r="AF544">
            <v>8</v>
          </cell>
          <cell r="AR544">
            <v>6000000</v>
          </cell>
        </row>
        <row r="545">
          <cell r="B545" t="str">
            <v>پین عقب پژو 405</v>
          </cell>
          <cell r="C545" t="str">
            <v>قطعه نو</v>
          </cell>
          <cell r="P545" t="str">
            <v>عقب پژو 405</v>
          </cell>
          <cell r="AF545">
            <v>6.166666666666667</v>
          </cell>
          <cell r="AR545">
            <v>4625000</v>
          </cell>
        </row>
        <row r="546">
          <cell r="B546" t="str">
            <v>فوتون 107</v>
          </cell>
          <cell r="C546" t="str">
            <v>قالب تعمیری</v>
          </cell>
          <cell r="P546" t="str">
            <v>صفحات داخلی</v>
          </cell>
          <cell r="AF546">
            <v>1.5</v>
          </cell>
          <cell r="AR546">
            <v>1125000</v>
          </cell>
        </row>
        <row r="547">
          <cell r="B547" t="str">
            <v>دستگاه پرس 600 تن</v>
          </cell>
          <cell r="C547" t="str">
            <v>قطعه نو</v>
          </cell>
          <cell r="P547" t="str">
            <v>مهره  ستون</v>
          </cell>
          <cell r="AF547">
            <v>3</v>
          </cell>
          <cell r="AR547">
            <v>2250000</v>
          </cell>
        </row>
        <row r="548">
          <cell r="B548" t="str">
            <v>بک پلیت ذوب آهن</v>
          </cell>
          <cell r="C548" t="str">
            <v>قطعه تعمیری</v>
          </cell>
          <cell r="P548" t="str">
            <v>U</v>
          </cell>
          <cell r="AF548">
            <v>2</v>
          </cell>
          <cell r="AR548">
            <v>1500000</v>
          </cell>
        </row>
        <row r="549">
          <cell r="B549" t="str">
            <v>پرس لودری 70021</v>
          </cell>
          <cell r="C549" t="str">
            <v>قالب تعمیری</v>
          </cell>
          <cell r="P549" t="str">
            <v>top Plate</v>
          </cell>
          <cell r="AF549">
            <v>11</v>
          </cell>
          <cell r="AR549">
            <v>8250000</v>
          </cell>
        </row>
        <row r="550">
          <cell r="B550" t="str">
            <v>Pin zob ahan</v>
          </cell>
          <cell r="C550" t="str">
            <v>قطعه نو</v>
          </cell>
          <cell r="P550" t="str">
            <v>Pin</v>
          </cell>
          <cell r="AF550">
            <v>11</v>
          </cell>
          <cell r="AR550">
            <v>8250000</v>
          </cell>
        </row>
        <row r="551">
          <cell r="B551" t="str">
            <v>پخت عقب پژو 405 شمشی پایه کوتاه</v>
          </cell>
          <cell r="C551" t="str">
            <v>قالب نو</v>
          </cell>
          <cell r="P551" t="str">
            <v>Mold</v>
          </cell>
          <cell r="AF551">
            <v>10</v>
          </cell>
          <cell r="AR551">
            <v>7500000</v>
          </cell>
        </row>
        <row r="552">
          <cell r="B552" t="str">
            <v>ساب سمباده ای</v>
          </cell>
          <cell r="C552" t="str">
            <v>قطعه تعمیری</v>
          </cell>
          <cell r="P552" t="str">
            <v>Mold</v>
          </cell>
          <cell r="AF552">
            <v>1</v>
          </cell>
          <cell r="AR552">
            <v>750000</v>
          </cell>
        </row>
        <row r="553">
          <cell r="B553" t="str">
            <v>پخت کلاچ ایسوزو</v>
          </cell>
          <cell r="C553" t="str">
            <v>قالب تعمیری</v>
          </cell>
          <cell r="P553" t="str">
            <v>Mandrel</v>
          </cell>
          <cell r="AF553">
            <v>11</v>
          </cell>
          <cell r="AR553">
            <v>16500000</v>
          </cell>
        </row>
        <row r="554">
          <cell r="B554" t="str">
            <v>قالب پخت SAF</v>
          </cell>
          <cell r="C554" t="str">
            <v>قالب نو</v>
          </cell>
          <cell r="P554" t="str">
            <v>bottom plate</v>
          </cell>
          <cell r="AF554">
            <v>5.5</v>
          </cell>
          <cell r="AR554">
            <v>8250000</v>
          </cell>
        </row>
        <row r="555">
          <cell r="B555" t="str">
            <v>پخت عقب پژو 405 شمشی پایه کوتاه</v>
          </cell>
          <cell r="C555" t="str">
            <v>قالب نو</v>
          </cell>
          <cell r="P555" t="str">
            <v>دیواره کناری</v>
          </cell>
          <cell r="AF555">
            <v>5.5</v>
          </cell>
          <cell r="AR555">
            <v>8250000</v>
          </cell>
        </row>
        <row r="556">
          <cell r="B556" t="str">
            <v>دریل یزدخواستی کلاچ</v>
          </cell>
          <cell r="C556" t="str">
            <v>قطعه نو</v>
          </cell>
          <cell r="P556" t="str">
            <v>Guaid Plate of Peykan</v>
          </cell>
          <cell r="AF556">
            <v>4.5</v>
          </cell>
          <cell r="AR556">
            <v>6750000</v>
          </cell>
        </row>
        <row r="557">
          <cell r="B557" t="str">
            <v>سوراخکاری پیلسان</v>
          </cell>
          <cell r="C557" t="str">
            <v>قطعه نو</v>
          </cell>
          <cell r="P557" t="str">
            <v>Sonbegir</v>
          </cell>
          <cell r="AF557">
            <v>4.5</v>
          </cell>
          <cell r="AR557">
            <v>6750000</v>
          </cell>
        </row>
        <row r="558">
          <cell r="B558" t="str">
            <v>دریل یزدخواستی کلاچ</v>
          </cell>
          <cell r="C558" t="str">
            <v>قطعه نو</v>
          </cell>
          <cell r="P558" t="str">
            <v>Guaid Plate of Pegeot 405</v>
          </cell>
          <cell r="AF558">
            <v>2</v>
          </cell>
          <cell r="AR558">
            <v>3000000</v>
          </cell>
        </row>
        <row r="559">
          <cell r="B559" t="str">
            <v>قالب پخت SAF</v>
          </cell>
          <cell r="C559" t="str">
            <v>قالب نو</v>
          </cell>
          <cell r="P559" t="str">
            <v>bottom plate</v>
          </cell>
          <cell r="AF559">
            <v>11</v>
          </cell>
          <cell r="AR559">
            <v>8250000</v>
          </cell>
        </row>
        <row r="560">
          <cell r="B560" t="str">
            <v>قالب مترو مشهد</v>
          </cell>
          <cell r="C560" t="str">
            <v>قالب تعمیری</v>
          </cell>
          <cell r="P560" t="str">
            <v>Matrix</v>
          </cell>
          <cell r="AF560">
            <v>4</v>
          </cell>
          <cell r="AR560">
            <v>3000000</v>
          </cell>
        </row>
        <row r="561">
          <cell r="B561" t="str">
            <v>قالب مترو مشهد</v>
          </cell>
          <cell r="C561" t="str">
            <v>قالب تعمیری</v>
          </cell>
          <cell r="P561" t="str">
            <v>Mandrel</v>
          </cell>
          <cell r="AF561">
            <v>4</v>
          </cell>
          <cell r="AR561">
            <v>3000000</v>
          </cell>
        </row>
        <row r="562">
          <cell r="B562" t="str">
            <v>فوتون 107</v>
          </cell>
          <cell r="C562" t="str">
            <v>قالب تعمیری</v>
          </cell>
          <cell r="P562" t="str">
            <v>دیواره کناری</v>
          </cell>
          <cell r="AF562">
            <v>2</v>
          </cell>
          <cell r="AR562">
            <v>1500000</v>
          </cell>
        </row>
        <row r="563">
          <cell r="B563" t="str">
            <v>نک آرایش BPW تاجدار</v>
          </cell>
          <cell r="C563" t="str">
            <v>قالب تعمیری</v>
          </cell>
          <cell r="P563" t="str">
            <v>Mandrel</v>
          </cell>
          <cell r="AF563">
            <v>1</v>
          </cell>
          <cell r="AR563">
            <v>750000</v>
          </cell>
        </row>
        <row r="564">
          <cell r="B564" t="str">
            <v>میکس</v>
          </cell>
          <cell r="C564" t="str">
            <v>قطعه تعمیری</v>
          </cell>
          <cell r="P564" t="str">
            <v>Shaft</v>
          </cell>
          <cell r="AF564">
            <v>4</v>
          </cell>
          <cell r="AR564">
            <v>3000000</v>
          </cell>
        </row>
        <row r="565">
          <cell r="B565" t="str">
            <v>ساب کونیک</v>
          </cell>
          <cell r="C565" t="str">
            <v>قطعه تعمیری</v>
          </cell>
          <cell r="P565" t="str">
            <v>Shaft</v>
          </cell>
          <cell r="AF565">
            <v>1</v>
          </cell>
          <cell r="AR565">
            <v>750000</v>
          </cell>
        </row>
        <row r="566">
          <cell r="B566" t="str">
            <v>ویوینگ</v>
          </cell>
          <cell r="C566" t="str">
            <v>قطعه تعمیری</v>
          </cell>
          <cell r="P566" t="str">
            <v>صفحه توری</v>
          </cell>
          <cell r="AF566">
            <v>0.5</v>
          </cell>
          <cell r="AR566">
            <v>375000</v>
          </cell>
        </row>
        <row r="567">
          <cell r="B567" t="str">
            <v>ساب کونیک</v>
          </cell>
          <cell r="C567" t="str">
            <v>قطعه تعمیری</v>
          </cell>
          <cell r="P567" t="str">
            <v>Shaft</v>
          </cell>
          <cell r="AF567">
            <v>2</v>
          </cell>
          <cell r="AR567">
            <v>1500000</v>
          </cell>
        </row>
        <row r="568">
          <cell r="B568" t="str">
            <v>ساب سمباده ای</v>
          </cell>
          <cell r="C568" t="str">
            <v>قطعه تعمیری</v>
          </cell>
          <cell r="P568" t="str">
            <v>توپی</v>
          </cell>
          <cell r="AF568">
            <v>2</v>
          </cell>
          <cell r="AR568">
            <v>1500000</v>
          </cell>
        </row>
        <row r="569">
          <cell r="B569" t="str">
            <v>فوتون 107</v>
          </cell>
          <cell r="C569" t="str">
            <v>قالب تعمیری</v>
          </cell>
          <cell r="P569" t="str">
            <v>Mandrel</v>
          </cell>
          <cell r="AF569">
            <v>12</v>
          </cell>
          <cell r="AR569">
            <v>9000000</v>
          </cell>
        </row>
        <row r="570">
          <cell r="B570" t="str">
            <v>فوتون 107</v>
          </cell>
          <cell r="C570" t="str">
            <v>قالب تعمیری</v>
          </cell>
          <cell r="P570" t="str">
            <v>Mandrel</v>
          </cell>
          <cell r="AF570">
            <v>12</v>
          </cell>
          <cell r="AR570">
            <v>9000000</v>
          </cell>
        </row>
        <row r="571">
          <cell r="B571" t="str">
            <v>نگهدارنده پلاک قالب</v>
          </cell>
          <cell r="C571" t="str">
            <v>قطعه نو</v>
          </cell>
          <cell r="P571" t="str">
            <v>نگهدارنده U</v>
          </cell>
          <cell r="AF571">
            <v>12</v>
          </cell>
          <cell r="AR571">
            <v>9000000</v>
          </cell>
        </row>
        <row r="572">
          <cell r="B572" t="str">
            <v>عقب لیفتراک</v>
          </cell>
          <cell r="C572" t="str">
            <v>قطعه نو</v>
          </cell>
          <cell r="P572" t="str">
            <v>Pin</v>
          </cell>
          <cell r="AF572">
            <v>6</v>
          </cell>
          <cell r="AR572">
            <v>4500000</v>
          </cell>
        </row>
        <row r="573">
          <cell r="B573" t="str">
            <v>قالب عقب F12</v>
          </cell>
          <cell r="C573" t="str">
            <v>قالب نو</v>
          </cell>
          <cell r="P573" t="str">
            <v>Mold</v>
          </cell>
          <cell r="AF573">
            <v>3</v>
          </cell>
          <cell r="AR573">
            <v>2250000</v>
          </cell>
        </row>
        <row r="574">
          <cell r="B574" t="str">
            <v>پخت عقب پژو 405 شمشی پایه کوتاه</v>
          </cell>
          <cell r="C574" t="str">
            <v>قالب نو</v>
          </cell>
          <cell r="P574" t="str">
            <v>Mold</v>
          </cell>
          <cell r="AF574">
            <v>4</v>
          </cell>
          <cell r="AR574">
            <v>3000000</v>
          </cell>
        </row>
        <row r="575">
          <cell r="B575" t="str">
            <v>قالب عقب F12</v>
          </cell>
          <cell r="C575" t="str">
            <v>قالب نو</v>
          </cell>
          <cell r="P575" t="str">
            <v>Mold</v>
          </cell>
          <cell r="AF575">
            <v>3</v>
          </cell>
          <cell r="AR575">
            <v>2250000</v>
          </cell>
        </row>
        <row r="576">
          <cell r="B576" t="str">
            <v>کفشک قطاری</v>
          </cell>
          <cell r="C576" t="str">
            <v>قطعه تعمیری</v>
          </cell>
          <cell r="P576" t="str">
            <v>کفشک</v>
          </cell>
          <cell r="AF576">
            <v>2</v>
          </cell>
          <cell r="AR576">
            <v>1500000</v>
          </cell>
        </row>
        <row r="577">
          <cell r="B577" t="str">
            <v>کفشک قطاری</v>
          </cell>
          <cell r="C577" t="str">
            <v>قطعه تعمیری</v>
          </cell>
          <cell r="P577" t="str">
            <v>کفشک</v>
          </cell>
          <cell r="AF577">
            <v>2</v>
          </cell>
          <cell r="AR577">
            <v>1500000</v>
          </cell>
        </row>
        <row r="578">
          <cell r="B578" t="str">
            <v>پخت کلاچ ایویکو سوراخدار</v>
          </cell>
          <cell r="C578" t="str">
            <v>قالب تعمیری</v>
          </cell>
          <cell r="P578" t="str">
            <v>Mold</v>
          </cell>
          <cell r="AF578">
            <v>2</v>
          </cell>
          <cell r="AR578">
            <v>1500000</v>
          </cell>
        </row>
        <row r="579">
          <cell r="B579" t="str">
            <v>قالب پخت کلاچ</v>
          </cell>
          <cell r="C579" t="str">
            <v>قالب تعمیری</v>
          </cell>
          <cell r="P579" t="str">
            <v>top Plate</v>
          </cell>
          <cell r="AF579">
            <v>7.5</v>
          </cell>
          <cell r="AR579">
            <v>5625000</v>
          </cell>
        </row>
        <row r="580">
          <cell r="B580" t="str">
            <v>قالب پخت SAF</v>
          </cell>
          <cell r="C580" t="str">
            <v>قالب نو</v>
          </cell>
          <cell r="P580" t="str">
            <v>bottom plate</v>
          </cell>
          <cell r="AF580">
            <v>5.5</v>
          </cell>
          <cell r="AR580">
            <v>4125000</v>
          </cell>
        </row>
        <row r="581">
          <cell r="B581" t="str">
            <v>پخت کلاچ پژو 206 TU5</v>
          </cell>
          <cell r="C581" t="str">
            <v>قالب تعمیری</v>
          </cell>
          <cell r="P581" t="str">
            <v>bottom plate</v>
          </cell>
          <cell r="AF581">
            <v>2</v>
          </cell>
          <cell r="AR581">
            <v>1500000</v>
          </cell>
        </row>
        <row r="582">
          <cell r="B582" t="str">
            <v>قالب پخت SAF</v>
          </cell>
          <cell r="C582" t="str">
            <v>قالب تعمیری</v>
          </cell>
          <cell r="P582" t="str">
            <v>Mandrel</v>
          </cell>
          <cell r="AF582">
            <v>8</v>
          </cell>
          <cell r="AR582">
            <v>6000000</v>
          </cell>
        </row>
        <row r="583">
          <cell r="B583" t="str">
            <v>قالب پخت SAF</v>
          </cell>
          <cell r="C583" t="str">
            <v>قالب تعمیری</v>
          </cell>
          <cell r="P583" t="str">
            <v>Mandrel</v>
          </cell>
          <cell r="AF583">
            <v>8</v>
          </cell>
          <cell r="AR583">
            <v>6000000</v>
          </cell>
        </row>
        <row r="584">
          <cell r="B584" t="str">
            <v>قالب پخت SAF</v>
          </cell>
          <cell r="C584" t="str">
            <v>قالب تعمیری</v>
          </cell>
          <cell r="P584" t="str">
            <v>Mandrel</v>
          </cell>
          <cell r="AF584">
            <v>8</v>
          </cell>
          <cell r="AR584">
            <v>6000000</v>
          </cell>
        </row>
        <row r="585">
          <cell r="B585" t="str">
            <v>فوتون 107</v>
          </cell>
          <cell r="C585" t="str">
            <v>قالب تعمیری</v>
          </cell>
          <cell r="P585" t="str">
            <v>Mandrel</v>
          </cell>
          <cell r="AF585">
            <v>8</v>
          </cell>
          <cell r="AR585">
            <v>6000000</v>
          </cell>
        </row>
        <row r="586">
          <cell r="B586" t="str">
            <v>قطعه بیرونی</v>
          </cell>
          <cell r="C586" t="str">
            <v>قطعه تعمیری</v>
          </cell>
          <cell r="P586" t="str">
            <v>قطعه</v>
          </cell>
          <cell r="AF586">
            <v>8</v>
          </cell>
          <cell r="AR586">
            <v>6000000</v>
          </cell>
        </row>
        <row r="587">
          <cell r="B587" t="str">
            <v>پخت عقب پژو 405 شمشی پایه کوتاه</v>
          </cell>
          <cell r="C587" t="str">
            <v>قالب نو</v>
          </cell>
          <cell r="P587" t="str">
            <v>Ejector</v>
          </cell>
          <cell r="AF587">
            <v>7.5</v>
          </cell>
          <cell r="AR587">
            <v>11250000</v>
          </cell>
        </row>
        <row r="588">
          <cell r="B588" t="str">
            <v>پخت کلاچ ایسوزو</v>
          </cell>
          <cell r="C588" t="str">
            <v>قالب تعمیری</v>
          </cell>
          <cell r="P588" t="str">
            <v>Mandrel</v>
          </cell>
          <cell r="AF588">
            <v>7.5</v>
          </cell>
          <cell r="AR588">
            <v>11250000</v>
          </cell>
        </row>
        <row r="589">
          <cell r="B589" t="str">
            <v>دستگاه پرس 600 تن</v>
          </cell>
          <cell r="C589" t="str">
            <v>قطعه نو</v>
          </cell>
          <cell r="P589" t="str">
            <v>مهره  ستون</v>
          </cell>
          <cell r="AF589">
            <v>3</v>
          </cell>
          <cell r="AR589">
            <v>2250000</v>
          </cell>
        </row>
        <row r="590">
          <cell r="B590" t="str">
            <v>نوار نقاله</v>
          </cell>
          <cell r="C590" t="str">
            <v>قطعه نو</v>
          </cell>
          <cell r="P590" t="str">
            <v>Bush</v>
          </cell>
          <cell r="AF590">
            <v>2</v>
          </cell>
          <cell r="AR590">
            <v>1500000</v>
          </cell>
        </row>
        <row r="591">
          <cell r="B591" t="str">
            <v>نوار نقاله</v>
          </cell>
          <cell r="C591" t="str">
            <v>قطعه نو</v>
          </cell>
          <cell r="P591" t="str">
            <v>Bush</v>
          </cell>
          <cell r="AF591">
            <v>1</v>
          </cell>
          <cell r="AR591">
            <v>750000</v>
          </cell>
        </row>
        <row r="592">
          <cell r="B592" t="str">
            <v>میکس</v>
          </cell>
          <cell r="C592" t="str">
            <v>قطعه تعمیری</v>
          </cell>
          <cell r="P592" t="str">
            <v>کوبلینگ</v>
          </cell>
          <cell r="AF592">
            <v>2</v>
          </cell>
          <cell r="AR592">
            <v>1500000</v>
          </cell>
        </row>
        <row r="593">
          <cell r="B593" t="str">
            <v>Pin zob ahan</v>
          </cell>
          <cell r="C593" t="str">
            <v>قطعه نو</v>
          </cell>
          <cell r="P593" t="str">
            <v>Pin</v>
          </cell>
          <cell r="AF593">
            <v>7.5</v>
          </cell>
          <cell r="AR593">
            <v>5625000</v>
          </cell>
        </row>
        <row r="594">
          <cell r="B594" t="str">
            <v>پخت کلاچ پراید</v>
          </cell>
          <cell r="C594" t="str">
            <v>قالب تعمیری</v>
          </cell>
          <cell r="P594" t="str">
            <v>Pin</v>
          </cell>
          <cell r="AF594">
            <v>4</v>
          </cell>
          <cell r="AR594">
            <v>3000000</v>
          </cell>
        </row>
        <row r="595">
          <cell r="B595" t="str">
            <v>پخت عقب پژو 405 شمشی پایه کوتاه</v>
          </cell>
          <cell r="C595" t="str">
            <v>قالب نو</v>
          </cell>
          <cell r="P595" t="str">
            <v>bottom plate</v>
          </cell>
          <cell r="AF595">
            <v>1</v>
          </cell>
          <cell r="AR595">
            <v>750000</v>
          </cell>
        </row>
        <row r="596">
          <cell r="B596" t="str">
            <v>پخت عقب پژو 405 شمشی پایه کوتاه</v>
          </cell>
          <cell r="C596" t="str">
            <v>قالب نو</v>
          </cell>
          <cell r="P596" t="str">
            <v>Mold</v>
          </cell>
          <cell r="AF596">
            <v>1</v>
          </cell>
          <cell r="AR596">
            <v>750000</v>
          </cell>
        </row>
        <row r="597">
          <cell r="B597" t="str">
            <v>پخت کلاچ ایویکو سوراخدار</v>
          </cell>
          <cell r="C597" t="str">
            <v>قالب تعمیری</v>
          </cell>
          <cell r="P597" t="str">
            <v>Mold</v>
          </cell>
          <cell r="AF597">
            <v>1</v>
          </cell>
          <cell r="AR597">
            <v>750000</v>
          </cell>
        </row>
        <row r="598">
          <cell r="B598" t="str">
            <v>پخت عقب پژو 405 شمشی پایه کوتاه</v>
          </cell>
          <cell r="C598" t="str">
            <v>قالب نو</v>
          </cell>
          <cell r="P598" t="str">
            <v>Mold</v>
          </cell>
          <cell r="AF598">
            <v>5.5</v>
          </cell>
          <cell r="AR598">
            <v>4125000</v>
          </cell>
        </row>
        <row r="599">
          <cell r="B599" t="str">
            <v>پخت عقب پژو 405 شمشی پایه کوتاه</v>
          </cell>
          <cell r="C599" t="str">
            <v>قالب نو</v>
          </cell>
          <cell r="P599" t="str">
            <v>Ejector</v>
          </cell>
          <cell r="AF599">
            <v>11</v>
          </cell>
          <cell r="AR599">
            <v>16500000</v>
          </cell>
        </row>
        <row r="600">
          <cell r="B600" t="str">
            <v>پخت کلاچ تیبا راست</v>
          </cell>
          <cell r="C600" t="str">
            <v>قالب نو</v>
          </cell>
          <cell r="P600" t="str">
            <v>bottom plate</v>
          </cell>
          <cell r="AF600">
            <v>11</v>
          </cell>
          <cell r="AR600">
            <v>16500000</v>
          </cell>
        </row>
        <row r="601">
          <cell r="B601" t="str">
            <v>قالب پخت کلاچ</v>
          </cell>
          <cell r="C601" t="str">
            <v>قالب تعمیری</v>
          </cell>
          <cell r="P601" t="str">
            <v>top Plate</v>
          </cell>
          <cell r="AF601">
            <v>11</v>
          </cell>
          <cell r="AR601">
            <v>8250000</v>
          </cell>
        </row>
        <row r="602">
          <cell r="B602" t="str">
            <v>قالب مینی بوس آریا</v>
          </cell>
          <cell r="C602" t="str">
            <v>قالب نو</v>
          </cell>
          <cell r="P602" t="str">
            <v>bottom plate</v>
          </cell>
          <cell r="AF602">
            <v>11</v>
          </cell>
          <cell r="AR602">
            <v>16500000</v>
          </cell>
        </row>
        <row r="603">
          <cell r="B603" t="str">
            <v>فوتون 107</v>
          </cell>
          <cell r="C603" t="str">
            <v>قالب تعمیری</v>
          </cell>
          <cell r="P603" t="str">
            <v>صفحات داخلی</v>
          </cell>
          <cell r="AF603">
            <v>6</v>
          </cell>
          <cell r="AR603">
            <v>4500000</v>
          </cell>
        </row>
        <row r="604">
          <cell r="B604" t="str">
            <v>قالب پخت کلاچ</v>
          </cell>
          <cell r="C604" t="str">
            <v>قالب تعمیری</v>
          </cell>
          <cell r="P604" t="str">
            <v>top Plate</v>
          </cell>
          <cell r="AF604">
            <v>0.5</v>
          </cell>
          <cell r="AR604">
            <v>375000</v>
          </cell>
        </row>
        <row r="605">
          <cell r="B605" t="str">
            <v>پخت کلاچ لندکروز</v>
          </cell>
          <cell r="C605" t="str">
            <v>قالب تعمیری</v>
          </cell>
          <cell r="P605" t="str">
            <v>Matrix</v>
          </cell>
          <cell r="AF605">
            <v>5.5</v>
          </cell>
          <cell r="AR605">
            <v>4125000</v>
          </cell>
        </row>
        <row r="606">
          <cell r="B606" t="str">
            <v>Pin zob ahan</v>
          </cell>
          <cell r="C606" t="str">
            <v>قطعه نو</v>
          </cell>
          <cell r="P606" t="str">
            <v>Pin</v>
          </cell>
          <cell r="AF606">
            <v>2.5</v>
          </cell>
          <cell r="AR606">
            <v>1875000</v>
          </cell>
        </row>
        <row r="607">
          <cell r="B607" t="str">
            <v>پخت 300 تن</v>
          </cell>
          <cell r="C607" t="str">
            <v>قطعه نو</v>
          </cell>
          <cell r="P607" t="str">
            <v>پیستون</v>
          </cell>
          <cell r="AF607">
            <v>5</v>
          </cell>
          <cell r="AR607">
            <v>3750000</v>
          </cell>
        </row>
        <row r="608">
          <cell r="B608" t="str">
            <v>پخت 300 تن</v>
          </cell>
          <cell r="C608" t="str">
            <v>قطعه نو</v>
          </cell>
          <cell r="P608" t="str">
            <v>پیستون</v>
          </cell>
          <cell r="AF608">
            <v>2</v>
          </cell>
          <cell r="AR608">
            <v>1500000</v>
          </cell>
        </row>
        <row r="609">
          <cell r="B609" t="str">
            <v>پخت کلاچ پژو 206 TU5</v>
          </cell>
          <cell r="C609" t="str">
            <v>قالب تعمیری</v>
          </cell>
          <cell r="P609" t="str">
            <v>bottom plate</v>
          </cell>
          <cell r="AF609">
            <v>8</v>
          </cell>
          <cell r="AR609">
            <v>6000000</v>
          </cell>
        </row>
        <row r="610">
          <cell r="B610" t="str">
            <v>توری میدل باس</v>
          </cell>
          <cell r="C610" t="str">
            <v>قالب تعمیری</v>
          </cell>
          <cell r="P610" t="str">
            <v>Matrix</v>
          </cell>
          <cell r="AF610">
            <v>1</v>
          </cell>
          <cell r="AR610">
            <v>750000</v>
          </cell>
        </row>
        <row r="611">
          <cell r="B611" t="str">
            <v>توری میدل باس</v>
          </cell>
          <cell r="C611" t="str">
            <v>قالب تعمیری</v>
          </cell>
          <cell r="P611" t="str">
            <v>Mandrel</v>
          </cell>
          <cell r="AF611">
            <v>1</v>
          </cell>
          <cell r="AR611">
            <v>750000</v>
          </cell>
        </row>
        <row r="612">
          <cell r="B612" t="str">
            <v>پخت کلاچ لندکروز</v>
          </cell>
          <cell r="C612" t="str">
            <v>قالب تعمیری</v>
          </cell>
          <cell r="P612" t="str">
            <v>Mandrel</v>
          </cell>
          <cell r="AF612">
            <v>1</v>
          </cell>
          <cell r="AR612">
            <v>750000</v>
          </cell>
        </row>
        <row r="613">
          <cell r="B613" t="str">
            <v>قالب شمشی عقب پیکان</v>
          </cell>
          <cell r="C613" t="str">
            <v>قالب نو</v>
          </cell>
          <cell r="P613" t="str">
            <v>bottom plate</v>
          </cell>
          <cell r="AF613">
            <v>12</v>
          </cell>
          <cell r="AR613">
            <v>9000000</v>
          </cell>
        </row>
        <row r="614">
          <cell r="B614" t="str">
            <v>فوتون 107</v>
          </cell>
          <cell r="C614" t="str">
            <v>قالب تعمیری</v>
          </cell>
          <cell r="P614" t="str">
            <v>صفحه</v>
          </cell>
          <cell r="AF614">
            <v>12</v>
          </cell>
          <cell r="AR614">
            <v>9000000</v>
          </cell>
        </row>
        <row r="615">
          <cell r="B615" t="str">
            <v>دستگاه CNC</v>
          </cell>
          <cell r="C615" t="str">
            <v>قطعه نو</v>
          </cell>
          <cell r="P615" t="str">
            <v>ابزار</v>
          </cell>
          <cell r="AF615">
            <v>3</v>
          </cell>
          <cell r="AR615">
            <v>2250000</v>
          </cell>
        </row>
        <row r="616">
          <cell r="B616" t="str">
            <v>ساب کف گرگی</v>
          </cell>
          <cell r="C616" t="str">
            <v>قطعه تعمیری</v>
          </cell>
          <cell r="P616" t="str">
            <v>Shaft</v>
          </cell>
          <cell r="AF616">
            <v>2</v>
          </cell>
          <cell r="AR616">
            <v>1500000</v>
          </cell>
        </row>
        <row r="617">
          <cell r="B617" t="str">
            <v>نوار نقاله</v>
          </cell>
          <cell r="C617" t="str">
            <v>قطعه نو</v>
          </cell>
          <cell r="P617" t="str">
            <v>چرخ دنده</v>
          </cell>
          <cell r="AF617">
            <v>3</v>
          </cell>
          <cell r="AR617">
            <v>2250000</v>
          </cell>
        </row>
        <row r="618">
          <cell r="B618" t="str">
            <v>نوار نقاله</v>
          </cell>
          <cell r="C618" t="str">
            <v>قطعه نو</v>
          </cell>
          <cell r="P618" t="str">
            <v>چرخ دنده</v>
          </cell>
          <cell r="AF618">
            <v>12</v>
          </cell>
          <cell r="AR618">
            <v>9000000</v>
          </cell>
        </row>
        <row r="619">
          <cell r="B619" t="str">
            <v>دستگاه پرس 600 تن</v>
          </cell>
          <cell r="C619" t="str">
            <v>قطعه نو</v>
          </cell>
          <cell r="P619" t="str">
            <v>مهره  ستون</v>
          </cell>
          <cell r="AF619">
            <v>2</v>
          </cell>
          <cell r="AR619">
            <v>1500000</v>
          </cell>
        </row>
        <row r="620">
          <cell r="B620" t="str">
            <v>کمپرسور باد</v>
          </cell>
          <cell r="C620" t="str">
            <v>قطعه نو</v>
          </cell>
          <cell r="P620" t="str">
            <v xml:space="preserve">مهره </v>
          </cell>
          <cell r="AF620">
            <v>1</v>
          </cell>
          <cell r="AR620">
            <v>750000</v>
          </cell>
        </row>
        <row r="621">
          <cell r="B621" t="str">
            <v>قالب عقب F12</v>
          </cell>
          <cell r="C621" t="str">
            <v>قالب نو</v>
          </cell>
          <cell r="P621" t="str">
            <v>Mold</v>
          </cell>
          <cell r="AF621">
            <v>3</v>
          </cell>
          <cell r="AR621">
            <v>2250000</v>
          </cell>
        </row>
        <row r="622">
          <cell r="B622" t="str">
            <v>نوار نقاله</v>
          </cell>
          <cell r="C622" t="str">
            <v>قطعه نو</v>
          </cell>
          <cell r="P622" t="str">
            <v>چرخ دنده</v>
          </cell>
          <cell r="AF622">
            <v>2</v>
          </cell>
          <cell r="AR622">
            <v>1500000</v>
          </cell>
        </row>
        <row r="623">
          <cell r="B623" t="str">
            <v>پین عقب پژو 405</v>
          </cell>
          <cell r="C623" t="str">
            <v>قطعه نو</v>
          </cell>
          <cell r="P623" t="str">
            <v>پین</v>
          </cell>
          <cell r="AF623">
            <v>4</v>
          </cell>
          <cell r="AR623">
            <v>3000000</v>
          </cell>
        </row>
        <row r="624">
          <cell r="B624" t="str">
            <v>اصول 5S</v>
          </cell>
          <cell r="C624" t="str">
            <v>نظافت</v>
          </cell>
          <cell r="P624" t="str">
            <v>محوطه</v>
          </cell>
          <cell r="AF624">
            <v>4</v>
          </cell>
        </row>
        <row r="625">
          <cell r="B625" t="str">
            <v>کلمپ زنی</v>
          </cell>
          <cell r="C625" t="str">
            <v>قطعه تعمیری</v>
          </cell>
          <cell r="P625" t="str">
            <v>میز</v>
          </cell>
          <cell r="AF625">
            <v>4</v>
          </cell>
          <cell r="AR625">
            <v>3000000</v>
          </cell>
        </row>
        <row r="626">
          <cell r="AF626">
            <v>0</v>
          </cell>
        </row>
        <row r="627">
          <cell r="AF627">
            <v>0</v>
          </cell>
        </row>
        <row r="628">
          <cell r="AF628">
            <v>0</v>
          </cell>
        </row>
        <row r="629">
          <cell r="AF629">
            <v>0</v>
          </cell>
        </row>
        <row r="630">
          <cell r="AF630">
            <v>0</v>
          </cell>
        </row>
        <row r="631">
          <cell r="AF631">
            <v>0</v>
          </cell>
        </row>
        <row r="632">
          <cell r="AF632">
            <v>0</v>
          </cell>
        </row>
        <row r="633">
          <cell r="AF633">
            <v>0</v>
          </cell>
        </row>
        <row r="634">
          <cell r="AF634">
            <v>0</v>
          </cell>
        </row>
        <row r="635">
          <cell r="AF635">
            <v>0</v>
          </cell>
        </row>
        <row r="636">
          <cell r="AF636">
            <v>0</v>
          </cell>
        </row>
        <row r="637">
          <cell r="AF637">
            <v>0</v>
          </cell>
        </row>
        <row r="638">
          <cell r="AF638">
            <v>0</v>
          </cell>
        </row>
        <row r="639">
          <cell r="AF639">
            <v>0</v>
          </cell>
        </row>
        <row r="640">
          <cell r="AF640">
            <v>0</v>
          </cell>
        </row>
        <row r="641">
          <cell r="AF641">
            <v>0</v>
          </cell>
        </row>
        <row r="642">
          <cell r="AF642">
            <v>0</v>
          </cell>
        </row>
        <row r="643">
          <cell r="AF643">
            <v>0</v>
          </cell>
        </row>
        <row r="644">
          <cell r="AF644">
            <v>0</v>
          </cell>
        </row>
        <row r="645">
          <cell r="AF645">
            <v>0</v>
          </cell>
        </row>
        <row r="646">
          <cell r="AF646">
            <v>0</v>
          </cell>
        </row>
        <row r="647">
          <cell r="AF647">
            <v>0</v>
          </cell>
        </row>
        <row r="648">
          <cell r="AF648">
            <v>0</v>
          </cell>
        </row>
        <row r="649">
          <cell r="AF649">
            <v>0</v>
          </cell>
        </row>
        <row r="650">
          <cell r="AF650">
            <v>0</v>
          </cell>
        </row>
        <row r="651">
          <cell r="AF651">
            <v>0</v>
          </cell>
        </row>
        <row r="652">
          <cell r="AF652">
            <v>0</v>
          </cell>
        </row>
        <row r="653">
          <cell r="AF653">
            <v>0</v>
          </cell>
        </row>
        <row r="654">
          <cell r="AF654">
            <v>0</v>
          </cell>
        </row>
        <row r="655">
          <cell r="AF655">
            <v>0</v>
          </cell>
        </row>
        <row r="656">
          <cell r="AF656">
            <v>0</v>
          </cell>
        </row>
        <row r="657">
          <cell r="AF657">
            <v>0</v>
          </cell>
        </row>
        <row r="658">
          <cell r="AF658">
            <v>0</v>
          </cell>
        </row>
        <row r="659">
          <cell r="AF659">
            <v>0</v>
          </cell>
        </row>
        <row r="660">
          <cell r="AF660">
            <v>0</v>
          </cell>
        </row>
        <row r="661">
          <cell r="AF661">
            <v>0</v>
          </cell>
        </row>
        <row r="662">
          <cell r="AF662">
            <v>0</v>
          </cell>
        </row>
        <row r="663">
          <cell r="AF663">
            <v>0</v>
          </cell>
        </row>
        <row r="664">
          <cell r="AF664">
            <v>0</v>
          </cell>
        </row>
        <row r="665">
          <cell r="AF665">
            <v>0</v>
          </cell>
        </row>
        <row r="666">
          <cell r="AF666">
            <v>0</v>
          </cell>
        </row>
        <row r="667">
          <cell r="AF667">
            <v>0</v>
          </cell>
        </row>
        <row r="668">
          <cell r="AF668">
            <v>0</v>
          </cell>
        </row>
        <row r="669">
          <cell r="AF669">
            <v>0</v>
          </cell>
        </row>
        <row r="670">
          <cell r="AF670">
            <v>0</v>
          </cell>
        </row>
        <row r="671">
          <cell r="AF671">
            <v>0</v>
          </cell>
        </row>
        <row r="672">
          <cell r="AF672">
            <v>0</v>
          </cell>
        </row>
        <row r="673">
          <cell r="AF673">
            <v>0</v>
          </cell>
        </row>
        <row r="674">
          <cell r="AF674">
            <v>0</v>
          </cell>
        </row>
        <row r="675">
          <cell r="AF675">
            <v>0</v>
          </cell>
        </row>
        <row r="676">
          <cell r="AF676">
            <v>0</v>
          </cell>
        </row>
        <row r="677">
          <cell r="AF677">
            <v>0</v>
          </cell>
        </row>
        <row r="678">
          <cell r="AF678">
            <v>0</v>
          </cell>
        </row>
        <row r="679">
          <cell r="AF679">
            <v>0</v>
          </cell>
        </row>
        <row r="680">
          <cell r="AF680">
            <v>0</v>
          </cell>
        </row>
        <row r="681">
          <cell r="AF681">
            <v>0</v>
          </cell>
        </row>
        <row r="682">
          <cell r="AF682">
            <v>0</v>
          </cell>
        </row>
        <row r="683">
          <cell r="AF683">
            <v>0</v>
          </cell>
        </row>
        <row r="684">
          <cell r="AF684">
            <v>0</v>
          </cell>
        </row>
        <row r="685">
          <cell r="AF685">
            <v>0</v>
          </cell>
        </row>
        <row r="686">
          <cell r="AF686">
            <v>0</v>
          </cell>
        </row>
        <row r="687">
          <cell r="AF687">
            <v>0</v>
          </cell>
        </row>
        <row r="688">
          <cell r="AF688">
            <v>0</v>
          </cell>
        </row>
        <row r="689">
          <cell r="AF689">
            <v>0</v>
          </cell>
        </row>
        <row r="690">
          <cell r="AF690">
            <v>0</v>
          </cell>
        </row>
        <row r="691">
          <cell r="AF691">
            <v>0</v>
          </cell>
        </row>
        <row r="692">
          <cell r="AF692">
            <v>0</v>
          </cell>
        </row>
        <row r="693">
          <cell r="AF693">
            <v>0</v>
          </cell>
        </row>
        <row r="694">
          <cell r="AF694">
            <v>0</v>
          </cell>
        </row>
        <row r="695">
          <cell r="AF695">
            <v>0</v>
          </cell>
        </row>
        <row r="696">
          <cell r="AF696">
            <v>0</v>
          </cell>
        </row>
        <row r="697">
          <cell r="AF697">
            <v>0</v>
          </cell>
        </row>
        <row r="698">
          <cell r="AF698">
            <v>0</v>
          </cell>
        </row>
        <row r="699">
          <cell r="AF699">
            <v>0</v>
          </cell>
        </row>
        <row r="700">
          <cell r="AF700">
            <v>0</v>
          </cell>
        </row>
        <row r="701">
          <cell r="AF701">
            <v>0</v>
          </cell>
        </row>
        <row r="702">
          <cell r="AF702">
            <v>0</v>
          </cell>
        </row>
        <row r="703">
          <cell r="AF703">
            <v>0</v>
          </cell>
        </row>
        <row r="704">
          <cell r="AF704">
            <v>0</v>
          </cell>
        </row>
        <row r="705">
          <cell r="AF705">
            <v>0</v>
          </cell>
        </row>
        <row r="706">
          <cell r="AF706">
            <v>0</v>
          </cell>
        </row>
        <row r="707">
          <cell r="AF707">
            <v>0</v>
          </cell>
        </row>
        <row r="708">
          <cell r="AF708">
            <v>0</v>
          </cell>
        </row>
        <row r="709">
          <cell r="AF709">
            <v>0</v>
          </cell>
        </row>
        <row r="710">
          <cell r="AF710">
            <v>0</v>
          </cell>
        </row>
        <row r="711">
          <cell r="AF711">
            <v>0</v>
          </cell>
        </row>
        <row r="712">
          <cell r="AF712">
            <v>0</v>
          </cell>
        </row>
        <row r="713">
          <cell r="AF713">
            <v>0</v>
          </cell>
        </row>
        <row r="714">
          <cell r="AF714">
            <v>0</v>
          </cell>
        </row>
        <row r="715">
          <cell r="AF715">
            <v>0</v>
          </cell>
        </row>
        <row r="716">
          <cell r="AF716">
            <v>0</v>
          </cell>
        </row>
        <row r="717">
          <cell r="AF717">
            <v>0</v>
          </cell>
        </row>
        <row r="718">
          <cell r="AF718">
            <v>0</v>
          </cell>
        </row>
        <row r="719">
          <cell r="AF719">
            <v>0</v>
          </cell>
        </row>
        <row r="720">
          <cell r="AF720">
            <v>0</v>
          </cell>
        </row>
        <row r="721">
          <cell r="AF721">
            <v>0</v>
          </cell>
        </row>
        <row r="722">
          <cell r="AF722">
            <v>0</v>
          </cell>
        </row>
        <row r="723">
          <cell r="AF723">
            <v>0</v>
          </cell>
        </row>
        <row r="724">
          <cell r="AF724">
            <v>0</v>
          </cell>
        </row>
        <row r="725">
          <cell r="AF725">
            <v>0</v>
          </cell>
        </row>
        <row r="726">
          <cell r="AF726">
            <v>0</v>
          </cell>
        </row>
        <row r="727">
          <cell r="AF727">
            <v>0</v>
          </cell>
        </row>
        <row r="728">
          <cell r="AF728">
            <v>0</v>
          </cell>
        </row>
        <row r="729">
          <cell r="AF729">
            <v>0</v>
          </cell>
        </row>
        <row r="730">
          <cell r="AF730">
            <v>0</v>
          </cell>
        </row>
        <row r="731">
          <cell r="AF731">
            <v>0</v>
          </cell>
        </row>
        <row r="732">
          <cell r="AF732">
            <v>0</v>
          </cell>
        </row>
        <row r="733">
          <cell r="AF733">
            <v>0</v>
          </cell>
        </row>
        <row r="734">
          <cell r="AF734">
            <v>0</v>
          </cell>
        </row>
        <row r="735">
          <cell r="AF735">
            <v>0</v>
          </cell>
        </row>
        <row r="736">
          <cell r="AF736">
            <v>0</v>
          </cell>
        </row>
        <row r="737">
          <cell r="AF737">
            <v>0</v>
          </cell>
        </row>
        <row r="738">
          <cell r="AF738">
            <v>0</v>
          </cell>
        </row>
        <row r="739">
          <cell r="AF739">
            <v>0</v>
          </cell>
        </row>
        <row r="740">
          <cell r="AF740">
            <v>0</v>
          </cell>
        </row>
        <row r="741">
          <cell r="AF741">
            <v>0</v>
          </cell>
        </row>
        <row r="742">
          <cell r="AF742">
            <v>0</v>
          </cell>
        </row>
        <row r="743">
          <cell r="AF743">
            <v>0</v>
          </cell>
        </row>
        <row r="744">
          <cell r="AF744">
            <v>0</v>
          </cell>
        </row>
        <row r="745">
          <cell r="AF745">
            <v>0</v>
          </cell>
        </row>
        <row r="746">
          <cell r="AF746">
            <v>0</v>
          </cell>
        </row>
        <row r="747">
          <cell r="AF747">
            <v>0</v>
          </cell>
        </row>
        <row r="748">
          <cell r="AF748">
            <v>0</v>
          </cell>
        </row>
        <row r="749">
          <cell r="AF749">
            <v>0</v>
          </cell>
        </row>
        <row r="750">
          <cell r="AF750">
            <v>0</v>
          </cell>
        </row>
        <row r="751">
          <cell r="AF751">
            <v>0</v>
          </cell>
        </row>
        <row r="752">
          <cell r="AF752">
            <v>0</v>
          </cell>
        </row>
        <row r="753">
          <cell r="AF753">
            <v>0</v>
          </cell>
        </row>
        <row r="754">
          <cell r="AF754">
            <v>0</v>
          </cell>
        </row>
        <row r="755">
          <cell r="AF755">
            <v>0</v>
          </cell>
        </row>
        <row r="756">
          <cell r="AF756">
            <v>0</v>
          </cell>
        </row>
        <row r="757">
          <cell r="AF757">
            <v>0</v>
          </cell>
        </row>
        <row r="758">
          <cell r="AF758">
            <v>0</v>
          </cell>
        </row>
        <row r="759">
          <cell r="AF759">
            <v>0</v>
          </cell>
        </row>
        <row r="760">
          <cell r="AF760">
            <v>0</v>
          </cell>
        </row>
        <row r="761">
          <cell r="AF761">
            <v>0</v>
          </cell>
        </row>
        <row r="762">
          <cell r="AF762">
            <v>0</v>
          </cell>
        </row>
        <row r="763">
          <cell r="AF763">
            <v>0</v>
          </cell>
        </row>
        <row r="764">
          <cell r="AF764">
            <v>0</v>
          </cell>
        </row>
        <row r="765">
          <cell r="AF765">
            <v>0</v>
          </cell>
        </row>
        <row r="766">
          <cell r="AF766">
            <v>0</v>
          </cell>
        </row>
        <row r="767">
          <cell r="AF767">
            <v>0</v>
          </cell>
        </row>
        <row r="768">
          <cell r="AF768">
            <v>0</v>
          </cell>
        </row>
        <row r="769">
          <cell r="AF769">
            <v>0</v>
          </cell>
        </row>
        <row r="770">
          <cell r="AF770">
            <v>0</v>
          </cell>
        </row>
        <row r="771">
          <cell r="AF771">
            <v>0</v>
          </cell>
        </row>
        <row r="772">
          <cell r="AF772">
            <v>0</v>
          </cell>
        </row>
        <row r="773">
          <cell r="AF773">
            <v>0</v>
          </cell>
        </row>
        <row r="774">
          <cell r="AF774">
            <v>0</v>
          </cell>
        </row>
        <row r="775">
          <cell r="AF775">
            <v>0</v>
          </cell>
        </row>
        <row r="776">
          <cell r="AF776">
            <v>0</v>
          </cell>
        </row>
        <row r="777">
          <cell r="AF777">
            <v>0</v>
          </cell>
        </row>
        <row r="778">
          <cell r="AF778">
            <v>0</v>
          </cell>
        </row>
        <row r="779">
          <cell r="AF779">
            <v>0</v>
          </cell>
        </row>
        <row r="780">
          <cell r="AF780">
            <v>0</v>
          </cell>
        </row>
        <row r="781">
          <cell r="AF781">
            <v>0</v>
          </cell>
        </row>
        <row r="782">
          <cell r="AF782">
            <v>0</v>
          </cell>
        </row>
        <row r="783">
          <cell r="AF783">
            <v>0</v>
          </cell>
        </row>
        <row r="784">
          <cell r="AF784">
            <v>0</v>
          </cell>
        </row>
        <row r="785">
          <cell r="AF785">
            <v>0</v>
          </cell>
        </row>
        <row r="786">
          <cell r="AF786">
            <v>0</v>
          </cell>
        </row>
        <row r="787">
          <cell r="AF787">
            <v>0</v>
          </cell>
        </row>
        <row r="788">
          <cell r="AF788">
            <v>0</v>
          </cell>
        </row>
        <row r="789">
          <cell r="AF789">
            <v>0</v>
          </cell>
        </row>
        <row r="790">
          <cell r="AF790">
            <v>0</v>
          </cell>
        </row>
        <row r="791">
          <cell r="AF791">
            <v>0</v>
          </cell>
        </row>
        <row r="792">
          <cell r="AF792">
            <v>0</v>
          </cell>
        </row>
        <row r="793">
          <cell r="AF793">
            <v>0</v>
          </cell>
        </row>
        <row r="794">
          <cell r="AF794">
            <v>0</v>
          </cell>
        </row>
        <row r="795">
          <cell r="AF795">
            <v>0</v>
          </cell>
        </row>
        <row r="796">
          <cell r="AF796">
            <v>0</v>
          </cell>
        </row>
        <row r="797">
          <cell r="AF797">
            <v>0</v>
          </cell>
        </row>
        <row r="798">
          <cell r="AF798">
            <v>0</v>
          </cell>
        </row>
        <row r="799">
          <cell r="AF799">
            <v>0</v>
          </cell>
        </row>
        <row r="800">
          <cell r="AF800">
            <v>0</v>
          </cell>
        </row>
      </sheetData>
      <sheetData sheetId="5">
        <row r="2">
          <cell r="B2" t="str">
            <v>قالب مینی بوس آریا</v>
          </cell>
          <cell r="C2" t="str">
            <v>قالب نو</v>
          </cell>
          <cell r="P2" t="str">
            <v>bottom plate</v>
          </cell>
          <cell r="AF2">
            <v>11</v>
          </cell>
          <cell r="AR2">
            <v>16500000</v>
          </cell>
        </row>
        <row r="3">
          <cell r="B3" t="str">
            <v>قالب پخت SAF</v>
          </cell>
          <cell r="C3" t="str">
            <v>قالب تعمیری</v>
          </cell>
          <cell r="P3" t="str">
            <v>bottom plate</v>
          </cell>
          <cell r="AF3">
            <v>11</v>
          </cell>
          <cell r="AR3">
            <v>16500000</v>
          </cell>
        </row>
        <row r="4">
          <cell r="B4" t="str">
            <v>پخت کلاچ تیبا راست</v>
          </cell>
          <cell r="C4" t="str">
            <v>قالب نو</v>
          </cell>
          <cell r="P4" t="str">
            <v>Top plate</v>
          </cell>
          <cell r="AF4">
            <v>11</v>
          </cell>
          <cell r="AR4">
            <v>16500000</v>
          </cell>
        </row>
        <row r="5">
          <cell r="B5" t="str">
            <v>قالب پخت کلاچ</v>
          </cell>
          <cell r="C5" t="str">
            <v>قالب تعمیری</v>
          </cell>
          <cell r="P5" t="str">
            <v>top Plate</v>
          </cell>
          <cell r="AF5">
            <v>11</v>
          </cell>
          <cell r="AR5">
            <v>8250000</v>
          </cell>
        </row>
        <row r="6">
          <cell r="B6" t="str">
            <v>قالب پخت کلاچ</v>
          </cell>
          <cell r="C6" t="str">
            <v>قالب تعمیری</v>
          </cell>
          <cell r="P6" t="str">
            <v>top Plate</v>
          </cell>
          <cell r="AF6">
            <v>6.5</v>
          </cell>
          <cell r="AR6">
            <v>4875000</v>
          </cell>
        </row>
        <row r="7">
          <cell r="B7" t="str">
            <v>ساب ترابوزا</v>
          </cell>
          <cell r="C7" t="str">
            <v>قطعه نو</v>
          </cell>
          <cell r="P7" t="str">
            <v>درام نافی</v>
          </cell>
          <cell r="AF7">
            <v>4.75</v>
          </cell>
          <cell r="AR7">
            <v>3562500</v>
          </cell>
        </row>
        <row r="8">
          <cell r="B8" t="str">
            <v>قالب پخت کلاچ</v>
          </cell>
          <cell r="C8" t="str">
            <v>قالب تعمیری</v>
          </cell>
          <cell r="P8" t="str">
            <v>top Plate</v>
          </cell>
          <cell r="AF8">
            <v>1.75</v>
          </cell>
          <cell r="AR8">
            <v>1312500</v>
          </cell>
        </row>
        <row r="9">
          <cell r="B9" t="str">
            <v>پخت عقب پژو 405 شمشی پایه کوتاه</v>
          </cell>
          <cell r="C9" t="str">
            <v>قالب نو</v>
          </cell>
          <cell r="P9" t="str">
            <v>اجکتور میانی</v>
          </cell>
          <cell r="AF9">
            <v>2.5</v>
          </cell>
          <cell r="AR9">
            <v>3750000</v>
          </cell>
        </row>
        <row r="10">
          <cell r="B10" t="str">
            <v>پخت کلاچ پژو 206 TU5</v>
          </cell>
          <cell r="C10" t="str">
            <v>قالب تعمیری</v>
          </cell>
          <cell r="P10" t="str">
            <v>Mandrel</v>
          </cell>
          <cell r="AF10">
            <v>4.5</v>
          </cell>
          <cell r="AR10">
            <v>6750000</v>
          </cell>
        </row>
        <row r="11">
          <cell r="B11" t="str">
            <v>پخت کلاچ پژو 206 TU5</v>
          </cell>
          <cell r="C11" t="str">
            <v>قالب تعمیری</v>
          </cell>
          <cell r="P11" t="str">
            <v>Mandrel</v>
          </cell>
          <cell r="AF11">
            <v>11</v>
          </cell>
          <cell r="AR11">
            <v>16500000</v>
          </cell>
        </row>
        <row r="12">
          <cell r="B12" t="str">
            <v>دستگاه پرس پخت</v>
          </cell>
          <cell r="C12" t="str">
            <v>قطعه نو</v>
          </cell>
          <cell r="P12" t="str">
            <v>سرشیلنگ</v>
          </cell>
          <cell r="AF12">
            <v>4</v>
          </cell>
          <cell r="AR12">
            <v>3000000</v>
          </cell>
        </row>
        <row r="13">
          <cell r="B13" t="str">
            <v>پخت کلاچ پژو 206 TU5</v>
          </cell>
          <cell r="C13" t="str">
            <v>قالب تعمیری</v>
          </cell>
          <cell r="P13" t="str">
            <v>پران</v>
          </cell>
          <cell r="AF13">
            <v>4</v>
          </cell>
          <cell r="AR13">
            <v>3000000</v>
          </cell>
        </row>
        <row r="14">
          <cell r="B14" t="str">
            <v>پخت کلاچ پژو 206 TU5</v>
          </cell>
          <cell r="C14" t="str">
            <v>قالب تعمیری</v>
          </cell>
          <cell r="P14" t="str">
            <v>پران</v>
          </cell>
          <cell r="AF14">
            <v>11</v>
          </cell>
          <cell r="AR14">
            <v>8250000</v>
          </cell>
        </row>
        <row r="15">
          <cell r="B15" t="str">
            <v>ساب کف گرگی</v>
          </cell>
          <cell r="C15" t="str">
            <v>قطعه نو</v>
          </cell>
          <cell r="P15" t="str">
            <v>Shaft</v>
          </cell>
          <cell r="AF15">
            <v>2</v>
          </cell>
          <cell r="AR15">
            <v>1500000</v>
          </cell>
        </row>
        <row r="16">
          <cell r="B16" t="str">
            <v>دستگاه پرس پخت</v>
          </cell>
          <cell r="C16" t="str">
            <v>قطعه تعمیری</v>
          </cell>
          <cell r="P16" t="str">
            <v>Shaft</v>
          </cell>
          <cell r="AF16">
            <v>2</v>
          </cell>
          <cell r="AR16">
            <v>1500000</v>
          </cell>
        </row>
        <row r="17">
          <cell r="B17" t="str">
            <v>دستگاه پرس پخت</v>
          </cell>
          <cell r="C17" t="str">
            <v>قطعه نو</v>
          </cell>
          <cell r="P17" t="str">
            <v>مهره</v>
          </cell>
          <cell r="AF17">
            <v>2</v>
          </cell>
          <cell r="AR17">
            <v>1500000</v>
          </cell>
        </row>
        <row r="18">
          <cell r="B18" t="str">
            <v>دستگاه ساب الماسه</v>
          </cell>
          <cell r="C18" t="str">
            <v>قطعه تعمیری</v>
          </cell>
          <cell r="P18" t="str">
            <v>Shaft</v>
          </cell>
          <cell r="AF18">
            <v>2</v>
          </cell>
          <cell r="AR18">
            <v>1500000</v>
          </cell>
        </row>
        <row r="19">
          <cell r="B19" t="str">
            <v>دستگاه پرس پخت</v>
          </cell>
          <cell r="C19" t="str">
            <v>قطعه تعمیری</v>
          </cell>
          <cell r="P19" t="str">
            <v>میز</v>
          </cell>
          <cell r="AF19">
            <v>3</v>
          </cell>
          <cell r="AR19">
            <v>2250000</v>
          </cell>
        </row>
        <row r="20">
          <cell r="B20" t="str">
            <v>پشم فلز آلمانی</v>
          </cell>
          <cell r="C20" t="str">
            <v>قطعه نو</v>
          </cell>
          <cell r="P20" t="str">
            <v>فلانچ</v>
          </cell>
          <cell r="AF20">
            <v>3</v>
          </cell>
          <cell r="AR20">
            <v>2250000</v>
          </cell>
        </row>
        <row r="21">
          <cell r="B21" t="str">
            <v>دستگاه پرس 600 تن</v>
          </cell>
          <cell r="C21" t="str">
            <v>قطعه نو</v>
          </cell>
          <cell r="P21" t="str">
            <v>مهره</v>
          </cell>
          <cell r="AF21">
            <v>5</v>
          </cell>
          <cell r="AR21">
            <v>3750000</v>
          </cell>
        </row>
        <row r="22">
          <cell r="B22" t="str">
            <v>ساب کف گرگی</v>
          </cell>
          <cell r="C22" t="str">
            <v>قطعه نو</v>
          </cell>
          <cell r="P22" t="str">
            <v>Shaft</v>
          </cell>
          <cell r="AF22">
            <v>2</v>
          </cell>
          <cell r="AR22">
            <v>1500000</v>
          </cell>
        </row>
        <row r="23">
          <cell r="B23" t="str">
            <v>دستگاه پرس 600 تن</v>
          </cell>
          <cell r="C23" t="str">
            <v>قطعه نو</v>
          </cell>
          <cell r="P23" t="str">
            <v>مهره</v>
          </cell>
          <cell r="AF23">
            <v>1</v>
          </cell>
          <cell r="AR23">
            <v>750000</v>
          </cell>
        </row>
        <row r="24">
          <cell r="B24" t="str">
            <v>قالب شمشی عقب پیکان</v>
          </cell>
          <cell r="C24" t="str">
            <v>قالب نو</v>
          </cell>
          <cell r="P24" t="str">
            <v>bottom plate</v>
          </cell>
          <cell r="AF24">
            <v>12</v>
          </cell>
          <cell r="AR24">
            <v>9000000</v>
          </cell>
        </row>
        <row r="25">
          <cell r="B25" t="str">
            <v>نگهدارنده پلاک قالب</v>
          </cell>
          <cell r="C25" t="str">
            <v>قطعه نو</v>
          </cell>
          <cell r="P25" t="str">
            <v>نگهدارنده U</v>
          </cell>
          <cell r="AF25">
            <v>11</v>
          </cell>
          <cell r="AR25">
            <v>8250000</v>
          </cell>
        </row>
        <row r="26">
          <cell r="B26" t="str">
            <v>ویوینگ</v>
          </cell>
          <cell r="C26" t="str">
            <v>قطعه تعمیری</v>
          </cell>
          <cell r="P26" t="str">
            <v>صفحه توری</v>
          </cell>
          <cell r="AF26">
            <v>5</v>
          </cell>
          <cell r="AR26">
            <v>3750000</v>
          </cell>
        </row>
        <row r="27">
          <cell r="B27" t="str">
            <v>فوتون 107</v>
          </cell>
          <cell r="C27" t="str">
            <v>قالب تعمیری</v>
          </cell>
          <cell r="P27" t="str">
            <v>صفحه</v>
          </cell>
          <cell r="AF27">
            <v>6</v>
          </cell>
          <cell r="AR27">
            <v>4500000</v>
          </cell>
        </row>
        <row r="28">
          <cell r="B28" t="str">
            <v>پخت کلاچ لندکروز</v>
          </cell>
          <cell r="C28" t="str">
            <v>قالب تعمیری</v>
          </cell>
          <cell r="P28" t="str">
            <v>Mandrel</v>
          </cell>
          <cell r="AF28">
            <v>7</v>
          </cell>
          <cell r="AR28">
            <v>5250000</v>
          </cell>
        </row>
        <row r="29">
          <cell r="B29" t="str">
            <v>پخت کلاچ لندکروز</v>
          </cell>
          <cell r="C29" t="str">
            <v>قالب تعمیری</v>
          </cell>
          <cell r="P29" t="str">
            <v>Matrix</v>
          </cell>
          <cell r="AF29">
            <v>3</v>
          </cell>
          <cell r="AR29">
            <v>2250000</v>
          </cell>
        </row>
        <row r="30">
          <cell r="B30" t="str">
            <v>فوتون 107</v>
          </cell>
          <cell r="C30" t="str">
            <v>قالب تعمیری</v>
          </cell>
          <cell r="P30" t="str">
            <v>دیواره</v>
          </cell>
          <cell r="AF30">
            <v>1</v>
          </cell>
          <cell r="AR30">
            <v>750000</v>
          </cell>
        </row>
        <row r="31">
          <cell r="B31" t="str">
            <v>فوتون 107</v>
          </cell>
          <cell r="C31" t="str">
            <v>قالب تعمیری</v>
          </cell>
          <cell r="P31" t="str">
            <v>دیواره</v>
          </cell>
          <cell r="AF31">
            <v>6</v>
          </cell>
          <cell r="AR31">
            <v>4500000</v>
          </cell>
        </row>
        <row r="32">
          <cell r="B32" t="str">
            <v>قالب پخت کلاچ</v>
          </cell>
          <cell r="C32" t="str">
            <v>قالب تعمیری</v>
          </cell>
          <cell r="P32" t="str">
            <v>Top plate</v>
          </cell>
          <cell r="AF32">
            <v>5</v>
          </cell>
          <cell r="AR32">
            <v>3750000</v>
          </cell>
        </row>
        <row r="33">
          <cell r="B33" t="str">
            <v>اصول 5S</v>
          </cell>
          <cell r="C33" t="str">
            <v>نظافت</v>
          </cell>
          <cell r="P33" t="str">
            <v>محوطه</v>
          </cell>
          <cell r="AF33">
            <v>4</v>
          </cell>
          <cell r="AR33">
            <v>3000000</v>
          </cell>
        </row>
        <row r="34">
          <cell r="B34" t="str">
            <v>دستگاه پرس پخت</v>
          </cell>
          <cell r="C34" t="str">
            <v>قطعه تعمیری</v>
          </cell>
          <cell r="P34" t="str">
            <v>میز</v>
          </cell>
          <cell r="AF34">
            <v>2</v>
          </cell>
          <cell r="AR34">
            <v>1500000</v>
          </cell>
        </row>
        <row r="35">
          <cell r="B35" t="str">
            <v>برشی نیوفیس C&amp;C</v>
          </cell>
          <cell r="C35" t="str">
            <v>قالب نو</v>
          </cell>
          <cell r="P35" t="str">
            <v>پیستون</v>
          </cell>
          <cell r="AF35">
            <v>2</v>
          </cell>
          <cell r="AR35">
            <v>1500000</v>
          </cell>
        </row>
        <row r="36">
          <cell r="B36" t="str">
            <v>برشی نیوفیس C&amp;C</v>
          </cell>
          <cell r="C36" t="str">
            <v>قالب نو</v>
          </cell>
          <cell r="P36" t="str">
            <v>پیستون</v>
          </cell>
          <cell r="AF36">
            <v>3</v>
          </cell>
          <cell r="AR36">
            <v>2250000</v>
          </cell>
        </row>
        <row r="37">
          <cell r="B37" t="str">
            <v>قالب پخت کلاچ</v>
          </cell>
          <cell r="C37" t="str">
            <v>قالب تعمیری</v>
          </cell>
          <cell r="P37" t="str">
            <v>Top plate</v>
          </cell>
          <cell r="AF37">
            <v>4.5</v>
          </cell>
          <cell r="AR37">
            <v>3375000</v>
          </cell>
        </row>
        <row r="38">
          <cell r="B38" t="str">
            <v>پخت کلاچ ایسوزو</v>
          </cell>
          <cell r="C38" t="str">
            <v>قالب تعمیری</v>
          </cell>
          <cell r="P38" t="str">
            <v>Mandrel</v>
          </cell>
          <cell r="AF38">
            <v>3.5</v>
          </cell>
          <cell r="AR38">
            <v>2625000</v>
          </cell>
        </row>
        <row r="39">
          <cell r="B39" t="str">
            <v>قالب پخت کلاچ</v>
          </cell>
          <cell r="C39" t="str">
            <v>قالب تعمیری</v>
          </cell>
          <cell r="P39" t="str">
            <v>Top plate</v>
          </cell>
          <cell r="AF39">
            <v>3</v>
          </cell>
          <cell r="AR39">
            <v>2250000</v>
          </cell>
        </row>
        <row r="40">
          <cell r="B40" t="str">
            <v>قالب پخت کلاچ</v>
          </cell>
          <cell r="C40" t="str">
            <v>قالب تعمیری</v>
          </cell>
          <cell r="P40" t="str">
            <v>Top plate</v>
          </cell>
          <cell r="AF40">
            <v>3.5</v>
          </cell>
          <cell r="AR40">
            <v>2625000</v>
          </cell>
        </row>
        <row r="41">
          <cell r="B41" t="str">
            <v>قالب پخت کلاچ</v>
          </cell>
          <cell r="C41" t="str">
            <v>قالب تعمیری</v>
          </cell>
          <cell r="P41" t="str">
            <v>Top plate</v>
          </cell>
          <cell r="AF41">
            <v>4.5</v>
          </cell>
          <cell r="AR41">
            <v>3375000</v>
          </cell>
        </row>
        <row r="42">
          <cell r="B42" t="str">
            <v>قالب پخت کلاچ</v>
          </cell>
          <cell r="C42" t="str">
            <v>قالب تعمیری</v>
          </cell>
          <cell r="P42" t="str">
            <v>Top plate</v>
          </cell>
          <cell r="AF42">
            <v>3</v>
          </cell>
          <cell r="AR42">
            <v>2250000</v>
          </cell>
        </row>
        <row r="43">
          <cell r="B43" t="str">
            <v>اصول 5S</v>
          </cell>
          <cell r="C43" t="str">
            <v>نظافت</v>
          </cell>
          <cell r="P43" t="str">
            <v>محوطه</v>
          </cell>
          <cell r="AF43">
            <v>4</v>
          </cell>
          <cell r="AR43">
            <v>3000000</v>
          </cell>
        </row>
        <row r="44">
          <cell r="B44" t="str">
            <v>نوار نقاله</v>
          </cell>
          <cell r="C44" t="str">
            <v>قطعه نو</v>
          </cell>
          <cell r="P44" t="str">
            <v>چرخ دنده</v>
          </cell>
          <cell r="AF44">
            <v>1</v>
          </cell>
          <cell r="AR44">
            <v>750000</v>
          </cell>
        </row>
        <row r="45">
          <cell r="B45" t="str">
            <v>نوار نقاله</v>
          </cell>
          <cell r="C45" t="str">
            <v>قطعه نو</v>
          </cell>
          <cell r="P45" t="str">
            <v>چرخ دنده</v>
          </cell>
          <cell r="AF45">
            <v>1</v>
          </cell>
          <cell r="AR45">
            <v>750000</v>
          </cell>
        </row>
        <row r="46">
          <cell r="B46" t="str">
            <v>پخت عقب پژو 405 شمشی پایه کوتاه</v>
          </cell>
          <cell r="C46" t="str">
            <v>قالب نو</v>
          </cell>
          <cell r="P46" t="str">
            <v>Mold</v>
          </cell>
          <cell r="AF46">
            <v>5</v>
          </cell>
          <cell r="AR46">
            <v>3750000</v>
          </cell>
        </row>
        <row r="47">
          <cell r="B47" t="str">
            <v>اصول 5S</v>
          </cell>
          <cell r="C47" t="str">
            <v>نظافت</v>
          </cell>
          <cell r="P47" t="str">
            <v>محوطه</v>
          </cell>
          <cell r="AF47">
            <v>3</v>
          </cell>
          <cell r="AR47">
            <v>2250000</v>
          </cell>
        </row>
        <row r="48">
          <cell r="B48" t="str">
            <v>قالب عقب F12</v>
          </cell>
          <cell r="C48" t="str">
            <v>قالب نو</v>
          </cell>
          <cell r="P48" t="str">
            <v>Top plate</v>
          </cell>
          <cell r="AF48">
            <v>3</v>
          </cell>
          <cell r="AR48">
            <v>2250000</v>
          </cell>
        </row>
        <row r="49">
          <cell r="B49" t="str">
            <v>برشی نیوفیس C&amp;C</v>
          </cell>
          <cell r="C49" t="str">
            <v>قالب نو</v>
          </cell>
          <cell r="P49" t="str">
            <v>Shaft</v>
          </cell>
          <cell r="AF49">
            <v>2</v>
          </cell>
          <cell r="AR49">
            <v>1500000</v>
          </cell>
        </row>
        <row r="50">
          <cell r="B50" t="str">
            <v>دستگاه پرس پخت</v>
          </cell>
          <cell r="C50" t="str">
            <v>قطعه تعمیری</v>
          </cell>
          <cell r="P50" t="str">
            <v>میز</v>
          </cell>
          <cell r="AF50">
            <v>3</v>
          </cell>
          <cell r="AR50">
            <v>2250000</v>
          </cell>
        </row>
        <row r="51">
          <cell r="B51" t="str">
            <v>کلمپ زنی</v>
          </cell>
          <cell r="C51" t="str">
            <v>قطعه تعمیری</v>
          </cell>
          <cell r="P51" t="str">
            <v>میز</v>
          </cell>
          <cell r="AF51">
            <v>10</v>
          </cell>
          <cell r="AR51">
            <v>7500000</v>
          </cell>
        </row>
        <row r="52">
          <cell r="B52" t="str">
            <v>قالب پخت کلاچ پژو 405</v>
          </cell>
          <cell r="C52" t="str">
            <v>قالب تعمیری</v>
          </cell>
          <cell r="P52" t="str">
            <v>Top plate</v>
          </cell>
          <cell r="AF52">
            <v>0.5</v>
          </cell>
          <cell r="AR52">
            <v>375000</v>
          </cell>
        </row>
        <row r="53">
          <cell r="B53" t="str">
            <v>شمش پراید</v>
          </cell>
          <cell r="C53" t="str">
            <v>قالب نو</v>
          </cell>
          <cell r="P53" t="str">
            <v>Mold</v>
          </cell>
          <cell r="AF53">
            <v>10</v>
          </cell>
          <cell r="AR53">
            <v>7500000</v>
          </cell>
        </row>
        <row r="54">
          <cell r="B54" t="str">
            <v>کلمپ زنی</v>
          </cell>
          <cell r="C54" t="str">
            <v>قطعه تعمیری</v>
          </cell>
          <cell r="P54" t="str">
            <v>میز</v>
          </cell>
          <cell r="AF54">
            <v>1</v>
          </cell>
          <cell r="AR54">
            <v>750000</v>
          </cell>
        </row>
        <row r="55">
          <cell r="B55" t="str">
            <v>آسانسور</v>
          </cell>
          <cell r="C55" t="str">
            <v>قطعه تعمیری</v>
          </cell>
          <cell r="P55" t="str">
            <v>میل پران</v>
          </cell>
          <cell r="AF55">
            <v>3</v>
          </cell>
          <cell r="AR55">
            <v>2250000</v>
          </cell>
        </row>
        <row r="56">
          <cell r="B56" t="str">
            <v>پین عقب پژو 405</v>
          </cell>
          <cell r="C56" t="str">
            <v>قطعه نو</v>
          </cell>
          <cell r="P56" t="str">
            <v>پین پژو 405</v>
          </cell>
          <cell r="AF56">
            <v>2</v>
          </cell>
          <cell r="AR56">
            <v>1500000</v>
          </cell>
        </row>
        <row r="57">
          <cell r="B57" t="str">
            <v>جلو ساب دیسکی</v>
          </cell>
          <cell r="C57" t="str">
            <v>قطعه نو</v>
          </cell>
          <cell r="P57" t="str">
            <v>Shaft</v>
          </cell>
          <cell r="AF57">
            <v>3</v>
          </cell>
          <cell r="AR57">
            <v>2250000</v>
          </cell>
        </row>
        <row r="58">
          <cell r="B58" t="str">
            <v>پخت کلاچ ایسوزو</v>
          </cell>
          <cell r="C58" t="str">
            <v>قالب تعمیری</v>
          </cell>
          <cell r="P58" t="str">
            <v>Mold</v>
          </cell>
          <cell r="AF58">
            <v>1</v>
          </cell>
          <cell r="AR58">
            <v>750000</v>
          </cell>
        </row>
        <row r="59">
          <cell r="B59" t="str">
            <v>شمش پراید</v>
          </cell>
          <cell r="C59" t="str">
            <v>قالب نو</v>
          </cell>
          <cell r="P59" t="str">
            <v>Mold</v>
          </cell>
          <cell r="AF59">
            <v>8</v>
          </cell>
          <cell r="AR59">
            <v>6000000</v>
          </cell>
        </row>
        <row r="60">
          <cell r="B60" t="str">
            <v>قالب پخت کلاچ</v>
          </cell>
          <cell r="C60" t="str">
            <v>قالب تعمیری</v>
          </cell>
          <cell r="P60" t="str">
            <v>Top plate</v>
          </cell>
          <cell r="AF60">
            <v>7</v>
          </cell>
          <cell r="AR60">
            <v>5250000</v>
          </cell>
        </row>
        <row r="61">
          <cell r="B61" t="str">
            <v>قالب شمشی عقب پیکان</v>
          </cell>
          <cell r="C61" t="str">
            <v>قالب نو</v>
          </cell>
          <cell r="P61" t="str">
            <v>دیواره</v>
          </cell>
          <cell r="AF61">
            <v>2</v>
          </cell>
          <cell r="AR61">
            <v>1500000</v>
          </cell>
        </row>
        <row r="62">
          <cell r="B62" t="str">
            <v>قالب پخت کلاچ</v>
          </cell>
          <cell r="C62" t="str">
            <v>قالب تعمیری</v>
          </cell>
          <cell r="P62" t="str">
            <v>Top plate</v>
          </cell>
          <cell r="AF62">
            <v>6</v>
          </cell>
          <cell r="AR62">
            <v>4500000</v>
          </cell>
        </row>
        <row r="63">
          <cell r="B63" t="str">
            <v>قالب شمشی عقب پیکان</v>
          </cell>
          <cell r="C63" t="str">
            <v>قالب نو</v>
          </cell>
          <cell r="P63" t="str">
            <v>دیواره</v>
          </cell>
          <cell r="AF63">
            <v>2</v>
          </cell>
          <cell r="AR63">
            <v>1500000</v>
          </cell>
        </row>
        <row r="64">
          <cell r="B64" t="str">
            <v>برشی نیوفیس C&amp;C</v>
          </cell>
          <cell r="C64" t="str">
            <v>قالب نو</v>
          </cell>
          <cell r="P64" t="str">
            <v>Matrix</v>
          </cell>
          <cell r="AF64">
            <v>1</v>
          </cell>
          <cell r="AR64">
            <v>750000</v>
          </cell>
        </row>
        <row r="65">
          <cell r="B65" t="str">
            <v>برشی نیوفیس C&amp;C</v>
          </cell>
          <cell r="C65" t="str">
            <v>قالب نو</v>
          </cell>
          <cell r="P65" t="str">
            <v>Mandrel</v>
          </cell>
          <cell r="AF65">
            <v>2</v>
          </cell>
          <cell r="AR65">
            <v>1500000</v>
          </cell>
        </row>
        <row r="66">
          <cell r="B66" t="str">
            <v>قالب پخت کلاچ</v>
          </cell>
          <cell r="C66" t="str">
            <v>قالب تعمیری</v>
          </cell>
          <cell r="P66" t="str">
            <v>Top plate</v>
          </cell>
          <cell r="AF66">
            <v>4.5</v>
          </cell>
          <cell r="AR66">
            <v>3375000</v>
          </cell>
        </row>
        <row r="67">
          <cell r="B67" t="str">
            <v>قالب پخت کلاچ</v>
          </cell>
          <cell r="C67" t="str">
            <v>قالب تعمیری</v>
          </cell>
          <cell r="P67" t="str">
            <v>Top plate</v>
          </cell>
          <cell r="AF67">
            <v>4.5</v>
          </cell>
          <cell r="AR67">
            <v>3375000</v>
          </cell>
        </row>
        <row r="68">
          <cell r="B68" t="str">
            <v>پشم فلز آلمانی</v>
          </cell>
          <cell r="C68" t="str">
            <v>قطعه نو</v>
          </cell>
          <cell r="P68" t="str">
            <v>پیچ</v>
          </cell>
          <cell r="AF68">
            <v>1</v>
          </cell>
          <cell r="AR68">
            <v>750000</v>
          </cell>
        </row>
        <row r="69">
          <cell r="B69" t="str">
            <v>پشم فلز آلمانی</v>
          </cell>
          <cell r="C69" t="str">
            <v>قطعه نو</v>
          </cell>
          <cell r="P69" t="str">
            <v>پیچ</v>
          </cell>
          <cell r="AF69">
            <v>2.5</v>
          </cell>
          <cell r="AR69">
            <v>1875000</v>
          </cell>
        </row>
        <row r="70">
          <cell r="B70" t="str">
            <v>جلو ساب دیسکی</v>
          </cell>
          <cell r="C70" t="str">
            <v>قطعه نو</v>
          </cell>
          <cell r="P70" t="str">
            <v>Shaft</v>
          </cell>
          <cell r="AF70">
            <v>1</v>
          </cell>
          <cell r="AR70">
            <v>750000</v>
          </cell>
        </row>
        <row r="71">
          <cell r="B71" t="str">
            <v>پخت عقب پژو 405 شمشی پایه کوتاه</v>
          </cell>
          <cell r="C71" t="str">
            <v>قالب نو</v>
          </cell>
          <cell r="P71" t="str">
            <v>دیواره</v>
          </cell>
          <cell r="AF71">
            <v>4.5</v>
          </cell>
          <cell r="AR71">
            <v>3375000</v>
          </cell>
        </row>
        <row r="72">
          <cell r="B72" t="str">
            <v>قالب پخت کلاچ</v>
          </cell>
          <cell r="C72" t="str">
            <v>قالب تعمیری</v>
          </cell>
          <cell r="P72" t="str">
            <v>Top plate</v>
          </cell>
          <cell r="AF72">
            <v>2</v>
          </cell>
          <cell r="AR72">
            <v>1500000</v>
          </cell>
        </row>
        <row r="73">
          <cell r="B73" t="str">
            <v>قالب پخت کلاچ</v>
          </cell>
          <cell r="C73" t="str">
            <v>قالب تعمیری</v>
          </cell>
          <cell r="P73" t="str">
            <v>Top plate</v>
          </cell>
          <cell r="AF73">
            <v>11</v>
          </cell>
          <cell r="AR73">
            <v>8250000</v>
          </cell>
        </row>
        <row r="74">
          <cell r="B74" t="str">
            <v>قالب پخت کلاچ</v>
          </cell>
          <cell r="C74" t="str">
            <v>قالب تعمیری</v>
          </cell>
          <cell r="P74" t="str">
            <v>Top plate</v>
          </cell>
          <cell r="AF74">
            <v>11</v>
          </cell>
          <cell r="AR74">
            <v>8250000</v>
          </cell>
        </row>
        <row r="75">
          <cell r="B75" t="str">
            <v>قالب پخت کلاچ</v>
          </cell>
          <cell r="C75" t="str">
            <v>قالب تعمیری</v>
          </cell>
          <cell r="P75" t="str">
            <v>Top plate</v>
          </cell>
          <cell r="AF75">
            <v>6.5</v>
          </cell>
          <cell r="AR75">
            <v>4875000</v>
          </cell>
        </row>
        <row r="76">
          <cell r="B76" t="str">
            <v>قالب پخت کلاچ</v>
          </cell>
          <cell r="C76" t="str">
            <v>قالب تعمیری</v>
          </cell>
          <cell r="P76" t="str">
            <v>Top plate</v>
          </cell>
          <cell r="AF76">
            <v>6.5</v>
          </cell>
          <cell r="AR76">
            <v>4875000</v>
          </cell>
        </row>
        <row r="77">
          <cell r="B77" t="str">
            <v xml:space="preserve">قالب پخت کلاچ پیکان </v>
          </cell>
          <cell r="C77" t="str">
            <v>قالب تعمیری</v>
          </cell>
          <cell r="P77" t="str">
            <v>پین پران</v>
          </cell>
          <cell r="AF77">
            <v>4</v>
          </cell>
          <cell r="AR77">
            <v>3000000</v>
          </cell>
        </row>
        <row r="78">
          <cell r="B78" t="str">
            <v>جلو ساب دیسکی</v>
          </cell>
          <cell r="C78" t="str">
            <v>قطعه نو</v>
          </cell>
          <cell r="P78" t="str">
            <v>پولکی</v>
          </cell>
          <cell r="AF78">
            <v>4</v>
          </cell>
          <cell r="AR78">
            <v>3000000</v>
          </cell>
        </row>
        <row r="79">
          <cell r="B79" t="str">
            <v>جلو ساب دیسکی</v>
          </cell>
          <cell r="C79" t="str">
            <v>قطعه نو</v>
          </cell>
          <cell r="P79" t="str">
            <v>Shaft</v>
          </cell>
          <cell r="AF79">
            <v>2</v>
          </cell>
          <cell r="AR79">
            <v>1500000</v>
          </cell>
        </row>
        <row r="80">
          <cell r="B80" t="str">
            <v>سری نقطه جوش</v>
          </cell>
          <cell r="C80" t="str">
            <v>قطعه تعمیری</v>
          </cell>
          <cell r="P80" t="str">
            <v>مسی</v>
          </cell>
          <cell r="AF80">
            <v>1</v>
          </cell>
          <cell r="AR80">
            <v>750000</v>
          </cell>
        </row>
        <row r="81">
          <cell r="B81" t="str">
            <v>آسانسور</v>
          </cell>
          <cell r="C81" t="str">
            <v>قطعه نو</v>
          </cell>
          <cell r="P81" t="str">
            <v>لوله</v>
          </cell>
          <cell r="AF81">
            <v>3</v>
          </cell>
          <cell r="AR81">
            <v>2250000</v>
          </cell>
        </row>
        <row r="82">
          <cell r="B82" t="str">
            <v>آسانسور</v>
          </cell>
          <cell r="C82" t="str">
            <v>قطعه تعمیری</v>
          </cell>
          <cell r="P82" t="str">
            <v>پران</v>
          </cell>
          <cell r="AF82">
            <v>2</v>
          </cell>
          <cell r="AR82">
            <v>1500000</v>
          </cell>
        </row>
        <row r="83">
          <cell r="B83" t="str">
            <v>پشم فلز آلمانی</v>
          </cell>
          <cell r="C83" t="str">
            <v>قطعه تعمیری</v>
          </cell>
          <cell r="P83" t="str">
            <v>نافی پولکی</v>
          </cell>
          <cell r="AF83">
            <v>4</v>
          </cell>
          <cell r="AR83">
            <v>3000000</v>
          </cell>
        </row>
        <row r="84">
          <cell r="B84" t="str">
            <v>پخت عقب پژو 405 شمشی پایه کوتاه</v>
          </cell>
          <cell r="C84" t="str">
            <v>قالب نو</v>
          </cell>
          <cell r="P84" t="str">
            <v>پیچ</v>
          </cell>
          <cell r="AF84">
            <v>0.5</v>
          </cell>
          <cell r="AR84">
            <v>375000</v>
          </cell>
        </row>
        <row r="85">
          <cell r="B85" t="str">
            <v>شمش پراید</v>
          </cell>
          <cell r="C85" t="str">
            <v>قالب نو</v>
          </cell>
          <cell r="P85" t="str">
            <v>میل راهنما</v>
          </cell>
          <cell r="AF85">
            <v>0.5</v>
          </cell>
          <cell r="AR85">
            <v>375000</v>
          </cell>
        </row>
        <row r="86">
          <cell r="B86" t="str">
            <v>ویوینگ</v>
          </cell>
          <cell r="C86" t="str">
            <v>قطعه تعمیری</v>
          </cell>
          <cell r="P86" t="str">
            <v>صفحه توری</v>
          </cell>
          <cell r="AF86">
            <v>2</v>
          </cell>
          <cell r="AR86">
            <v>1500000</v>
          </cell>
        </row>
        <row r="87">
          <cell r="B87" t="str">
            <v>جلو ساب دیسکی</v>
          </cell>
          <cell r="C87" t="str">
            <v>قطعه نو</v>
          </cell>
          <cell r="P87" t="str">
            <v>توپی</v>
          </cell>
          <cell r="AF87">
            <v>5</v>
          </cell>
          <cell r="AR87">
            <v>3750000</v>
          </cell>
        </row>
        <row r="88">
          <cell r="B88" t="str">
            <v>جلو ساب دیسکی</v>
          </cell>
          <cell r="C88" t="str">
            <v>قطعه نو</v>
          </cell>
          <cell r="P88" t="str">
            <v>جا بلبرینگ</v>
          </cell>
          <cell r="AF88">
            <v>2</v>
          </cell>
          <cell r="AR88">
            <v>1500000</v>
          </cell>
        </row>
        <row r="89">
          <cell r="B89" t="str">
            <v>پشم فلز آلمانی</v>
          </cell>
          <cell r="C89" t="str">
            <v>قطعه نو</v>
          </cell>
          <cell r="P89" t="str">
            <v>Shaft</v>
          </cell>
          <cell r="AF89">
            <v>1</v>
          </cell>
          <cell r="AR89">
            <v>750000</v>
          </cell>
        </row>
        <row r="90">
          <cell r="B90" t="str">
            <v>پشم فلز آلمانی</v>
          </cell>
          <cell r="C90" t="str">
            <v>قطعه نو</v>
          </cell>
          <cell r="P90" t="str">
            <v>Shaft</v>
          </cell>
          <cell r="AF90">
            <v>5</v>
          </cell>
          <cell r="AR90">
            <v>3750000</v>
          </cell>
        </row>
        <row r="91">
          <cell r="B91" t="str">
            <v>ساب کف گرگی</v>
          </cell>
          <cell r="C91" t="str">
            <v>قطعه نو</v>
          </cell>
          <cell r="P91" t="str">
            <v>Shaft</v>
          </cell>
          <cell r="AF91">
            <v>3</v>
          </cell>
          <cell r="AR91">
            <v>2250000</v>
          </cell>
        </row>
        <row r="92">
          <cell r="B92" t="str">
            <v>پرچ زنی</v>
          </cell>
          <cell r="C92" t="str">
            <v>قطعه تعمیری</v>
          </cell>
          <cell r="P92" t="str">
            <v>جک</v>
          </cell>
          <cell r="AF92">
            <v>3</v>
          </cell>
          <cell r="AR92">
            <v>2250000</v>
          </cell>
        </row>
        <row r="93">
          <cell r="B93" t="str">
            <v>قالب شمشی عقب پیکان</v>
          </cell>
          <cell r="C93" t="str">
            <v>قالب نو</v>
          </cell>
          <cell r="P93" t="str">
            <v>bottom plate</v>
          </cell>
          <cell r="AF93">
            <v>11</v>
          </cell>
          <cell r="AR93">
            <v>8250000</v>
          </cell>
        </row>
        <row r="94">
          <cell r="B94" t="str">
            <v>نگهدارنده پلاک قالب</v>
          </cell>
          <cell r="C94" t="str">
            <v>قطعه نو</v>
          </cell>
          <cell r="P94" t="str">
            <v>نگهدارنده U</v>
          </cell>
          <cell r="AF94">
            <v>11</v>
          </cell>
          <cell r="AR94">
            <v>8250000</v>
          </cell>
        </row>
        <row r="95">
          <cell r="B95" t="str">
            <v>فوتون 107</v>
          </cell>
          <cell r="C95" t="str">
            <v>قالب تعمیری</v>
          </cell>
          <cell r="P95" t="str">
            <v>صفحه</v>
          </cell>
          <cell r="AF95">
            <v>11</v>
          </cell>
          <cell r="AR95">
            <v>8250000</v>
          </cell>
        </row>
        <row r="96">
          <cell r="B96" t="str">
            <v>پخت کلاچ پژو 206 TU5</v>
          </cell>
          <cell r="C96" t="str">
            <v>قالب تعمیری</v>
          </cell>
          <cell r="P96" t="str">
            <v>Mandrel</v>
          </cell>
          <cell r="AF96">
            <v>11</v>
          </cell>
          <cell r="AR96">
            <v>16500000</v>
          </cell>
        </row>
        <row r="97">
          <cell r="B97" t="str">
            <v>پخت کلاچ لندکروز</v>
          </cell>
          <cell r="C97" t="str">
            <v>قالب تعمیری</v>
          </cell>
          <cell r="P97" t="str">
            <v>Mandrel</v>
          </cell>
          <cell r="AF97">
            <v>1.5</v>
          </cell>
          <cell r="AR97">
            <v>2250000</v>
          </cell>
        </row>
        <row r="98">
          <cell r="B98" t="str">
            <v>پخت کلاچ لندکروز</v>
          </cell>
          <cell r="C98" t="str">
            <v>قالب تعمیری</v>
          </cell>
          <cell r="P98" t="str">
            <v>Mandrel</v>
          </cell>
          <cell r="AF98">
            <v>5.5</v>
          </cell>
          <cell r="AR98">
            <v>8250000</v>
          </cell>
        </row>
        <row r="99">
          <cell r="B99" t="str">
            <v>جلو سمند سورن</v>
          </cell>
          <cell r="C99" t="str">
            <v>قالب تعمیری</v>
          </cell>
          <cell r="P99" t="str">
            <v>bottom plate</v>
          </cell>
          <cell r="AF99">
            <v>11</v>
          </cell>
          <cell r="AR99">
            <v>16500000</v>
          </cell>
        </row>
        <row r="100">
          <cell r="B100" t="str">
            <v>جلو سمند سورن</v>
          </cell>
          <cell r="C100" t="str">
            <v>قالب تعمیری</v>
          </cell>
          <cell r="P100" t="str">
            <v>bottom plate</v>
          </cell>
          <cell r="AF100">
            <v>11</v>
          </cell>
          <cell r="AR100">
            <v>16500000</v>
          </cell>
        </row>
        <row r="101">
          <cell r="B101" t="str">
            <v>پخت کلاچ تیبا چپ</v>
          </cell>
          <cell r="C101" t="str">
            <v>قالب نو</v>
          </cell>
          <cell r="P101" t="str">
            <v>Top plate</v>
          </cell>
          <cell r="AF101">
            <v>11</v>
          </cell>
          <cell r="AR101">
            <v>16500000</v>
          </cell>
        </row>
        <row r="102">
          <cell r="B102" t="str">
            <v>پخت کلاچ تیبا چپ</v>
          </cell>
          <cell r="C102" t="str">
            <v>قالب نو</v>
          </cell>
          <cell r="P102" t="str">
            <v>Top plate</v>
          </cell>
          <cell r="AF102">
            <v>11</v>
          </cell>
          <cell r="AR102">
            <v>16500000</v>
          </cell>
        </row>
        <row r="103">
          <cell r="B103" t="str">
            <v>پخت کلاچ پژو 206 TU5</v>
          </cell>
          <cell r="C103" t="str">
            <v>قالب تعمیری</v>
          </cell>
          <cell r="P103" t="str">
            <v>Top plate</v>
          </cell>
          <cell r="AF103">
            <v>11</v>
          </cell>
          <cell r="AR103">
            <v>16500000</v>
          </cell>
        </row>
        <row r="104">
          <cell r="B104" t="str">
            <v>قالب شمشی عقب پیکان</v>
          </cell>
          <cell r="C104" t="str">
            <v>قالب نو</v>
          </cell>
          <cell r="P104" t="str">
            <v>top Insert</v>
          </cell>
          <cell r="AF104">
            <v>11</v>
          </cell>
          <cell r="AR104">
            <v>16500000</v>
          </cell>
        </row>
        <row r="105">
          <cell r="B105" t="str">
            <v>قالب شمشی عقب پیکان</v>
          </cell>
          <cell r="C105" t="str">
            <v>قالب نو</v>
          </cell>
          <cell r="P105" t="str">
            <v>top Insert</v>
          </cell>
          <cell r="AF105">
            <v>11</v>
          </cell>
          <cell r="AR105">
            <v>16500000</v>
          </cell>
        </row>
        <row r="106">
          <cell r="B106" t="str">
            <v>قالب پخت کلاچ</v>
          </cell>
          <cell r="C106" t="str">
            <v>قالب تعمیری</v>
          </cell>
          <cell r="P106" t="str">
            <v>Top plate</v>
          </cell>
          <cell r="AF106">
            <v>3.5</v>
          </cell>
          <cell r="AR106">
            <v>2625000</v>
          </cell>
        </row>
        <row r="107">
          <cell r="B107" t="str">
            <v>قالب پخت کلاچ</v>
          </cell>
          <cell r="C107" t="str">
            <v>قالب تعمیری</v>
          </cell>
          <cell r="P107" t="str">
            <v>Top plate</v>
          </cell>
          <cell r="AF107">
            <v>4</v>
          </cell>
          <cell r="AR107">
            <v>3000000</v>
          </cell>
        </row>
        <row r="108">
          <cell r="B108" t="str">
            <v>قالب پخت کلاچ</v>
          </cell>
          <cell r="C108" t="str">
            <v>قالب تعمیری</v>
          </cell>
          <cell r="P108" t="str">
            <v>Top plate</v>
          </cell>
          <cell r="AF108">
            <v>3.5</v>
          </cell>
          <cell r="AR108">
            <v>2625000</v>
          </cell>
        </row>
        <row r="109">
          <cell r="B109" t="str">
            <v>قالب پخت کلاچ</v>
          </cell>
          <cell r="C109" t="str">
            <v>قالب تعمیری</v>
          </cell>
          <cell r="P109" t="str">
            <v>Top plate</v>
          </cell>
          <cell r="AF109">
            <v>4</v>
          </cell>
          <cell r="AR109">
            <v>3000000</v>
          </cell>
        </row>
        <row r="110">
          <cell r="B110" t="str">
            <v>لنت ترمز دیسكی جلو دیما(خم)</v>
          </cell>
          <cell r="C110" t="str">
            <v>قالب تعمیری</v>
          </cell>
          <cell r="P110" t="str">
            <v>کوبه</v>
          </cell>
          <cell r="AF110">
            <v>1</v>
          </cell>
          <cell r="AR110">
            <v>750000</v>
          </cell>
        </row>
        <row r="111">
          <cell r="B111" t="str">
            <v>لنت ترمز دیسكی جلو دیما(خم)</v>
          </cell>
          <cell r="C111" t="str">
            <v>قالب تعمیری</v>
          </cell>
          <cell r="P111" t="str">
            <v>آرایش</v>
          </cell>
          <cell r="AF111">
            <v>1</v>
          </cell>
          <cell r="AR111">
            <v>750000</v>
          </cell>
        </row>
        <row r="112">
          <cell r="B112" t="str">
            <v>جلو سمند سورن</v>
          </cell>
          <cell r="C112" t="str">
            <v>قالب تعمیری</v>
          </cell>
          <cell r="P112" t="str">
            <v>Top plate</v>
          </cell>
          <cell r="AF112">
            <v>5</v>
          </cell>
          <cell r="AR112">
            <v>3750000</v>
          </cell>
        </row>
        <row r="113">
          <cell r="B113" t="str">
            <v>لنت صنعتی</v>
          </cell>
          <cell r="C113" t="str">
            <v>قطعه تعمیری</v>
          </cell>
          <cell r="P113" t="str">
            <v>لنت</v>
          </cell>
          <cell r="AF113">
            <v>1</v>
          </cell>
          <cell r="AR113">
            <v>750000</v>
          </cell>
        </row>
        <row r="114">
          <cell r="B114" t="str">
            <v>شمش پراید</v>
          </cell>
          <cell r="C114" t="str">
            <v>قالب نو</v>
          </cell>
          <cell r="P114" t="str">
            <v>قالب</v>
          </cell>
          <cell r="AF114">
            <v>3</v>
          </cell>
          <cell r="AR114">
            <v>2250000</v>
          </cell>
        </row>
        <row r="115">
          <cell r="B115" t="str">
            <v>پخت عقب پژو 405 شمشی پایه کوتاه</v>
          </cell>
          <cell r="C115" t="str">
            <v>قالب نو</v>
          </cell>
          <cell r="P115" t="str">
            <v>Mold</v>
          </cell>
          <cell r="AF115">
            <v>1</v>
          </cell>
          <cell r="AR115">
            <v>750000</v>
          </cell>
        </row>
        <row r="116">
          <cell r="B116" t="str">
            <v>قالب پخت کلاچ</v>
          </cell>
          <cell r="C116" t="str">
            <v>قالب تعمیری</v>
          </cell>
          <cell r="P116" t="str">
            <v>Top plate</v>
          </cell>
          <cell r="AF116">
            <v>6.5</v>
          </cell>
          <cell r="AR116">
            <v>4875000</v>
          </cell>
        </row>
        <row r="117">
          <cell r="B117" t="str">
            <v>سری نقطه جوش</v>
          </cell>
          <cell r="C117" t="str">
            <v>قطعه تعمیری</v>
          </cell>
          <cell r="P117" t="str">
            <v>مسی</v>
          </cell>
          <cell r="AF117">
            <v>1.5</v>
          </cell>
          <cell r="AR117">
            <v>1125000</v>
          </cell>
        </row>
        <row r="118">
          <cell r="B118" t="str">
            <v>ساب کف گرگی</v>
          </cell>
          <cell r="C118" t="str">
            <v>قطعه نو</v>
          </cell>
          <cell r="P118" t="str">
            <v>توپی</v>
          </cell>
          <cell r="AF118">
            <v>9.5</v>
          </cell>
          <cell r="AR118">
            <v>7125000</v>
          </cell>
        </row>
        <row r="119">
          <cell r="B119" t="str">
            <v>پخت کلاچ لندکروز</v>
          </cell>
          <cell r="C119" t="str">
            <v>قالب تعمیری</v>
          </cell>
          <cell r="P119" t="str">
            <v>Mandrel</v>
          </cell>
          <cell r="AF119">
            <v>4.5</v>
          </cell>
          <cell r="AR119">
            <v>6750000</v>
          </cell>
        </row>
        <row r="120">
          <cell r="B120" t="str">
            <v>فوتون 107</v>
          </cell>
          <cell r="C120" t="str">
            <v>قالب تعمیری</v>
          </cell>
          <cell r="P120" t="str">
            <v>صفحه میانی</v>
          </cell>
          <cell r="AF120">
            <v>6.5</v>
          </cell>
          <cell r="AR120">
            <v>9750000</v>
          </cell>
        </row>
        <row r="121">
          <cell r="B121" t="str">
            <v>جلو سمند سورن</v>
          </cell>
          <cell r="C121" t="str">
            <v>قالب تعمیری</v>
          </cell>
          <cell r="P121" t="str">
            <v>bottom plate</v>
          </cell>
          <cell r="AF121">
            <v>2.5</v>
          </cell>
          <cell r="AR121">
            <v>3750000</v>
          </cell>
        </row>
        <row r="122">
          <cell r="B122" t="str">
            <v>قالب پخت کلاچ پژو 405</v>
          </cell>
          <cell r="C122" t="str">
            <v>قالب تعمیری</v>
          </cell>
          <cell r="P122" t="str">
            <v>bottom plate</v>
          </cell>
          <cell r="AF122">
            <v>8.5</v>
          </cell>
          <cell r="AR122">
            <v>12750000</v>
          </cell>
        </row>
        <row r="123">
          <cell r="B123" t="str">
            <v>قالب پخت کلاچ</v>
          </cell>
          <cell r="C123" t="str">
            <v>قالب تعمیری</v>
          </cell>
          <cell r="P123" t="str">
            <v>Top plate</v>
          </cell>
          <cell r="AF123">
            <v>11</v>
          </cell>
          <cell r="AR123">
            <v>8250000</v>
          </cell>
        </row>
        <row r="124">
          <cell r="B124" t="str">
            <v>قالب پخت کلاچ</v>
          </cell>
          <cell r="C124" t="str">
            <v>قالب تعمیری</v>
          </cell>
          <cell r="P124" t="str">
            <v>Top plate</v>
          </cell>
          <cell r="AF124">
            <v>11</v>
          </cell>
          <cell r="AR124">
            <v>8250000</v>
          </cell>
        </row>
        <row r="125">
          <cell r="B125" t="str">
            <v>قالب پخت کلاچ</v>
          </cell>
          <cell r="C125" t="str">
            <v>قالب تعمیری</v>
          </cell>
          <cell r="P125" t="str">
            <v>Top plate</v>
          </cell>
          <cell r="AF125">
            <v>6.5</v>
          </cell>
          <cell r="AR125">
            <v>4875000</v>
          </cell>
        </row>
        <row r="126">
          <cell r="B126" t="str">
            <v>قالب پخت کلاچ</v>
          </cell>
          <cell r="C126" t="str">
            <v>قالب تعمیری</v>
          </cell>
          <cell r="P126" t="str">
            <v>Top plate</v>
          </cell>
          <cell r="AF126">
            <v>5.5</v>
          </cell>
          <cell r="AR126">
            <v>4125000</v>
          </cell>
        </row>
        <row r="127">
          <cell r="B127" t="str">
            <v>جلو سمند سورن</v>
          </cell>
          <cell r="C127" t="str">
            <v>قالب تعمیری</v>
          </cell>
          <cell r="P127" t="str">
            <v>Top plate</v>
          </cell>
          <cell r="AF127">
            <v>5.5</v>
          </cell>
          <cell r="AR127">
            <v>4125000</v>
          </cell>
        </row>
        <row r="128">
          <cell r="B128" t="str">
            <v>برشی نیوفیس C&amp;C</v>
          </cell>
          <cell r="C128" t="str">
            <v>قالب نو</v>
          </cell>
          <cell r="P128" t="str">
            <v>Matrix</v>
          </cell>
          <cell r="AF128">
            <v>3</v>
          </cell>
          <cell r="AR128">
            <v>2250000</v>
          </cell>
        </row>
        <row r="129">
          <cell r="B129" t="str">
            <v>فوتون 107</v>
          </cell>
          <cell r="C129" t="str">
            <v>قالب تعمیری</v>
          </cell>
          <cell r="P129" t="str">
            <v>صفحه</v>
          </cell>
          <cell r="AF129">
            <v>12</v>
          </cell>
          <cell r="AR129">
            <v>9000000</v>
          </cell>
        </row>
        <row r="130">
          <cell r="B130" t="str">
            <v>برشی نیوفیس C&amp;C</v>
          </cell>
          <cell r="C130" t="str">
            <v>قالب نو</v>
          </cell>
          <cell r="P130" t="str">
            <v>پشت سنبه</v>
          </cell>
          <cell r="AF130">
            <v>11</v>
          </cell>
          <cell r="AR130">
            <v>8250000</v>
          </cell>
        </row>
        <row r="131">
          <cell r="B131" t="str">
            <v>قالب شمشی عقب پیکان</v>
          </cell>
          <cell r="C131" t="str">
            <v>قالب نو</v>
          </cell>
          <cell r="P131" t="str">
            <v>R</v>
          </cell>
          <cell r="AF131">
            <v>7</v>
          </cell>
          <cell r="AR131">
            <v>5250000</v>
          </cell>
        </row>
        <row r="132">
          <cell r="B132" t="str">
            <v>برشی نیوفیس C&amp;C</v>
          </cell>
          <cell r="C132" t="str">
            <v>قالب نو</v>
          </cell>
          <cell r="P132" t="str">
            <v>Matrix</v>
          </cell>
          <cell r="AF132">
            <v>9</v>
          </cell>
          <cell r="AR132">
            <v>6750000</v>
          </cell>
        </row>
        <row r="133">
          <cell r="B133" t="str">
            <v>قالب شمشی عقب پیکان</v>
          </cell>
          <cell r="C133" t="str">
            <v>قالب نو</v>
          </cell>
          <cell r="P133" t="str">
            <v>Mold</v>
          </cell>
          <cell r="AF133">
            <v>6</v>
          </cell>
          <cell r="AR133">
            <v>4500000</v>
          </cell>
        </row>
        <row r="134">
          <cell r="B134" t="str">
            <v>فوتون 107</v>
          </cell>
          <cell r="C134" t="str">
            <v>قالب تعمیری</v>
          </cell>
          <cell r="P134" t="str">
            <v>صفحه</v>
          </cell>
          <cell r="AF134">
            <v>9</v>
          </cell>
          <cell r="AR134">
            <v>6750000</v>
          </cell>
        </row>
        <row r="135">
          <cell r="B135" t="str">
            <v>شمش پراید</v>
          </cell>
          <cell r="C135" t="str">
            <v>قالب نو</v>
          </cell>
          <cell r="P135" t="str">
            <v>Mold</v>
          </cell>
          <cell r="AF135">
            <v>2</v>
          </cell>
          <cell r="AR135">
            <v>1500000</v>
          </cell>
        </row>
        <row r="136">
          <cell r="B136" t="str">
            <v>شمش پراید</v>
          </cell>
          <cell r="C136" t="str">
            <v>قالب نو</v>
          </cell>
          <cell r="P136" t="str">
            <v>Mold</v>
          </cell>
          <cell r="AF136">
            <v>3</v>
          </cell>
          <cell r="AR136">
            <v>2250000</v>
          </cell>
        </row>
        <row r="137">
          <cell r="B137" t="str">
            <v>قالب پخت کلاچ پژو 405</v>
          </cell>
          <cell r="C137" t="str">
            <v>قالب تعمیری</v>
          </cell>
          <cell r="P137" t="str">
            <v>bottom plate</v>
          </cell>
          <cell r="AF137">
            <v>11</v>
          </cell>
          <cell r="AR137">
            <v>16500000</v>
          </cell>
        </row>
        <row r="138">
          <cell r="B138" t="str">
            <v>قالب شمشی عقب پیکان</v>
          </cell>
          <cell r="C138" t="str">
            <v>قالب نو</v>
          </cell>
          <cell r="P138" t="str">
            <v>top Insert</v>
          </cell>
          <cell r="AF138">
            <v>11</v>
          </cell>
          <cell r="AR138">
            <v>16500000</v>
          </cell>
        </row>
        <row r="139">
          <cell r="B139" t="str">
            <v>فوتون 107</v>
          </cell>
          <cell r="C139" t="str">
            <v>قالب تعمیری</v>
          </cell>
          <cell r="P139" t="str">
            <v>صفحه میانی</v>
          </cell>
          <cell r="AF139">
            <v>5.5</v>
          </cell>
          <cell r="AR139">
            <v>8250000</v>
          </cell>
        </row>
        <row r="140">
          <cell r="B140" t="str">
            <v>فوتون 107</v>
          </cell>
          <cell r="C140" t="str">
            <v>قالب تعمیری</v>
          </cell>
          <cell r="P140" t="str">
            <v>صفحه میانی</v>
          </cell>
          <cell r="AF140">
            <v>5.5</v>
          </cell>
          <cell r="AR140">
            <v>8250000</v>
          </cell>
        </row>
        <row r="141">
          <cell r="B141" t="str">
            <v>فوتون 107</v>
          </cell>
          <cell r="C141" t="str">
            <v>قالب تعمیری</v>
          </cell>
          <cell r="P141" t="str">
            <v>میل راهنما</v>
          </cell>
          <cell r="AF141">
            <v>6</v>
          </cell>
          <cell r="AR141">
            <v>4500000</v>
          </cell>
        </row>
        <row r="142">
          <cell r="B142" t="str">
            <v>قالب شمشی عقب پیکان</v>
          </cell>
          <cell r="C142" t="str">
            <v>قالب نو</v>
          </cell>
          <cell r="P142" t="str">
            <v>میل راهنما</v>
          </cell>
          <cell r="AF142">
            <v>4</v>
          </cell>
          <cell r="AR142">
            <v>3000000</v>
          </cell>
        </row>
        <row r="143">
          <cell r="B143" t="str">
            <v>قالب شمشی عقب پیکان</v>
          </cell>
          <cell r="C143" t="str">
            <v>قالب نو</v>
          </cell>
          <cell r="P143" t="str">
            <v>Bush</v>
          </cell>
          <cell r="AF143">
            <v>1</v>
          </cell>
          <cell r="AR143">
            <v>750000</v>
          </cell>
        </row>
        <row r="144">
          <cell r="B144" t="str">
            <v>سوراخکاری پیلسان</v>
          </cell>
          <cell r="C144" t="str">
            <v>قطعه نو</v>
          </cell>
          <cell r="P144" t="str">
            <v>Mandrel</v>
          </cell>
          <cell r="AF144">
            <v>6.5</v>
          </cell>
          <cell r="AR144">
            <v>9750000</v>
          </cell>
        </row>
        <row r="145">
          <cell r="B145" t="str">
            <v>فوتون 107</v>
          </cell>
          <cell r="C145" t="str">
            <v>قالب تعمیری</v>
          </cell>
          <cell r="P145" t="str">
            <v>Top plate</v>
          </cell>
          <cell r="AF145">
            <v>4.5</v>
          </cell>
          <cell r="AR145">
            <v>6750000</v>
          </cell>
        </row>
        <row r="146">
          <cell r="B146" t="str">
            <v>شمش پراید</v>
          </cell>
          <cell r="C146" t="str">
            <v>قالب نو</v>
          </cell>
          <cell r="P146" t="str">
            <v>Mold</v>
          </cell>
          <cell r="AF146">
            <v>3</v>
          </cell>
          <cell r="AR146">
            <v>2250000</v>
          </cell>
        </row>
        <row r="147">
          <cell r="B147" t="str">
            <v>فوتون 107</v>
          </cell>
          <cell r="C147" t="str">
            <v>قالب تعمیری</v>
          </cell>
          <cell r="P147" t="str">
            <v>صفحه میانی</v>
          </cell>
          <cell r="AF147">
            <v>3</v>
          </cell>
          <cell r="AR147">
            <v>2250000</v>
          </cell>
        </row>
        <row r="148">
          <cell r="B148" t="str">
            <v>لودر دیسکی XGL 50</v>
          </cell>
          <cell r="C148" t="str">
            <v>قالب نو</v>
          </cell>
          <cell r="P148" t="str">
            <v>Mold</v>
          </cell>
          <cell r="AF148">
            <v>2</v>
          </cell>
          <cell r="AR148">
            <v>1500000</v>
          </cell>
        </row>
        <row r="149">
          <cell r="B149" t="str">
            <v>دستگاه ساب الماسه</v>
          </cell>
          <cell r="C149" t="str">
            <v>قطعه نو</v>
          </cell>
          <cell r="P149" t="str">
            <v>پیچ تنظیم</v>
          </cell>
          <cell r="AF149">
            <v>1</v>
          </cell>
          <cell r="AR149">
            <v>750000</v>
          </cell>
        </row>
        <row r="150">
          <cell r="B150" t="str">
            <v>دستگاه ساب الماسه</v>
          </cell>
          <cell r="C150" t="str">
            <v>قطعه نو</v>
          </cell>
          <cell r="P150" t="str">
            <v>پیچ تنظیم</v>
          </cell>
          <cell r="AF150">
            <v>1</v>
          </cell>
          <cell r="AR150">
            <v>750000</v>
          </cell>
        </row>
        <row r="151">
          <cell r="B151" t="str">
            <v>فوتون 107</v>
          </cell>
          <cell r="C151" t="str">
            <v>قالب تعمیری</v>
          </cell>
          <cell r="P151" t="str">
            <v>صفحه میانی</v>
          </cell>
          <cell r="AF151">
            <v>2</v>
          </cell>
          <cell r="AR151">
            <v>1500000</v>
          </cell>
        </row>
        <row r="152">
          <cell r="B152" t="str">
            <v>قالب مترو مشهد</v>
          </cell>
          <cell r="C152" t="str">
            <v>قالب تعمیری</v>
          </cell>
          <cell r="P152" t="str">
            <v>صفحه</v>
          </cell>
          <cell r="AF152">
            <v>3</v>
          </cell>
          <cell r="AR152">
            <v>2250000</v>
          </cell>
        </row>
        <row r="153">
          <cell r="B153" t="str">
            <v>پخت کلاچ 309 سوراخدار</v>
          </cell>
          <cell r="C153" t="str">
            <v>قالب تعمیری</v>
          </cell>
          <cell r="P153" t="str">
            <v>Mold</v>
          </cell>
          <cell r="AF153">
            <v>2</v>
          </cell>
          <cell r="AR153">
            <v>1500000</v>
          </cell>
        </row>
        <row r="154">
          <cell r="B154" t="str">
            <v>شمش پراید</v>
          </cell>
          <cell r="C154" t="str">
            <v>قالب نو</v>
          </cell>
          <cell r="P154" t="str">
            <v>Mold</v>
          </cell>
          <cell r="AF154">
            <v>3</v>
          </cell>
          <cell r="AR154">
            <v>2250000</v>
          </cell>
        </row>
        <row r="155">
          <cell r="B155" t="str">
            <v>قالب مترو مشهد</v>
          </cell>
          <cell r="C155" t="str">
            <v>قالب تعمیری</v>
          </cell>
          <cell r="P155" t="str">
            <v>صفحه</v>
          </cell>
          <cell r="AF155">
            <v>3</v>
          </cell>
          <cell r="AR155">
            <v>2250000</v>
          </cell>
        </row>
        <row r="156">
          <cell r="B156" t="str">
            <v>جلو سمند سورن</v>
          </cell>
          <cell r="C156" t="str">
            <v>قالب تعمیری</v>
          </cell>
          <cell r="P156" t="str">
            <v>میل راهنما</v>
          </cell>
          <cell r="AF156">
            <v>2</v>
          </cell>
          <cell r="AR156">
            <v>1500000</v>
          </cell>
        </row>
        <row r="157">
          <cell r="B157" t="str">
            <v>پخت کلاچ 309 سوراخدار</v>
          </cell>
          <cell r="C157" t="str">
            <v>قالب تعمیری</v>
          </cell>
          <cell r="P157" t="str">
            <v>Mold</v>
          </cell>
          <cell r="AF157">
            <v>3</v>
          </cell>
          <cell r="AR157">
            <v>2250000</v>
          </cell>
        </row>
        <row r="158">
          <cell r="B158" t="str">
            <v>دستگاه ساب الماسه</v>
          </cell>
          <cell r="C158" t="str">
            <v>قطعه نو</v>
          </cell>
          <cell r="P158" t="str">
            <v>پیچ تنظیم</v>
          </cell>
          <cell r="AF158">
            <v>1</v>
          </cell>
          <cell r="AR158">
            <v>750000</v>
          </cell>
        </row>
        <row r="159">
          <cell r="B159" t="str">
            <v>فوتون 107</v>
          </cell>
          <cell r="C159" t="str">
            <v>قالب تعمیری</v>
          </cell>
          <cell r="P159" t="str">
            <v>صفحه میانی</v>
          </cell>
          <cell r="AF159">
            <v>2.5</v>
          </cell>
          <cell r="AR159">
            <v>3750000</v>
          </cell>
        </row>
        <row r="160">
          <cell r="B160" t="str">
            <v>لودر دیسکی XGL 50</v>
          </cell>
          <cell r="C160" t="str">
            <v>قالب نو</v>
          </cell>
          <cell r="P160" t="str">
            <v>Matrix</v>
          </cell>
          <cell r="AF160">
            <v>2</v>
          </cell>
          <cell r="AR160">
            <v>3000000</v>
          </cell>
        </row>
        <row r="161">
          <cell r="B161" t="str">
            <v>فوتون 107</v>
          </cell>
          <cell r="C161" t="str">
            <v>قالب تعمیری</v>
          </cell>
          <cell r="P161" t="str">
            <v>صفحه میانی</v>
          </cell>
          <cell r="AF161">
            <v>6.5</v>
          </cell>
          <cell r="AR161">
            <v>9750000</v>
          </cell>
        </row>
        <row r="162">
          <cell r="B162" t="str">
            <v>قالب شمشی عقب پیکان</v>
          </cell>
          <cell r="C162" t="str">
            <v>قالب نو</v>
          </cell>
          <cell r="P162" t="str">
            <v>top Insert</v>
          </cell>
          <cell r="AF162">
            <v>11</v>
          </cell>
          <cell r="AR162">
            <v>16500000</v>
          </cell>
        </row>
        <row r="163">
          <cell r="B163" t="str">
            <v>قالب مترو مشهد</v>
          </cell>
          <cell r="C163" t="str">
            <v>قالب تعمیری</v>
          </cell>
          <cell r="P163" t="str">
            <v>پل</v>
          </cell>
          <cell r="AF163">
            <v>4.5</v>
          </cell>
          <cell r="AR163">
            <v>3375000</v>
          </cell>
        </row>
        <row r="164">
          <cell r="B164" t="str">
            <v>قالب مترو مشهد</v>
          </cell>
          <cell r="C164" t="str">
            <v>قالب تعمیری</v>
          </cell>
          <cell r="P164" t="str">
            <v>Top plate</v>
          </cell>
          <cell r="AF164">
            <v>6.5</v>
          </cell>
          <cell r="AR164">
            <v>4875000</v>
          </cell>
        </row>
        <row r="165">
          <cell r="B165" t="str">
            <v>قالب پخت کلاچ</v>
          </cell>
          <cell r="C165" t="str">
            <v>قالب تعمیری</v>
          </cell>
          <cell r="P165" t="str">
            <v>Top plate</v>
          </cell>
          <cell r="AF165">
            <v>6.5</v>
          </cell>
          <cell r="AR165">
            <v>4875000</v>
          </cell>
        </row>
        <row r="166">
          <cell r="B166" t="str">
            <v>دستگاه ساب الماسه</v>
          </cell>
          <cell r="C166" t="str">
            <v>قطعه نو</v>
          </cell>
          <cell r="P166" t="str">
            <v>پیچ تنظیم</v>
          </cell>
          <cell r="AF166">
            <v>3.3333333333333335</v>
          </cell>
          <cell r="AR166">
            <v>2500000</v>
          </cell>
        </row>
        <row r="167">
          <cell r="B167" t="str">
            <v>پخت کلاچ 309 سوراخدار</v>
          </cell>
          <cell r="C167" t="str">
            <v>قالب تعمیری</v>
          </cell>
          <cell r="P167" t="str">
            <v>میل راهنما</v>
          </cell>
          <cell r="AF167">
            <v>4.083333333333333</v>
          </cell>
          <cell r="AR167">
            <v>3062500</v>
          </cell>
        </row>
        <row r="168">
          <cell r="B168" t="str">
            <v>دستگاه ساب الماسه</v>
          </cell>
          <cell r="C168" t="str">
            <v>قطعه نو</v>
          </cell>
          <cell r="P168" t="str">
            <v>توپی</v>
          </cell>
          <cell r="AF168">
            <v>9</v>
          </cell>
          <cell r="AR168">
            <v>6750000</v>
          </cell>
        </row>
        <row r="169">
          <cell r="B169" t="str">
            <v>دستگاه کشش سیم مفتول</v>
          </cell>
          <cell r="C169" t="str">
            <v>قطعه نو</v>
          </cell>
          <cell r="P169" t="str">
            <v>رینگ تفلنی</v>
          </cell>
          <cell r="AF169">
            <v>2</v>
          </cell>
          <cell r="AR169">
            <v>1500000</v>
          </cell>
        </row>
        <row r="170">
          <cell r="B170" t="str">
            <v>قالب 29162</v>
          </cell>
          <cell r="C170" t="str">
            <v>قالب تعمیری</v>
          </cell>
          <cell r="P170" t="str">
            <v>ورقگیر</v>
          </cell>
          <cell r="AF170">
            <v>8</v>
          </cell>
          <cell r="AR170">
            <v>6000000</v>
          </cell>
        </row>
        <row r="171">
          <cell r="B171" t="str">
            <v>برشی نیوفیس C&amp;C</v>
          </cell>
          <cell r="C171" t="str">
            <v>قالب نو</v>
          </cell>
          <cell r="P171" t="str">
            <v>سمبه راهنما</v>
          </cell>
          <cell r="AF171">
            <v>8</v>
          </cell>
          <cell r="AR171">
            <v>6000000</v>
          </cell>
        </row>
        <row r="172">
          <cell r="B172" t="str">
            <v>شمش پراید</v>
          </cell>
          <cell r="C172" t="str">
            <v>قالب نو</v>
          </cell>
          <cell r="P172" t="str">
            <v>R</v>
          </cell>
          <cell r="AF172">
            <v>8</v>
          </cell>
          <cell r="AR172">
            <v>6000000</v>
          </cell>
        </row>
        <row r="173">
          <cell r="B173" t="str">
            <v>برشی نیوفیس C&amp;C</v>
          </cell>
          <cell r="C173" t="str">
            <v>قالب نو</v>
          </cell>
          <cell r="P173" t="str">
            <v>Matrix</v>
          </cell>
          <cell r="AF173">
            <v>12</v>
          </cell>
          <cell r="AR173">
            <v>9000000</v>
          </cell>
        </row>
        <row r="174">
          <cell r="B174" t="str">
            <v>قطعه بیرونی</v>
          </cell>
          <cell r="C174" t="str">
            <v>قطعه تعمیری</v>
          </cell>
          <cell r="P174" t="str">
            <v>قطعه</v>
          </cell>
          <cell r="AF174">
            <v>4</v>
          </cell>
          <cell r="AR174">
            <v>3000000</v>
          </cell>
        </row>
        <row r="175">
          <cell r="B175" t="str">
            <v>پخت عقب پژو 405 شمشی پایه کوتاه</v>
          </cell>
          <cell r="C175" t="str">
            <v>قالب نو</v>
          </cell>
          <cell r="P175" t="str">
            <v>Mold</v>
          </cell>
          <cell r="AF175">
            <v>3</v>
          </cell>
          <cell r="AR175">
            <v>2250000</v>
          </cell>
        </row>
        <row r="176">
          <cell r="B176" t="str">
            <v>پخت کلاچ 309 سوراخدار</v>
          </cell>
          <cell r="C176" t="str">
            <v>قالب تعمیری</v>
          </cell>
          <cell r="P176" t="str">
            <v>Mold</v>
          </cell>
          <cell r="AF176">
            <v>4</v>
          </cell>
          <cell r="AR176">
            <v>3000000</v>
          </cell>
        </row>
        <row r="177">
          <cell r="B177" t="str">
            <v>دستگاه کشش سیم مفتول</v>
          </cell>
          <cell r="C177" t="str">
            <v>قطعه نو</v>
          </cell>
          <cell r="P177" t="str">
            <v>رینگ تفلنی</v>
          </cell>
          <cell r="AF177">
            <v>0.5</v>
          </cell>
          <cell r="AR177">
            <v>375000</v>
          </cell>
        </row>
        <row r="178">
          <cell r="B178" t="str">
            <v>پخت کلاچ 309 سوراخدار</v>
          </cell>
          <cell r="C178" t="str">
            <v>قالب تعمیری</v>
          </cell>
          <cell r="P178" t="str">
            <v>Top plate</v>
          </cell>
          <cell r="AF178">
            <v>1</v>
          </cell>
          <cell r="AR178">
            <v>750000</v>
          </cell>
        </row>
        <row r="179">
          <cell r="B179" t="str">
            <v>لنت صنعتی</v>
          </cell>
          <cell r="C179" t="str">
            <v>قطعه تعمیری</v>
          </cell>
          <cell r="P179" t="str">
            <v>لنت</v>
          </cell>
          <cell r="AF179">
            <v>1</v>
          </cell>
          <cell r="AR179">
            <v>750000</v>
          </cell>
        </row>
        <row r="180">
          <cell r="B180" t="str">
            <v>جلو سمند سورن</v>
          </cell>
          <cell r="C180" t="str">
            <v>قالب تعمیری</v>
          </cell>
          <cell r="P180" t="str">
            <v>پشت سنبه</v>
          </cell>
          <cell r="AF180">
            <v>4</v>
          </cell>
          <cell r="AR180">
            <v>3000000</v>
          </cell>
        </row>
        <row r="181">
          <cell r="B181" t="str">
            <v>لنت صنعتی</v>
          </cell>
          <cell r="C181" t="str">
            <v>قطعه تعمیری</v>
          </cell>
          <cell r="P181" t="str">
            <v>لنت</v>
          </cell>
          <cell r="AF181">
            <v>1</v>
          </cell>
          <cell r="AR181">
            <v>750000</v>
          </cell>
        </row>
        <row r="182">
          <cell r="B182" t="str">
            <v>قالب مترو مشهد</v>
          </cell>
          <cell r="C182" t="str">
            <v>قالب تعمیری</v>
          </cell>
          <cell r="P182" t="str">
            <v>Top plate</v>
          </cell>
          <cell r="AF182">
            <v>4</v>
          </cell>
          <cell r="AR182">
            <v>3000000</v>
          </cell>
        </row>
        <row r="183">
          <cell r="B183" t="str">
            <v>پخت کلاچ 309 سوراخدار</v>
          </cell>
          <cell r="C183" t="str">
            <v>قالب تعمیری</v>
          </cell>
          <cell r="P183" t="str">
            <v>Mold</v>
          </cell>
          <cell r="AF183">
            <v>1</v>
          </cell>
          <cell r="AR183">
            <v>750000</v>
          </cell>
        </row>
        <row r="184">
          <cell r="B184" t="str">
            <v>قالب مترو مشهد</v>
          </cell>
          <cell r="C184" t="str">
            <v>قالب تعمیری</v>
          </cell>
          <cell r="P184" t="str">
            <v>bottom plate</v>
          </cell>
          <cell r="AF184">
            <v>1</v>
          </cell>
          <cell r="AR184">
            <v>750000</v>
          </cell>
        </row>
        <row r="185">
          <cell r="B185" t="str">
            <v>قالب پخت کلاچ</v>
          </cell>
          <cell r="C185" t="str">
            <v>قالب تعمیری</v>
          </cell>
          <cell r="P185" t="str">
            <v>Top plate</v>
          </cell>
          <cell r="AF185">
            <v>11</v>
          </cell>
          <cell r="AR185">
            <v>8250000</v>
          </cell>
        </row>
        <row r="186">
          <cell r="B186" t="str">
            <v>قالب شمشی عقب پیکان</v>
          </cell>
          <cell r="C186" t="str">
            <v>قالب نو</v>
          </cell>
          <cell r="P186" t="str">
            <v>Mold</v>
          </cell>
          <cell r="AF186">
            <v>6.5</v>
          </cell>
          <cell r="AR186">
            <v>4875000</v>
          </cell>
        </row>
        <row r="187">
          <cell r="B187" t="str">
            <v>ساب ترابوزا</v>
          </cell>
          <cell r="C187" t="str">
            <v>قطعه نو</v>
          </cell>
          <cell r="P187" t="str">
            <v>درام نافی</v>
          </cell>
          <cell r="AF187">
            <v>11</v>
          </cell>
          <cell r="AR187">
            <v>8250000</v>
          </cell>
        </row>
        <row r="188">
          <cell r="B188" t="str">
            <v>قالب شمشی عقب پیکان</v>
          </cell>
          <cell r="C188" t="str">
            <v>قالب نو</v>
          </cell>
          <cell r="P188" t="str">
            <v>top Insert</v>
          </cell>
          <cell r="AF188">
            <v>11</v>
          </cell>
          <cell r="AR188">
            <v>16500000</v>
          </cell>
        </row>
        <row r="189">
          <cell r="B189" t="str">
            <v>فوتون 107</v>
          </cell>
          <cell r="C189" t="str">
            <v>قالب تعمیری</v>
          </cell>
          <cell r="P189" t="str">
            <v>صفحه میانی</v>
          </cell>
          <cell r="AF189">
            <v>2</v>
          </cell>
          <cell r="AR189">
            <v>3000000</v>
          </cell>
        </row>
        <row r="190">
          <cell r="B190" t="str">
            <v>برشی نیوفیس C&amp;C</v>
          </cell>
          <cell r="C190" t="str">
            <v>قالب نو</v>
          </cell>
          <cell r="P190" t="str">
            <v>آشغال ریز</v>
          </cell>
          <cell r="AF190">
            <v>9</v>
          </cell>
          <cell r="AR190">
            <v>13500000</v>
          </cell>
        </row>
        <row r="191">
          <cell r="B191" t="str">
            <v>فوتون 107</v>
          </cell>
          <cell r="C191" t="str">
            <v>قالب تعمیری</v>
          </cell>
          <cell r="P191" t="str">
            <v>Top plate</v>
          </cell>
          <cell r="AF191">
            <v>2.5</v>
          </cell>
          <cell r="AR191">
            <v>3750000</v>
          </cell>
        </row>
        <row r="192">
          <cell r="B192" t="str">
            <v>پخت عقب پژو 405 شمشی پایه کوتاه</v>
          </cell>
          <cell r="C192" t="str">
            <v>قالب نو</v>
          </cell>
          <cell r="P192" t="str">
            <v>تسمه</v>
          </cell>
          <cell r="AF192">
            <v>4</v>
          </cell>
          <cell r="AR192">
            <v>6000000</v>
          </cell>
        </row>
        <row r="193">
          <cell r="B193" t="str">
            <v>قالب مینی بوس آریا</v>
          </cell>
          <cell r="C193" t="str">
            <v>قالب نو</v>
          </cell>
          <cell r="P193" t="str">
            <v>Matrix</v>
          </cell>
          <cell r="AF193">
            <v>4.5</v>
          </cell>
          <cell r="AR193">
            <v>6750000</v>
          </cell>
        </row>
        <row r="194">
          <cell r="B194" t="str">
            <v>ویوینگ</v>
          </cell>
          <cell r="C194" t="str">
            <v>قطعه تعمیری</v>
          </cell>
          <cell r="P194" t="str">
            <v>کاسه ببرینگ</v>
          </cell>
          <cell r="AF194">
            <v>4</v>
          </cell>
          <cell r="AR194">
            <v>3000000</v>
          </cell>
        </row>
        <row r="195">
          <cell r="B195" t="str">
            <v>دستگاه کشش سیم مفتول</v>
          </cell>
          <cell r="C195" t="str">
            <v>قطعه نو</v>
          </cell>
          <cell r="P195" t="str">
            <v>رینگ تفلنی</v>
          </cell>
          <cell r="AF195">
            <v>4</v>
          </cell>
          <cell r="AR195">
            <v>3000000</v>
          </cell>
        </row>
        <row r="196">
          <cell r="B196" t="str">
            <v>جلو سمند سورن</v>
          </cell>
          <cell r="C196" t="str">
            <v>قالب تعمیری</v>
          </cell>
          <cell r="P196" t="str">
            <v>میل راهنما</v>
          </cell>
          <cell r="AF196">
            <v>2</v>
          </cell>
          <cell r="AR196">
            <v>1500000</v>
          </cell>
        </row>
        <row r="197">
          <cell r="B197" t="str">
            <v>قطعه بیرونی</v>
          </cell>
          <cell r="C197" t="str">
            <v>قطعه تعمیری</v>
          </cell>
          <cell r="P197" t="str">
            <v>قطعه</v>
          </cell>
          <cell r="AF197">
            <v>12</v>
          </cell>
          <cell r="AR197">
            <v>9000000</v>
          </cell>
        </row>
        <row r="198">
          <cell r="B198" t="str">
            <v>پخت کلاچ 309 سوراخدار</v>
          </cell>
          <cell r="C198" t="str">
            <v>قالب تعمیری</v>
          </cell>
          <cell r="P198" t="str">
            <v>جا میل راهنما</v>
          </cell>
          <cell r="AF198">
            <v>4</v>
          </cell>
          <cell r="AR198">
            <v>3000000</v>
          </cell>
        </row>
        <row r="199">
          <cell r="B199" t="str">
            <v>قالب پخت SAF</v>
          </cell>
          <cell r="C199" t="str">
            <v>قالب نو</v>
          </cell>
          <cell r="P199" t="str">
            <v>پشت سنبه</v>
          </cell>
          <cell r="AF199">
            <v>12</v>
          </cell>
          <cell r="AR199">
            <v>9000000</v>
          </cell>
        </row>
        <row r="200">
          <cell r="B200" t="str">
            <v>جلو سمند سورن</v>
          </cell>
          <cell r="C200" t="str">
            <v>قالب تعمیری</v>
          </cell>
          <cell r="P200" t="str">
            <v>Mold</v>
          </cell>
          <cell r="AF200">
            <v>3</v>
          </cell>
          <cell r="AR200">
            <v>2250000</v>
          </cell>
        </row>
        <row r="201">
          <cell r="B201" t="str">
            <v>پخت کلاچ 309 سوراخدار</v>
          </cell>
          <cell r="C201" t="str">
            <v>قالب تعمیری</v>
          </cell>
          <cell r="P201" t="str">
            <v>سوپاپ</v>
          </cell>
          <cell r="AF201">
            <v>2</v>
          </cell>
          <cell r="AR201">
            <v>1500000</v>
          </cell>
        </row>
        <row r="202">
          <cell r="B202" t="str">
            <v>سنگ مغناطیسی</v>
          </cell>
          <cell r="C202" t="str">
            <v>دستگاه تعمیری</v>
          </cell>
          <cell r="P202" t="str">
            <v>میز</v>
          </cell>
          <cell r="AF202">
            <v>2</v>
          </cell>
          <cell r="AR202">
            <v>1500000</v>
          </cell>
        </row>
        <row r="203">
          <cell r="B203" t="str">
            <v>فوتون 107</v>
          </cell>
          <cell r="C203" t="str">
            <v>قالب تعمیری</v>
          </cell>
          <cell r="P203" t="str">
            <v>صفحه میانی</v>
          </cell>
          <cell r="AF203">
            <v>4</v>
          </cell>
          <cell r="AR203">
            <v>3000000</v>
          </cell>
        </row>
        <row r="204">
          <cell r="B204" t="str">
            <v>قالب مترو مشهد</v>
          </cell>
          <cell r="C204" t="str">
            <v>قالب تعمیری</v>
          </cell>
          <cell r="P204" t="str">
            <v>Top plate</v>
          </cell>
          <cell r="AF204">
            <v>3</v>
          </cell>
          <cell r="AR204">
            <v>2250000</v>
          </cell>
        </row>
        <row r="205">
          <cell r="B205" t="str">
            <v>پخت کلاچ پراید</v>
          </cell>
          <cell r="C205" t="str">
            <v>قالب تعمیری</v>
          </cell>
          <cell r="P205" t="str">
            <v>Pin</v>
          </cell>
          <cell r="AF205">
            <v>3</v>
          </cell>
          <cell r="AR205">
            <v>2250000</v>
          </cell>
        </row>
        <row r="206">
          <cell r="B206" t="str">
            <v>کامیونت هیوندای</v>
          </cell>
          <cell r="C206" t="str">
            <v>قالب نو</v>
          </cell>
          <cell r="P206" t="str">
            <v>Matrix</v>
          </cell>
          <cell r="AF206">
            <v>6.5</v>
          </cell>
          <cell r="AR206">
            <v>4875000</v>
          </cell>
        </row>
        <row r="207">
          <cell r="B207" t="str">
            <v>خودرو دیزل آذربایجان</v>
          </cell>
          <cell r="C207" t="str">
            <v>قالب نو</v>
          </cell>
          <cell r="P207" t="str">
            <v>Matrix</v>
          </cell>
          <cell r="AF207">
            <v>11</v>
          </cell>
          <cell r="AR207">
            <v>16500000</v>
          </cell>
        </row>
        <row r="208">
          <cell r="B208" t="str">
            <v>کامیونت هیوندای</v>
          </cell>
          <cell r="C208" t="str">
            <v>قالب نو</v>
          </cell>
          <cell r="P208" t="str">
            <v>Top plate</v>
          </cell>
          <cell r="AF208">
            <v>5.5</v>
          </cell>
          <cell r="AR208">
            <v>4125000</v>
          </cell>
        </row>
        <row r="209">
          <cell r="B209" t="str">
            <v>قالب پخت کلاچ</v>
          </cell>
          <cell r="C209" t="str">
            <v>قالب تعمیری</v>
          </cell>
          <cell r="P209" t="str">
            <v>Top plate</v>
          </cell>
          <cell r="AF209">
            <v>5.5</v>
          </cell>
          <cell r="AR209">
            <v>4125000</v>
          </cell>
        </row>
        <row r="210">
          <cell r="B210" t="str">
            <v>قالب پخت کلاچ</v>
          </cell>
          <cell r="C210" t="str">
            <v>قالب تعمیری</v>
          </cell>
          <cell r="P210" t="str">
            <v>Top plate</v>
          </cell>
          <cell r="AF210">
            <v>11</v>
          </cell>
          <cell r="AR210">
            <v>8250000</v>
          </cell>
        </row>
        <row r="211">
          <cell r="B211" t="str">
            <v>قالب مینی بوس آریا</v>
          </cell>
          <cell r="C211" t="str">
            <v>قالب نو</v>
          </cell>
          <cell r="P211" t="str">
            <v>Matrix</v>
          </cell>
          <cell r="AF211">
            <v>3</v>
          </cell>
          <cell r="AR211">
            <v>4500000</v>
          </cell>
        </row>
        <row r="212">
          <cell r="B212" t="str">
            <v>قالب مینی بوس آریا</v>
          </cell>
          <cell r="C212" t="str">
            <v>قالب نو</v>
          </cell>
          <cell r="P212" t="str">
            <v>bottom plate</v>
          </cell>
          <cell r="AF212">
            <v>8</v>
          </cell>
          <cell r="AR212">
            <v>12000000</v>
          </cell>
        </row>
        <row r="213">
          <cell r="B213" t="str">
            <v>کلمپ زنی</v>
          </cell>
          <cell r="C213" t="str">
            <v>قطعه تعمیری</v>
          </cell>
          <cell r="P213" t="str">
            <v>Shaft</v>
          </cell>
          <cell r="AF213">
            <v>4</v>
          </cell>
          <cell r="AR213">
            <v>3000000</v>
          </cell>
        </row>
        <row r="214">
          <cell r="B214" t="str">
            <v>ویوینگ</v>
          </cell>
          <cell r="C214" t="str">
            <v>قطعه تعمیری</v>
          </cell>
          <cell r="P214" t="str">
            <v>کشویی</v>
          </cell>
          <cell r="AF214">
            <v>2</v>
          </cell>
          <cell r="AR214">
            <v>1500000</v>
          </cell>
        </row>
        <row r="215">
          <cell r="B215" t="str">
            <v>ساب سمباده ای</v>
          </cell>
          <cell r="C215" t="str">
            <v>قطعه نو</v>
          </cell>
          <cell r="P215" t="str">
            <v>توپی</v>
          </cell>
          <cell r="AF215">
            <v>3</v>
          </cell>
          <cell r="AR215">
            <v>2250000</v>
          </cell>
        </row>
        <row r="216">
          <cell r="B216" t="str">
            <v>برشی نیوفیس C&amp;C</v>
          </cell>
          <cell r="C216" t="str">
            <v>قالب نو</v>
          </cell>
          <cell r="P216" t="str">
            <v>آشغال ریز</v>
          </cell>
          <cell r="AF216">
            <v>2.5</v>
          </cell>
          <cell r="AR216">
            <v>3750000</v>
          </cell>
        </row>
        <row r="217">
          <cell r="B217" t="str">
            <v>سوراخکاری پیلسان</v>
          </cell>
          <cell r="C217" t="str">
            <v>قطعه نو</v>
          </cell>
          <cell r="P217" t="str">
            <v>Mandrel</v>
          </cell>
          <cell r="AF217">
            <v>2.5</v>
          </cell>
          <cell r="AR217">
            <v>3750000</v>
          </cell>
        </row>
        <row r="218">
          <cell r="B218" t="str">
            <v>دریل یزدخواستی کلاچ</v>
          </cell>
          <cell r="C218" t="str">
            <v>قطعه نو</v>
          </cell>
          <cell r="P218" t="str">
            <v>صفحه راهنما</v>
          </cell>
          <cell r="AF218">
            <v>3</v>
          </cell>
          <cell r="AR218">
            <v>4500000</v>
          </cell>
        </row>
        <row r="219">
          <cell r="B219" t="str">
            <v>لودر دیسکی XGL 50</v>
          </cell>
          <cell r="C219" t="str">
            <v>قالب نو</v>
          </cell>
          <cell r="P219" t="str">
            <v>آشغال ریز</v>
          </cell>
          <cell r="AF219">
            <v>3</v>
          </cell>
          <cell r="AR219">
            <v>4500000</v>
          </cell>
        </row>
        <row r="220">
          <cell r="B220" t="str">
            <v>پخت کلاچ 309 سوراخدار</v>
          </cell>
          <cell r="C220" t="str">
            <v>قالب تعمیری</v>
          </cell>
          <cell r="P220" t="str">
            <v>جا میل راهنما</v>
          </cell>
          <cell r="AF220">
            <v>12</v>
          </cell>
          <cell r="AR220">
            <v>9000000</v>
          </cell>
        </row>
        <row r="221">
          <cell r="B221" t="str">
            <v>قالب پخت SAF</v>
          </cell>
          <cell r="C221" t="str">
            <v>قالب نو</v>
          </cell>
          <cell r="P221" t="str">
            <v>پشت سنبه</v>
          </cell>
          <cell r="AF221">
            <v>12</v>
          </cell>
          <cell r="AR221">
            <v>9000000</v>
          </cell>
        </row>
        <row r="222">
          <cell r="B222" t="str">
            <v>قطعه بیرونی</v>
          </cell>
          <cell r="C222" t="str">
            <v>قطعه تعمیری</v>
          </cell>
          <cell r="P222" t="str">
            <v>قطعه</v>
          </cell>
          <cell r="AF222">
            <v>12</v>
          </cell>
          <cell r="AR222">
            <v>9000000</v>
          </cell>
        </row>
        <row r="223">
          <cell r="B223" t="str">
            <v>قالب مترو مشهد</v>
          </cell>
          <cell r="C223" t="str">
            <v>قالب تعمیری</v>
          </cell>
          <cell r="P223" t="str">
            <v>چهارسو</v>
          </cell>
          <cell r="AF223">
            <v>2</v>
          </cell>
          <cell r="AR223">
            <v>1500000</v>
          </cell>
        </row>
        <row r="224">
          <cell r="B224" t="str">
            <v>پخت کلاچ هوو</v>
          </cell>
          <cell r="C224" t="str">
            <v>قالب تعمیری</v>
          </cell>
          <cell r="P224" t="str">
            <v>guaid Road</v>
          </cell>
          <cell r="AF224">
            <v>4</v>
          </cell>
          <cell r="AR224">
            <v>3000000</v>
          </cell>
        </row>
        <row r="225">
          <cell r="B225" t="str">
            <v>برشی نیوفیس C&amp;C</v>
          </cell>
          <cell r="C225" t="str">
            <v>قالب نو</v>
          </cell>
          <cell r="P225" t="str">
            <v>MOLd</v>
          </cell>
          <cell r="AF225">
            <v>3</v>
          </cell>
          <cell r="AR225">
            <v>2250000</v>
          </cell>
        </row>
        <row r="226">
          <cell r="B226" t="str">
            <v>قالب شمشی عقب پیکان</v>
          </cell>
          <cell r="C226" t="str">
            <v>قالب نو</v>
          </cell>
          <cell r="P226" t="str">
            <v>MOLd</v>
          </cell>
          <cell r="AF226">
            <v>2</v>
          </cell>
          <cell r="AR226">
            <v>1500000</v>
          </cell>
        </row>
        <row r="227">
          <cell r="B227" t="str">
            <v>ویوینگ</v>
          </cell>
          <cell r="C227" t="str">
            <v>قطعه نو</v>
          </cell>
          <cell r="P227" t="str">
            <v>دری کاسه</v>
          </cell>
          <cell r="AF227">
            <v>3</v>
          </cell>
          <cell r="AR227">
            <v>2250000</v>
          </cell>
        </row>
        <row r="228">
          <cell r="B228" t="str">
            <v>ساب ترابوزا</v>
          </cell>
          <cell r="C228" t="str">
            <v>قطعه نو</v>
          </cell>
          <cell r="P228" t="str">
            <v>درام نافی</v>
          </cell>
          <cell r="AF228">
            <v>3</v>
          </cell>
          <cell r="AR228">
            <v>2250000</v>
          </cell>
        </row>
        <row r="229">
          <cell r="B229" t="str">
            <v>پخت کلاچ ایسوزو</v>
          </cell>
          <cell r="C229" t="str">
            <v>قالب تعمیری</v>
          </cell>
          <cell r="P229" t="str">
            <v>رینگ</v>
          </cell>
          <cell r="AF229">
            <v>5</v>
          </cell>
          <cell r="AR229">
            <v>3750000</v>
          </cell>
        </row>
        <row r="230">
          <cell r="B230" t="str">
            <v>قالب پخت کلاچ</v>
          </cell>
          <cell r="C230" t="str">
            <v>قالب تعمیری</v>
          </cell>
          <cell r="P230" t="str">
            <v>Top plate</v>
          </cell>
          <cell r="AF230">
            <v>4</v>
          </cell>
          <cell r="AR230">
            <v>3000000</v>
          </cell>
        </row>
        <row r="231">
          <cell r="B231" t="str">
            <v>کامیونت هیوندای</v>
          </cell>
          <cell r="C231" t="str">
            <v>قالب نو</v>
          </cell>
          <cell r="P231" t="str">
            <v>Mandrel Up</v>
          </cell>
          <cell r="AF231">
            <v>6</v>
          </cell>
          <cell r="AR231">
            <v>4500000</v>
          </cell>
        </row>
        <row r="232">
          <cell r="B232" t="str">
            <v>کامیونت هیوندای</v>
          </cell>
          <cell r="C232" t="str">
            <v>قالب نو</v>
          </cell>
          <cell r="P232" t="str">
            <v>پشت سنبه</v>
          </cell>
          <cell r="AF232">
            <v>1</v>
          </cell>
          <cell r="AR232">
            <v>750000</v>
          </cell>
        </row>
        <row r="233">
          <cell r="B233" t="str">
            <v>دریل یزدخواستی کلاچ</v>
          </cell>
          <cell r="C233" t="str">
            <v>قطعه نو</v>
          </cell>
          <cell r="P233" t="str">
            <v>صفحه راهنما</v>
          </cell>
          <cell r="AF233">
            <v>6.5</v>
          </cell>
          <cell r="AR233">
            <v>9750000</v>
          </cell>
        </row>
        <row r="234">
          <cell r="B234" t="str">
            <v xml:space="preserve">قالب پخت کلاچ پیکان </v>
          </cell>
          <cell r="C234" t="str">
            <v>قالب تعمیری</v>
          </cell>
          <cell r="P234" t="str">
            <v>Matrix</v>
          </cell>
          <cell r="AF234">
            <v>11</v>
          </cell>
          <cell r="AR234">
            <v>16500000</v>
          </cell>
        </row>
        <row r="235">
          <cell r="B235" t="str">
            <v>قالب پخت کلاچ</v>
          </cell>
          <cell r="C235" t="str">
            <v>قالب تعمیری</v>
          </cell>
          <cell r="P235" t="str">
            <v>Top plate</v>
          </cell>
          <cell r="AF235">
            <v>11</v>
          </cell>
          <cell r="AR235">
            <v>8250000</v>
          </cell>
        </row>
        <row r="236">
          <cell r="B236" t="str">
            <v>قالب مینی بوس آریا</v>
          </cell>
          <cell r="C236" t="str">
            <v>قالب نو</v>
          </cell>
          <cell r="P236" t="str">
            <v>bottom plate</v>
          </cell>
          <cell r="AF236">
            <v>6.5</v>
          </cell>
          <cell r="AR236">
            <v>9750000</v>
          </cell>
        </row>
        <row r="237">
          <cell r="B237" t="str">
            <v>خودرو دیزل آذربایجان</v>
          </cell>
          <cell r="C237" t="str">
            <v>قالب نو</v>
          </cell>
          <cell r="P237" t="str">
            <v>bottom plate</v>
          </cell>
          <cell r="AF237">
            <v>4.5</v>
          </cell>
          <cell r="AR237">
            <v>6750000</v>
          </cell>
        </row>
        <row r="238">
          <cell r="B238" t="str">
            <v>کامیونت هیوندای</v>
          </cell>
          <cell r="C238" t="str">
            <v>قالب نو</v>
          </cell>
          <cell r="P238" t="str">
            <v>Matrix</v>
          </cell>
          <cell r="AF238">
            <v>5</v>
          </cell>
          <cell r="AR238">
            <v>3750000</v>
          </cell>
        </row>
        <row r="239">
          <cell r="B239" t="str">
            <v>کامیونت هیوندای</v>
          </cell>
          <cell r="C239" t="str">
            <v>قالب نو</v>
          </cell>
          <cell r="P239" t="str">
            <v>Matrix</v>
          </cell>
          <cell r="AF239">
            <v>1.5</v>
          </cell>
          <cell r="AR239">
            <v>1125000</v>
          </cell>
        </row>
        <row r="240">
          <cell r="B240" t="str">
            <v>سنگ مغناطیسی</v>
          </cell>
          <cell r="C240" t="str">
            <v>دستگاه تعمیری</v>
          </cell>
          <cell r="P240" t="str">
            <v>میز</v>
          </cell>
          <cell r="AF240">
            <v>5.5</v>
          </cell>
          <cell r="AR240">
            <v>4125000</v>
          </cell>
        </row>
        <row r="241">
          <cell r="B241" t="str">
            <v>قالب پخت کلاچ</v>
          </cell>
          <cell r="C241" t="str">
            <v>قالب تعمیری</v>
          </cell>
          <cell r="P241" t="str">
            <v>Top plate</v>
          </cell>
          <cell r="AF241">
            <v>5.5</v>
          </cell>
          <cell r="AR241">
            <v>4125000</v>
          </cell>
        </row>
        <row r="242">
          <cell r="B242" t="str">
            <v>ساب سمباده ای</v>
          </cell>
          <cell r="C242" t="str">
            <v>قطعه نو</v>
          </cell>
          <cell r="P242" t="str">
            <v>دری توپی</v>
          </cell>
          <cell r="AF242">
            <v>8</v>
          </cell>
          <cell r="AR242">
            <v>6000000</v>
          </cell>
        </row>
        <row r="243">
          <cell r="B243" t="str">
            <v>پخت عقب پژو 405 شمشی پایه کوتاه</v>
          </cell>
          <cell r="C243" t="str">
            <v>قالب نو</v>
          </cell>
          <cell r="P243" t="str">
            <v>Mold</v>
          </cell>
          <cell r="AF243">
            <v>9</v>
          </cell>
          <cell r="AR243">
            <v>6750000</v>
          </cell>
        </row>
        <row r="244">
          <cell r="B244" t="str">
            <v>پخت کلاچ 309 سوراخدار</v>
          </cell>
          <cell r="C244" t="str">
            <v>قالب تعمیری</v>
          </cell>
          <cell r="P244" t="str">
            <v>جا میل راهنما</v>
          </cell>
          <cell r="AF244">
            <v>3</v>
          </cell>
          <cell r="AR244">
            <v>2250000</v>
          </cell>
        </row>
        <row r="245">
          <cell r="B245" t="str">
            <v>لودر دیسکی XGL 50</v>
          </cell>
          <cell r="C245" t="str">
            <v>قالب نو</v>
          </cell>
          <cell r="P245" t="str">
            <v>Mold</v>
          </cell>
          <cell r="AF245">
            <v>9</v>
          </cell>
          <cell r="AR245">
            <v>6750000</v>
          </cell>
        </row>
        <row r="246">
          <cell r="B246" t="str">
            <v>کامیونت هیوندای</v>
          </cell>
          <cell r="C246" t="str">
            <v>قالب نو</v>
          </cell>
          <cell r="P246" t="str">
            <v>پشت سنبه</v>
          </cell>
          <cell r="AF246">
            <v>6</v>
          </cell>
          <cell r="AR246">
            <v>4500000</v>
          </cell>
        </row>
        <row r="247">
          <cell r="B247" t="str">
            <v>قالب پخت SAF</v>
          </cell>
          <cell r="C247" t="str">
            <v>قالب نو</v>
          </cell>
          <cell r="P247" t="str">
            <v>پشت سنبه</v>
          </cell>
          <cell r="AF247">
            <v>2</v>
          </cell>
          <cell r="AR247">
            <v>1500000</v>
          </cell>
        </row>
        <row r="248">
          <cell r="B248" t="str">
            <v>قالب پخت کلاچ</v>
          </cell>
          <cell r="C248" t="str">
            <v>قالب تعمیری</v>
          </cell>
          <cell r="P248" t="str">
            <v>Top plate</v>
          </cell>
          <cell r="AF248">
            <v>3</v>
          </cell>
          <cell r="AR248">
            <v>2250000</v>
          </cell>
        </row>
        <row r="249">
          <cell r="B249" t="str">
            <v>خودرو دیزل آذربایجان</v>
          </cell>
          <cell r="C249" t="str">
            <v>قالب نو</v>
          </cell>
          <cell r="P249" t="str">
            <v>Matrix</v>
          </cell>
          <cell r="AF249">
            <v>4</v>
          </cell>
          <cell r="AR249">
            <v>3000000</v>
          </cell>
        </row>
        <row r="250">
          <cell r="B250" t="str">
            <v>قالب مترو مشهد</v>
          </cell>
          <cell r="C250" t="str">
            <v>قالب تعمیری</v>
          </cell>
          <cell r="P250" t="str">
            <v>Mold</v>
          </cell>
          <cell r="AF250">
            <v>2</v>
          </cell>
          <cell r="AR250">
            <v>1500000</v>
          </cell>
        </row>
        <row r="251">
          <cell r="B251" t="str">
            <v>سنگ مغناطیسی</v>
          </cell>
          <cell r="C251" t="str">
            <v>دستگاه تعمیری</v>
          </cell>
          <cell r="P251" t="str">
            <v>میز</v>
          </cell>
          <cell r="AF251">
            <v>2</v>
          </cell>
          <cell r="AR251">
            <v>1500000</v>
          </cell>
        </row>
        <row r="252">
          <cell r="B252" t="str">
            <v>ساب سمباده ای</v>
          </cell>
          <cell r="C252" t="str">
            <v>قطعه نو</v>
          </cell>
          <cell r="P252" t="str">
            <v>توپی</v>
          </cell>
          <cell r="AF252">
            <v>4</v>
          </cell>
          <cell r="AR252">
            <v>3000000</v>
          </cell>
        </row>
        <row r="253">
          <cell r="B253" t="str">
            <v>ساب ترابوزا</v>
          </cell>
          <cell r="C253" t="str">
            <v>قطعه نو</v>
          </cell>
          <cell r="P253" t="str">
            <v>درام نافی</v>
          </cell>
          <cell r="AF253">
            <v>3</v>
          </cell>
          <cell r="AR253">
            <v>2250000</v>
          </cell>
        </row>
        <row r="254">
          <cell r="B254" t="str">
            <v>ساب الماسه</v>
          </cell>
          <cell r="C254" t="str">
            <v>قطعه تعمیری</v>
          </cell>
          <cell r="P254" t="str">
            <v>توپی</v>
          </cell>
          <cell r="AF254">
            <v>2</v>
          </cell>
          <cell r="AR254">
            <v>1500000</v>
          </cell>
        </row>
        <row r="255">
          <cell r="B255" t="str">
            <v>ساب ترابوزا</v>
          </cell>
          <cell r="C255" t="str">
            <v>قطعه تعمیری</v>
          </cell>
          <cell r="P255" t="str">
            <v>رینگ</v>
          </cell>
          <cell r="AF255">
            <v>2</v>
          </cell>
          <cell r="AR255">
            <v>1500000</v>
          </cell>
        </row>
        <row r="256">
          <cell r="B256" t="str">
            <v>دستگاه پرس پخت</v>
          </cell>
          <cell r="C256" t="str">
            <v>قطعه تعمیری</v>
          </cell>
          <cell r="P256" t="str">
            <v>صفحه نسوز</v>
          </cell>
          <cell r="AF256">
            <v>1</v>
          </cell>
          <cell r="AR256">
            <v>750000</v>
          </cell>
        </row>
        <row r="257">
          <cell r="B257" t="str">
            <v>ویوینگ</v>
          </cell>
          <cell r="C257" t="str">
            <v>قطعه تعمیری</v>
          </cell>
          <cell r="P257" t="str">
            <v>شفت</v>
          </cell>
          <cell r="AF257">
            <v>2</v>
          </cell>
          <cell r="AR257">
            <v>1500000</v>
          </cell>
        </row>
        <row r="258">
          <cell r="B258" t="str">
            <v>قالب مترو مشهد</v>
          </cell>
          <cell r="C258" t="str">
            <v>قالب تعمیری</v>
          </cell>
          <cell r="P258" t="str">
            <v>Mold</v>
          </cell>
          <cell r="AF258">
            <v>2</v>
          </cell>
          <cell r="AR258">
            <v>1500000</v>
          </cell>
        </row>
        <row r="259">
          <cell r="B259" t="str">
            <v>قالب مترو مشهد</v>
          </cell>
          <cell r="C259" t="str">
            <v>قالب تعمیری</v>
          </cell>
          <cell r="P259" t="str">
            <v>Mold</v>
          </cell>
          <cell r="AF259">
            <v>2</v>
          </cell>
          <cell r="AR259">
            <v>1500000</v>
          </cell>
        </row>
        <row r="260">
          <cell r="B260" t="str">
            <v>پخت کلاچ 309 سوراخدار</v>
          </cell>
          <cell r="C260" t="str">
            <v>قالب تعمیری</v>
          </cell>
          <cell r="P260" t="str">
            <v>صفحه</v>
          </cell>
          <cell r="AF260">
            <v>1</v>
          </cell>
          <cell r="AR260">
            <v>750000</v>
          </cell>
        </row>
        <row r="261">
          <cell r="B261" t="str">
            <v>جلو سمند سورن</v>
          </cell>
          <cell r="C261" t="str">
            <v>قالب تعمیری</v>
          </cell>
          <cell r="P261" t="str">
            <v>Mold</v>
          </cell>
          <cell r="AF261">
            <v>5</v>
          </cell>
          <cell r="AR261">
            <v>3750000</v>
          </cell>
        </row>
        <row r="262">
          <cell r="B262" t="str">
            <v>قالب مترو مشهد</v>
          </cell>
          <cell r="C262" t="str">
            <v>قالب تعمیری</v>
          </cell>
          <cell r="P262" t="str">
            <v>صفحه</v>
          </cell>
          <cell r="AF262">
            <v>4</v>
          </cell>
          <cell r="AR262">
            <v>3000000</v>
          </cell>
        </row>
        <row r="263">
          <cell r="B263" t="str">
            <v>پخت کلاچ 309 سوراخدار</v>
          </cell>
          <cell r="C263" t="str">
            <v>قالب تعمیری</v>
          </cell>
          <cell r="P263" t="str">
            <v>MOLd</v>
          </cell>
          <cell r="AF263">
            <v>1</v>
          </cell>
          <cell r="AR263">
            <v>750000</v>
          </cell>
        </row>
        <row r="264">
          <cell r="B264" t="str">
            <v>خودرو دیزل آذربایجان</v>
          </cell>
          <cell r="C264" t="str">
            <v>قالب نو</v>
          </cell>
          <cell r="P264" t="str">
            <v>bottom plate</v>
          </cell>
          <cell r="AF264">
            <v>11</v>
          </cell>
          <cell r="AR264">
            <v>16500000</v>
          </cell>
        </row>
        <row r="265">
          <cell r="B265" t="str">
            <v xml:space="preserve">قالب پخت کلاچ پیکان </v>
          </cell>
          <cell r="C265" t="str">
            <v>قالب تعمیری</v>
          </cell>
          <cell r="P265" t="str">
            <v>Matrix</v>
          </cell>
          <cell r="AF265">
            <v>11</v>
          </cell>
          <cell r="AR265">
            <v>16500000</v>
          </cell>
        </row>
        <row r="266">
          <cell r="B266" t="str">
            <v>کامیونت هیوندای</v>
          </cell>
          <cell r="C266" t="str">
            <v>قالب نو</v>
          </cell>
          <cell r="P266" t="str">
            <v>Matrix</v>
          </cell>
          <cell r="AF266">
            <v>6.5</v>
          </cell>
          <cell r="AR266">
            <v>4875000</v>
          </cell>
        </row>
        <row r="267">
          <cell r="B267" t="str">
            <v>قالب پخت کلاچ</v>
          </cell>
          <cell r="C267" t="str">
            <v>قالب تعمیری</v>
          </cell>
          <cell r="P267" t="str">
            <v>Top plate</v>
          </cell>
          <cell r="AF267">
            <v>3.5</v>
          </cell>
          <cell r="AR267">
            <v>2625000</v>
          </cell>
        </row>
        <row r="268">
          <cell r="B268" t="str">
            <v>فرز Taksan</v>
          </cell>
          <cell r="C268" t="str">
            <v>دستگاه تعمیری</v>
          </cell>
          <cell r="P268" t="str">
            <v>دستگاه</v>
          </cell>
          <cell r="AF268">
            <v>7.5</v>
          </cell>
          <cell r="AR268">
            <v>5625000</v>
          </cell>
        </row>
        <row r="269">
          <cell r="B269" t="str">
            <v>کامیونت هیوندای</v>
          </cell>
          <cell r="C269" t="str">
            <v>قالب نو</v>
          </cell>
          <cell r="P269" t="str">
            <v>پشت سنبه</v>
          </cell>
          <cell r="AF269">
            <v>5.5</v>
          </cell>
          <cell r="AR269">
            <v>4125000</v>
          </cell>
        </row>
        <row r="270">
          <cell r="B270" t="str">
            <v>کامیونت هیوندای</v>
          </cell>
          <cell r="C270" t="str">
            <v>قالب نو</v>
          </cell>
          <cell r="P270" t="str">
            <v>Mandrel Up</v>
          </cell>
          <cell r="AF270">
            <v>4.5</v>
          </cell>
          <cell r="AR270">
            <v>3375000</v>
          </cell>
        </row>
        <row r="271">
          <cell r="B271" t="str">
            <v>چکش تست لنت</v>
          </cell>
          <cell r="C271" t="str">
            <v>قطعه تعمیری</v>
          </cell>
          <cell r="P271" t="str">
            <v>چکش</v>
          </cell>
          <cell r="AF271">
            <v>1</v>
          </cell>
          <cell r="AR271">
            <v>750000</v>
          </cell>
        </row>
        <row r="272">
          <cell r="B272" t="str">
            <v>پخت کلاچ 309 سوراخدار</v>
          </cell>
          <cell r="C272" t="str">
            <v>قالب تعمیری</v>
          </cell>
          <cell r="P272" t="str">
            <v>میل راهنما</v>
          </cell>
          <cell r="AF272">
            <v>3.3333333333333335</v>
          </cell>
          <cell r="AR272">
            <v>2500000</v>
          </cell>
        </row>
        <row r="273">
          <cell r="B273" t="str">
            <v>دستگاه برش جمعی</v>
          </cell>
          <cell r="C273" t="str">
            <v>قطعه تعمیری</v>
          </cell>
          <cell r="P273" t="str">
            <v>تیغه</v>
          </cell>
          <cell r="AF273">
            <v>3.3333333333333335</v>
          </cell>
          <cell r="AR273">
            <v>2500000</v>
          </cell>
        </row>
        <row r="274">
          <cell r="B274" t="str">
            <v>سری نقطه جوش</v>
          </cell>
          <cell r="C274" t="str">
            <v>قطعه تعمیری</v>
          </cell>
          <cell r="P274" t="str">
            <v>مسی</v>
          </cell>
          <cell r="AF274">
            <v>1</v>
          </cell>
          <cell r="AR274">
            <v>750000</v>
          </cell>
        </row>
        <row r="275">
          <cell r="B275" t="str">
            <v>قالب پخت SAF</v>
          </cell>
          <cell r="C275" t="str">
            <v>قالب نو</v>
          </cell>
          <cell r="P275" t="str">
            <v>میل راهنما</v>
          </cell>
          <cell r="AF275">
            <v>3.3333333333333335</v>
          </cell>
          <cell r="AR275">
            <v>2500000</v>
          </cell>
        </row>
        <row r="276">
          <cell r="B276" t="str">
            <v>پخت عقب پژو 405 شمشی پایه کوتاه</v>
          </cell>
          <cell r="C276" t="str">
            <v>قالب نو</v>
          </cell>
          <cell r="P276" t="str">
            <v>Mold</v>
          </cell>
          <cell r="AF276">
            <v>12</v>
          </cell>
          <cell r="AR276">
            <v>9000000</v>
          </cell>
        </row>
        <row r="277">
          <cell r="B277" t="str">
            <v>فیکسچر سوراخکاری  لنت دایان انرژی</v>
          </cell>
          <cell r="C277" t="str">
            <v>قطعه نو</v>
          </cell>
          <cell r="P277" t="str">
            <v>Bush</v>
          </cell>
          <cell r="AF277">
            <v>7</v>
          </cell>
          <cell r="AR277">
            <v>5250000</v>
          </cell>
        </row>
        <row r="278">
          <cell r="B278" t="str">
            <v>پشم فلز آلمانی</v>
          </cell>
          <cell r="C278" t="str">
            <v>قطعه نو</v>
          </cell>
          <cell r="P278" t="str">
            <v>واشر</v>
          </cell>
          <cell r="AF278">
            <v>4</v>
          </cell>
          <cell r="AR278">
            <v>3000000</v>
          </cell>
        </row>
        <row r="279">
          <cell r="B279" t="str">
            <v>ساب ترابوزا</v>
          </cell>
          <cell r="C279" t="str">
            <v>قطعه نو</v>
          </cell>
          <cell r="P279" t="str">
            <v>درام نافی</v>
          </cell>
          <cell r="AF279">
            <v>3</v>
          </cell>
          <cell r="AR279">
            <v>2250000</v>
          </cell>
        </row>
        <row r="280">
          <cell r="B280" t="str">
            <v>پشم فلز آلمانی</v>
          </cell>
          <cell r="C280" t="str">
            <v>قطعه نو</v>
          </cell>
          <cell r="P280" t="str">
            <v>مهره</v>
          </cell>
          <cell r="AF280">
            <v>2</v>
          </cell>
          <cell r="AR280">
            <v>1500000</v>
          </cell>
        </row>
        <row r="281">
          <cell r="B281" t="str">
            <v>اصول 5S</v>
          </cell>
          <cell r="C281" t="str">
            <v>نظافت</v>
          </cell>
          <cell r="P281" t="str">
            <v>دستگاه</v>
          </cell>
          <cell r="AF281">
            <v>1</v>
          </cell>
          <cell r="AR281">
            <v>750000</v>
          </cell>
        </row>
        <row r="282">
          <cell r="B282" t="str">
            <v>خودرو دیزل آذربایجان</v>
          </cell>
          <cell r="C282" t="str">
            <v>قالب نو</v>
          </cell>
          <cell r="P282" t="str">
            <v>Matrix</v>
          </cell>
          <cell r="AF282">
            <v>3</v>
          </cell>
          <cell r="AR282">
            <v>2250000</v>
          </cell>
        </row>
        <row r="283">
          <cell r="B283" t="str">
            <v>قالب پخت SAF</v>
          </cell>
          <cell r="C283" t="str">
            <v>قالب نو</v>
          </cell>
          <cell r="P283" t="str">
            <v>صفحه</v>
          </cell>
          <cell r="AF283">
            <v>2</v>
          </cell>
          <cell r="AR283">
            <v>1500000</v>
          </cell>
        </row>
        <row r="284">
          <cell r="B284" t="str">
            <v>قالب پخت SAF</v>
          </cell>
          <cell r="C284" t="str">
            <v>قالب نو</v>
          </cell>
          <cell r="P284" t="str">
            <v>Mold</v>
          </cell>
          <cell r="AF284">
            <v>2</v>
          </cell>
          <cell r="AR284">
            <v>1500000</v>
          </cell>
        </row>
        <row r="285">
          <cell r="B285" t="str">
            <v>Grinding Machine Drum</v>
          </cell>
          <cell r="C285" t="str">
            <v>قطعه نو</v>
          </cell>
          <cell r="P285" t="str">
            <v>توپی</v>
          </cell>
          <cell r="AF285">
            <v>5</v>
          </cell>
          <cell r="AR285">
            <v>3750000</v>
          </cell>
        </row>
        <row r="286">
          <cell r="B286" t="str">
            <v>قالب پخت SAF</v>
          </cell>
          <cell r="C286" t="str">
            <v>قالب تعمیری</v>
          </cell>
          <cell r="P286" t="str">
            <v>Mold</v>
          </cell>
          <cell r="AF286">
            <v>2</v>
          </cell>
          <cell r="AR286">
            <v>1500000</v>
          </cell>
        </row>
        <row r="287">
          <cell r="B287" t="str">
            <v>پخت کلاچ 309 سوراخدار</v>
          </cell>
          <cell r="C287" t="str">
            <v>قالب تعمیری</v>
          </cell>
          <cell r="P287" t="str">
            <v>میل راهنما</v>
          </cell>
          <cell r="AF287">
            <v>2</v>
          </cell>
          <cell r="AR287">
            <v>1500000</v>
          </cell>
        </row>
        <row r="288">
          <cell r="B288" t="str">
            <v>قالب پخت SAF</v>
          </cell>
          <cell r="C288" t="str">
            <v>قالب نو</v>
          </cell>
          <cell r="P288" t="str">
            <v>Top plate</v>
          </cell>
          <cell r="AF288">
            <v>2</v>
          </cell>
          <cell r="AR288">
            <v>1500000</v>
          </cell>
        </row>
        <row r="289">
          <cell r="B289" t="str">
            <v>قالب پخت SAF</v>
          </cell>
          <cell r="C289" t="str">
            <v>قالب تعمیری</v>
          </cell>
          <cell r="P289" t="str">
            <v>Mandrel</v>
          </cell>
          <cell r="AF289">
            <v>2</v>
          </cell>
          <cell r="AR289">
            <v>1500000</v>
          </cell>
        </row>
        <row r="290">
          <cell r="B290" t="str">
            <v>قالب پخت SAF</v>
          </cell>
          <cell r="C290" t="str">
            <v>قالب تعمیری</v>
          </cell>
          <cell r="P290" t="str">
            <v>bottom plate</v>
          </cell>
          <cell r="AF290">
            <v>1</v>
          </cell>
          <cell r="AR290">
            <v>750000</v>
          </cell>
        </row>
        <row r="291">
          <cell r="B291" t="str">
            <v>پخت کلاچ 309 سوراخدار</v>
          </cell>
          <cell r="C291" t="str">
            <v>قالب تعمیری</v>
          </cell>
          <cell r="P291" t="str">
            <v>میل راهنما</v>
          </cell>
          <cell r="AF291">
            <v>3</v>
          </cell>
          <cell r="AR291">
            <v>2250000</v>
          </cell>
        </row>
        <row r="292">
          <cell r="B292" t="str">
            <v>پشم فلز آلمانی</v>
          </cell>
          <cell r="C292" t="str">
            <v>قطعه نو</v>
          </cell>
          <cell r="P292" t="str">
            <v>شفت</v>
          </cell>
          <cell r="AF292">
            <v>1</v>
          </cell>
          <cell r="AR292">
            <v>750000</v>
          </cell>
        </row>
        <row r="293">
          <cell r="B293" t="str">
            <v>قالب پخت SAF</v>
          </cell>
          <cell r="C293" t="str">
            <v>قالب تعمیری</v>
          </cell>
          <cell r="P293" t="str">
            <v>Mold</v>
          </cell>
          <cell r="AF293">
            <v>2</v>
          </cell>
          <cell r="AR293">
            <v>1500000</v>
          </cell>
        </row>
        <row r="294">
          <cell r="B294" t="str">
            <v>دریل یزدخواستی کلاچ</v>
          </cell>
          <cell r="C294" t="str">
            <v>قطعه نو</v>
          </cell>
          <cell r="P294" t="str">
            <v>صفحه راهنما</v>
          </cell>
          <cell r="AF294">
            <v>5.5</v>
          </cell>
          <cell r="AR294">
            <v>8250000</v>
          </cell>
        </row>
        <row r="295">
          <cell r="B295" t="str">
            <v>سوراخکاری پیلسان</v>
          </cell>
          <cell r="C295" t="str">
            <v>قطعه نو</v>
          </cell>
          <cell r="P295" t="str">
            <v>Mandrel</v>
          </cell>
          <cell r="AF295">
            <v>5.5</v>
          </cell>
          <cell r="AR295">
            <v>8250000</v>
          </cell>
        </row>
        <row r="296">
          <cell r="B296" t="str">
            <v>کامیونت هیوندای</v>
          </cell>
          <cell r="C296" t="str">
            <v>قالب نو</v>
          </cell>
          <cell r="P296" t="str">
            <v>Matrix</v>
          </cell>
          <cell r="AF296">
            <v>6.5</v>
          </cell>
          <cell r="AR296">
            <v>4875000</v>
          </cell>
        </row>
        <row r="297">
          <cell r="B297" t="str">
            <v xml:space="preserve">قالب پخت کلاچ پیکان </v>
          </cell>
          <cell r="C297" t="str">
            <v>قالب تعمیری</v>
          </cell>
          <cell r="P297" t="str">
            <v>Matrix</v>
          </cell>
          <cell r="AF297">
            <v>6</v>
          </cell>
          <cell r="AR297">
            <v>9000000</v>
          </cell>
        </row>
        <row r="298">
          <cell r="B298" t="str">
            <v>اصول 5S</v>
          </cell>
          <cell r="C298" t="str">
            <v>نظافت</v>
          </cell>
          <cell r="P298" t="str">
            <v>دستگاه</v>
          </cell>
          <cell r="AF298">
            <v>1.5</v>
          </cell>
          <cell r="AR298">
            <v>1125000</v>
          </cell>
        </row>
        <row r="299">
          <cell r="B299" t="str">
            <v xml:space="preserve">قالب پخت کلاچ پیکان </v>
          </cell>
          <cell r="C299" t="str">
            <v>قالب تعمیری</v>
          </cell>
          <cell r="P299" t="str">
            <v>Matrix</v>
          </cell>
          <cell r="AF299">
            <v>3.5</v>
          </cell>
          <cell r="AR299">
            <v>5250000</v>
          </cell>
        </row>
        <row r="300">
          <cell r="B300" t="str">
            <v>کامیونت هیوندای</v>
          </cell>
          <cell r="C300" t="str">
            <v>قالب نو</v>
          </cell>
          <cell r="P300" t="str">
            <v>bottom plate</v>
          </cell>
          <cell r="AF300">
            <v>3</v>
          </cell>
          <cell r="AR300">
            <v>2250000</v>
          </cell>
        </row>
        <row r="301">
          <cell r="B301" t="str">
            <v>قالب پخت کلاچ</v>
          </cell>
          <cell r="C301" t="str">
            <v>قالب تعمیری</v>
          </cell>
          <cell r="P301" t="str">
            <v>Top plate</v>
          </cell>
          <cell r="AF301">
            <v>8</v>
          </cell>
          <cell r="AR301">
            <v>6000000</v>
          </cell>
        </row>
        <row r="302">
          <cell r="B302" t="str">
            <v>کامیونت هیوندای</v>
          </cell>
          <cell r="C302" t="str">
            <v>قالب نو</v>
          </cell>
          <cell r="P302" t="str">
            <v>Bottom Insert</v>
          </cell>
          <cell r="AF302">
            <v>3.5</v>
          </cell>
          <cell r="AR302">
            <v>2625000</v>
          </cell>
        </row>
        <row r="303">
          <cell r="B303" t="str">
            <v>قالب پخت کلاچ</v>
          </cell>
          <cell r="C303" t="str">
            <v>قالب تعمیری</v>
          </cell>
          <cell r="P303" t="str">
            <v>Top plate</v>
          </cell>
          <cell r="AF303">
            <v>7.5</v>
          </cell>
          <cell r="AR303">
            <v>5625000</v>
          </cell>
        </row>
        <row r="304">
          <cell r="B304" t="str">
            <v>خودرو دیزل آذربایجان</v>
          </cell>
          <cell r="C304" t="str">
            <v>قالب نو</v>
          </cell>
          <cell r="P304" t="str">
            <v>Matrix</v>
          </cell>
          <cell r="AF304">
            <v>6</v>
          </cell>
          <cell r="AR304">
            <v>9000000</v>
          </cell>
        </row>
        <row r="305">
          <cell r="B305" t="str">
            <v>اصول 5S</v>
          </cell>
          <cell r="C305" t="str">
            <v>نظافت</v>
          </cell>
          <cell r="P305" t="str">
            <v>دستگاه</v>
          </cell>
          <cell r="AF305">
            <v>1.5</v>
          </cell>
          <cell r="AR305">
            <v>1125000</v>
          </cell>
        </row>
        <row r="306">
          <cell r="B306" t="str">
            <v>خودرو دیزل آذربایجان</v>
          </cell>
          <cell r="C306" t="str">
            <v>قالب نو</v>
          </cell>
          <cell r="P306" t="str">
            <v>Matrix</v>
          </cell>
          <cell r="AF306">
            <v>3.5</v>
          </cell>
          <cell r="AR306">
            <v>5250000</v>
          </cell>
        </row>
        <row r="307">
          <cell r="B307" t="str">
            <v>سوراخکاری پیلسان</v>
          </cell>
          <cell r="C307" t="str">
            <v>قطعه نو</v>
          </cell>
          <cell r="P307" t="str">
            <v>Mandrel</v>
          </cell>
          <cell r="AF307">
            <v>3.5</v>
          </cell>
          <cell r="AR307">
            <v>5250000</v>
          </cell>
        </row>
        <row r="308">
          <cell r="B308" t="str">
            <v>Grinding Machine Drum</v>
          </cell>
          <cell r="C308" t="str">
            <v>قطعه نو</v>
          </cell>
          <cell r="P308" t="str">
            <v>درب توپی</v>
          </cell>
          <cell r="AF308">
            <v>2</v>
          </cell>
          <cell r="AR308">
            <v>3000000</v>
          </cell>
        </row>
        <row r="309">
          <cell r="B309" t="str">
            <v>Grinding Machine Drum</v>
          </cell>
          <cell r="C309" t="str">
            <v>قطعه نو</v>
          </cell>
          <cell r="P309" t="str">
            <v>Shaft</v>
          </cell>
          <cell r="AF309">
            <v>1.5</v>
          </cell>
          <cell r="AR309">
            <v>2250000</v>
          </cell>
        </row>
        <row r="310">
          <cell r="B310" t="str">
            <v>اصول 5S</v>
          </cell>
          <cell r="C310" t="str">
            <v>نظافت</v>
          </cell>
          <cell r="P310" t="str">
            <v>دستگاه</v>
          </cell>
          <cell r="AF310">
            <v>1.5</v>
          </cell>
          <cell r="AR310">
            <v>1125000</v>
          </cell>
        </row>
        <row r="311">
          <cell r="B311" t="str">
            <v>ویوینگ</v>
          </cell>
          <cell r="C311" t="str">
            <v>قطعه تعمیری</v>
          </cell>
          <cell r="P311" t="str">
            <v>کشویی</v>
          </cell>
          <cell r="AF311">
            <v>2</v>
          </cell>
          <cell r="AR311">
            <v>1500000</v>
          </cell>
        </row>
        <row r="312">
          <cell r="B312" t="str">
            <v>ساب دیسکی</v>
          </cell>
          <cell r="C312" t="str">
            <v>قطعه نو</v>
          </cell>
          <cell r="P312" t="str">
            <v>Shaft</v>
          </cell>
          <cell r="AF312">
            <v>3</v>
          </cell>
          <cell r="AR312">
            <v>2250000</v>
          </cell>
        </row>
        <row r="313">
          <cell r="B313" t="str">
            <v>ساب سمباده ای</v>
          </cell>
          <cell r="C313" t="str">
            <v>قطعه نو</v>
          </cell>
          <cell r="P313" t="str">
            <v>دری شفت</v>
          </cell>
          <cell r="AF313">
            <v>5</v>
          </cell>
          <cell r="AR313">
            <v>3750000</v>
          </cell>
        </row>
        <row r="314">
          <cell r="B314" t="str">
            <v>ویوینگ</v>
          </cell>
          <cell r="C314" t="str">
            <v>قطعه تعمیری</v>
          </cell>
          <cell r="P314" t="str">
            <v>کشویی</v>
          </cell>
          <cell r="AF314">
            <v>1</v>
          </cell>
          <cell r="AR314">
            <v>750000</v>
          </cell>
        </row>
        <row r="315">
          <cell r="B315" t="str">
            <v>دستگاه پرس پخت</v>
          </cell>
          <cell r="C315" t="str">
            <v>قطعه تعمیری</v>
          </cell>
          <cell r="P315" t="str">
            <v>لنت</v>
          </cell>
          <cell r="AF315">
            <v>1</v>
          </cell>
          <cell r="AR315">
            <v>750000</v>
          </cell>
        </row>
        <row r="316">
          <cell r="B316" t="str">
            <v>قالب پخت SAF</v>
          </cell>
          <cell r="C316" t="str">
            <v>قالب نو</v>
          </cell>
          <cell r="P316" t="str">
            <v>Top plate</v>
          </cell>
          <cell r="AF316">
            <v>1</v>
          </cell>
          <cell r="AR316">
            <v>750000</v>
          </cell>
        </row>
        <row r="317">
          <cell r="B317" t="str">
            <v>قالب پخت SAF</v>
          </cell>
          <cell r="C317" t="str">
            <v>قالب تعمیری</v>
          </cell>
          <cell r="P317" t="str">
            <v>bottom plate</v>
          </cell>
          <cell r="AF317">
            <v>4</v>
          </cell>
          <cell r="AR317">
            <v>3000000</v>
          </cell>
        </row>
        <row r="318">
          <cell r="B318" t="str">
            <v>قالب مینی بوس آریا</v>
          </cell>
          <cell r="C318" t="str">
            <v>قالب نو</v>
          </cell>
          <cell r="P318" t="str">
            <v>Top plate</v>
          </cell>
          <cell r="AF318">
            <v>4</v>
          </cell>
          <cell r="AR318">
            <v>3000000</v>
          </cell>
        </row>
        <row r="319">
          <cell r="B319" t="str">
            <v>قالب ذوب آهن</v>
          </cell>
          <cell r="C319" t="str">
            <v>قالب تعمیری</v>
          </cell>
          <cell r="P319" t="str">
            <v>Mold</v>
          </cell>
          <cell r="AF319">
            <v>1</v>
          </cell>
          <cell r="AR319">
            <v>750000</v>
          </cell>
        </row>
        <row r="320">
          <cell r="B320" t="str">
            <v>قالب پخت SAF</v>
          </cell>
          <cell r="C320" t="str">
            <v>قالب تعمیری</v>
          </cell>
          <cell r="P320" t="str">
            <v>bottom plate</v>
          </cell>
          <cell r="AF320">
            <v>4</v>
          </cell>
          <cell r="AR320">
            <v>3000000</v>
          </cell>
        </row>
        <row r="321">
          <cell r="B321" t="str">
            <v>قالب مینی بوس آریا</v>
          </cell>
          <cell r="C321" t="str">
            <v>قالب نو</v>
          </cell>
          <cell r="P321" t="str">
            <v>Top plate</v>
          </cell>
          <cell r="AF321">
            <v>3</v>
          </cell>
          <cell r="AR321">
            <v>2250000</v>
          </cell>
        </row>
        <row r="322">
          <cell r="B322" t="str">
            <v>ساب دیسکی</v>
          </cell>
          <cell r="C322" t="str">
            <v>قطعه نو</v>
          </cell>
          <cell r="P322" t="str">
            <v>Shaft</v>
          </cell>
          <cell r="AF322">
            <v>1</v>
          </cell>
          <cell r="AR322">
            <v>750000</v>
          </cell>
        </row>
        <row r="323">
          <cell r="B323" t="str">
            <v>دستگاه پرس پخت</v>
          </cell>
          <cell r="C323" t="str">
            <v>قطعه تعمیری</v>
          </cell>
          <cell r="P323" t="str">
            <v>لنت</v>
          </cell>
          <cell r="AF323">
            <v>1</v>
          </cell>
          <cell r="AR323">
            <v>750000</v>
          </cell>
        </row>
        <row r="324">
          <cell r="B324" t="str">
            <v>قالب پخت SAF</v>
          </cell>
          <cell r="C324" t="str">
            <v>قالب نو</v>
          </cell>
          <cell r="P324" t="str">
            <v>میل راهنما</v>
          </cell>
          <cell r="AF324">
            <v>2</v>
          </cell>
          <cell r="AR324">
            <v>1500000</v>
          </cell>
        </row>
        <row r="325">
          <cell r="B325" t="str">
            <v>کامیونت هیوندای</v>
          </cell>
          <cell r="C325" t="str">
            <v>قالب نو</v>
          </cell>
          <cell r="P325" t="str">
            <v>Bottom Insert</v>
          </cell>
          <cell r="AF325">
            <v>3</v>
          </cell>
          <cell r="AR325">
            <v>2250000</v>
          </cell>
        </row>
        <row r="326">
          <cell r="B326" t="str">
            <v>خودرو دیزل آذربایجان</v>
          </cell>
          <cell r="C326" t="str">
            <v>قالب نو</v>
          </cell>
          <cell r="P326" t="str">
            <v>Bottom Insert</v>
          </cell>
          <cell r="AF326">
            <v>3</v>
          </cell>
          <cell r="AR326">
            <v>2250000</v>
          </cell>
        </row>
        <row r="327">
          <cell r="B327" t="str">
            <v>پشم فلز آلمانی</v>
          </cell>
          <cell r="C327" t="str">
            <v>قطعه نو</v>
          </cell>
          <cell r="P327" t="str">
            <v>واشر</v>
          </cell>
          <cell r="AF327">
            <v>10</v>
          </cell>
          <cell r="AR327">
            <v>7500000</v>
          </cell>
        </row>
        <row r="328">
          <cell r="B328" t="str">
            <v>قالب برشی SAF</v>
          </cell>
          <cell r="C328" t="str">
            <v>قالب تعمیری</v>
          </cell>
          <cell r="P328" t="str">
            <v>Mandrel</v>
          </cell>
          <cell r="AF328">
            <v>1</v>
          </cell>
          <cell r="AR328">
            <v>750000</v>
          </cell>
        </row>
        <row r="329">
          <cell r="B329" t="str">
            <v>خودرو دیزل آذربایجان</v>
          </cell>
          <cell r="C329" t="str">
            <v>قالب نو</v>
          </cell>
          <cell r="P329" t="str">
            <v>Bottom Insert</v>
          </cell>
          <cell r="AF329">
            <v>2</v>
          </cell>
          <cell r="AR329">
            <v>1500000</v>
          </cell>
        </row>
        <row r="330">
          <cell r="B330" t="str">
            <v>قالب پخت SAF</v>
          </cell>
          <cell r="C330" t="str">
            <v>قالب نو</v>
          </cell>
          <cell r="P330" t="str">
            <v>میل راهنما</v>
          </cell>
          <cell r="AF330">
            <v>4</v>
          </cell>
          <cell r="AR330">
            <v>3000000</v>
          </cell>
        </row>
        <row r="331">
          <cell r="B331" t="str">
            <v>قالب پخت SAF</v>
          </cell>
          <cell r="C331" t="str">
            <v>قالب تعمیری</v>
          </cell>
          <cell r="P331" t="str">
            <v>میل راهنما</v>
          </cell>
          <cell r="AF331">
            <v>4</v>
          </cell>
          <cell r="AR331">
            <v>3000000</v>
          </cell>
        </row>
        <row r="332">
          <cell r="B332" t="str">
            <v>سری نقطه جوش</v>
          </cell>
          <cell r="C332" t="str">
            <v>قطعه تعمیری</v>
          </cell>
          <cell r="P332" t="str">
            <v>مسی</v>
          </cell>
          <cell r="AF332">
            <v>3</v>
          </cell>
          <cell r="AR332">
            <v>2250000</v>
          </cell>
        </row>
        <row r="333">
          <cell r="B333" t="str">
            <v>کامیونت هیوندای</v>
          </cell>
          <cell r="C333" t="str">
            <v>قالب نو</v>
          </cell>
          <cell r="P333" t="str">
            <v>Matrix</v>
          </cell>
          <cell r="AF333">
            <v>6.5</v>
          </cell>
          <cell r="AR333">
            <v>4875000</v>
          </cell>
        </row>
        <row r="334">
          <cell r="B334" t="str">
            <v xml:space="preserve">قالب پخت کلاچ پیکان </v>
          </cell>
          <cell r="C334" t="str">
            <v>قالب تعمیری</v>
          </cell>
          <cell r="P334" t="str">
            <v>Matrix</v>
          </cell>
          <cell r="AF334">
            <v>11</v>
          </cell>
          <cell r="AR334">
            <v>16500000</v>
          </cell>
        </row>
        <row r="335">
          <cell r="B335" t="str">
            <v>خودرو دیزل آذربایجان</v>
          </cell>
          <cell r="C335" t="str">
            <v>قالب نو</v>
          </cell>
          <cell r="P335" t="str">
            <v>Top plate</v>
          </cell>
          <cell r="AF335">
            <v>11</v>
          </cell>
          <cell r="AR335">
            <v>16500000</v>
          </cell>
        </row>
        <row r="336">
          <cell r="B336" t="str">
            <v>ساب ترابوزا</v>
          </cell>
          <cell r="C336" t="str">
            <v>قطعه نو</v>
          </cell>
          <cell r="P336" t="str">
            <v>درام نافی</v>
          </cell>
          <cell r="AF336">
            <v>11</v>
          </cell>
          <cell r="AR336">
            <v>8250000</v>
          </cell>
        </row>
        <row r="337">
          <cell r="B337" t="str">
            <v>کامیونت هیوندای</v>
          </cell>
          <cell r="C337" t="str">
            <v>قالب نو</v>
          </cell>
          <cell r="P337" t="str">
            <v>Mandrel</v>
          </cell>
          <cell r="AF337">
            <v>7.5</v>
          </cell>
          <cell r="AR337">
            <v>5625000</v>
          </cell>
        </row>
        <row r="338">
          <cell r="B338" t="str">
            <v>فیکسچر سوراخکاری  لنت دایان انرژی</v>
          </cell>
          <cell r="C338" t="str">
            <v>قطعه نو</v>
          </cell>
          <cell r="P338" t="str">
            <v>فیکسچر</v>
          </cell>
          <cell r="AF338">
            <v>3.5</v>
          </cell>
          <cell r="AR338">
            <v>2625000</v>
          </cell>
        </row>
        <row r="339">
          <cell r="B339" t="str">
            <v>Grinding Machine Drum</v>
          </cell>
          <cell r="C339" t="str">
            <v>قطعه نو</v>
          </cell>
          <cell r="P339" t="str">
            <v>درب توپی</v>
          </cell>
          <cell r="AF339">
            <v>2</v>
          </cell>
          <cell r="AR339">
            <v>3000000</v>
          </cell>
        </row>
        <row r="340">
          <cell r="B340" t="str">
            <v>Grinding Machine Drum</v>
          </cell>
          <cell r="C340" t="str">
            <v>قطعه نو</v>
          </cell>
          <cell r="P340" t="str">
            <v>توپی</v>
          </cell>
          <cell r="AF340">
            <v>3.5</v>
          </cell>
          <cell r="AR340">
            <v>5250000</v>
          </cell>
        </row>
        <row r="341">
          <cell r="B341" t="str">
            <v>پخت کلاچ 309 سوراخدار</v>
          </cell>
          <cell r="C341" t="str">
            <v>قالب تعمیری</v>
          </cell>
          <cell r="P341" t="str">
            <v>Mandrel</v>
          </cell>
          <cell r="AF341">
            <v>5.5</v>
          </cell>
          <cell r="AR341">
            <v>8250000</v>
          </cell>
        </row>
        <row r="342">
          <cell r="B342" t="str">
            <v>کامیونت هیوندای</v>
          </cell>
          <cell r="C342" t="str">
            <v>قالب نو</v>
          </cell>
          <cell r="P342" t="str">
            <v>Bottom Insert</v>
          </cell>
          <cell r="AF342">
            <v>12</v>
          </cell>
          <cell r="AR342">
            <v>9000000</v>
          </cell>
        </row>
        <row r="343">
          <cell r="B343" t="str">
            <v>خودرو دیزل آذربایجان</v>
          </cell>
          <cell r="C343" t="str">
            <v>قالب نو</v>
          </cell>
          <cell r="P343" t="str">
            <v>Bottom Insert</v>
          </cell>
          <cell r="AF343">
            <v>9</v>
          </cell>
          <cell r="AR343">
            <v>6750000</v>
          </cell>
        </row>
        <row r="344">
          <cell r="B344" t="str">
            <v>خودرو دیزل آذربایجان</v>
          </cell>
          <cell r="C344" t="str">
            <v>قالب نو</v>
          </cell>
          <cell r="P344" t="str">
            <v>Bottom Insert</v>
          </cell>
          <cell r="AF344">
            <v>9</v>
          </cell>
          <cell r="AR344">
            <v>6750000</v>
          </cell>
        </row>
        <row r="345">
          <cell r="B345" t="str">
            <v>ساب دیسکی</v>
          </cell>
          <cell r="C345" t="str">
            <v>قطعه نو</v>
          </cell>
          <cell r="P345" t="str">
            <v>Shaft</v>
          </cell>
          <cell r="AF345">
            <v>1</v>
          </cell>
          <cell r="AR345">
            <v>750000</v>
          </cell>
        </row>
        <row r="346">
          <cell r="B346" t="str">
            <v>فیکسچر سوراخکاری  لنت دایان انرژی</v>
          </cell>
          <cell r="C346" t="str">
            <v>قطعه نو</v>
          </cell>
          <cell r="P346" t="str">
            <v>فیکسچر</v>
          </cell>
          <cell r="AF346">
            <v>5</v>
          </cell>
          <cell r="AR346">
            <v>3750000</v>
          </cell>
        </row>
        <row r="347">
          <cell r="B347" t="str">
            <v>قالب شمشی عقب پیکان</v>
          </cell>
          <cell r="C347" t="str">
            <v>قالب نو</v>
          </cell>
          <cell r="P347" t="str">
            <v>MOLd</v>
          </cell>
          <cell r="AF347">
            <v>1</v>
          </cell>
          <cell r="AR347">
            <v>750000</v>
          </cell>
        </row>
        <row r="348">
          <cell r="B348" t="str">
            <v>قالب شمشی عقب پیکان</v>
          </cell>
          <cell r="C348" t="str">
            <v>قالب نو</v>
          </cell>
          <cell r="P348" t="str">
            <v>دیواره</v>
          </cell>
          <cell r="AF348">
            <v>2.5</v>
          </cell>
          <cell r="AR348">
            <v>1875000</v>
          </cell>
        </row>
        <row r="349">
          <cell r="B349" t="str">
            <v>قالب کوبه دیما</v>
          </cell>
          <cell r="C349" t="str">
            <v>قالب تعمیری</v>
          </cell>
          <cell r="P349" t="str">
            <v>کوبه</v>
          </cell>
          <cell r="AF349">
            <v>5.5</v>
          </cell>
          <cell r="AR349">
            <v>4125000</v>
          </cell>
        </row>
        <row r="350">
          <cell r="B350" t="str">
            <v>قالب عقب F12</v>
          </cell>
          <cell r="C350" t="str">
            <v>قالب نو</v>
          </cell>
          <cell r="P350" t="str">
            <v>Matrix</v>
          </cell>
          <cell r="AF350">
            <v>4</v>
          </cell>
          <cell r="AR350">
            <v>3000000</v>
          </cell>
        </row>
        <row r="351">
          <cell r="B351" t="str">
            <v>فیکسچر سوراخکاری  لنت دایان انرژی</v>
          </cell>
          <cell r="C351" t="str">
            <v>قطعه نو</v>
          </cell>
          <cell r="P351" t="str">
            <v>فیکسچر</v>
          </cell>
          <cell r="AF351">
            <v>6</v>
          </cell>
          <cell r="AR351">
            <v>4500000</v>
          </cell>
        </row>
        <row r="352">
          <cell r="B352" t="str">
            <v>کامیونت هیوندای</v>
          </cell>
          <cell r="C352" t="str">
            <v>قالب نو</v>
          </cell>
          <cell r="P352" t="str">
            <v>bottom plate</v>
          </cell>
          <cell r="AF352">
            <v>5</v>
          </cell>
          <cell r="AR352">
            <v>3750000</v>
          </cell>
        </row>
        <row r="353">
          <cell r="B353" t="str">
            <v>کامیونت هیوندای</v>
          </cell>
          <cell r="C353" t="str">
            <v>قالب نو</v>
          </cell>
          <cell r="P353" t="str">
            <v>تسمه</v>
          </cell>
          <cell r="AF353">
            <v>7</v>
          </cell>
          <cell r="AR353">
            <v>5250000</v>
          </cell>
        </row>
        <row r="354">
          <cell r="B354" t="str">
            <v>قالب پخت SAF</v>
          </cell>
          <cell r="C354" t="str">
            <v>قالب تعمیری</v>
          </cell>
          <cell r="P354" t="str">
            <v>میل راهنما</v>
          </cell>
          <cell r="AF354">
            <v>4</v>
          </cell>
          <cell r="AR354">
            <v>3000000</v>
          </cell>
        </row>
        <row r="355">
          <cell r="B355" t="str">
            <v>دستگاه کشش پشم فلز</v>
          </cell>
          <cell r="C355" t="str">
            <v>قطعه نو</v>
          </cell>
          <cell r="P355" t="str">
            <v>Shaft</v>
          </cell>
          <cell r="AF355">
            <v>3</v>
          </cell>
          <cell r="AR355">
            <v>2250000</v>
          </cell>
        </row>
        <row r="356">
          <cell r="B356" t="str">
            <v>پشم فلز آلمانی</v>
          </cell>
          <cell r="C356" t="str">
            <v>قطعه تعمیری</v>
          </cell>
          <cell r="P356" t="str">
            <v>واشر</v>
          </cell>
          <cell r="AF356">
            <v>2</v>
          </cell>
          <cell r="AR356">
            <v>1500000</v>
          </cell>
        </row>
        <row r="357">
          <cell r="B357" t="str">
            <v>سری نقطه جوش</v>
          </cell>
          <cell r="C357" t="str">
            <v>قطعه تعمیری</v>
          </cell>
          <cell r="P357" t="str">
            <v>مسی</v>
          </cell>
          <cell r="AF357">
            <v>2</v>
          </cell>
          <cell r="AR357">
            <v>1500000</v>
          </cell>
        </row>
        <row r="358">
          <cell r="B358" t="str">
            <v>قالب ذوب آهن</v>
          </cell>
          <cell r="C358" t="str">
            <v>قالب تعمیری</v>
          </cell>
          <cell r="P358" t="str">
            <v>Mold</v>
          </cell>
          <cell r="AF358">
            <v>3</v>
          </cell>
          <cell r="AR358">
            <v>2250000</v>
          </cell>
        </row>
        <row r="359">
          <cell r="B359" t="str">
            <v>قالب عقب F12</v>
          </cell>
          <cell r="C359" t="str">
            <v>قالب نو</v>
          </cell>
          <cell r="P359" t="str">
            <v>bottom plate</v>
          </cell>
          <cell r="AF359">
            <v>5</v>
          </cell>
          <cell r="AR359">
            <v>3750000</v>
          </cell>
        </row>
        <row r="360">
          <cell r="B360" t="str">
            <v>قالب مینی بوس آریا</v>
          </cell>
          <cell r="C360" t="str">
            <v>قالب نو</v>
          </cell>
          <cell r="P360" t="str">
            <v>bottom plate</v>
          </cell>
          <cell r="AF360">
            <v>2</v>
          </cell>
          <cell r="AR360">
            <v>1500000</v>
          </cell>
        </row>
        <row r="361">
          <cell r="B361" t="str">
            <v>پخت کلاچ 309 سوراخدار</v>
          </cell>
          <cell r="C361" t="str">
            <v>قالب تعمیری</v>
          </cell>
          <cell r="P361" t="str">
            <v>Mold</v>
          </cell>
          <cell r="AF361">
            <v>1</v>
          </cell>
          <cell r="AR361">
            <v>750000</v>
          </cell>
        </row>
        <row r="362">
          <cell r="B362" t="str">
            <v>قالب ذوب آهن</v>
          </cell>
          <cell r="C362" t="str">
            <v>قالب تعمیری</v>
          </cell>
          <cell r="P362" t="str">
            <v>Mold</v>
          </cell>
          <cell r="AF362">
            <v>3</v>
          </cell>
          <cell r="AR362">
            <v>2250000</v>
          </cell>
        </row>
        <row r="363">
          <cell r="B363" t="str">
            <v>قالب عقب F12</v>
          </cell>
          <cell r="C363" t="str">
            <v>قالب نو</v>
          </cell>
          <cell r="P363" t="str">
            <v>bottom plate</v>
          </cell>
          <cell r="AF363">
            <v>2</v>
          </cell>
          <cell r="AR363">
            <v>1500000</v>
          </cell>
        </row>
        <row r="364">
          <cell r="B364" t="str">
            <v>آسانسور</v>
          </cell>
          <cell r="C364" t="str">
            <v>قطعه نو</v>
          </cell>
          <cell r="P364" t="str">
            <v>Shaft</v>
          </cell>
          <cell r="AF364">
            <v>3</v>
          </cell>
          <cell r="AR364">
            <v>2250000</v>
          </cell>
        </row>
        <row r="365">
          <cell r="B365" t="str">
            <v>Grinding Machine Drum</v>
          </cell>
          <cell r="C365" t="str">
            <v>قطعه نو</v>
          </cell>
          <cell r="P365" t="str">
            <v>Shaft</v>
          </cell>
          <cell r="AF365">
            <v>3</v>
          </cell>
          <cell r="AR365">
            <v>2250000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B039BAE-2473-47B2-A010-D10A9EA6C4E6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1BD711F-4D6F-46F7-99E3-24DB36C2F511}">
  <we:reference id="wa200006230" version="1.0.0.0" store="en-US" storeType="OMEX"/>
  <we:alternateReferences>
    <we:reference id="WA200006230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2BDB-065D-472A-B279-4E09A3E4E19F}">
  <sheetPr codeName="Sheet1">
    <pageSetUpPr fitToPage="1"/>
  </sheetPr>
  <dimension ref="A1:N11"/>
  <sheetViews>
    <sheetView rightToLeft="1" view="pageLayout" zoomScaleNormal="100" workbookViewId="0">
      <selection activeCell="I5" sqref="I5:I6"/>
    </sheetView>
  </sheetViews>
  <sheetFormatPr defaultRowHeight="15" x14ac:dyDescent="0.25"/>
  <cols>
    <col min="1" max="1" width="5.28515625" customWidth="1"/>
    <col min="2" max="2" width="12.7109375" customWidth="1"/>
    <col min="3" max="3" width="14.42578125" customWidth="1"/>
    <col min="4" max="4" width="10.5703125" customWidth="1"/>
    <col min="5" max="5" width="8.7109375" customWidth="1"/>
    <col min="6" max="6" width="8.85546875" customWidth="1"/>
    <col min="7" max="7" width="13.140625" bestFit="1" customWidth="1"/>
    <col min="14" max="14" width="10.140625" style="95" bestFit="1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79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101" t="s">
        <v>34</v>
      </c>
      <c r="N2" s="137">
        <v>2</v>
      </c>
    </row>
    <row r="3" spans="1:14" ht="56.25" customHeight="1" thickBot="1" x14ac:dyDescent="0.3">
      <c r="A3" s="7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140" t="s">
        <v>12</v>
      </c>
      <c r="N3" s="115" t="s">
        <v>40</v>
      </c>
    </row>
    <row r="4" spans="1:14" ht="46.5" customHeight="1" x14ac:dyDescent="0.25">
      <c r="A4" s="32">
        <v>1</v>
      </c>
      <c r="B4" s="33" t="s">
        <v>102</v>
      </c>
      <c r="C4" s="87" t="s">
        <v>76</v>
      </c>
      <c r="D4" s="34" t="s">
        <v>32</v>
      </c>
      <c r="E4" s="34">
        <v>19</v>
      </c>
      <c r="F4" s="48" t="s">
        <v>14</v>
      </c>
      <c r="G4" s="57" t="s">
        <v>21</v>
      </c>
      <c r="H4" s="57">
        <v>14046</v>
      </c>
      <c r="I4" s="49"/>
      <c r="J4" s="77" t="s">
        <v>95</v>
      </c>
      <c r="K4" s="35"/>
      <c r="L4" s="87">
        <f>SUMIFS([1]فروردین!$AD$2:$AD$57,[1]فروردین!$C$2:$C$57,"قطعه نو",[1]فروردین!$B$2:$B$57,C4,[1]فروردین!$O$2:$O$57,B4)</f>
        <v>0</v>
      </c>
      <c r="M4" s="37" t="s">
        <v>37</v>
      </c>
      <c r="N4" s="117">
        <f t="shared" ref="N4:N9" si="0">L4*(500000*1.5)</f>
        <v>0</v>
      </c>
    </row>
    <row r="5" spans="1:14" ht="46.5" customHeight="1" x14ac:dyDescent="0.25">
      <c r="A5" s="17">
        <v>2</v>
      </c>
      <c r="B5" s="28" t="s">
        <v>13</v>
      </c>
      <c r="C5" s="3" t="s">
        <v>94</v>
      </c>
      <c r="D5" s="1" t="s">
        <v>103</v>
      </c>
      <c r="E5" s="1">
        <v>24</v>
      </c>
      <c r="F5" s="1" t="s">
        <v>14</v>
      </c>
      <c r="G5" s="1" t="s">
        <v>21</v>
      </c>
      <c r="H5" s="1"/>
      <c r="I5" s="3"/>
      <c r="J5" s="74" t="s">
        <v>91</v>
      </c>
      <c r="K5" s="5"/>
      <c r="L5" s="3">
        <f>SUMIFS([1]فروردین!$AD$2:$AD$57,[1]فروردین!$C$2:$C$57,"قطعه نو",[1]فروردین!$B$2:$B$57,C5,[1]فروردین!$O$2:$O$57,B5)</f>
        <v>0</v>
      </c>
      <c r="M5" s="26" t="s">
        <v>37</v>
      </c>
      <c r="N5" s="116">
        <f t="shared" si="0"/>
        <v>0</v>
      </c>
    </row>
    <row r="6" spans="1:14" ht="46.5" customHeight="1" x14ac:dyDescent="0.25">
      <c r="A6" s="17">
        <v>3</v>
      </c>
      <c r="B6" s="103" t="s">
        <v>86</v>
      </c>
      <c r="C6" s="3" t="s">
        <v>94</v>
      </c>
      <c r="D6" s="3" t="s">
        <v>103</v>
      </c>
      <c r="E6" s="4">
        <v>8</v>
      </c>
      <c r="F6" s="4" t="s">
        <v>14</v>
      </c>
      <c r="G6" s="58" t="s">
        <v>21</v>
      </c>
      <c r="H6" s="21" t="s">
        <v>87</v>
      </c>
      <c r="I6" s="2"/>
      <c r="J6" s="74" t="s">
        <v>91</v>
      </c>
      <c r="K6" s="5"/>
      <c r="L6" s="3">
        <f>SUMIFS([1]فروردین!$AD$2:$AD$57,[1]فروردین!$C$2:$C$57,"قطعه نو",[1]فروردین!$B$2:$B$57,C6,[1]فروردین!$O$2:$O$57,B6)</f>
        <v>0</v>
      </c>
      <c r="M6" s="37" t="s">
        <v>37</v>
      </c>
      <c r="N6" s="116">
        <f t="shared" si="0"/>
        <v>0</v>
      </c>
    </row>
    <row r="7" spans="1:14" ht="46.5" customHeight="1" x14ac:dyDescent="0.25">
      <c r="A7" s="17">
        <v>4</v>
      </c>
      <c r="B7" s="103" t="s">
        <v>73</v>
      </c>
      <c r="C7" s="3" t="s">
        <v>74</v>
      </c>
      <c r="D7" s="3" t="s">
        <v>32</v>
      </c>
      <c r="E7" s="3">
        <v>1</v>
      </c>
      <c r="F7" s="3" t="s">
        <v>23</v>
      </c>
      <c r="G7" s="3" t="s">
        <v>18</v>
      </c>
      <c r="H7" s="3">
        <v>15503</v>
      </c>
      <c r="I7" s="3"/>
      <c r="J7" s="5" t="s">
        <v>104</v>
      </c>
      <c r="K7" s="5" t="s">
        <v>105</v>
      </c>
      <c r="L7" s="3">
        <f>SUMIFS([1]فروردین!$AD$2:$AD$57,[1]فروردین!$C$2:$C$57,"قطعه تعمیری",[1]فروردین!$B$2:$B$57,C7,[1]فروردین!$O$2:$O$57,B7)</f>
        <v>0</v>
      </c>
      <c r="M7" s="26" t="s">
        <v>20</v>
      </c>
      <c r="N7" s="116">
        <f t="shared" si="0"/>
        <v>0</v>
      </c>
    </row>
    <row r="8" spans="1:14" ht="46.5" customHeight="1" x14ac:dyDescent="0.25">
      <c r="A8" s="17">
        <v>5</v>
      </c>
      <c r="B8" s="103" t="s">
        <v>106</v>
      </c>
      <c r="C8" s="3" t="s">
        <v>74</v>
      </c>
      <c r="D8" s="3" t="s">
        <v>32</v>
      </c>
      <c r="E8" s="3">
        <v>1</v>
      </c>
      <c r="F8" s="3" t="s">
        <v>23</v>
      </c>
      <c r="G8" s="3" t="s">
        <v>18</v>
      </c>
      <c r="H8" s="3">
        <v>14575</v>
      </c>
      <c r="I8" s="3"/>
      <c r="J8" s="5" t="s">
        <v>105</v>
      </c>
      <c r="K8" s="5" t="s">
        <v>107</v>
      </c>
      <c r="L8" s="3">
        <f>SUMIFS([1]فروردین!$AD$2:$AD$57,[1]فروردین!$C$2:$C$57,"قطعه تعمیری",[1]فروردین!$B$2:$B$57,C8,[1]فروردین!$O$2:$O$57,B8)</f>
        <v>0</v>
      </c>
      <c r="M8" s="26" t="s">
        <v>20</v>
      </c>
      <c r="N8" s="116">
        <f t="shared" si="0"/>
        <v>0</v>
      </c>
    </row>
    <row r="9" spans="1:14" ht="46.5" customHeight="1" thickBot="1" x14ac:dyDescent="0.3">
      <c r="A9" s="64">
        <v>6</v>
      </c>
      <c r="B9" s="70" t="s">
        <v>85</v>
      </c>
      <c r="C9" s="141" t="s">
        <v>74</v>
      </c>
      <c r="D9" s="141" t="s">
        <v>32</v>
      </c>
      <c r="E9" s="141">
        <v>1</v>
      </c>
      <c r="F9" s="141" t="s">
        <v>23</v>
      </c>
      <c r="G9" s="141" t="s">
        <v>18</v>
      </c>
      <c r="H9" s="141">
        <v>14575</v>
      </c>
      <c r="I9" s="13"/>
      <c r="J9" s="142" t="s">
        <v>105</v>
      </c>
      <c r="K9" s="142" t="s">
        <v>107</v>
      </c>
      <c r="L9" s="141">
        <f>SUMIFS([1]فروردین!$AD$2:$AD$57,[1]فروردین!$C$2:$C$57,"قطعه تعمیری",[1]فروردین!$B$2:$B$57,C9,[1]فروردین!$O$2:$O$57,B9)</f>
        <v>0</v>
      </c>
      <c r="M9" s="143" t="s">
        <v>20</v>
      </c>
      <c r="N9" s="144">
        <f t="shared" si="0"/>
        <v>0</v>
      </c>
    </row>
    <row r="10" spans="1:14" ht="22.5" customHeight="1" x14ac:dyDescent="0.25">
      <c r="A10" s="31"/>
      <c r="B10" s="246" t="s">
        <v>30</v>
      </c>
      <c r="C10" s="246" t="s">
        <v>20</v>
      </c>
      <c r="D10" s="60" t="s">
        <v>14</v>
      </c>
      <c r="E10" s="60">
        <f>SUMIFS(E4:E9,F4:F9,D10,M4:M9,M8)</f>
        <v>0</v>
      </c>
      <c r="F10" s="60"/>
      <c r="G10" s="61"/>
      <c r="H10" s="60"/>
      <c r="I10" s="246" t="s">
        <v>115</v>
      </c>
      <c r="J10" s="60" t="s">
        <v>14</v>
      </c>
      <c r="K10" s="60">
        <f>SUMIFS(E4:E9,F4:F9,J10)</f>
        <v>51</v>
      </c>
      <c r="L10" s="244">
        <f>SUM(L4:L9)</f>
        <v>0</v>
      </c>
      <c r="M10" s="85"/>
      <c r="N10" s="248">
        <f>SUM(N4:N9)</f>
        <v>0</v>
      </c>
    </row>
    <row r="11" spans="1:14" ht="22.5" customHeight="1" thickBot="1" x14ac:dyDescent="0.3">
      <c r="A11" s="10"/>
      <c r="B11" s="247"/>
      <c r="C11" s="247"/>
      <c r="D11" s="11" t="s">
        <v>23</v>
      </c>
      <c r="E11" s="11">
        <f>SUMIFS(E4:E9,F4:F9,D11,M4:M9,"تحویل")</f>
        <v>3</v>
      </c>
      <c r="F11" s="11"/>
      <c r="G11" s="62"/>
      <c r="H11" s="11"/>
      <c r="I11" s="247"/>
      <c r="J11" s="11" t="s">
        <v>23</v>
      </c>
      <c r="K11" s="11">
        <f>SUMIFS(E5:E10,F5:F10,J11)</f>
        <v>3</v>
      </c>
      <c r="L11" s="245"/>
      <c r="M11" s="100"/>
      <c r="N11" s="249"/>
    </row>
  </sheetData>
  <mergeCells count="6">
    <mergeCell ref="A1:L2"/>
    <mergeCell ref="L10:L11"/>
    <mergeCell ref="B10:B11"/>
    <mergeCell ref="N10:N11"/>
    <mergeCell ref="C10:C11"/>
    <mergeCell ref="I10:I11"/>
  </mergeCells>
  <phoneticPr fontId="6" type="noConversion"/>
  <printOptions horizontalCentered="1" verticalCentered="1"/>
  <pageMargins left="0" right="0" top="0" bottom="0" header="0" footer="0"/>
  <pageSetup scale="9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D656-F1F9-45B4-A4AE-DC8928BECA1B}">
  <sheetPr codeName="Sheet2">
    <pageSetUpPr fitToPage="1"/>
  </sheetPr>
  <dimension ref="A1:N32"/>
  <sheetViews>
    <sheetView rightToLeft="1" view="pageLayout" zoomScaleNormal="100" workbookViewId="0">
      <selection activeCell="I7" sqref="I7"/>
    </sheetView>
  </sheetViews>
  <sheetFormatPr defaultRowHeight="15" x14ac:dyDescent="0.25"/>
  <cols>
    <col min="1" max="1" width="4" customWidth="1"/>
    <col min="2" max="2" width="15.28515625" customWidth="1"/>
    <col min="3" max="3" width="15.140625" customWidth="1"/>
    <col min="5" max="5" width="7.7109375" customWidth="1"/>
    <col min="7" max="7" width="11" style="63" customWidth="1"/>
    <col min="8" max="8" width="10.5703125" bestFit="1" customWidth="1"/>
    <col min="12" max="13" width="9.140625" style="82"/>
    <col min="14" max="14" width="11.5703125" style="95" customWidth="1"/>
  </cols>
  <sheetData>
    <row r="1" spans="1:14" ht="24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79"/>
      <c r="M1" s="79" t="s">
        <v>35</v>
      </c>
      <c r="N1" s="135">
        <v>1405</v>
      </c>
    </row>
    <row r="2" spans="1:14" ht="21" customHeight="1" thickBot="1" x14ac:dyDescent="0.3">
      <c r="A2" s="253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89"/>
      <c r="M2" s="89" t="s">
        <v>34</v>
      </c>
      <c r="N2" s="136">
        <v>3</v>
      </c>
    </row>
    <row r="3" spans="1:14" ht="46.5" customHeight="1" thickBot="1" x14ac:dyDescent="0.3">
      <c r="A3" s="88"/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0" t="s">
        <v>11</v>
      </c>
      <c r="M3" s="114" t="s">
        <v>12</v>
      </c>
      <c r="N3" s="119" t="s">
        <v>40</v>
      </c>
    </row>
    <row r="4" spans="1:14" ht="28.7" customHeight="1" x14ac:dyDescent="0.25">
      <c r="A4" s="32">
        <v>1</v>
      </c>
      <c r="B4" s="86" t="s">
        <v>102</v>
      </c>
      <c r="C4" s="34" t="s">
        <v>76</v>
      </c>
      <c r="D4" s="87" t="s">
        <v>32</v>
      </c>
      <c r="E4" s="87">
        <v>19</v>
      </c>
      <c r="F4" s="48" t="s">
        <v>14</v>
      </c>
      <c r="G4" s="57" t="s">
        <v>21</v>
      </c>
      <c r="H4" s="57">
        <v>14046</v>
      </c>
      <c r="I4" s="49"/>
      <c r="J4" s="77" t="s">
        <v>95</v>
      </c>
      <c r="K4" s="35"/>
      <c r="L4" s="90">
        <f>SUMIFS([1]فروردین!$AD$27:$AD$175,[1]فروردین!$C$27:$C$175,"قطعه نو",[1]فروردین!$B$27:$B$175,C4,[1]فروردین!$O$27:$O$175,B4)</f>
        <v>0</v>
      </c>
      <c r="M4" s="37" t="s">
        <v>37</v>
      </c>
      <c r="N4" s="117">
        <f>L4*(500000*1.5)</f>
        <v>0</v>
      </c>
    </row>
    <row r="5" spans="1:14" ht="28.7" customHeight="1" x14ac:dyDescent="0.25">
      <c r="A5" s="17">
        <v>2</v>
      </c>
      <c r="B5" s="14" t="s">
        <v>85</v>
      </c>
      <c r="C5" s="1" t="s">
        <v>76</v>
      </c>
      <c r="D5" s="3" t="s">
        <v>32</v>
      </c>
      <c r="E5" s="3">
        <v>1</v>
      </c>
      <c r="F5" s="4" t="s">
        <v>14</v>
      </c>
      <c r="G5" s="47" t="s">
        <v>21</v>
      </c>
      <c r="H5" s="47">
        <v>14046</v>
      </c>
      <c r="I5" s="2"/>
      <c r="J5" s="74" t="s">
        <v>95</v>
      </c>
      <c r="K5" s="5"/>
      <c r="L5" s="81">
        <f>SUMIFS([1]فروردین!$AD$27:$AD$175,[1]فروردین!$C$27:$C$175,"قطعه نو",[1]فروردین!$B$27:$B$175,C5,[1]فروردین!$O$27:$O$175,B5)</f>
        <v>0</v>
      </c>
      <c r="M5" s="26" t="s">
        <v>37</v>
      </c>
      <c r="N5" s="116">
        <f t="shared" ref="N5:N30" si="0">L5*(500000*1.5)</f>
        <v>0</v>
      </c>
    </row>
    <row r="6" spans="1:14" ht="28.7" customHeight="1" x14ac:dyDescent="0.25">
      <c r="A6" s="17">
        <v>3</v>
      </c>
      <c r="B6" s="15" t="s">
        <v>36</v>
      </c>
      <c r="C6" s="3" t="s">
        <v>76</v>
      </c>
      <c r="D6" s="3" t="s">
        <v>32</v>
      </c>
      <c r="E6" s="3">
        <v>1</v>
      </c>
      <c r="F6" s="4" t="s">
        <v>14</v>
      </c>
      <c r="G6" s="47" t="s">
        <v>21</v>
      </c>
      <c r="H6" s="47">
        <v>14046</v>
      </c>
      <c r="I6" s="2"/>
      <c r="J6" s="74" t="s">
        <v>95</v>
      </c>
      <c r="K6" s="5"/>
      <c r="L6" s="81">
        <f>SUMIFS([1]فروردین!$AD$27:$AD$175,[1]فروردین!$C$27:$C$175,"قطعه نو",[1]فروردین!$B$27:$B$175,C6,[1]فروردین!$O$27:$O$175,B6)</f>
        <v>0</v>
      </c>
      <c r="M6" s="26" t="s">
        <v>37</v>
      </c>
      <c r="N6" s="116">
        <f t="shared" si="0"/>
        <v>0</v>
      </c>
    </row>
    <row r="7" spans="1:14" ht="28.7" customHeight="1" x14ac:dyDescent="0.25">
      <c r="A7" s="17">
        <v>4</v>
      </c>
      <c r="B7" s="15" t="s">
        <v>108</v>
      </c>
      <c r="C7" s="3" t="s">
        <v>76</v>
      </c>
      <c r="D7" s="34" t="s">
        <v>32</v>
      </c>
      <c r="E7" s="34">
        <v>1</v>
      </c>
      <c r="F7" s="4" t="s">
        <v>14</v>
      </c>
      <c r="G7" s="47" t="s">
        <v>21</v>
      </c>
      <c r="H7" s="47">
        <v>14046</v>
      </c>
      <c r="I7" s="2"/>
      <c r="J7" s="74" t="s">
        <v>95</v>
      </c>
      <c r="K7" s="5"/>
      <c r="L7" s="81">
        <f>SUMIFS([1]فروردین!$AD$27:$AD$175,[1]فروردین!$C$27:$C$175,"قطعه نو",[1]فروردین!$B$27:$B$175,C7,[1]فروردین!$O$27:$O$175,B7)</f>
        <v>0</v>
      </c>
      <c r="M7" s="26" t="s">
        <v>37</v>
      </c>
      <c r="N7" s="116">
        <f t="shared" si="0"/>
        <v>0</v>
      </c>
    </row>
    <row r="8" spans="1:14" ht="28.7" customHeight="1" x14ac:dyDescent="0.25">
      <c r="A8" s="17">
        <v>5</v>
      </c>
      <c r="B8" s="15" t="s">
        <v>85</v>
      </c>
      <c r="C8" s="3" t="s">
        <v>56</v>
      </c>
      <c r="D8" s="3" t="s">
        <v>79</v>
      </c>
      <c r="E8" s="3">
        <v>1</v>
      </c>
      <c r="F8" s="3" t="s">
        <v>14</v>
      </c>
      <c r="G8" s="1" t="s">
        <v>109</v>
      </c>
      <c r="H8" s="3">
        <v>14591</v>
      </c>
      <c r="I8" s="3">
        <v>2064</v>
      </c>
      <c r="J8" s="5" t="s">
        <v>111</v>
      </c>
      <c r="K8" s="5" t="s">
        <v>110</v>
      </c>
      <c r="L8" s="81">
        <f>SUMIFS([1]فروردین!$AD$27:$AD$175,[1]فروردین!$C$27:$C$175,"قطعه نو",[1]فروردین!$B$27:$B$175,C8,[1]فروردین!$O$27:$O$175,B8)</f>
        <v>0</v>
      </c>
      <c r="M8" s="26" t="s">
        <v>20</v>
      </c>
      <c r="N8" s="116">
        <f t="shared" si="0"/>
        <v>0</v>
      </c>
    </row>
    <row r="9" spans="1:14" ht="28.7" customHeight="1" x14ac:dyDescent="0.25">
      <c r="A9" s="17">
        <v>6</v>
      </c>
      <c r="B9" s="16" t="s">
        <v>55</v>
      </c>
      <c r="C9" s="3" t="s">
        <v>56</v>
      </c>
      <c r="D9" s="3" t="s">
        <v>79</v>
      </c>
      <c r="E9" s="4">
        <v>1</v>
      </c>
      <c r="F9" s="3" t="s">
        <v>14</v>
      </c>
      <c r="G9" s="1" t="s">
        <v>109</v>
      </c>
      <c r="H9" s="2">
        <v>14591</v>
      </c>
      <c r="I9" s="2">
        <v>2064</v>
      </c>
      <c r="J9" s="5" t="s">
        <v>111</v>
      </c>
      <c r="K9" s="5" t="s">
        <v>110</v>
      </c>
      <c r="L9" s="81">
        <f>SUMIFS([1]فروردین!$AD$27:$AD$175,[1]فروردین!$C$27:$C$175,"قطعه نو",[1]فروردین!$B$27:$B$175,C9,[1]فروردین!$O$27:$O$175,B9)</f>
        <v>0</v>
      </c>
      <c r="M9" s="27" t="s">
        <v>20</v>
      </c>
      <c r="N9" s="116">
        <f t="shared" si="0"/>
        <v>0</v>
      </c>
    </row>
    <row r="10" spans="1:14" ht="28.7" customHeight="1" x14ac:dyDescent="0.25">
      <c r="A10" s="17">
        <v>7</v>
      </c>
      <c r="B10" s="16" t="s">
        <v>112</v>
      </c>
      <c r="C10" s="4" t="s">
        <v>88</v>
      </c>
      <c r="D10" s="4" t="s">
        <v>103</v>
      </c>
      <c r="E10" s="4">
        <v>1</v>
      </c>
      <c r="F10" s="3" t="s">
        <v>14</v>
      </c>
      <c r="G10" s="47" t="s">
        <v>21</v>
      </c>
      <c r="H10" s="2" t="s">
        <v>87</v>
      </c>
      <c r="I10" s="2"/>
      <c r="J10" s="74" t="s">
        <v>91</v>
      </c>
      <c r="K10" s="6"/>
      <c r="L10" s="81">
        <f>SUMIFS([1]فروردین!$AD$27:$AD$175,[1]فروردین!$C$27:$C$175,"قطعه نو",[1]فروردین!$B$27:$B$175,C10,[1]فروردین!$O$27:$O$175,B10)</f>
        <v>0</v>
      </c>
      <c r="M10" s="27" t="s">
        <v>37</v>
      </c>
      <c r="N10" s="116">
        <f t="shared" si="0"/>
        <v>0</v>
      </c>
    </row>
    <row r="11" spans="1:14" ht="28.7" customHeight="1" x14ac:dyDescent="0.25">
      <c r="A11" s="17">
        <v>8</v>
      </c>
      <c r="B11" s="16" t="s">
        <v>113</v>
      </c>
      <c r="C11" s="4" t="s">
        <v>88</v>
      </c>
      <c r="D11" s="4" t="s">
        <v>103</v>
      </c>
      <c r="E11" s="4">
        <v>1</v>
      </c>
      <c r="F11" s="3" t="s">
        <v>14</v>
      </c>
      <c r="G11" s="47" t="s">
        <v>21</v>
      </c>
      <c r="H11" s="2" t="s">
        <v>87</v>
      </c>
      <c r="I11" s="2"/>
      <c r="J11" s="74" t="s">
        <v>91</v>
      </c>
      <c r="K11" s="6"/>
      <c r="L11" s="81">
        <f>SUMIFS([1]فروردین!$AD$27:$AD$175,[1]فروردین!$C$27:$C$175,"قطعه نو",[1]فروردین!$B$27:$B$175,C11,[1]فروردین!$O$27:$O$175,B11)</f>
        <v>0</v>
      </c>
      <c r="M11" s="27" t="s">
        <v>37</v>
      </c>
      <c r="N11" s="116">
        <f t="shared" si="0"/>
        <v>0</v>
      </c>
    </row>
    <row r="12" spans="1:14" ht="28.7" customHeight="1" x14ac:dyDescent="0.25">
      <c r="A12" s="17">
        <v>9</v>
      </c>
      <c r="B12" s="16" t="s">
        <v>41</v>
      </c>
      <c r="C12" s="4" t="s">
        <v>88</v>
      </c>
      <c r="D12" s="4" t="s">
        <v>103</v>
      </c>
      <c r="E12" s="4">
        <v>1</v>
      </c>
      <c r="F12" s="3" t="s">
        <v>14</v>
      </c>
      <c r="G12" s="47" t="s">
        <v>21</v>
      </c>
      <c r="H12" s="2" t="s">
        <v>87</v>
      </c>
      <c r="I12" s="2"/>
      <c r="J12" s="74" t="s">
        <v>91</v>
      </c>
      <c r="K12" s="6"/>
      <c r="L12" s="81">
        <f>SUMIFS([1]فروردین!$AD$27:$AD$175,[1]فروردین!$C$27:$C$175,"قطعه نو",[1]فروردین!$B$27:$B$175,C12,[1]فروردین!$O$27:$O$175,B12)</f>
        <v>0</v>
      </c>
      <c r="M12" s="27" t="s">
        <v>37</v>
      </c>
      <c r="N12" s="116">
        <f t="shared" si="0"/>
        <v>0</v>
      </c>
    </row>
    <row r="13" spans="1:14" ht="28.7" customHeight="1" x14ac:dyDescent="0.25">
      <c r="A13" s="17">
        <v>10</v>
      </c>
      <c r="B13" s="16" t="s">
        <v>114</v>
      </c>
      <c r="C13" s="4" t="s">
        <v>88</v>
      </c>
      <c r="D13" s="4" t="s">
        <v>103</v>
      </c>
      <c r="E13" s="4">
        <v>4</v>
      </c>
      <c r="F13" s="3" t="s">
        <v>14</v>
      </c>
      <c r="G13" s="47" t="s">
        <v>21</v>
      </c>
      <c r="H13" s="2" t="s">
        <v>87</v>
      </c>
      <c r="I13" s="2"/>
      <c r="J13" s="74" t="s">
        <v>91</v>
      </c>
      <c r="K13" s="6"/>
      <c r="L13" s="81">
        <f>SUMIFS([1]فروردین!$AD$27:$AD$175,[1]فروردین!$C$27:$C$175,"قطعه نو",[1]فروردین!$B$27:$B$175,C13,[1]فروردین!$O$27:$O$175,B13)</f>
        <v>0</v>
      </c>
      <c r="M13" s="27" t="s">
        <v>37</v>
      </c>
      <c r="N13" s="116">
        <f t="shared" si="0"/>
        <v>0</v>
      </c>
    </row>
    <row r="14" spans="1:14" ht="28.7" customHeight="1" x14ac:dyDescent="0.25">
      <c r="A14" s="17">
        <v>11</v>
      </c>
      <c r="B14" s="16" t="s">
        <v>13</v>
      </c>
      <c r="C14" s="4" t="s">
        <v>94</v>
      </c>
      <c r="D14" s="4" t="s">
        <v>103</v>
      </c>
      <c r="E14" s="4">
        <v>4</v>
      </c>
      <c r="F14" s="3" t="s">
        <v>14</v>
      </c>
      <c r="G14" s="47" t="s">
        <v>21</v>
      </c>
      <c r="H14" s="2" t="s">
        <v>87</v>
      </c>
      <c r="I14" s="2"/>
      <c r="J14" s="74" t="s">
        <v>91</v>
      </c>
      <c r="K14" s="6"/>
      <c r="L14" s="81">
        <f>SUMIFS([1]فروردین!$AD$27:$AD$175,[1]فروردین!$C$27:$C$175,"قطعه نو",[1]فروردین!$B$27:$B$175,C14,[1]فروردین!$O$27:$O$175,B14)</f>
        <v>0</v>
      </c>
      <c r="M14" s="27" t="s">
        <v>37</v>
      </c>
      <c r="N14" s="116">
        <f t="shared" si="0"/>
        <v>0</v>
      </c>
    </row>
    <row r="15" spans="1:14" ht="28.7" customHeight="1" x14ac:dyDescent="0.25">
      <c r="A15" s="17">
        <v>12</v>
      </c>
      <c r="B15" s="16" t="s">
        <v>86</v>
      </c>
      <c r="C15" s="4" t="s">
        <v>94</v>
      </c>
      <c r="D15" s="4" t="s">
        <v>103</v>
      </c>
      <c r="E15" s="4">
        <v>3</v>
      </c>
      <c r="F15" s="3" t="s">
        <v>14</v>
      </c>
      <c r="G15" s="47" t="s">
        <v>21</v>
      </c>
      <c r="H15" s="2" t="s">
        <v>87</v>
      </c>
      <c r="I15" s="2"/>
      <c r="J15" s="74" t="s">
        <v>91</v>
      </c>
      <c r="K15" s="6"/>
      <c r="L15" s="81">
        <f>SUMIFS([1]فروردین!$AD$27:$AD$175,[1]فروردین!$C$27:$C$175,"قطعه نو",[1]فروردین!$B$27:$B$175,C15,[1]فروردین!$O$27:$O$175,B15)</f>
        <v>0</v>
      </c>
      <c r="M15" s="27" t="s">
        <v>37</v>
      </c>
      <c r="N15" s="116">
        <f t="shared" si="0"/>
        <v>0</v>
      </c>
    </row>
    <row r="16" spans="1:14" ht="28.7" customHeight="1" x14ac:dyDescent="0.25">
      <c r="A16" s="17">
        <v>13</v>
      </c>
      <c r="B16" s="16" t="s">
        <v>118</v>
      </c>
      <c r="C16" s="4" t="s">
        <v>116</v>
      </c>
      <c r="D16" s="4" t="s">
        <v>32</v>
      </c>
      <c r="E16" s="4">
        <v>1</v>
      </c>
      <c r="F16" s="3" t="s">
        <v>14</v>
      </c>
      <c r="G16" s="47" t="s">
        <v>21</v>
      </c>
      <c r="H16" s="2"/>
      <c r="I16" s="2"/>
      <c r="J16" s="74" t="s">
        <v>99</v>
      </c>
      <c r="K16" s="6"/>
      <c r="L16" s="81">
        <f>SUMIFS([1]فروردین!$AD$27:$AD$175,[1]فروردین!$C$27:$C$175,"قطعه نو",[1]فروردین!$B$27:$B$175,C16,[1]فروردین!$O$27:$O$175,B16)</f>
        <v>0</v>
      </c>
      <c r="M16" s="27" t="s">
        <v>37</v>
      </c>
      <c r="N16" s="116">
        <f t="shared" si="0"/>
        <v>0</v>
      </c>
    </row>
    <row r="17" spans="1:14" ht="28.7" customHeight="1" x14ac:dyDescent="0.25">
      <c r="A17" s="17">
        <v>14</v>
      </c>
      <c r="B17" s="16" t="s">
        <v>61</v>
      </c>
      <c r="C17" s="4" t="s">
        <v>100</v>
      </c>
      <c r="D17" s="4" t="s">
        <v>32</v>
      </c>
      <c r="E17" s="4">
        <v>1</v>
      </c>
      <c r="F17" s="3" t="s">
        <v>14</v>
      </c>
      <c r="G17" s="47" t="s">
        <v>21</v>
      </c>
      <c r="H17" s="2"/>
      <c r="I17" s="2"/>
      <c r="J17" s="74" t="s">
        <v>99</v>
      </c>
      <c r="K17" s="6" t="s">
        <v>117</v>
      </c>
      <c r="L17" s="81">
        <f>SUMIFS([1]فروردین!$AD$27:$AD$175,[1]فروردین!$C$27:$C$175,"قطعه نو",[1]فروردین!$B$27:$B$175,C17,[1]فروردین!$O$27:$O$175,B17)</f>
        <v>0</v>
      </c>
      <c r="M17" s="27" t="s">
        <v>20</v>
      </c>
      <c r="N17" s="116">
        <f t="shared" si="0"/>
        <v>0</v>
      </c>
    </row>
    <row r="18" spans="1:14" ht="28.7" customHeight="1" x14ac:dyDescent="0.25">
      <c r="A18" s="17">
        <v>15</v>
      </c>
      <c r="B18" s="16" t="s">
        <v>119</v>
      </c>
      <c r="C18" s="4" t="s">
        <v>27</v>
      </c>
      <c r="D18" s="4" t="s">
        <v>17</v>
      </c>
      <c r="E18" s="4">
        <v>1</v>
      </c>
      <c r="F18" s="3" t="s">
        <v>14</v>
      </c>
      <c r="G18" s="47" t="s">
        <v>21</v>
      </c>
      <c r="H18" s="2"/>
      <c r="I18" s="2"/>
      <c r="J18" s="74" t="s">
        <v>101</v>
      </c>
      <c r="K18" s="6"/>
      <c r="L18" s="81">
        <f>SUMIFS([1]فروردین!$AD$27:$AD$175,[1]فروردین!$C$27:$C$175,"قطعه نو",[1]فروردین!$B$27:$B$175,C18,[1]فروردین!$O$27:$O$175,B18)</f>
        <v>0</v>
      </c>
      <c r="M18" s="27" t="s">
        <v>37</v>
      </c>
      <c r="N18" s="116">
        <f t="shared" si="0"/>
        <v>0</v>
      </c>
    </row>
    <row r="19" spans="1:14" ht="28.7" customHeight="1" x14ac:dyDescent="0.25">
      <c r="A19" s="17">
        <v>16</v>
      </c>
      <c r="B19" s="16" t="s">
        <v>62</v>
      </c>
      <c r="C19" s="4" t="s">
        <v>31</v>
      </c>
      <c r="D19" s="4" t="s">
        <v>32</v>
      </c>
      <c r="E19" s="4">
        <v>1</v>
      </c>
      <c r="F19" s="3" t="s">
        <v>23</v>
      </c>
      <c r="G19" s="47" t="s">
        <v>19</v>
      </c>
      <c r="H19" s="2">
        <v>15027</v>
      </c>
      <c r="I19" s="2"/>
      <c r="J19" s="74" t="s">
        <v>120</v>
      </c>
      <c r="K19" s="6"/>
      <c r="L19" s="81">
        <f>SUMIFS([1]فروردین!$AD$27:$AD$175,[1]فروردین!$C$27:$C$175,"قطعه تعمیری",[1]فروردین!$B$27:$B$175,C19,[1]فروردین!$O$27:$O$175,B19)</f>
        <v>0</v>
      </c>
      <c r="M19" s="27" t="s">
        <v>37</v>
      </c>
      <c r="N19" s="116">
        <f t="shared" si="0"/>
        <v>0</v>
      </c>
    </row>
    <row r="20" spans="1:14" ht="28.7" customHeight="1" x14ac:dyDescent="0.25">
      <c r="A20" s="17">
        <v>17</v>
      </c>
      <c r="B20" s="16" t="s">
        <v>122</v>
      </c>
      <c r="C20" s="4" t="s">
        <v>121</v>
      </c>
      <c r="D20" s="4" t="s">
        <v>17</v>
      </c>
      <c r="E20" s="4">
        <v>1</v>
      </c>
      <c r="F20" s="3" t="s">
        <v>23</v>
      </c>
      <c r="G20" s="47" t="s">
        <v>123</v>
      </c>
      <c r="H20" s="4">
        <v>14593</v>
      </c>
      <c r="I20" s="2"/>
      <c r="J20" s="6" t="s">
        <v>124</v>
      </c>
      <c r="K20" s="6" t="s">
        <v>117</v>
      </c>
      <c r="L20" s="81">
        <f>SUMIFS([1]فروردین!$AD$27:$AD$175,[1]فروردین!$C$27:$C$175,"قطعه تعمیری",[1]فروردین!$B$27:$B$175,C20,[1]فروردین!$O$27:$O$175,B20)</f>
        <v>0</v>
      </c>
      <c r="M20" s="27" t="s">
        <v>20</v>
      </c>
      <c r="N20" s="116">
        <f t="shared" si="0"/>
        <v>0</v>
      </c>
    </row>
    <row r="21" spans="1:14" ht="28.7" customHeight="1" x14ac:dyDescent="0.25">
      <c r="A21" s="17">
        <v>18</v>
      </c>
      <c r="B21" s="16" t="s">
        <v>85</v>
      </c>
      <c r="C21" s="4" t="s">
        <v>88</v>
      </c>
      <c r="D21" s="4" t="s">
        <v>103</v>
      </c>
      <c r="E21" s="4">
        <v>1</v>
      </c>
      <c r="F21" s="4" t="s">
        <v>23</v>
      </c>
      <c r="G21" s="47" t="s">
        <v>125</v>
      </c>
      <c r="H21" s="2"/>
      <c r="I21" s="2"/>
      <c r="J21" s="6" t="s">
        <v>117</v>
      </c>
      <c r="K21" s="6" t="s">
        <v>117</v>
      </c>
      <c r="L21" s="81">
        <f>SUMIFS([1]فروردین!$AD$27:$AD$175,[1]فروردین!$C$27:$C$175,"قطعه تعمیری",[1]فروردین!$B$27:$B$175,C21,[1]فروردین!$O$27:$O$175,B21)</f>
        <v>0</v>
      </c>
      <c r="M21" s="27" t="s">
        <v>20</v>
      </c>
      <c r="N21" s="116">
        <f t="shared" si="0"/>
        <v>0</v>
      </c>
    </row>
    <row r="22" spans="1:14" ht="28.7" customHeight="1" x14ac:dyDescent="0.25">
      <c r="A22" s="17">
        <v>19</v>
      </c>
      <c r="B22" s="16" t="s">
        <v>126</v>
      </c>
      <c r="C22" s="4" t="s">
        <v>88</v>
      </c>
      <c r="D22" s="4" t="s">
        <v>103</v>
      </c>
      <c r="E22" s="4">
        <v>1</v>
      </c>
      <c r="F22" s="4" t="s">
        <v>23</v>
      </c>
      <c r="G22" s="47" t="s">
        <v>75</v>
      </c>
      <c r="H22" s="2"/>
      <c r="I22" s="2"/>
      <c r="J22" s="6" t="s">
        <v>117</v>
      </c>
      <c r="K22" s="6" t="s">
        <v>117</v>
      </c>
      <c r="L22" s="81">
        <f>SUMIFS([1]فروردین!$AD$27:$AD$175,[1]فروردین!$C$27:$C$175,"قطعه تعمیری",[1]فروردین!$B$27:$B$175,C22,[1]فروردین!$O$27:$O$175,B22)</f>
        <v>0</v>
      </c>
      <c r="M22" s="27" t="s">
        <v>20</v>
      </c>
      <c r="N22" s="116">
        <f t="shared" si="0"/>
        <v>0</v>
      </c>
    </row>
    <row r="23" spans="1:14" ht="28.7" customHeight="1" x14ac:dyDescent="0.25">
      <c r="A23" s="17">
        <v>20</v>
      </c>
      <c r="B23" s="16" t="s">
        <v>85</v>
      </c>
      <c r="C23" s="4" t="s">
        <v>28</v>
      </c>
      <c r="D23" s="4" t="s">
        <v>32</v>
      </c>
      <c r="E23" s="4">
        <v>1</v>
      </c>
      <c r="F23" s="4" t="s">
        <v>23</v>
      </c>
      <c r="G23" s="47" t="s">
        <v>47</v>
      </c>
      <c r="H23" s="2">
        <v>15513</v>
      </c>
      <c r="I23" s="2">
        <v>2512</v>
      </c>
      <c r="J23" s="6" t="s">
        <v>101</v>
      </c>
      <c r="K23" s="6" t="s">
        <v>117</v>
      </c>
      <c r="L23" s="81">
        <f>SUMIFS([1]فروردین!$AD$27:$AD$175,[1]فروردین!$C$27:$C$175,"قطعه تعمیری",[1]فروردین!$B$27:$B$175,C23,[1]فروردین!$O$27:$O$175,B23)</f>
        <v>0</v>
      </c>
      <c r="M23" s="27" t="s">
        <v>20</v>
      </c>
      <c r="N23" s="116">
        <f t="shared" si="0"/>
        <v>0</v>
      </c>
    </row>
    <row r="24" spans="1:14" ht="28.7" customHeight="1" x14ac:dyDescent="0.25">
      <c r="A24" s="17">
        <v>21</v>
      </c>
      <c r="B24" s="16" t="s">
        <v>127</v>
      </c>
      <c r="C24" s="4" t="s">
        <v>28</v>
      </c>
      <c r="D24" s="4" t="s">
        <v>32</v>
      </c>
      <c r="E24" s="4">
        <v>1</v>
      </c>
      <c r="F24" s="4" t="s">
        <v>23</v>
      </c>
      <c r="G24" s="47" t="s">
        <v>18</v>
      </c>
      <c r="H24" s="2">
        <v>15513</v>
      </c>
      <c r="I24" s="2">
        <v>2512</v>
      </c>
      <c r="J24" s="6" t="s">
        <v>101</v>
      </c>
      <c r="K24" s="6" t="s">
        <v>117</v>
      </c>
      <c r="L24" s="81">
        <f>SUMIFS([1]فروردین!$AD$27:$AD$175,[1]فروردین!$C$27:$C$175,"قطعه تعمیری",[1]فروردین!$B$27:$B$175,C24,[1]فروردین!$O$27:$O$175,B24)</f>
        <v>0</v>
      </c>
      <c r="M24" s="27" t="s">
        <v>20</v>
      </c>
      <c r="N24" s="116">
        <f t="shared" si="0"/>
        <v>0</v>
      </c>
    </row>
    <row r="25" spans="1:14" ht="28.7" customHeight="1" x14ac:dyDescent="0.25">
      <c r="A25" s="17">
        <v>22</v>
      </c>
      <c r="B25" s="16" t="s">
        <v>68</v>
      </c>
      <c r="C25" s="4" t="s">
        <v>28</v>
      </c>
      <c r="D25" s="4" t="s">
        <v>32</v>
      </c>
      <c r="E25" s="4">
        <v>1</v>
      </c>
      <c r="F25" s="4" t="s">
        <v>23</v>
      </c>
      <c r="G25" s="47" t="s">
        <v>18</v>
      </c>
      <c r="H25" s="2">
        <v>15513</v>
      </c>
      <c r="I25" s="2">
        <v>2512</v>
      </c>
      <c r="J25" s="6" t="s">
        <v>101</v>
      </c>
      <c r="K25" s="6" t="s">
        <v>117</v>
      </c>
      <c r="L25" s="81">
        <f>SUMIFS([1]فروردین!$AD$27:$AD$175,[1]فروردین!$C$27:$C$175,"قطعه تعمیری",[1]فروردین!$B$27:$B$175,C25,[1]فروردین!$O$27:$O$175,B25)</f>
        <v>0</v>
      </c>
      <c r="M25" s="27" t="s">
        <v>20</v>
      </c>
      <c r="N25" s="116">
        <f t="shared" si="0"/>
        <v>0</v>
      </c>
    </row>
    <row r="26" spans="1:14" ht="28.7" customHeight="1" x14ac:dyDescent="0.25">
      <c r="A26" s="17">
        <v>23</v>
      </c>
      <c r="B26" s="16" t="s">
        <v>85</v>
      </c>
      <c r="C26" s="4" t="s">
        <v>74</v>
      </c>
      <c r="D26" s="4" t="s">
        <v>32</v>
      </c>
      <c r="E26" s="4">
        <v>1</v>
      </c>
      <c r="F26" s="4" t="s">
        <v>23</v>
      </c>
      <c r="G26" s="47" t="s">
        <v>18</v>
      </c>
      <c r="H26" s="2">
        <v>14575</v>
      </c>
      <c r="I26" s="2"/>
      <c r="J26" s="6" t="s">
        <v>101</v>
      </c>
      <c r="K26" s="6" t="s">
        <v>128</v>
      </c>
      <c r="L26" s="81">
        <f>SUMIFS([1]فروردین!$AD$27:$AD$175,[1]فروردین!$C$27:$C$175,"قطعه تعمیری",[1]فروردین!$B$27:$B$175,C26,[1]فروردین!$O$27:$O$175,B26)</f>
        <v>0</v>
      </c>
      <c r="M26" s="27" t="s">
        <v>20</v>
      </c>
      <c r="N26" s="116">
        <f t="shared" si="0"/>
        <v>0</v>
      </c>
    </row>
    <row r="27" spans="1:14" ht="28.7" customHeight="1" x14ac:dyDescent="0.25">
      <c r="A27" s="17">
        <v>24</v>
      </c>
      <c r="B27" s="16" t="s">
        <v>73</v>
      </c>
      <c r="C27" s="4" t="s">
        <v>129</v>
      </c>
      <c r="D27" s="4" t="s">
        <v>17</v>
      </c>
      <c r="E27" s="4">
        <v>1</v>
      </c>
      <c r="F27" s="4" t="s">
        <v>23</v>
      </c>
      <c r="G27" s="47" t="s">
        <v>18</v>
      </c>
      <c r="H27" s="2">
        <v>14594</v>
      </c>
      <c r="I27" s="2">
        <v>6508</v>
      </c>
      <c r="J27" s="6" t="s">
        <v>124</v>
      </c>
      <c r="K27" s="6" t="s">
        <v>117</v>
      </c>
      <c r="L27" s="81">
        <f>SUMIFS([1]فروردین!$AD$27:$AD$175,[1]فروردین!$C$27:$C$175,"قطعه تعمیری",[1]فروردین!$B$27:$B$175,C27,[1]فروردین!$O$27:$O$175,B27)</f>
        <v>0</v>
      </c>
      <c r="M27" s="27" t="s">
        <v>20</v>
      </c>
      <c r="N27" s="116">
        <f t="shared" si="0"/>
        <v>0</v>
      </c>
    </row>
    <row r="28" spans="1:14" ht="28.7" customHeight="1" x14ac:dyDescent="0.25">
      <c r="A28" s="17">
        <v>25</v>
      </c>
      <c r="B28" s="16" t="s">
        <v>85</v>
      </c>
      <c r="C28" s="4" t="s">
        <v>129</v>
      </c>
      <c r="D28" s="4" t="s">
        <v>17</v>
      </c>
      <c r="E28" s="4">
        <v>1</v>
      </c>
      <c r="F28" s="4" t="s">
        <v>23</v>
      </c>
      <c r="G28" s="47" t="s">
        <v>18</v>
      </c>
      <c r="H28" s="2">
        <v>14594</v>
      </c>
      <c r="I28" s="2">
        <v>6508</v>
      </c>
      <c r="J28" s="6" t="s">
        <v>124</v>
      </c>
      <c r="K28" s="6" t="s">
        <v>117</v>
      </c>
      <c r="L28" s="81">
        <f>SUMIFS([1]فروردین!$AD$27:$AD$175,[1]فروردین!$C$27:$C$175,"قطعه تعمیری",[1]فروردین!$B$27:$B$175,C28,[1]فروردین!$O$27:$O$175,B28)</f>
        <v>0</v>
      </c>
      <c r="M28" s="27" t="s">
        <v>20</v>
      </c>
      <c r="N28" s="116">
        <f t="shared" si="0"/>
        <v>0</v>
      </c>
    </row>
    <row r="29" spans="1:14" ht="28.7" customHeight="1" x14ac:dyDescent="0.25">
      <c r="A29" s="17">
        <v>26</v>
      </c>
      <c r="B29" s="72" t="s">
        <v>119</v>
      </c>
      <c r="C29" s="45" t="s">
        <v>27</v>
      </c>
      <c r="D29" s="4" t="s">
        <v>17</v>
      </c>
      <c r="E29" s="45">
        <v>1</v>
      </c>
      <c r="F29" s="4" t="s">
        <v>23</v>
      </c>
      <c r="G29" s="47" t="s">
        <v>18</v>
      </c>
      <c r="H29" s="46"/>
      <c r="I29" s="46"/>
      <c r="J29" s="6" t="s">
        <v>130</v>
      </c>
      <c r="K29" s="74"/>
      <c r="L29" s="81">
        <f>SUMIFS([1]فروردین!$AD$27:$AD$175,[1]فروردین!$C$27:$C$175,"قطعه تعمیری",[1]فروردین!$B$27:$B$175,C29,[1]فروردین!$O$27:$O$175,B29)</f>
        <v>0</v>
      </c>
      <c r="M29" s="55" t="s">
        <v>37</v>
      </c>
      <c r="N29" s="116">
        <f t="shared" si="0"/>
        <v>0</v>
      </c>
    </row>
    <row r="30" spans="1:14" ht="28.7" customHeight="1" thickBot="1" x14ac:dyDescent="0.3">
      <c r="A30" s="64">
        <v>27</v>
      </c>
      <c r="B30" s="30" t="s">
        <v>13</v>
      </c>
      <c r="C30" s="45" t="s">
        <v>27</v>
      </c>
      <c r="D30" s="45" t="s">
        <v>17</v>
      </c>
      <c r="E30" s="45">
        <v>1</v>
      </c>
      <c r="F30" s="45" t="s">
        <v>23</v>
      </c>
      <c r="G30" s="58" t="s">
        <v>18</v>
      </c>
      <c r="H30" s="46"/>
      <c r="I30" s="46"/>
      <c r="J30" s="74" t="s">
        <v>130</v>
      </c>
      <c r="K30" s="74"/>
      <c r="L30" s="84">
        <f>SUMIFS([1]فروردین!$AD$27:$AD$175,[1]فروردین!$C$27:$C$175,"قطعه تعمیری",[1]فروردین!$B$27:$B$175,C30,[1]فروردین!$O$27:$O$175,B30)</f>
        <v>0</v>
      </c>
      <c r="M30" s="55" t="s">
        <v>37</v>
      </c>
      <c r="N30" s="120">
        <f t="shared" si="0"/>
        <v>0</v>
      </c>
    </row>
    <row r="31" spans="1:14" ht="21" customHeight="1" x14ac:dyDescent="0.25">
      <c r="A31" s="31"/>
      <c r="B31" s="251" t="s">
        <v>30</v>
      </c>
      <c r="C31" s="251" t="s">
        <v>20</v>
      </c>
      <c r="D31" s="9" t="s">
        <v>14</v>
      </c>
      <c r="E31" s="9">
        <f>SUMIFS(E4:E30,F4:F30,D31,M4:M30,"تحویل")</f>
        <v>3</v>
      </c>
      <c r="F31" s="9"/>
      <c r="G31" s="83"/>
      <c r="H31" s="9"/>
      <c r="I31" s="251" t="s">
        <v>115</v>
      </c>
      <c r="J31" s="9" t="s">
        <v>14</v>
      </c>
      <c r="K31" s="9">
        <f>SUMIFS(E4:E30,F4:F30,J31)</f>
        <v>41</v>
      </c>
      <c r="L31" s="252">
        <f>SUM(L4:L30)</f>
        <v>0</v>
      </c>
      <c r="M31" s="99"/>
      <c r="N31" s="250">
        <f>SUM(N4:N30)</f>
        <v>0</v>
      </c>
    </row>
    <row r="32" spans="1:14" ht="21" customHeight="1" thickBot="1" x14ac:dyDescent="0.3">
      <c r="A32" s="10"/>
      <c r="B32" s="247"/>
      <c r="C32" s="247"/>
      <c r="D32" s="11" t="s">
        <v>23</v>
      </c>
      <c r="E32" s="11">
        <f>SUMIFS(E4:E30,F4:F30,D32,M4:M30,"تحویل")</f>
        <v>9</v>
      </c>
      <c r="F32" s="11"/>
      <c r="G32" s="62"/>
      <c r="H32" s="11"/>
      <c r="I32" s="247"/>
      <c r="J32" s="11" t="s">
        <v>23</v>
      </c>
      <c r="K32" s="11">
        <f>SUMIFS(E5:E31,F5:F31,J32)</f>
        <v>12</v>
      </c>
      <c r="L32" s="245"/>
      <c r="M32" s="100"/>
      <c r="N32" s="249"/>
    </row>
  </sheetData>
  <mergeCells count="6">
    <mergeCell ref="N31:N32"/>
    <mergeCell ref="B31:B32"/>
    <mergeCell ref="L31:L32"/>
    <mergeCell ref="A1:K2"/>
    <mergeCell ref="I31:I32"/>
    <mergeCell ref="C31:C32"/>
  </mergeCells>
  <printOptions horizontalCentered="1" verticalCentered="1"/>
  <pageMargins left="0" right="0" top="0" bottom="0" header="0" footer="0"/>
  <pageSetup scale="9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C141-99AA-4441-BAA7-8DC4616AA9A3}">
  <sheetPr codeName="Sheet3">
    <pageSetUpPr fitToPage="1"/>
  </sheetPr>
  <dimension ref="A1:N1048576"/>
  <sheetViews>
    <sheetView rightToLeft="1" view="pageLayout" zoomScaleNormal="100" workbookViewId="0">
      <selection activeCell="A4" sqref="A4:XFD38"/>
    </sheetView>
  </sheetViews>
  <sheetFormatPr defaultRowHeight="15" x14ac:dyDescent="0.25"/>
  <cols>
    <col min="1" max="1" width="4.85546875" customWidth="1"/>
    <col min="2" max="2" width="13.85546875" customWidth="1"/>
    <col min="3" max="3" width="16.7109375" bestFit="1" customWidth="1"/>
    <col min="4" max="4" width="9.140625" style="63"/>
    <col min="5" max="5" width="9.140625" style="95"/>
    <col min="7" max="7" width="13.5703125" style="63" customWidth="1"/>
    <col min="8" max="8" width="10.5703125" bestFit="1" customWidth="1"/>
    <col min="12" max="13" width="9.140625" style="82"/>
    <col min="14" max="14" width="11.140625" style="123" bestFit="1" customWidth="1"/>
  </cols>
  <sheetData>
    <row r="1" spans="1:14" ht="29.2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79"/>
      <c r="M1" s="79" t="s">
        <v>35</v>
      </c>
      <c r="N1" s="135">
        <v>1405</v>
      </c>
    </row>
    <row r="2" spans="1:14" ht="29.2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101"/>
      <c r="M2" s="101" t="s">
        <v>34</v>
      </c>
      <c r="N2" s="137">
        <v>4</v>
      </c>
    </row>
    <row r="3" spans="1:14" ht="40.5" customHeight="1" thickBot="1" x14ac:dyDescent="0.3">
      <c r="A3" s="104"/>
      <c r="B3" s="40" t="s">
        <v>1</v>
      </c>
      <c r="C3" s="40" t="s">
        <v>2</v>
      </c>
      <c r="D3" s="40" t="s">
        <v>3</v>
      </c>
      <c r="E3" s="105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106" t="s">
        <v>11</v>
      </c>
      <c r="M3" s="40" t="s">
        <v>12</v>
      </c>
      <c r="N3" s="115" t="s">
        <v>40</v>
      </c>
    </row>
    <row r="4" spans="1:14" ht="28.7" customHeight="1" x14ac:dyDescent="0.25">
      <c r="A4" s="33">
        <v>1</v>
      </c>
      <c r="B4" s="34" t="s">
        <v>102</v>
      </c>
      <c r="C4" s="34" t="s">
        <v>76</v>
      </c>
      <c r="D4" s="76" t="s">
        <v>32</v>
      </c>
      <c r="E4" s="42">
        <v>19</v>
      </c>
      <c r="F4" s="48" t="s">
        <v>14</v>
      </c>
      <c r="G4" s="57" t="s">
        <v>21</v>
      </c>
      <c r="H4" s="57">
        <v>14046</v>
      </c>
      <c r="I4" s="49"/>
      <c r="J4" s="36" t="s">
        <v>95</v>
      </c>
      <c r="K4" s="36"/>
      <c r="L4" s="90">
        <f>SUMIFS([1]فروردین!$AD$176:$AD$361,[1]فروردین!$C$176:$C$361,"قطعه نو",[1]فروردین!$B$176:$B$361,C4,[1]فروردین!$O$176:$O$361,B4)</f>
        <v>0</v>
      </c>
      <c r="M4" s="34" t="s">
        <v>37</v>
      </c>
      <c r="N4" s="121">
        <f>L4*(500000*1.5)</f>
        <v>0</v>
      </c>
    </row>
    <row r="5" spans="1:14" ht="28.7" customHeight="1" x14ac:dyDescent="0.25">
      <c r="A5" s="103">
        <v>2</v>
      </c>
      <c r="B5" s="1" t="s">
        <v>36</v>
      </c>
      <c r="C5" s="3" t="s">
        <v>76</v>
      </c>
      <c r="D5" s="1" t="s">
        <v>32</v>
      </c>
      <c r="E5" s="43">
        <v>1</v>
      </c>
      <c r="F5" s="4" t="s">
        <v>14</v>
      </c>
      <c r="G5" s="47" t="s">
        <v>21</v>
      </c>
      <c r="H5" s="47">
        <v>14046</v>
      </c>
      <c r="I5" s="2"/>
      <c r="J5" s="6" t="s">
        <v>95</v>
      </c>
      <c r="K5" s="6"/>
      <c r="L5" s="81">
        <f>SUMIFS([1]فروردین!$AD$176:$AD$361,[1]فروردین!$C$176:$C$361,"قطعه نو",[1]فروردین!$B$176:$B$361,C5,[1]فروردین!$O$176:$O$361,B5)</f>
        <v>0</v>
      </c>
      <c r="M5" s="3" t="s">
        <v>37</v>
      </c>
      <c r="N5" s="122">
        <f>L5*(500000*1.5)</f>
        <v>0</v>
      </c>
    </row>
    <row r="6" spans="1:14" ht="28.7" customHeight="1" x14ac:dyDescent="0.25">
      <c r="A6" s="103">
        <v>3</v>
      </c>
      <c r="B6" s="4" t="s">
        <v>108</v>
      </c>
      <c r="C6" s="3" t="s">
        <v>76</v>
      </c>
      <c r="D6" s="1" t="s">
        <v>32</v>
      </c>
      <c r="E6" s="43">
        <v>1</v>
      </c>
      <c r="F6" s="4" t="s">
        <v>14</v>
      </c>
      <c r="G6" s="47" t="s">
        <v>21</v>
      </c>
      <c r="H6" s="47">
        <v>14046</v>
      </c>
      <c r="I6" s="2"/>
      <c r="J6" s="6" t="s">
        <v>95</v>
      </c>
      <c r="K6" s="6"/>
      <c r="L6" s="81">
        <f>SUMIFS([1]فروردین!$AD$176:$AD$361,[1]فروردین!$C$176:$C$361,"قطعه نو",[1]فروردین!$B$176:$B$361,C6,[1]فروردین!$O$176:$O$361,B6)</f>
        <v>0</v>
      </c>
      <c r="M6" s="4" t="s">
        <v>37</v>
      </c>
      <c r="N6" s="122">
        <f t="shared" ref="N6:N38" si="0">L6*(500000*1.5)</f>
        <v>0</v>
      </c>
    </row>
    <row r="7" spans="1:14" ht="28.7" customHeight="1" x14ac:dyDescent="0.25">
      <c r="A7" s="103">
        <v>4</v>
      </c>
      <c r="B7" s="4" t="s">
        <v>50</v>
      </c>
      <c r="C7" s="3" t="s">
        <v>76</v>
      </c>
      <c r="D7" s="1" t="s">
        <v>32</v>
      </c>
      <c r="E7" s="43">
        <v>4</v>
      </c>
      <c r="F7" s="4" t="s">
        <v>14</v>
      </c>
      <c r="G7" s="47" t="s">
        <v>21</v>
      </c>
      <c r="H7" s="47">
        <v>14046</v>
      </c>
      <c r="I7" s="2"/>
      <c r="J7" s="6" t="s">
        <v>95</v>
      </c>
      <c r="K7" s="6"/>
      <c r="L7" s="81">
        <f>SUMIFS([1]فروردین!$AD$176:$AD$361,[1]فروردین!$C$176:$C$361,"قطعه نو",[1]فروردین!$B$176:$B$361,C7,[1]فروردین!$O$176:$O$361,B7)</f>
        <v>0</v>
      </c>
      <c r="M7" s="4" t="s">
        <v>37</v>
      </c>
      <c r="N7" s="122">
        <f t="shared" si="0"/>
        <v>0</v>
      </c>
    </row>
    <row r="8" spans="1:14" ht="28.7" customHeight="1" x14ac:dyDescent="0.25">
      <c r="A8" s="103">
        <v>5</v>
      </c>
      <c r="B8" s="20" t="s">
        <v>131</v>
      </c>
      <c r="C8" s="4" t="s">
        <v>131</v>
      </c>
      <c r="D8" s="1" t="s">
        <v>132</v>
      </c>
      <c r="E8" s="91">
        <v>1</v>
      </c>
      <c r="F8" s="4" t="s">
        <v>14</v>
      </c>
      <c r="G8" s="47" t="s">
        <v>21</v>
      </c>
      <c r="H8" s="2"/>
      <c r="I8" s="2"/>
      <c r="J8" s="6" t="s">
        <v>133</v>
      </c>
      <c r="K8" s="6"/>
      <c r="L8" s="81">
        <f>SUMIFS([1]فروردین!$AD$176:$AD$361,[1]فروردین!$C$176:$C$361,"قطعه نو",[1]فروردین!$B$176:$B$361,C8,[1]فروردین!$O$176:$O$361,B8)</f>
        <v>0</v>
      </c>
      <c r="M8" s="4" t="s">
        <v>37</v>
      </c>
      <c r="N8" s="122">
        <f t="shared" si="0"/>
        <v>0</v>
      </c>
    </row>
    <row r="9" spans="1:14" ht="28.7" customHeight="1" x14ac:dyDescent="0.25">
      <c r="A9" s="103">
        <v>6</v>
      </c>
      <c r="B9" s="4" t="s">
        <v>33</v>
      </c>
      <c r="C9" s="4" t="s">
        <v>56</v>
      </c>
      <c r="D9" s="47" t="s">
        <v>17</v>
      </c>
      <c r="E9" s="91">
        <v>1</v>
      </c>
      <c r="F9" s="4" t="s">
        <v>14</v>
      </c>
      <c r="G9" s="47" t="s">
        <v>21</v>
      </c>
      <c r="H9" s="2">
        <v>15528</v>
      </c>
      <c r="I9" s="2">
        <v>2024</v>
      </c>
      <c r="J9" s="6" t="s">
        <v>134</v>
      </c>
      <c r="K9" s="6" t="s">
        <v>134</v>
      </c>
      <c r="L9" s="81">
        <f>SUMIFS([1]فروردین!$AD$176:$AD$361,[1]فروردین!$C$176:$C$361,"قطعه نو",[1]فروردین!$B$176:$B$361,C9,[1]فروردین!$O$176:$O$361,B9)</f>
        <v>0</v>
      </c>
      <c r="M9" s="4" t="s">
        <v>20</v>
      </c>
      <c r="N9" s="122">
        <f t="shared" si="0"/>
        <v>0</v>
      </c>
    </row>
    <row r="10" spans="1:14" ht="28.7" customHeight="1" x14ac:dyDescent="0.25">
      <c r="A10" s="103">
        <v>7</v>
      </c>
      <c r="B10" s="4" t="s">
        <v>55</v>
      </c>
      <c r="C10" s="4" t="s">
        <v>56</v>
      </c>
      <c r="D10" s="47" t="s">
        <v>17</v>
      </c>
      <c r="E10" s="91">
        <v>1</v>
      </c>
      <c r="F10" s="4" t="s">
        <v>14</v>
      </c>
      <c r="G10" s="47" t="s">
        <v>21</v>
      </c>
      <c r="H10" s="4">
        <v>15528</v>
      </c>
      <c r="I10" s="2">
        <v>2024</v>
      </c>
      <c r="J10" s="6" t="s">
        <v>134</v>
      </c>
      <c r="K10" s="6" t="s">
        <v>134</v>
      </c>
      <c r="L10" s="81">
        <f>SUMIFS([1]فروردین!$AD$176:$AD$361,[1]فروردین!$C$176:$C$361,"قطعه نو",[1]فروردین!$B$176:$B$361,C10,[1]فروردین!$O$176:$O$361,B10)</f>
        <v>0</v>
      </c>
      <c r="M10" s="4" t="s">
        <v>20</v>
      </c>
      <c r="N10" s="122">
        <f t="shared" si="0"/>
        <v>0</v>
      </c>
    </row>
    <row r="11" spans="1:14" ht="28.7" customHeight="1" x14ac:dyDescent="0.25">
      <c r="A11" s="103">
        <v>8</v>
      </c>
      <c r="B11" s="4" t="s">
        <v>114</v>
      </c>
      <c r="C11" s="4" t="s">
        <v>88</v>
      </c>
      <c r="D11" s="4" t="s">
        <v>103</v>
      </c>
      <c r="E11" s="4">
        <v>4</v>
      </c>
      <c r="F11" s="3" t="s">
        <v>14</v>
      </c>
      <c r="G11" s="47" t="s">
        <v>21</v>
      </c>
      <c r="H11" s="2" t="s">
        <v>87</v>
      </c>
      <c r="I11" s="2"/>
      <c r="J11" s="6" t="s">
        <v>91</v>
      </c>
      <c r="K11" s="6"/>
      <c r="L11" s="81">
        <f>SUMIFS([1]فروردین!$AD$176:$AD$361,[1]فروردین!$C$176:$C$361,"قطعه نو",[1]فروردین!$B$176:$B$361,C11,[1]فروردین!$O$176:$O$361,B11)</f>
        <v>0</v>
      </c>
      <c r="M11" s="4" t="s">
        <v>37</v>
      </c>
      <c r="N11" s="122">
        <f t="shared" si="0"/>
        <v>0</v>
      </c>
    </row>
    <row r="12" spans="1:14" ht="28.7" customHeight="1" x14ac:dyDescent="0.25">
      <c r="A12" s="103">
        <v>9</v>
      </c>
      <c r="B12" s="4" t="s">
        <v>96</v>
      </c>
      <c r="C12" s="4" t="s">
        <v>88</v>
      </c>
      <c r="D12" s="4" t="s">
        <v>103</v>
      </c>
      <c r="E12" s="4">
        <v>4</v>
      </c>
      <c r="F12" s="3" t="s">
        <v>14</v>
      </c>
      <c r="G12" s="47" t="s">
        <v>21</v>
      </c>
      <c r="H12" s="2" t="s">
        <v>87</v>
      </c>
      <c r="I12" s="2"/>
      <c r="J12" s="6" t="s">
        <v>91</v>
      </c>
      <c r="K12" s="6"/>
      <c r="L12" s="81">
        <f>SUMIFS([1]فروردین!$AD$176:$AD$361,[1]فروردین!$C$176:$C$361,"قطعه نو",[1]فروردین!$B$176:$B$361,C12,[1]فروردین!$O$176:$O$361,B12)</f>
        <v>0</v>
      </c>
      <c r="M12" s="4" t="s">
        <v>37</v>
      </c>
      <c r="N12" s="122">
        <f t="shared" si="0"/>
        <v>0</v>
      </c>
    </row>
    <row r="13" spans="1:14" ht="28.7" customHeight="1" x14ac:dyDescent="0.25">
      <c r="A13" s="103">
        <v>10</v>
      </c>
      <c r="B13" s="4" t="s">
        <v>135</v>
      </c>
      <c r="C13" s="4" t="s">
        <v>88</v>
      </c>
      <c r="D13" s="4" t="s">
        <v>103</v>
      </c>
      <c r="E13" s="4">
        <v>1</v>
      </c>
      <c r="F13" s="3" t="s">
        <v>14</v>
      </c>
      <c r="G13" s="47" t="s">
        <v>21</v>
      </c>
      <c r="H13" s="2" t="s">
        <v>87</v>
      </c>
      <c r="I13" s="2"/>
      <c r="J13" s="6" t="s">
        <v>91</v>
      </c>
      <c r="K13" s="6"/>
      <c r="L13" s="81">
        <f>SUMIFS([1]فروردین!$AD$176:$AD$361,[1]فروردین!$C$176:$C$361,"قطعه نو",[1]فروردین!$B$176:$B$361,C13,[1]فروردین!$O$176:$O$361,B13)</f>
        <v>0</v>
      </c>
      <c r="M13" s="4" t="s">
        <v>37</v>
      </c>
      <c r="N13" s="122">
        <f t="shared" si="0"/>
        <v>0</v>
      </c>
    </row>
    <row r="14" spans="1:14" ht="28.7" customHeight="1" x14ac:dyDescent="0.25">
      <c r="A14" s="103">
        <v>11</v>
      </c>
      <c r="B14" s="4" t="s">
        <v>86</v>
      </c>
      <c r="C14" s="4" t="s">
        <v>94</v>
      </c>
      <c r="D14" s="4" t="s">
        <v>103</v>
      </c>
      <c r="E14" s="4">
        <v>4</v>
      </c>
      <c r="F14" s="3" t="s">
        <v>14</v>
      </c>
      <c r="G14" s="47" t="s">
        <v>21</v>
      </c>
      <c r="H14" s="2" t="s">
        <v>87</v>
      </c>
      <c r="I14" s="2"/>
      <c r="J14" s="6" t="s">
        <v>91</v>
      </c>
      <c r="K14" s="6"/>
      <c r="L14" s="81">
        <f>SUMIFS([1]فروردین!$AD$176:$AD$361,[1]فروردین!$C$176:$C$361,"قطعه نو",[1]فروردین!$B$176:$B$361,C14,[1]فروردین!$O$176:$O$361,B14)</f>
        <v>0</v>
      </c>
      <c r="M14" s="4" t="s">
        <v>37</v>
      </c>
      <c r="N14" s="122">
        <f t="shared" si="0"/>
        <v>0</v>
      </c>
    </row>
    <row r="15" spans="1:14" ht="28.7" customHeight="1" x14ac:dyDescent="0.25">
      <c r="A15" s="103">
        <v>12</v>
      </c>
      <c r="B15" s="4" t="s">
        <v>13</v>
      </c>
      <c r="C15" s="4" t="s">
        <v>94</v>
      </c>
      <c r="D15" s="4" t="s">
        <v>103</v>
      </c>
      <c r="E15" s="4">
        <v>3</v>
      </c>
      <c r="F15" s="3" t="s">
        <v>14</v>
      </c>
      <c r="G15" s="47" t="s">
        <v>21</v>
      </c>
      <c r="H15" s="2" t="s">
        <v>87</v>
      </c>
      <c r="I15" s="2"/>
      <c r="J15" s="6" t="s">
        <v>91</v>
      </c>
      <c r="K15" s="6"/>
      <c r="L15" s="81">
        <f>SUMIFS([1]فروردین!$AD$176:$AD$361,[1]فروردین!$C$176:$C$361,"قطعه نو",[1]فروردین!$B$176:$B$361,C15,[1]فروردین!$O$176:$O$361,B15)</f>
        <v>0</v>
      </c>
      <c r="M15" s="4" t="s">
        <v>37</v>
      </c>
      <c r="N15" s="122">
        <f t="shared" si="0"/>
        <v>0</v>
      </c>
    </row>
    <row r="16" spans="1:14" ht="28.7" customHeight="1" x14ac:dyDescent="0.25">
      <c r="A16" s="103">
        <v>13</v>
      </c>
      <c r="B16" s="4" t="s">
        <v>68</v>
      </c>
      <c r="C16" s="4" t="s">
        <v>49</v>
      </c>
      <c r="D16" s="47" t="s">
        <v>32</v>
      </c>
      <c r="E16" s="91">
        <v>1</v>
      </c>
      <c r="F16" s="4" t="s">
        <v>14</v>
      </c>
      <c r="G16" s="47" t="s">
        <v>21</v>
      </c>
      <c r="H16" s="2"/>
      <c r="I16" s="2"/>
      <c r="J16" s="6" t="s">
        <v>136</v>
      </c>
      <c r="K16" s="6" t="s">
        <v>141</v>
      </c>
      <c r="L16" s="81">
        <f>SUMIFS([1]فروردین!$AD$176:$AD$361,[1]فروردین!$C$176:$C$361,"قطعه نو",[1]فروردین!$B$176:$B$361,C16,[1]فروردین!$O$176:$O$361,B16)</f>
        <v>0</v>
      </c>
      <c r="M16" s="4" t="s">
        <v>20</v>
      </c>
      <c r="N16" s="122">
        <f t="shared" si="0"/>
        <v>0</v>
      </c>
    </row>
    <row r="17" spans="1:14" ht="28.7" customHeight="1" x14ac:dyDescent="0.25">
      <c r="A17" s="103">
        <v>14</v>
      </c>
      <c r="B17" s="4" t="s">
        <v>89</v>
      </c>
      <c r="C17" s="4" t="s">
        <v>137</v>
      </c>
      <c r="D17" s="47" t="s">
        <v>103</v>
      </c>
      <c r="E17" s="91">
        <v>1</v>
      </c>
      <c r="F17" s="4" t="s">
        <v>14</v>
      </c>
      <c r="G17" s="47" t="s">
        <v>138</v>
      </c>
      <c r="H17" s="2">
        <v>14596</v>
      </c>
      <c r="I17" s="2"/>
      <c r="J17" s="6" t="s">
        <v>139</v>
      </c>
      <c r="K17" s="6" t="s">
        <v>140</v>
      </c>
      <c r="L17" s="81">
        <f>SUMIFS([1]فروردین!$AD$176:$AD$361,[1]فروردین!$C$176:$C$361,"قطعه نو",[1]فروردین!$B$176:$B$361,C17,[1]فروردین!$O$176:$O$361,B17)</f>
        <v>0</v>
      </c>
      <c r="M17" s="4" t="s">
        <v>20</v>
      </c>
      <c r="N17" s="122">
        <f t="shared" si="0"/>
        <v>0</v>
      </c>
    </row>
    <row r="18" spans="1:14" ht="28.7" customHeight="1" x14ac:dyDescent="0.25">
      <c r="A18" s="103">
        <v>15</v>
      </c>
      <c r="B18" s="4" t="s">
        <v>143</v>
      </c>
      <c r="C18" s="4" t="s">
        <v>142</v>
      </c>
      <c r="D18" s="47" t="s">
        <v>17</v>
      </c>
      <c r="E18" s="91">
        <v>2</v>
      </c>
      <c r="F18" s="4" t="s">
        <v>14</v>
      </c>
      <c r="G18" s="47" t="s">
        <v>144</v>
      </c>
      <c r="H18" s="2">
        <v>15413</v>
      </c>
      <c r="I18" s="21" t="s">
        <v>145</v>
      </c>
      <c r="J18" s="6" t="s">
        <v>133</v>
      </c>
      <c r="K18" s="6"/>
      <c r="L18" s="81">
        <f>SUMIFS([1]فروردین!$AD$176:$AD$361,[1]فروردین!$C$176:$C$361,"قطعه نو",[1]فروردین!$B$176:$B$361,C18,[1]فروردین!$O$176:$O$361,B18)</f>
        <v>0</v>
      </c>
      <c r="M18" s="4" t="s">
        <v>37</v>
      </c>
      <c r="N18" s="122">
        <f t="shared" si="0"/>
        <v>0</v>
      </c>
    </row>
    <row r="19" spans="1:14" ht="28.7" customHeight="1" x14ac:dyDescent="0.25">
      <c r="A19" s="103">
        <v>16</v>
      </c>
      <c r="B19" s="4" t="s">
        <v>146</v>
      </c>
      <c r="C19" s="4" t="s">
        <v>27</v>
      </c>
      <c r="D19" s="47" t="s">
        <v>17</v>
      </c>
      <c r="E19" s="91">
        <v>1</v>
      </c>
      <c r="F19" s="4" t="s">
        <v>14</v>
      </c>
      <c r="G19" s="47" t="s">
        <v>19</v>
      </c>
      <c r="H19" s="2">
        <v>14597</v>
      </c>
      <c r="I19" s="2">
        <v>6404</v>
      </c>
      <c r="J19" s="6" t="s">
        <v>139</v>
      </c>
      <c r="K19" s="6" t="s">
        <v>140</v>
      </c>
      <c r="L19" s="81">
        <f>SUMIFS([1]فروردین!$AD$176:$AD$361,[1]فروردین!$C$176:$C$361,"قطعه نو",[1]فروردین!$B$176:$B$361,C19,[1]فروردین!$O$176:$O$361,B19)</f>
        <v>0</v>
      </c>
      <c r="M19" s="4" t="s">
        <v>20</v>
      </c>
      <c r="N19" s="122">
        <f t="shared" si="0"/>
        <v>0</v>
      </c>
    </row>
    <row r="20" spans="1:14" ht="28.7" customHeight="1" x14ac:dyDescent="0.25">
      <c r="A20" s="103">
        <v>17</v>
      </c>
      <c r="B20" s="4" t="s">
        <v>85</v>
      </c>
      <c r="C20" s="4" t="s">
        <v>27</v>
      </c>
      <c r="D20" s="47" t="s">
        <v>17</v>
      </c>
      <c r="E20" s="91">
        <v>1</v>
      </c>
      <c r="F20" s="4" t="s">
        <v>14</v>
      </c>
      <c r="G20" s="47" t="s">
        <v>19</v>
      </c>
      <c r="H20" s="2">
        <v>14597</v>
      </c>
      <c r="I20" s="2">
        <v>6404</v>
      </c>
      <c r="J20" s="6" t="s">
        <v>139</v>
      </c>
      <c r="K20" s="6" t="s">
        <v>140</v>
      </c>
      <c r="L20" s="81">
        <f>SUMIFS([1]فروردین!$AD$176:$AD$361,[1]فروردین!$C$176:$C$361,"قطعه نو",[1]فروردین!$B$176:$B$361,C20,[1]فروردین!$O$176:$O$361,B20)</f>
        <v>0</v>
      </c>
      <c r="M20" s="4" t="s">
        <v>20</v>
      </c>
      <c r="N20" s="122">
        <f t="shared" si="0"/>
        <v>0</v>
      </c>
    </row>
    <row r="21" spans="1:14" ht="28.7" customHeight="1" x14ac:dyDescent="0.25">
      <c r="A21" s="103">
        <v>18</v>
      </c>
      <c r="B21" s="4" t="s">
        <v>147</v>
      </c>
      <c r="C21" s="4" t="s">
        <v>27</v>
      </c>
      <c r="D21" s="47" t="s">
        <v>17</v>
      </c>
      <c r="E21" s="91">
        <v>1</v>
      </c>
      <c r="F21" s="4" t="s">
        <v>14</v>
      </c>
      <c r="G21" s="47" t="s">
        <v>19</v>
      </c>
      <c r="H21" s="2">
        <v>14597</v>
      </c>
      <c r="I21" s="2">
        <v>6404</v>
      </c>
      <c r="J21" s="6" t="s">
        <v>139</v>
      </c>
      <c r="K21" s="6" t="s">
        <v>140</v>
      </c>
      <c r="L21" s="81">
        <f>SUMIFS([1]فروردین!$AD$176:$AD$361,[1]فروردین!$C$176:$C$361,"قطعه نو",[1]فروردین!$B$176:$B$361,C21,[1]فروردین!$O$176:$O$361,B21)</f>
        <v>0</v>
      </c>
      <c r="M21" s="4" t="s">
        <v>20</v>
      </c>
      <c r="N21" s="122">
        <f t="shared" si="0"/>
        <v>0</v>
      </c>
    </row>
    <row r="22" spans="1:14" ht="28.7" customHeight="1" x14ac:dyDescent="0.25">
      <c r="A22" s="103">
        <v>19</v>
      </c>
      <c r="B22" s="4" t="s">
        <v>52</v>
      </c>
      <c r="C22" s="4" t="s">
        <v>148</v>
      </c>
      <c r="D22" s="47" t="s">
        <v>17</v>
      </c>
      <c r="E22" s="91">
        <v>1</v>
      </c>
      <c r="F22" s="4" t="s">
        <v>23</v>
      </c>
      <c r="G22" s="47" t="s">
        <v>18</v>
      </c>
      <c r="H22" s="2">
        <v>14598</v>
      </c>
      <c r="I22" s="2"/>
      <c r="J22" s="6" t="s">
        <v>136</v>
      </c>
      <c r="K22" s="6" t="s">
        <v>136</v>
      </c>
      <c r="L22" s="81">
        <f>SUMIFS([1]فروردین!$AD$176:$AD$361,[1]فروردین!$C$176:$C$361,"قطعه تعمیری",[1]فروردین!$B$176:$B$361,C22,[1]فروردین!$O$176:$O$361,B22)</f>
        <v>0</v>
      </c>
      <c r="M22" s="4" t="s">
        <v>20</v>
      </c>
      <c r="N22" s="122">
        <f t="shared" si="0"/>
        <v>0</v>
      </c>
    </row>
    <row r="23" spans="1:14" ht="28.7" customHeight="1" x14ac:dyDescent="0.25">
      <c r="A23" s="103">
        <v>20</v>
      </c>
      <c r="B23" s="4" t="s">
        <v>149</v>
      </c>
      <c r="C23" s="4" t="s">
        <v>66</v>
      </c>
      <c r="D23" s="47" t="s">
        <v>54</v>
      </c>
      <c r="E23" s="91">
        <v>1</v>
      </c>
      <c r="F23" s="4" t="s">
        <v>23</v>
      </c>
      <c r="G23" s="47" t="s">
        <v>18</v>
      </c>
      <c r="H23" s="2">
        <v>12686</v>
      </c>
      <c r="I23" s="2"/>
      <c r="J23" s="6" t="s">
        <v>141</v>
      </c>
      <c r="K23" s="6" t="s">
        <v>141</v>
      </c>
      <c r="L23" s="81">
        <f>SUMIFS([1]فروردین!$AD$176:$AD$361,[1]فروردین!$C$176:$C$361,"قطعه تعمیری",[1]فروردین!$B$176:$B$361,C23,[1]فروردین!$O$176:$O$361,B23)</f>
        <v>0</v>
      </c>
      <c r="M23" s="4" t="s">
        <v>20</v>
      </c>
      <c r="N23" s="122">
        <f t="shared" si="0"/>
        <v>0</v>
      </c>
    </row>
    <row r="24" spans="1:14" ht="28.7" customHeight="1" x14ac:dyDescent="0.25">
      <c r="A24" s="103">
        <v>21</v>
      </c>
      <c r="B24" s="4" t="s">
        <v>67</v>
      </c>
      <c r="C24" s="4" t="s">
        <v>59</v>
      </c>
      <c r="D24" s="47" t="s">
        <v>17</v>
      </c>
      <c r="E24" s="91">
        <v>1</v>
      </c>
      <c r="F24" s="4" t="s">
        <v>23</v>
      </c>
      <c r="G24" s="47" t="s">
        <v>18</v>
      </c>
      <c r="H24" s="2">
        <v>14599</v>
      </c>
      <c r="I24" s="2">
        <v>2070</v>
      </c>
      <c r="J24" s="6" t="s">
        <v>136</v>
      </c>
      <c r="K24" s="6" t="s">
        <v>141</v>
      </c>
      <c r="L24" s="81">
        <f>SUMIFS([1]فروردین!$AD$176:$AD$361,[1]فروردین!$C$176:$C$361,"قطعه تعمیری",[1]فروردین!$B$176:$B$361,C24,[1]فروردین!$O$176:$O$361,B24)</f>
        <v>0</v>
      </c>
      <c r="M24" s="4" t="s">
        <v>20</v>
      </c>
      <c r="N24" s="122">
        <f t="shared" si="0"/>
        <v>0</v>
      </c>
    </row>
    <row r="25" spans="1:14" ht="28.7" customHeight="1" x14ac:dyDescent="0.25">
      <c r="A25" s="103">
        <v>22</v>
      </c>
      <c r="B25" s="4" t="s">
        <v>85</v>
      </c>
      <c r="C25" s="4" t="s">
        <v>150</v>
      </c>
      <c r="D25" s="47" t="s">
        <v>32</v>
      </c>
      <c r="E25" s="91">
        <v>1</v>
      </c>
      <c r="F25" s="4" t="s">
        <v>23</v>
      </c>
      <c r="G25" s="47" t="s">
        <v>151</v>
      </c>
      <c r="H25" s="2"/>
      <c r="I25" s="2"/>
      <c r="J25" s="6" t="s">
        <v>134</v>
      </c>
      <c r="K25" s="6" t="s">
        <v>134</v>
      </c>
      <c r="L25" s="81">
        <f>SUMIFS([1]فروردین!$AD$176:$AD$361,[1]فروردین!$C$176:$C$361,"قطعه تعمیری",[1]فروردین!$B$176:$B$361,C25,[1]فروردین!$O$176:$O$361,B25)</f>
        <v>0</v>
      </c>
      <c r="M25" s="4" t="s">
        <v>20</v>
      </c>
      <c r="N25" s="122">
        <f t="shared" si="0"/>
        <v>0</v>
      </c>
    </row>
    <row r="26" spans="1:14" ht="28.7" customHeight="1" x14ac:dyDescent="0.25">
      <c r="A26" s="103">
        <v>23</v>
      </c>
      <c r="B26" s="4" t="s">
        <v>53</v>
      </c>
      <c r="C26" s="4" t="s">
        <v>63</v>
      </c>
      <c r="D26" s="47" t="s">
        <v>32</v>
      </c>
      <c r="E26" s="91">
        <v>32</v>
      </c>
      <c r="F26" s="4" t="s">
        <v>23</v>
      </c>
      <c r="G26" s="47" t="s">
        <v>154</v>
      </c>
      <c r="H26" s="2">
        <v>14600</v>
      </c>
      <c r="I26" s="2"/>
      <c r="J26" s="6" t="s">
        <v>136</v>
      </c>
      <c r="K26" s="6" t="s">
        <v>141</v>
      </c>
      <c r="L26" s="81">
        <f>SUMIFS([1]فروردین!$AD$176:$AD$361,[1]فروردین!$C$176:$C$361,"قطعه تعمیری",[1]فروردین!$B$176:$B$361,C26,[1]فروردین!$O$176:$O$361,B26)</f>
        <v>0</v>
      </c>
      <c r="M26" s="4" t="s">
        <v>20</v>
      </c>
      <c r="N26" s="122">
        <f t="shared" si="0"/>
        <v>0</v>
      </c>
    </row>
    <row r="27" spans="1:14" ht="28.7" customHeight="1" x14ac:dyDescent="0.25">
      <c r="A27" s="103">
        <v>24</v>
      </c>
      <c r="B27" s="4" t="s">
        <v>152</v>
      </c>
      <c r="C27" s="4" t="s">
        <v>63</v>
      </c>
      <c r="D27" s="47" t="s">
        <v>32</v>
      </c>
      <c r="E27" s="91">
        <v>1</v>
      </c>
      <c r="F27" s="4" t="s">
        <v>23</v>
      </c>
      <c r="G27" s="47" t="s">
        <v>18</v>
      </c>
      <c r="H27" s="2">
        <v>15542</v>
      </c>
      <c r="I27" s="2"/>
      <c r="J27" s="6" t="s">
        <v>141</v>
      </c>
      <c r="K27" s="6"/>
      <c r="L27" s="81">
        <f>SUMIFS([1]فروردین!$AD$176:$AD$361,[1]فروردین!$C$176:$C$361,"قطعه تعمیری",[1]فروردین!$B$176:$B$361,C27,[1]فروردین!$O$176:$O$361,B27)</f>
        <v>0</v>
      </c>
      <c r="M27" s="4" t="s">
        <v>37</v>
      </c>
      <c r="N27" s="122">
        <f t="shared" si="0"/>
        <v>0</v>
      </c>
    </row>
    <row r="28" spans="1:14" ht="28.7" customHeight="1" x14ac:dyDescent="0.25">
      <c r="A28" s="103">
        <v>25</v>
      </c>
      <c r="B28" s="4" t="s">
        <v>153</v>
      </c>
      <c r="C28" s="4" t="s">
        <v>63</v>
      </c>
      <c r="D28" s="47" t="s">
        <v>32</v>
      </c>
      <c r="E28" s="91">
        <v>1</v>
      </c>
      <c r="F28" s="4" t="s">
        <v>23</v>
      </c>
      <c r="G28" s="47" t="s">
        <v>18</v>
      </c>
      <c r="H28" s="2">
        <v>15542</v>
      </c>
      <c r="I28" s="2"/>
      <c r="J28" s="6" t="s">
        <v>141</v>
      </c>
      <c r="K28" s="6"/>
      <c r="L28" s="81">
        <f>SUMIFS([1]فروردین!$AD$176:$AD$361,[1]فروردین!$C$176:$C$361,"قطعه تعمیری",[1]فروردین!$B$176:$B$361,C28,[1]فروردین!$O$176:$O$361,B28)</f>
        <v>0</v>
      </c>
      <c r="M28" s="4" t="s">
        <v>37</v>
      </c>
      <c r="N28" s="122">
        <f t="shared" si="0"/>
        <v>0</v>
      </c>
    </row>
    <row r="29" spans="1:14" ht="28.7" customHeight="1" x14ac:dyDescent="0.25">
      <c r="A29" s="103">
        <v>26</v>
      </c>
      <c r="B29" s="4" t="s">
        <v>85</v>
      </c>
      <c r="C29" s="4" t="s">
        <v>63</v>
      </c>
      <c r="D29" s="47" t="s">
        <v>32</v>
      </c>
      <c r="E29" s="91">
        <v>1</v>
      </c>
      <c r="F29" s="4" t="s">
        <v>23</v>
      </c>
      <c r="G29" s="47" t="s">
        <v>18</v>
      </c>
      <c r="H29" s="2">
        <v>15542</v>
      </c>
      <c r="I29" s="2"/>
      <c r="J29" s="6" t="s">
        <v>141</v>
      </c>
      <c r="K29" s="6"/>
      <c r="L29" s="81">
        <f>SUMIFS([1]فروردین!$AD$176:$AD$361,[1]فروردین!$C$176:$C$361,"قطعه تعمیری",[1]فروردین!$B$176:$B$361,C29,[1]فروردین!$O$176:$O$361,B29)</f>
        <v>0</v>
      </c>
      <c r="M29" s="4" t="s">
        <v>37</v>
      </c>
      <c r="N29" s="122">
        <f t="shared" si="0"/>
        <v>0</v>
      </c>
    </row>
    <row r="30" spans="1:14" ht="28.7" customHeight="1" x14ac:dyDescent="0.25">
      <c r="A30" s="103">
        <v>27</v>
      </c>
      <c r="B30" s="4" t="s">
        <v>126</v>
      </c>
      <c r="C30" s="4" t="s">
        <v>88</v>
      </c>
      <c r="D30" s="4" t="s">
        <v>103</v>
      </c>
      <c r="E30" s="91">
        <v>1</v>
      </c>
      <c r="F30" s="4" t="s">
        <v>23</v>
      </c>
      <c r="G30" s="47" t="s">
        <v>75</v>
      </c>
      <c r="H30" s="4"/>
      <c r="I30" s="2"/>
      <c r="J30" s="6" t="s">
        <v>134</v>
      </c>
      <c r="K30" s="6" t="s">
        <v>134</v>
      </c>
      <c r="L30" s="81">
        <f>SUMIFS([1]فروردین!$AD$176:$AD$361,[1]فروردین!$C$176:$C$361,"قطعه تعمیری",[1]فروردین!$B$176:$B$361,C30,[1]فروردین!$O$176:$O$361,B30)</f>
        <v>0</v>
      </c>
      <c r="M30" s="4" t="s">
        <v>20</v>
      </c>
      <c r="N30" s="122">
        <f t="shared" si="0"/>
        <v>0</v>
      </c>
    </row>
    <row r="31" spans="1:14" ht="28.7" customHeight="1" x14ac:dyDescent="0.25">
      <c r="A31" s="103">
        <v>28</v>
      </c>
      <c r="B31" s="4" t="s">
        <v>96</v>
      </c>
      <c r="C31" s="4" t="s">
        <v>88</v>
      </c>
      <c r="D31" s="4" t="s">
        <v>103</v>
      </c>
      <c r="E31" s="91">
        <v>1</v>
      </c>
      <c r="F31" s="4" t="s">
        <v>23</v>
      </c>
      <c r="G31" s="47" t="s">
        <v>75</v>
      </c>
      <c r="H31" s="20"/>
      <c r="I31" s="2"/>
      <c r="J31" s="6" t="s">
        <v>134</v>
      </c>
      <c r="K31" s="6" t="s">
        <v>139</v>
      </c>
      <c r="L31" s="81">
        <f>SUMIFS([1]فروردین!$AD$176:$AD$361,[1]فروردین!$C$176:$C$361,"قطعه تعمیری",[1]فروردین!$B$176:$B$361,C31,[1]فروردین!$O$176:$O$361,B31)</f>
        <v>0</v>
      </c>
      <c r="M31" s="4" t="s">
        <v>20</v>
      </c>
      <c r="N31" s="122">
        <f t="shared" si="0"/>
        <v>0</v>
      </c>
    </row>
    <row r="32" spans="1:14" ht="28.7" customHeight="1" x14ac:dyDescent="0.25">
      <c r="A32" s="103">
        <v>29</v>
      </c>
      <c r="B32" s="4" t="s">
        <v>13</v>
      </c>
      <c r="C32" s="4" t="s">
        <v>155</v>
      </c>
      <c r="D32" s="47" t="s">
        <v>17</v>
      </c>
      <c r="E32" s="91">
        <v>1</v>
      </c>
      <c r="F32" s="4" t="s">
        <v>23</v>
      </c>
      <c r="G32" s="47" t="s">
        <v>18</v>
      </c>
      <c r="H32" s="21">
        <v>14595</v>
      </c>
      <c r="I32" s="2"/>
      <c r="J32" s="6" t="s">
        <v>134</v>
      </c>
      <c r="K32" s="6" t="s">
        <v>141</v>
      </c>
      <c r="L32" s="81">
        <f>SUMIFS([1]فروردین!$AD$176:$AD$361,[1]فروردین!$C$176:$C$361,"قطعه تعمیری",[1]فروردین!$B$176:$B$361,C32,[1]فروردین!$O$176:$O$361,B32)</f>
        <v>0</v>
      </c>
      <c r="M32" s="4" t="s">
        <v>20</v>
      </c>
      <c r="N32" s="122">
        <f t="shared" si="0"/>
        <v>0</v>
      </c>
    </row>
    <row r="33" spans="1:14" ht="28.7" customHeight="1" x14ac:dyDescent="0.25">
      <c r="A33" s="103">
        <v>30</v>
      </c>
      <c r="B33" s="4" t="s">
        <v>85</v>
      </c>
      <c r="C33" s="4" t="s">
        <v>156</v>
      </c>
      <c r="D33" s="47" t="s">
        <v>32</v>
      </c>
      <c r="E33" s="91">
        <v>1</v>
      </c>
      <c r="F33" s="4" t="s">
        <v>23</v>
      </c>
      <c r="G33" s="47" t="s">
        <v>18</v>
      </c>
      <c r="H33" s="21">
        <v>15541</v>
      </c>
      <c r="I33" s="21"/>
      <c r="J33" s="6" t="s">
        <v>136</v>
      </c>
      <c r="K33" s="6" t="s">
        <v>141</v>
      </c>
      <c r="L33" s="81">
        <f>SUMIFS([1]فروردین!$AD$176:$AD$361,[1]فروردین!$C$176:$C$361,"قطعه تعمیری",[1]فروردین!$B$176:$B$361,C33,[1]فروردین!$O$176:$O$361,B33)</f>
        <v>0</v>
      </c>
      <c r="M33" s="4" t="s">
        <v>20</v>
      </c>
      <c r="N33" s="122">
        <f t="shared" si="0"/>
        <v>0</v>
      </c>
    </row>
    <row r="34" spans="1:14" ht="28.7" customHeight="1" x14ac:dyDescent="0.25">
      <c r="A34" s="103">
        <v>31</v>
      </c>
      <c r="B34" s="4" t="s">
        <v>64</v>
      </c>
      <c r="C34" s="4" t="s">
        <v>28</v>
      </c>
      <c r="D34" s="47" t="s">
        <v>17</v>
      </c>
      <c r="E34" s="91">
        <v>1</v>
      </c>
      <c r="F34" s="4" t="s">
        <v>23</v>
      </c>
      <c r="G34" s="47" t="s">
        <v>157</v>
      </c>
      <c r="H34" s="20">
        <v>15410</v>
      </c>
      <c r="I34" s="2">
        <v>2905</v>
      </c>
      <c r="J34" s="22" t="s">
        <v>133</v>
      </c>
      <c r="K34" s="22"/>
      <c r="L34" s="81">
        <f>SUMIFS([1]فروردین!$AD$176:$AD$361,[1]فروردین!$C$176:$C$361,"قطعه تعمیری",[1]فروردین!$B$176:$B$361,C34,[1]فروردین!$O$176:$O$361,B34)</f>
        <v>0</v>
      </c>
      <c r="M34" s="4" t="s">
        <v>37</v>
      </c>
      <c r="N34" s="122">
        <f t="shared" si="0"/>
        <v>0</v>
      </c>
    </row>
    <row r="35" spans="1:14" ht="28.7" customHeight="1" x14ac:dyDescent="0.25">
      <c r="A35" s="103">
        <v>32</v>
      </c>
      <c r="B35" s="4" t="s">
        <v>16</v>
      </c>
      <c r="C35" s="4" t="s">
        <v>45</v>
      </c>
      <c r="D35" s="47" t="s">
        <v>17</v>
      </c>
      <c r="E35" s="91">
        <v>20</v>
      </c>
      <c r="F35" s="4" t="s">
        <v>23</v>
      </c>
      <c r="G35" s="47" t="s">
        <v>158</v>
      </c>
      <c r="H35" s="2"/>
      <c r="I35" s="2"/>
      <c r="J35" s="23" t="s">
        <v>136</v>
      </c>
      <c r="K35" s="23"/>
      <c r="L35" s="81">
        <f>SUMIFS([1]فروردین!$AD$176:$AD$361,[1]فروردین!$C$176:$C$361,"قطعه تعمیری",[1]فروردین!$B$176:$B$361,C35,[1]فروردین!$O$176:$O$361,B35)</f>
        <v>0</v>
      </c>
      <c r="M35" s="4" t="s">
        <v>37</v>
      </c>
      <c r="N35" s="122">
        <f t="shared" si="0"/>
        <v>0</v>
      </c>
    </row>
    <row r="36" spans="1:14" ht="28.7" customHeight="1" x14ac:dyDescent="0.25">
      <c r="A36" s="103">
        <v>33</v>
      </c>
      <c r="B36" s="4" t="s">
        <v>42</v>
      </c>
      <c r="C36" s="4" t="s">
        <v>159</v>
      </c>
      <c r="D36" s="47" t="s">
        <v>29</v>
      </c>
      <c r="E36" s="91">
        <v>1</v>
      </c>
      <c r="F36" s="4" t="s">
        <v>23</v>
      </c>
      <c r="G36" s="47" t="s">
        <v>18</v>
      </c>
      <c r="H36" s="2"/>
      <c r="I36" s="2">
        <v>8002</v>
      </c>
      <c r="J36" s="23" t="s">
        <v>134</v>
      </c>
      <c r="K36" s="23" t="s">
        <v>134</v>
      </c>
      <c r="L36" s="81">
        <f>SUMIFS([1]فروردین!$AD$176:$AD$361,[1]فروردین!$C$176:$C$361,"قطعه تعمیری",[1]فروردین!$B$176:$B$361,C36,[1]فروردین!$O$176:$O$361,B36)</f>
        <v>0</v>
      </c>
      <c r="M36" s="4" t="s">
        <v>20</v>
      </c>
      <c r="N36" s="122">
        <f t="shared" si="0"/>
        <v>0</v>
      </c>
    </row>
    <row r="37" spans="1:14" ht="28.7" customHeight="1" x14ac:dyDescent="0.25">
      <c r="A37" s="103">
        <v>34</v>
      </c>
      <c r="B37" s="4" t="s">
        <v>73</v>
      </c>
      <c r="C37" s="4" t="s">
        <v>129</v>
      </c>
      <c r="D37" s="47" t="s">
        <v>17</v>
      </c>
      <c r="E37" s="91">
        <v>1</v>
      </c>
      <c r="F37" s="4" t="s">
        <v>23</v>
      </c>
      <c r="G37" s="47" t="s">
        <v>160</v>
      </c>
      <c r="H37" s="2">
        <v>14594</v>
      </c>
      <c r="I37" s="2">
        <v>6508</v>
      </c>
      <c r="J37" s="23" t="s">
        <v>134</v>
      </c>
      <c r="K37" s="23" t="s">
        <v>134</v>
      </c>
      <c r="L37" s="81">
        <f>SUMIFS([1]فروردین!$AD$176:$AD$361,[1]فروردین!$C$176:$C$361,"قطعه تعمیری",[1]فروردین!$B$176:$B$361,C37,[1]فروردین!$O$176:$O$361,B37)</f>
        <v>0</v>
      </c>
      <c r="M37" s="4" t="s">
        <v>20</v>
      </c>
      <c r="N37" s="122">
        <f t="shared" si="0"/>
        <v>0</v>
      </c>
    </row>
    <row r="38" spans="1:14" ht="28.7" customHeight="1" thickBot="1" x14ac:dyDescent="0.3">
      <c r="A38" s="98">
        <v>35</v>
      </c>
      <c r="B38" s="45" t="s">
        <v>82</v>
      </c>
      <c r="C38" s="45" t="s">
        <v>161</v>
      </c>
      <c r="D38" s="58" t="s">
        <v>32</v>
      </c>
      <c r="E38" s="92">
        <v>2</v>
      </c>
      <c r="F38" s="45" t="s">
        <v>23</v>
      </c>
      <c r="G38" s="58" t="s">
        <v>162</v>
      </c>
      <c r="H38" s="46">
        <v>15530</v>
      </c>
      <c r="I38" s="46"/>
      <c r="J38" s="54" t="s">
        <v>134</v>
      </c>
      <c r="K38" s="54" t="s">
        <v>134</v>
      </c>
      <c r="L38" s="84">
        <f>SUMIFS([1]فروردین!$AD$176:$AD$361,[1]فروردین!$C$176:$C$361,"قطعه تعمیری",[1]فروردین!$B$176:$B$361,C38,[1]فروردین!$O$176:$O$361,"*")</f>
        <v>0</v>
      </c>
      <c r="M38" s="45" t="s">
        <v>20</v>
      </c>
      <c r="N38" s="124">
        <f t="shared" si="0"/>
        <v>0</v>
      </c>
    </row>
    <row r="39" spans="1:14" ht="15" customHeight="1" x14ac:dyDescent="0.25">
      <c r="A39" s="31"/>
      <c r="B39" s="251" t="s">
        <v>30</v>
      </c>
      <c r="C39" s="251" t="s">
        <v>20</v>
      </c>
      <c r="D39" s="83" t="s">
        <v>14</v>
      </c>
      <c r="E39" s="93">
        <f>SUMIFS(E4:E38,F4:F38,D39,M4:M38,"تحویل")</f>
        <v>7</v>
      </c>
      <c r="F39" s="9"/>
      <c r="G39" s="83"/>
      <c r="H39" s="9"/>
      <c r="I39" s="251" t="s">
        <v>115</v>
      </c>
      <c r="J39" s="9" t="s">
        <v>14</v>
      </c>
      <c r="K39" s="9">
        <f>SUMIFS(E4:E38,F4:F38,J39)</f>
        <v>51</v>
      </c>
      <c r="L39" s="252">
        <f>SUM(L4:L38)</f>
        <v>0</v>
      </c>
      <c r="M39" s="99"/>
      <c r="N39" s="250">
        <f>SUM(N4:N38)</f>
        <v>0</v>
      </c>
    </row>
    <row r="40" spans="1:14" ht="15.75" customHeight="1" thickBot="1" x14ac:dyDescent="0.3">
      <c r="A40" s="10"/>
      <c r="B40" s="247"/>
      <c r="C40" s="247"/>
      <c r="D40" s="62" t="s">
        <v>23</v>
      </c>
      <c r="E40" s="94">
        <f>SUMIFS(E4:E38,F4:F38,D40,M4:M38,"تحویل")</f>
        <v>44</v>
      </c>
      <c r="F40" s="11"/>
      <c r="G40" s="62"/>
      <c r="H40" s="11"/>
      <c r="I40" s="247"/>
      <c r="J40" s="11" t="s">
        <v>23</v>
      </c>
      <c r="K40" s="11">
        <f>SUMIFS(E5:E39,F5:F39,J40)</f>
        <v>68</v>
      </c>
      <c r="L40" s="245"/>
      <c r="M40" s="100"/>
      <c r="N40" s="249"/>
    </row>
    <row r="1048576" spans="6:7" x14ac:dyDescent="0.25">
      <c r="F1048576" s="96"/>
      <c r="G1048576" s="97"/>
    </row>
  </sheetData>
  <mergeCells count="6">
    <mergeCell ref="N39:N40"/>
    <mergeCell ref="A1:K2"/>
    <mergeCell ref="B39:B40"/>
    <mergeCell ref="L39:L40"/>
    <mergeCell ref="C39:C40"/>
    <mergeCell ref="I39:I40"/>
  </mergeCells>
  <phoneticPr fontId="6" type="noConversion"/>
  <printOptions horizontalCentered="1" verticalCentered="1"/>
  <pageMargins left="0" right="0" top="0" bottom="0" header="0" footer="0"/>
  <pageSetup scale="9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8E79-EC33-43BF-8971-F5619EFD1E63}">
  <sheetPr codeName="Sheet4">
    <pageSetUpPr fitToPage="1"/>
  </sheetPr>
  <dimension ref="A1:N39"/>
  <sheetViews>
    <sheetView rightToLeft="1" view="pageLayout" zoomScaleNormal="100" workbookViewId="0">
      <selection activeCell="N1" sqref="N1:N2"/>
    </sheetView>
  </sheetViews>
  <sheetFormatPr defaultRowHeight="15" x14ac:dyDescent="0.25"/>
  <cols>
    <col min="1" max="1" width="6.140625" customWidth="1"/>
    <col min="2" max="2" width="14" customWidth="1"/>
    <col min="3" max="3" width="14.85546875" bestFit="1" customWidth="1"/>
    <col min="4" max="4" width="9.5703125" bestFit="1" customWidth="1"/>
    <col min="5" max="5" width="7.140625" customWidth="1"/>
    <col min="6" max="6" width="7" customWidth="1"/>
    <col min="7" max="7" width="15.140625" bestFit="1" customWidth="1"/>
    <col min="8" max="8" width="10.5703125" bestFit="1" customWidth="1"/>
    <col min="13" max="13" width="9.140625" style="95"/>
    <col min="14" max="14" width="12" bestFit="1" customWidth="1"/>
  </cols>
  <sheetData>
    <row r="1" spans="1:14" ht="24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07" t="s">
        <v>35</v>
      </c>
      <c r="N1" s="138">
        <v>1405</v>
      </c>
    </row>
    <row r="2" spans="1:14" ht="24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108" t="s">
        <v>34</v>
      </c>
      <c r="N2" s="139">
        <v>5</v>
      </c>
    </row>
    <row r="3" spans="1:14" ht="55.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105" t="s">
        <v>12</v>
      </c>
      <c r="N3" s="41" t="s">
        <v>40</v>
      </c>
    </row>
    <row r="4" spans="1:14" ht="28.7" customHeight="1" x14ac:dyDescent="0.25">
      <c r="A4" s="32">
        <v>1</v>
      </c>
      <c r="B4" s="4" t="s">
        <v>96</v>
      </c>
      <c r="C4" s="4" t="s">
        <v>88</v>
      </c>
      <c r="D4" s="4" t="s">
        <v>103</v>
      </c>
      <c r="E4" s="4">
        <v>4</v>
      </c>
      <c r="F4" s="3" t="s">
        <v>14</v>
      </c>
      <c r="G4" s="47" t="s">
        <v>21</v>
      </c>
      <c r="H4" s="2" t="s">
        <v>87</v>
      </c>
      <c r="I4" s="2"/>
      <c r="J4" s="6" t="s">
        <v>91</v>
      </c>
      <c r="K4" s="6" t="s">
        <v>171</v>
      </c>
      <c r="L4" s="42">
        <f>SUMIFS([1]فروردین!$AD$282:$AD$400,[1]فروردین!$C$282:$C$400,"قطعه نو",[1]فروردین!$B$282:$B$400,C4,[1]فروردین!$O$282:$O$400,B4)</f>
        <v>0</v>
      </c>
      <c r="M4" s="109" t="s">
        <v>20</v>
      </c>
      <c r="N4" s="44">
        <f>L4*(500000*1.5)</f>
        <v>0</v>
      </c>
    </row>
    <row r="5" spans="1:14" ht="28.7" customHeight="1" x14ac:dyDescent="0.25">
      <c r="A5" s="17">
        <v>2</v>
      </c>
      <c r="B5" s="28" t="s">
        <v>41</v>
      </c>
      <c r="C5" s="1" t="s">
        <v>88</v>
      </c>
      <c r="D5" s="4" t="s">
        <v>103</v>
      </c>
      <c r="E5" s="4">
        <v>2</v>
      </c>
      <c r="F5" s="3" t="s">
        <v>14</v>
      </c>
      <c r="G5" s="47" t="s">
        <v>21</v>
      </c>
      <c r="H5" s="2" t="s">
        <v>87</v>
      </c>
      <c r="I5" s="2"/>
      <c r="J5" s="6" t="s">
        <v>91</v>
      </c>
      <c r="K5" s="6" t="s">
        <v>171</v>
      </c>
      <c r="L5" s="42">
        <f>SUMIFS([1]فروردین!$AD$282:$AD$400,[1]فروردین!$C$282:$C$400,"قطعه نو",[1]فروردین!$B$282:$B$400,C5,[1]فروردین!$O$282:$O$400,B5)</f>
        <v>0</v>
      </c>
      <c r="M5" s="110" t="s">
        <v>20</v>
      </c>
      <c r="N5" s="44">
        <f t="shared" ref="N5:N37" si="0">L5*(500000*1.5)</f>
        <v>0</v>
      </c>
    </row>
    <row r="6" spans="1:14" ht="28.7" customHeight="1" x14ac:dyDescent="0.25">
      <c r="A6" s="17">
        <v>3</v>
      </c>
      <c r="B6" s="29" t="s">
        <v>13</v>
      </c>
      <c r="C6" s="4" t="s">
        <v>88</v>
      </c>
      <c r="D6" s="4" t="s">
        <v>103</v>
      </c>
      <c r="E6" s="4">
        <v>8</v>
      </c>
      <c r="F6" s="3" t="s">
        <v>14</v>
      </c>
      <c r="G6" s="47" t="s">
        <v>21</v>
      </c>
      <c r="H6" s="2" t="s">
        <v>87</v>
      </c>
      <c r="I6" s="2"/>
      <c r="J6" s="6" t="s">
        <v>91</v>
      </c>
      <c r="K6" s="6"/>
      <c r="L6" s="42">
        <f>SUMIFS([1]فروردین!$AD$282:$AD$400,[1]فروردین!$C$282:$C$400,"قطعه نو",[1]فروردین!$B$282:$B$400,C6,[1]فروردین!$O$282:$O$400,B6)+37</f>
        <v>37</v>
      </c>
      <c r="M6" s="111" t="s">
        <v>37</v>
      </c>
      <c r="N6" s="44">
        <f t="shared" si="0"/>
        <v>27750000</v>
      </c>
    </row>
    <row r="7" spans="1:14" ht="28.7" customHeight="1" x14ac:dyDescent="0.25">
      <c r="A7" s="32">
        <v>4</v>
      </c>
      <c r="B7" s="29" t="s">
        <v>89</v>
      </c>
      <c r="C7" s="4" t="s">
        <v>88</v>
      </c>
      <c r="D7" s="4" t="s">
        <v>103</v>
      </c>
      <c r="E7" s="4">
        <v>1</v>
      </c>
      <c r="F7" s="3" t="s">
        <v>14</v>
      </c>
      <c r="G7" s="47" t="s">
        <v>21</v>
      </c>
      <c r="H7" s="2" t="s">
        <v>87</v>
      </c>
      <c r="I7" s="2"/>
      <c r="J7" s="6" t="s">
        <v>91</v>
      </c>
      <c r="K7" s="6" t="s">
        <v>171</v>
      </c>
      <c r="L7" s="42">
        <f>SUMIFS([1]فروردین!$AD$282:$AD$400,[1]فروردین!$C$282:$C$400,"قطعه نو",[1]فروردین!$B$282:$B$400,C7,[1]فروردین!$O$282:$O$400,B7)+10</f>
        <v>10</v>
      </c>
      <c r="M7" s="111" t="s">
        <v>20</v>
      </c>
      <c r="N7" s="44">
        <f t="shared" si="0"/>
        <v>7500000</v>
      </c>
    </row>
    <row r="8" spans="1:14" ht="28.7" customHeight="1" x14ac:dyDescent="0.25">
      <c r="A8" s="17">
        <v>5</v>
      </c>
      <c r="B8" s="29" t="s">
        <v>163</v>
      </c>
      <c r="C8" s="4" t="s">
        <v>94</v>
      </c>
      <c r="D8" s="4" t="s">
        <v>103</v>
      </c>
      <c r="E8" s="4">
        <v>4</v>
      </c>
      <c r="F8" s="3" t="s">
        <v>14</v>
      </c>
      <c r="G8" s="47" t="s">
        <v>21</v>
      </c>
      <c r="H8" s="2" t="s">
        <v>87</v>
      </c>
      <c r="I8" s="2"/>
      <c r="J8" s="6" t="s">
        <v>91</v>
      </c>
      <c r="K8" s="6"/>
      <c r="L8" s="42">
        <f>SUMIFS([1]فروردین!$AD$282:$AD$400,[1]فروردین!$C$282:$C$400,"قطعه نو",[1]فروردین!$B$282:$B$400,C8,[1]فروردین!$O$282:$O$400,B8)+36</f>
        <v>36</v>
      </c>
      <c r="M8" s="111" t="s">
        <v>37</v>
      </c>
      <c r="N8" s="44">
        <f t="shared" si="0"/>
        <v>27000000</v>
      </c>
    </row>
    <row r="9" spans="1:14" ht="28.7" customHeight="1" x14ac:dyDescent="0.25">
      <c r="A9" s="17">
        <v>6</v>
      </c>
      <c r="B9" s="29" t="s">
        <v>96</v>
      </c>
      <c r="C9" s="4" t="s">
        <v>94</v>
      </c>
      <c r="D9" s="4" t="s">
        <v>103</v>
      </c>
      <c r="E9" s="4">
        <v>4</v>
      </c>
      <c r="F9" s="3" t="s">
        <v>14</v>
      </c>
      <c r="G9" s="47" t="s">
        <v>21</v>
      </c>
      <c r="H9" s="2" t="s">
        <v>97</v>
      </c>
      <c r="I9" s="2"/>
      <c r="J9" s="6" t="s">
        <v>93</v>
      </c>
      <c r="K9" s="6"/>
      <c r="L9" s="42">
        <f>SUMIFS([1]فروردین!$AD$282:$AD$400,[1]فروردین!$C$282:$C$400,"قطعه نو",[1]فروردین!$B$282:$B$400,C9,[1]فروردین!$O$282:$O$400,B9)+2</f>
        <v>2</v>
      </c>
      <c r="M9" s="111" t="s">
        <v>37</v>
      </c>
      <c r="N9" s="44">
        <f t="shared" si="0"/>
        <v>1500000</v>
      </c>
    </row>
    <row r="10" spans="1:14" ht="28.7" customHeight="1" x14ac:dyDescent="0.25">
      <c r="A10" s="32">
        <v>7</v>
      </c>
      <c r="B10" s="29" t="s">
        <v>13</v>
      </c>
      <c r="C10" s="4" t="s">
        <v>94</v>
      </c>
      <c r="D10" s="4" t="s">
        <v>103</v>
      </c>
      <c r="E10" s="4">
        <v>8</v>
      </c>
      <c r="F10" s="3" t="s">
        <v>14</v>
      </c>
      <c r="G10" s="47" t="s">
        <v>21</v>
      </c>
      <c r="H10" s="2" t="s">
        <v>98</v>
      </c>
      <c r="I10" s="2"/>
      <c r="J10" s="6" t="s">
        <v>92</v>
      </c>
      <c r="K10" s="6"/>
      <c r="L10" s="42">
        <f>SUMIFS([1]فروردین!$AD$282:$AD$400,[1]فروردین!$C$282:$C$400,"قطعه نو",[1]فروردین!$B$282:$B$400,C10,[1]فروردین!$O$282:$O$400,B10)</f>
        <v>0</v>
      </c>
      <c r="M10" s="111" t="s">
        <v>37</v>
      </c>
      <c r="N10" s="44">
        <f t="shared" si="0"/>
        <v>0</v>
      </c>
    </row>
    <row r="11" spans="1:14" ht="28.7" customHeight="1" x14ac:dyDescent="0.25">
      <c r="A11" s="17">
        <v>8</v>
      </c>
      <c r="B11" s="29" t="s">
        <v>85</v>
      </c>
      <c r="C11" s="4" t="s">
        <v>31</v>
      </c>
      <c r="D11" s="4" t="s">
        <v>32</v>
      </c>
      <c r="E11" s="4">
        <v>1</v>
      </c>
      <c r="F11" s="4" t="s">
        <v>14</v>
      </c>
      <c r="G11" s="4" t="s">
        <v>164</v>
      </c>
      <c r="H11" s="2"/>
      <c r="I11" s="2"/>
      <c r="J11" s="5" t="s">
        <v>165</v>
      </c>
      <c r="K11" s="6" t="s">
        <v>166</v>
      </c>
      <c r="L11" s="42">
        <f>SUMIFS([1]اردیبهشت!$AD$2:$AD$75,[1]اردیبهشت!$C$2:$C$75,"قطعه نو",[1]اردیبهشت!$B$2:$B$75,C11,[1]اردیبهشت!$O$2:$O$75,B11)</f>
        <v>0</v>
      </c>
      <c r="M11" s="111" t="s">
        <v>20</v>
      </c>
      <c r="N11" s="44">
        <f t="shared" si="0"/>
        <v>0</v>
      </c>
    </row>
    <row r="12" spans="1:14" ht="28.7" customHeight="1" x14ac:dyDescent="0.25">
      <c r="A12" s="17">
        <v>9</v>
      </c>
      <c r="B12" s="29" t="s">
        <v>85</v>
      </c>
      <c r="C12" s="4" t="s">
        <v>58</v>
      </c>
      <c r="D12" s="4" t="s">
        <v>32</v>
      </c>
      <c r="E12" s="4">
        <v>1</v>
      </c>
      <c r="F12" s="4" t="s">
        <v>14</v>
      </c>
      <c r="G12" s="4" t="s">
        <v>167</v>
      </c>
      <c r="H12" s="2">
        <v>14579</v>
      </c>
      <c r="I12" s="2"/>
      <c r="J12" s="5" t="s">
        <v>165</v>
      </c>
      <c r="K12" s="6" t="s">
        <v>166</v>
      </c>
      <c r="L12" s="42">
        <f>SUMIFS([1]اردیبهشت!$AD$2:$AD$75,[1]اردیبهشت!$C$2:$C$75,"قطعه نو",[1]اردیبهشت!$B$2:$B$75,C12,[1]اردیبهشت!$O$2:$O$75,B12)+3</f>
        <v>3</v>
      </c>
      <c r="M12" s="111" t="s">
        <v>37</v>
      </c>
      <c r="N12" s="44">
        <f t="shared" si="0"/>
        <v>2250000</v>
      </c>
    </row>
    <row r="13" spans="1:14" ht="28.7" customHeight="1" x14ac:dyDescent="0.25">
      <c r="A13" s="32">
        <v>10</v>
      </c>
      <c r="B13" s="29" t="s">
        <v>168</v>
      </c>
      <c r="C13" s="4" t="s">
        <v>56</v>
      </c>
      <c r="D13" s="4" t="s">
        <v>32</v>
      </c>
      <c r="E13" s="4">
        <v>2</v>
      </c>
      <c r="F13" s="4" t="s">
        <v>14</v>
      </c>
      <c r="G13" s="4" t="s">
        <v>21</v>
      </c>
      <c r="H13" s="2"/>
      <c r="I13" s="2"/>
      <c r="J13" s="5" t="s">
        <v>169</v>
      </c>
      <c r="K13" s="6" t="s">
        <v>166</v>
      </c>
      <c r="L13" s="42">
        <f>SUMIFS([1]اردیبهشت!$AD$2:$AD$75,[1]اردیبهشت!$C$2:$C$75,"قطعه نو",[1]اردیبهشت!$B$2:$B$75,C13,[1]اردیبهشت!$O$2:$O$75,B13)</f>
        <v>0</v>
      </c>
      <c r="M13" s="111" t="s">
        <v>20</v>
      </c>
      <c r="N13" s="44">
        <f t="shared" si="0"/>
        <v>0</v>
      </c>
    </row>
    <row r="14" spans="1:14" ht="28.7" customHeight="1" x14ac:dyDescent="0.25">
      <c r="A14" s="17">
        <v>11</v>
      </c>
      <c r="B14" s="29" t="s">
        <v>170</v>
      </c>
      <c r="C14" s="4" t="s">
        <v>81</v>
      </c>
      <c r="D14" s="4" t="s">
        <v>32</v>
      </c>
      <c r="E14" s="4">
        <v>1</v>
      </c>
      <c r="F14" s="4" t="s">
        <v>14</v>
      </c>
      <c r="G14" s="4" t="s">
        <v>21</v>
      </c>
      <c r="H14" s="2"/>
      <c r="I14" s="2"/>
      <c r="J14" s="5" t="s">
        <v>169</v>
      </c>
      <c r="K14" s="6" t="s">
        <v>166</v>
      </c>
      <c r="L14" s="42">
        <f>SUMIFS([1]اردیبهشت!$AD$2:$AD$75,[1]اردیبهشت!$C$2:$C$75,"قطعه نو",[1]اردیبهشت!$B$2:$B$75,C14,[1]اردیبهشت!$O$2:$O$75,B14)</f>
        <v>0</v>
      </c>
      <c r="M14" s="111" t="s">
        <v>20</v>
      </c>
      <c r="N14" s="44">
        <f t="shared" si="0"/>
        <v>0</v>
      </c>
    </row>
    <row r="15" spans="1:14" ht="28.7" customHeight="1" x14ac:dyDescent="0.25">
      <c r="A15" s="17">
        <v>12</v>
      </c>
      <c r="B15" s="29" t="s">
        <v>36</v>
      </c>
      <c r="C15" s="4" t="s">
        <v>81</v>
      </c>
      <c r="D15" s="4" t="s">
        <v>32</v>
      </c>
      <c r="E15" s="4">
        <v>1</v>
      </c>
      <c r="F15" s="4" t="s">
        <v>14</v>
      </c>
      <c r="G15" s="4" t="s">
        <v>21</v>
      </c>
      <c r="H15" s="2"/>
      <c r="I15" s="2"/>
      <c r="J15" s="5" t="s">
        <v>169</v>
      </c>
      <c r="K15" s="6" t="s">
        <v>166</v>
      </c>
      <c r="L15" s="42">
        <f>SUMIFS([1]اردیبهشت!$AD$2:$AD$75,[1]اردیبهشت!$C$2:$C$75,"قطعه نو",[1]اردیبهشت!$B$2:$B$75,C15,[1]اردیبهشت!$O$2:$O$75,B15)</f>
        <v>0</v>
      </c>
      <c r="M15" s="111" t="s">
        <v>20</v>
      </c>
      <c r="N15" s="44">
        <f t="shared" si="0"/>
        <v>0</v>
      </c>
    </row>
    <row r="16" spans="1:14" ht="28.7" customHeight="1" x14ac:dyDescent="0.25">
      <c r="A16" s="32">
        <v>13</v>
      </c>
      <c r="B16" s="29" t="s">
        <v>85</v>
      </c>
      <c r="C16" s="4" t="s">
        <v>81</v>
      </c>
      <c r="D16" s="4" t="s">
        <v>32</v>
      </c>
      <c r="E16" s="4">
        <v>1</v>
      </c>
      <c r="F16" s="4" t="s">
        <v>14</v>
      </c>
      <c r="G16" s="4" t="s">
        <v>21</v>
      </c>
      <c r="H16" s="2"/>
      <c r="I16" s="2"/>
      <c r="J16" s="5" t="s">
        <v>169</v>
      </c>
      <c r="K16" s="6" t="s">
        <v>166</v>
      </c>
      <c r="L16" s="42">
        <f>SUMIFS([1]اردیبهشت!$AD$2:$AD$75,[1]اردیبهشت!$C$2:$C$75,"قطعه نو",[1]اردیبهشت!$B$2:$B$75,C16,[1]اردیبهشت!$O$2:$O$75,B16)</f>
        <v>0</v>
      </c>
      <c r="M16" s="111" t="s">
        <v>20</v>
      </c>
      <c r="N16" s="44">
        <f t="shared" si="0"/>
        <v>0</v>
      </c>
    </row>
    <row r="17" spans="1:14" ht="28.7" customHeight="1" x14ac:dyDescent="0.25">
      <c r="A17" s="17">
        <v>14</v>
      </c>
      <c r="B17" s="29" t="s">
        <v>89</v>
      </c>
      <c r="C17" s="4" t="s">
        <v>72</v>
      </c>
      <c r="D17" s="4" t="s">
        <v>17</v>
      </c>
      <c r="E17" s="4">
        <v>1</v>
      </c>
      <c r="F17" s="4" t="s">
        <v>14</v>
      </c>
      <c r="G17" s="4" t="s">
        <v>21</v>
      </c>
      <c r="H17" s="2"/>
      <c r="I17" s="2"/>
      <c r="J17" s="5" t="s">
        <v>171</v>
      </c>
      <c r="K17" s="6" t="s">
        <v>171</v>
      </c>
      <c r="L17" s="42">
        <f>SUMIFS([1]اردیبهشت!$AD$2:$AD$75,[1]اردیبهشت!$C$2:$C$75,"قطعه نو",[1]اردیبهشت!$B$2:$B$75,C17,[1]اردیبهشت!$O$2:$O$75,B17)</f>
        <v>0</v>
      </c>
      <c r="M17" s="111" t="s">
        <v>20</v>
      </c>
      <c r="N17" s="44">
        <f t="shared" si="0"/>
        <v>0</v>
      </c>
    </row>
    <row r="18" spans="1:14" ht="28.7" customHeight="1" x14ac:dyDescent="0.25">
      <c r="A18" s="17">
        <v>15</v>
      </c>
      <c r="B18" s="29" t="s">
        <v>71</v>
      </c>
      <c r="C18" s="4" t="s">
        <v>142</v>
      </c>
      <c r="D18" s="4" t="s">
        <v>17</v>
      </c>
      <c r="E18" s="4">
        <v>1</v>
      </c>
      <c r="F18" s="4" t="s">
        <v>14</v>
      </c>
      <c r="G18" s="4" t="s">
        <v>172</v>
      </c>
      <c r="H18" s="2">
        <v>15413</v>
      </c>
      <c r="I18" s="2"/>
      <c r="J18" s="6" t="s">
        <v>133</v>
      </c>
      <c r="K18" s="6" t="s">
        <v>169</v>
      </c>
      <c r="L18" s="42">
        <f>SUMIFS([1]اردیبهشت!$AD$2:$AD$75,[1]اردیبهشت!$C$2:$C$75,"قطعه نو",[1]اردیبهشت!$B$2:$B$75,C18,[1]اردیبهشت!$O$2:$O$75,B18)+30</f>
        <v>30</v>
      </c>
      <c r="M18" s="111" t="s">
        <v>20</v>
      </c>
      <c r="N18" s="44">
        <f t="shared" si="0"/>
        <v>22500000</v>
      </c>
    </row>
    <row r="19" spans="1:14" ht="28.7" customHeight="1" x14ac:dyDescent="0.25">
      <c r="A19" s="32">
        <v>16</v>
      </c>
      <c r="B19" s="29" t="s">
        <v>173</v>
      </c>
      <c r="C19" s="4" t="s">
        <v>26</v>
      </c>
      <c r="D19" s="4" t="s">
        <v>17</v>
      </c>
      <c r="E19" s="4">
        <v>20</v>
      </c>
      <c r="F19" s="4" t="s">
        <v>14</v>
      </c>
      <c r="G19" s="4" t="s">
        <v>21</v>
      </c>
      <c r="H19" s="2"/>
      <c r="I19" s="2"/>
      <c r="J19" s="5" t="s">
        <v>171</v>
      </c>
      <c r="K19" s="6"/>
      <c r="L19" s="42">
        <f>SUMIFS([1]اردیبهشت!$AD$2:$AD$75,[1]اردیبهشت!$C$2:$C$75,"قطعه نو",[1]اردیبهشت!$B$2:$B$75,C19,[1]اردیبهشت!$O$2:$O$75,B19)</f>
        <v>0</v>
      </c>
      <c r="M19" s="111" t="s">
        <v>37</v>
      </c>
      <c r="N19" s="44">
        <f t="shared" si="0"/>
        <v>0</v>
      </c>
    </row>
    <row r="20" spans="1:14" ht="28.7" customHeight="1" x14ac:dyDescent="0.25">
      <c r="A20" s="17">
        <v>17</v>
      </c>
      <c r="B20" s="29" t="s">
        <v>85</v>
      </c>
      <c r="C20" s="4" t="s">
        <v>174</v>
      </c>
      <c r="D20" s="4" t="s">
        <v>32</v>
      </c>
      <c r="E20" s="4">
        <v>2</v>
      </c>
      <c r="F20" s="4" t="s">
        <v>14</v>
      </c>
      <c r="G20" s="4" t="s">
        <v>21</v>
      </c>
      <c r="H20" s="2">
        <v>15585</v>
      </c>
      <c r="I20" s="2">
        <v>2501</v>
      </c>
      <c r="J20" s="5" t="s">
        <v>171</v>
      </c>
      <c r="K20" s="6" t="s">
        <v>166</v>
      </c>
      <c r="L20" s="42">
        <f>SUMIFS([1]اردیبهشت!$AD$2:$AD$75,[1]اردیبهشت!$C$2:$C$75,"قطعه نو",[1]اردیبهشت!$B$2:$B$75,C20,[1]اردیبهشت!$O$2:$O$75,B20)</f>
        <v>0</v>
      </c>
      <c r="M20" s="111" t="s">
        <v>20</v>
      </c>
      <c r="N20" s="44">
        <f t="shared" si="0"/>
        <v>0</v>
      </c>
    </row>
    <row r="21" spans="1:14" ht="28.7" customHeight="1" x14ac:dyDescent="0.25">
      <c r="A21" s="17">
        <v>18</v>
      </c>
      <c r="B21" s="29" t="s">
        <v>119</v>
      </c>
      <c r="C21" s="4" t="s">
        <v>27</v>
      </c>
      <c r="D21" s="4" t="s">
        <v>17</v>
      </c>
      <c r="E21" s="4">
        <v>1</v>
      </c>
      <c r="F21" s="4" t="s">
        <v>14</v>
      </c>
      <c r="G21" s="4" t="s">
        <v>21</v>
      </c>
      <c r="H21" s="2">
        <v>14580</v>
      </c>
      <c r="I21" s="2">
        <v>6403</v>
      </c>
      <c r="J21" s="5" t="s">
        <v>175</v>
      </c>
      <c r="K21" s="6"/>
      <c r="L21" s="42">
        <f>SUMIFS([1]اردیبهشت!$AD$2:$AD$75,[1]اردیبهشت!$C$2:$C$75,"قطعه نو",[1]اردیبهشت!$B$2:$B$75,C21,[1]اردیبهشت!$O$2:$O$75,B21)+3</f>
        <v>3</v>
      </c>
      <c r="M21" s="111" t="s">
        <v>37</v>
      </c>
      <c r="N21" s="44">
        <f t="shared" si="0"/>
        <v>2250000</v>
      </c>
    </row>
    <row r="22" spans="1:14" ht="28.7" customHeight="1" x14ac:dyDescent="0.25">
      <c r="A22" s="32">
        <v>19</v>
      </c>
      <c r="B22" s="20" t="s">
        <v>131</v>
      </c>
      <c r="C22" s="4" t="s">
        <v>131</v>
      </c>
      <c r="D22" s="1" t="s">
        <v>132</v>
      </c>
      <c r="E22" s="91">
        <v>2930</v>
      </c>
      <c r="F22" s="4" t="s">
        <v>14</v>
      </c>
      <c r="G22" s="47" t="s">
        <v>21</v>
      </c>
      <c r="H22" s="2"/>
      <c r="I22" s="2"/>
      <c r="J22" s="6" t="s">
        <v>133</v>
      </c>
      <c r="K22" s="6" t="s">
        <v>171</v>
      </c>
      <c r="L22" s="42">
        <f>SUMIFS([1]فروردین!$AD$282:$AD$400,[1]فروردین!$C$282:$C$400,"قطعه نو",[1]فروردین!$B$282:$B$400,C22,[1]فروردین!$O$282:$O$400,B22)</f>
        <v>0</v>
      </c>
      <c r="M22" s="111" t="s">
        <v>20</v>
      </c>
      <c r="N22" s="44">
        <f t="shared" si="0"/>
        <v>0</v>
      </c>
    </row>
    <row r="23" spans="1:14" ht="28.7" customHeight="1" x14ac:dyDescent="0.25">
      <c r="A23" s="17">
        <v>20</v>
      </c>
      <c r="B23" s="29" t="s">
        <v>50</v>
      </c>
      <c r="C23" s="3" t="s">
        <v>76</v>
      </c>
      <c r="D23" s="1" t="s">
        <v>32</v>
      </c>
      <c r="E23" s="43">
        <v>4</v>
      </c>
      <c r="F23" s="4" t="s">
        <v>14</v>
      </c>
      <c r="G23" s="47" t="s">
        <v>21</v>
      </c>
      <c r="H23" s="47">
        <v>14046</v>
      </c>
      <c r="I23" s="2"/>
      <c r="J23" s="6" t="s">
        <v>95</v>
      </c>
      <c r="K23" s="6"/>
      <c r="L23" s="42">
        <f>SUMIFS([1]فروردین!$AD$282:$AD$400,[1]فروردین!$C$282:$C$400,"قطعه نو",[1]فروردین!$B$282:$B$400,C23,[1]فروردین!$O$282:$O$400,B23)</f>
        <v>0</v>
      </c>
      <c r="M23" s="130" t="s">
        <v>37</v>
      </c>
      <c r="N23" s="44">
        <f t="shared" si="0"/>
        <v>0</v>
      </c>
    </row>
    <row r="24" spans="1:14" ht="28.7" customHeight="1" x14ac:dyDescent="0.25">
      <c r="A24" s="17">
        <v>21</v>
      </c>
      <c r="B24" s="29" t="s">
        <v>102</v>
      </c>
      <c r="C24" s="3" t="s">
        <v>76</v>
      </c>
      <c r="D24" s="1" t="s">
        <v>32</v>
      </c>
      <c r="E24" s="43">
        <v>4</v>
      </c>
      <c r="F24" s="4" t="s">
        <v>14</v>
      </c>
      <c r="G24" s="47" t="s">
        <v>21</v>
      </c>
      <c r="H24" s="47">
        <v>14046</v>
      </c>
      <c r="I24" s="2"/>
      <c r="J24" s="6" t="s">
        <v>95</v>
      </c>
      <c r="K24" s="6"/>
      <c r="L24" s="42">
        <f>SUMIFS([1]فروردین!$AD$282:$AD$400,[1]فروردین!$C$282:$C$400,"قطعه نو",[1]فروردین!$B$282:$B$400,C24,[1]فروردین!$O$282:$O$400,B24)</f>
        <v>0</v>
      </c>
      <c r="M24" s="111" t="s">
        <v>37</v>
      </c>
      <c r="N24" s="44">
        <f t="shared" si="0"/>
        <v>0</v>
      </c>
    </row>
    <row r="25" spans="1:14" ht="28.7" customHeight="1" x14ac:dyDescent="0.25">
      <c r="A25" s="32">
        <v>22</v>
      </c>
      <c r="B25" s="29" t="s">
        <v>13</v>
      </c>
      <c r="C25" s="4" t="s">
        <v>38</v>
      </c>
      <c r="D25" s="1" t="s">
        <v>32</v>
      </c>
      <c r="E25" s="4">
        <v>1</v>
      </c>
      <c r="F25" s="4" t="s">
        <v>23</v>
      </c>
      <c r="G25" s="47" t="s">
        <v>80</v>
      </c>
      <c r="H25" s="2">
        <v>15337</v>
      </c>
      <c r="I25" s="2">
        <v>3001</v>
      </c>
      <c r="J25" s="5" t="s">
        <v>175</v>
      </c>
      <c r="K25" s="6" t="s">
        <v>175</v>
      </c>
      <c r="L25" s="42">
        <f>SUMIFS([1]فروردین!$AD$282:$AD$400,[1]فروردین!$C$282:$C$400,"قطعه تعمیری",[1]فروردین!$B$282:$B$400,C25,[1]فروردین!$O$282:$O$400,B25)</f>
        <v>0</v>
      </c>
      <c r="M25" s="111" t="s">
        <v>20</v>
      </c>
      <c r="N25" s="44">
        <f t="shared" si="0"/>
        <v>0</v>
      </c>
    </row>
    <row r="26" spans="1:14" ht="28.7" customHeight="1" x14ac:dyDescent="0.25">
      <c r="A26" s="17">
        <v>23</v>
      </c>
      <c r="B26" s="29" t="s">
        <v>85</v>
      </c>
      <c r="C26" s="4" t="s">
        <v>88</v>
      </c>
      <c r="D26" s="4" t="s">
        <v>103</v>
      </c>
      <c r="E26" s="4">
        <v>1</v>
      </c>
      <c r="F26" s="4" t="s">
        <v>23</v>
      </c>
      <c r="G26" s="4" t="s">
        <v>177</v>
      </c>
      <c r="H26" s="2"/>
      <c r="I26" s="2"/>
      <c r="J26" s="5" t="s">
        <v>178</v>
      </c>
      <c r="K26" s="6"/>
      <c r="L26" s="42">
        <f>SUMIFS([1]فروردین!$AD$282:$AD$400,[1]فروردین!$C$282:$C$400,"قطعه تعمیری",[1]فروردین!$B$282:$B$400,C26,[1]فروردین!$O$282:$O$400,B26)</f>
        <v>0</v>
      </c>
      <c r="M26" s="111" t="s">
        <v>37</v>
      </c>
      <c r="N26" s="44">
        <f t="shared" si="0"/>
        <v>0</v>
      </c>
    </row>
    <row r="27" spans="1:14" ht="28.7" customHeight="1" x14ac:dyDescent="0.25">
      <c r="A27" s="17">
        <v>24</v>
      </c>
      <c r="B27" s="29" t="s">
        <v>85</v>
      </c>
      <c r="C27" s="4" t="s">
        <v>49</v>
      </c>
      <c r="D27" s="1" t="s">
        <v>32</v>
      </c>
      <c r="E27" s="4">
        <v>4</v>
      </c>
      <c r="F27" s="4" t="s">
        <v>23</v>
      </c>
      <c r="G27" s="4" t="s">
        <v>57</v>
      </c>
      <c r="H27" s="2">
        <v>15651</v>
      </c>
      <c r="I27" s="2">
        <v>2508</v>
      </c>
      <c r="J27" s="5" t="s">
        <v>179</v>
      </c>
      <c r="K27" s="6" t="s">
        <v>165</v>
      </c>
      <c r="L27" s="42">
        <f>SUMIFS([1]فروردین!$AD$282:$AD$400,[1]فروردین!$C$282:$C$400,"قطعه تعمیری",[1]فروردین!$B$282:$B$400,C27,[1]فروردین!$O$282:$O$400,B27)</f>
        <v>0</v>
      </c>
      <c r="M27" s="111" t="s">
        <v>20</v>
      </c>
      <c r="N27" s="44">
        <f t="shared" si="0"/>
        <v>0</v>
      </c>
    </row>
    <row r="28" spans="1:14" ht="28.7" customHeight="1" x14ac:dyDescent="0.25">
      <c r="A28" s="32">
        <v>25</v>
      </c>
      <c r="B28" s="29" t="s">
        <v>33</v>
      </c>
      <c r="C28" s="4" t="s">
        <v>49</v>
      </c>
      <c r="D28" s="1" t="s">
        <v>32</v>
      </c>
      <c r="E28" s="4">
        <v>4</v>
      </c>
      <c r="F28" s="4" t="s">
        <v>23</v>
      </c>
      <c r="G28" s="4" t="s">
        <v>57</v>
      </c>
      <c r="H28" s="2">
        <v>15651</v>
      </c>
      <c r="I28" s="2">
        <v>2508</v>
      </c>
      <c r="J28" s="5" t="s">
        <v>179</v>
      </c>
      <c r="K28" s="6" t="s">
        <v>165</v>
      </c>
      <c r="L28" s="42">
        <f>SUMIFS([1]فروردین!$AD$282:$AD$400,[1]فروردین!$C$282:$C$400,"قطعه تعمیری",[1]فروردین!$B$282:$B$400,C28,[1]فروردین!$O$282:$O$400,B28)+1</f>
        <v>1</v>
      </c>
      <c r="M28" s="111" t="s">
        <v>20</v>
      </c>
      <c r="N28" s="44">
        <f t="shared" si="0"/>
        <v>750000</v>
      </c>
    </row>
    <row r="29" spans="1:14" ht="28.7" customHeight="1" x14ac:dyDescent="0.25">
      <c r="A29" s="17">
        <v>26</v>
      </c>
      <c r="B29" s="29" t="s">
        <v>85</v>
      </c>
      <c r="C29" s="4" t="s">
        <v>51</v>
      </c>
      <c r="D29" s="4" t="s">
        <v>17</v>
      </c>
      <c r="E29" s="4">
        <v>2</v>
      </c>
      <c r="F29" s="4" t="s">
        <v>23</v>
      </c>
      <c r="G29" s="4" t="s">
        <v>18</v>
      </c>
      <c r="H29" s="2">
        <v>14433</v>
      </c>
      <c r="I29" s="2"/>
      <c r="J29" s="5" t="s">
        <v>178</v>
      </c>
      <c r="K29" s="6" t="s">
        <v>169</v>
      </c>
      <c r="L29" s="42">
        <f>SUMIFS([1]فروردین!$AD$282:$AD$400,[1]فروردین!$C$282:$C$400,"قطعه تعمیری",[1]فروردین!$B$282:$B$400,C29,[1]فروردین!$O$282:$O$400,B29)</f>
        <v>0</v>
      </c>
      <c r="M29" s="111" t="s">
        <v>20</v>
      </c>
      <c r="N29" s="44">
        <f t="shared" si="0"/>
        <v>0</v>
      </c>
    </row>
    <row r="30" spans="1:14" ht="28.7" customHeight="1" x14ac:dyDescent="0.25">
      <c r="A30" s="17">
        <v>27</v>
      </c>
      <c r="B30" s="29" t="s">
        <v>180</v>
      </c>
      <c r="C30" s="4" t="s">
        <v>174</v>
      </c>
      <c r="D30" s="1" t="s">
        <v>32</v>
      </c>
      <c r="E30" s="4">
        <v>1</v>
      </c>
      <c r="F30" s="4" t="s">
        <v>23</v>
      </c>
      <c r="G30" s="4" t="s">
        <v>18</v>
      </c>
      <c r="H30" s="2">
        <v>15652</v>
      </c>
      <c r="I30" s="2"/>
      <c r="J30" s="5" t="s">
        <v>179</v>
      </c>
      <c r="K30" s="6" t="s">
        <v>179</v>
      </c>
      <c r="L30" s="42">
        <f>SUMIFS([1]فروردین!$AD$282:$AD$400,[1]فروردین!$C$282:$C$400,"قطعه تعمیری",[1]فروردین!$B$282:$B$400,C30,[1]فروردین!$O$282:$O$400,B30)</f>
        <v>0</v>
      </c>
      <c r="M30" s="111" t="s">
        <v>20</v>
      </c>
      <c r="N30" s="44">
        <f t="shared" si="0"/>
        <v>0</v>
      </c>
    </row>
    <row r="31" spans="1:14" ht="28.7" customHeight="1" x14ac:dyDescent="0.25">
      <c r="A31" s="32">
        <v>28</v>
      </c>
      <c r="B31" s="29" t="s">
        <v>52</v>
      </c>
      <c r="C31" s="4" t="s">
        <v>181</v>
      </c>
      <c r="D31" s="4" t="s">
        <v>17</v>
      </c>
      <c r="E31" s="4">
        <v>1</v>
      </c>
      <c r="F31" s="4" t="s">
        <v>23</v>
      </c>
      <c r="G31" s="4" t="s">
        <v>182</v>
      </c>
      <c r="H31" s="2">
        <v>14581</v>
      </c>
      <c r="I31" s="2"/>
      <c r="J31" s="5" t="s">
        <v>175</v>
      </c>
      <c r="K31" s="6" t="s">
        <v>169</v>
      </c>
      <c r="L31" s="42">
        <f>SUMIFS([1]فروردین!$AD$282:$AD$400,[1]فروردین!$C$282:$C$400,"قطعه تعمیری",[1]فروردین!$B$282:$B$400,C31,[1]فروردین!$O$282:$O$400,B31)+2</f>
        <v>2</v>
      </c>
      <c r="M31" s="111" t="s">
        <v>20</v>
      </c>
      <c r="N31" s="44">
        <f t="shared" si="0"/>
        <v>1500000</v>
      </c>
    </row>
    <row r="32" spans="1:14" ht="28.7" customHeight="1" x14ac:dyDescent="0.25">
      <c r="A32" s="17">
        <v>29</v>
      </c>
      <c r="B32" s="29" t="s">
        <v>176</v>
      </c>
      <c r="C32" s="4" t="s">
        <v>56</v>
      </c>
      <c r="D32" s="1" t="s">
        <v>32</v>
      </c>
      <c r="E32" s="4">
        <v>2</v>
      </c>
      <c r="F32" s="4" t="s">
        <v>23</v>
      </c>
      <c r="G32" s="4" t="s">
        <v>18</v>
      </c>
      <c r="H32" s="2"/>
      <c r="I32" s="2"/>
      <c r="J32" s="5" t="s">
        <v>165</v>
      </c>
      <c r="K32" s="6" t="s">
        <v>165</v>
      </c>
      <c r="L32" s="42">
        <f>SUMIFS([1]اردیبهشت!$AD$2:$AD$75,[1]اردیبهشت!$C$2:$C$75,"قطعه تعمیری",[1]اردیبهشت!$B$2:$B$75,C32,[1]اردیبهشت!$O$2:$O$75,B32)</f>
        <v>0</v>
      </c>
      <c r="M32" s="111" t="s">
        <v>20</v>
      </c>
      <c r="N32" s="44">
        <f t="shared" si="0"/>
        <v>0</v>
      </c>
    </row>
    <row r="33" spans="1:14" ht="28.7" customHeight="1" x14ac:dyDescent="0.25">
      <c r="A33" s="17">
        <v>30</v>
      </c>
      <c r="B33" s="29" t="s">
        <v>33</v>
      </c>
      <c r="C33" s="4" t="s">
        <v>49</v>
      </c>
      <c r="D33" s="1" t="s">
        <v>32</v>
      </c>
      <c r="E33" s="4">
        <v>1</v>
      </c>
      <c r="F33" s="4" t="s">
        <v>23</v>
      </c>
      <c r="G33" s="4" t="s">
        <v>18</v>
      </c>
      <c r="H33" s="2"/>
      <c r="I33" s="2"/>
      <c r="J33" s="5" t="s">
        <v>165</v>
      </c>
      <c r="K33" s="6" t="s">
        <v>165</v>
      </c>
      <c r="L33" s="42">
        <f>SUMIFS([1]اردیبهشت!$AD$2:$AD$75,[1]اردیبهشت!$C$2:$C$75,"قطعه تعمیری",[1]اردیبهشت!$B$2:$B$75,C33,[1]اردیبهشت!$O$2:$O$75,B33)</f>
        <v>0</v>
      </c>
      <c r="M33" s="111" t="s">
        <v>20</v>
      </c>
      <c r="N33" s="44">
        <f t="shared" si="0"/>
        <v>0</v>
      </c>
    </row>
    <row r="34" spans="1:14" ht="28.7" customHeight="1" x14ac:dyDescent="0.25">
      <c r="A34" s="32">
        <v>31</v>
      </c>
      <c r="B34" s="4" t="s">
        <v>16</v>
      </c>
      <c r="C34" s="4" t="s">
        <v>45</v>
      </c>
      <c r="D34" s="47" t="s">
        <v>17</v>
      </c>
      <c r="E34" s="91">
        <v>20</v>
      </c>
      <c r="F34" s="4" t="s">
        <v>23</v>
      </c>
      <c r="G34" s="47" t="s">
        <v>158</v>
      </c>
      <c r="H34" s="2"/>
      <c r="I34" s="2"/>
      <c r="J34" s="23" t="s">
        <v>136</v>
      </c>
      <c r="K34" s="6"/>
      <c r="L34" s="42">
        <f>SUMIFS([1]اردیبهشت!$AD$2:$AD$75,[1]اردیبهشت!$C$2:$C$75,"قطعه تعمیری",[1]اردیبهشت!$B$2:$B$75,C34,[1]اردیبهشت!$O$2:$O$75,B34)</f>
        <v>0</v>
      </c>
      <c r="M34" s="111" t="s">
        <v>37</v>
      </c>
      <c r="N34" s="44">
        <f t="shared" si="0"/>
        <v>0</v>
      </c>
    </row>
    <row r="35" spans="1:14" ht="28.7" customHeight="1" x14ac:dyDescent="0.25">
      <c r="A35" s="17">
        <v>32</v>
      </c>
      <c r="B35" s="4" t="s">
        <v>85</v>
      </c>
      <c r="C35" s="4" t="s">
        <v>183</v>
      </c>
      <c r="D35" s="1" t="s">
        <v>32</v>
      </c>
      <c r="E35" s="91">
        <v>1</v>
      </c>
      <c r="F35" s="4" t="s">
        <v>23</v>
      </c>
      <c r="G35" s="47" t="s">
        <v>18</v>
      </c>
      <c r="H35" s="2">
        <v>15587</v>
      </c>
      <c r="I35" s="2">
        <v>6508</v>
      </c>
      <c r="J35" s="5" t="s">
        <v>169</v>
      </c>
      <c r="K35" s="6" t="s">
        <v>171</v>
      </c>
      <c r="L35" s="42">
        <f>SUMIFS([1]اردیبهشت!$AD$2:$AD$75,[1]اردیبهشت!$C$2:$C$75,"قطعه تعمیری",[1]اردیبهشت!$B$2:$B$75,C35,[1]اردیبهشت!$O$2:$O$75,B35)</f>
        <v>0</v>
      </c>
      <c r="M35" s="111" t="s">
        <v>20</v>
      </c>
      <c r="N35" s="44">
        <f t="shared" si="0"/>
        <v>0</v>
      </c>
    </row>
    <row r="36" spans="1:14" ht="28.7" customHeight="1" x14ac:dyDescent="0.25">
      <c r="A36" s="17">
        <v>33</v>
      </c>
      <c r="B36" s="29" t="s">
        <v>13</v>
      </c>
      <c r="C36" s="4" t="s">
        <v>27</v>
      </c>
      <c r="D36" s="47" t="s">
        <v>17</v>
      </c>
      <c r="E36" s="4">
        <v>5</v>
      </c>
      <c r="F36" s="4" t="s">
        <v>23</v>
      </c>
      <c r="G36" s="47" t="s">
        <v>18</v>
      </c>
      <c r="H36" s="2"/>
      <c r="I36" s="2"/>
      <c r="J36" s="5" t="s">
        <v>171</v>
      </c>
      <c r="K36" s="6"/>
      <c r="L36" s="42">
        <f>SUMIFS([1]اردیبهشت!$AD$2:$AD$75,[1]اردیبهشت!$C$2:$C$75,"قطعه تعمیری",[1]اردیبهشت!$B$2:$B$75,C36,[1]اردیبهشت!$O$2:$O$75,B36)</f>
        <v>0</v>
      </c>
      <c r="M36" s="111" t="s">
        <v>37</v>
      </c>
      <c r="N36" s="44">
        <f t="shared" si="0"/>
        <v>0</v>
      </c>
    </row>
    <row r="37" spans="1:14" ht="15.75" thickBot="1" x14ac:dyDescent="0.3">
      <c r="A37" s="32">
        <v>34</v>
      </c>
      <c r="B37" s="29"/>
      <c r="C37" s="4"/>
      <c r="D37" s="4"/>
      <c r="E37" s="4"/>
      <c r="F37" s="4"/>
      <c r="G37" s="4"/>
      <c r="H37" s="2"/>
      <c r="I37" s="2"/>
      <c r="J37" s="5"/>
      <c r="K37" s="6"/>
      <c r="L37" s="42">
        <f>SUMIFS([1]اردیبهشت!$AD$2:$AD$75,[1]اردیبهشت!$C$2:$C$75,"قطعه تعمیری",[1]اردیبهشت!$B$2:$B$75,C37,[1]اردیبهشت!$O$2:$O$75,B37)</f>
        <v>0</v>
      </c>
      <c r="M37" s="111"/>
      <c r="N37" s="44">
        <f t="shared" si="0"/>
        <v>0</v>
      </c>
    </row>
    <row r="38" spans="1:14" ht="21" customHeight="1" x14ac:dyDescent="0.25">
      <c r="A38" s="31"/>
      <c r="B38" s="251" t="s">
        <v>30</v>
      </c>
      <c r="C38" s="126" t="s">
        <v>184</v>
      </c>
      <c r="D38" s="83" t="s">
        <v>14</v>
      </c>
      <c r="E38" s="93">
        <f>SUMIFS(E4:E37,F4:F37,D38,M4:M37,"تحویل")</f>
        <v>2947</v>
      </c>
      <c r="F38" s="125" t="s">
        <v>184</v>
      </c>
      <c r="G38" s="83"/>
      <c r="H38" s="9"/>
      <c r="I38" s="251" t="s">
        <v>115</v>
      </c>
      <c r="J38" s="9" t="s">
        <v>14</v>
      </c>
      <c r="K38" s="9">
        <f>SUMIFS(E4:E37,F4:F37,J38)</f>
        <v>3001</v>
      </c>
      <c r="L38" s="252">
        <f>SUM(L24:L37)</f>
        <v>3</v>
      </c>
      <c r="M38" s="112"/>
      <c r="N38" s="255">
        <f>SUM(N4:N37)</f>
        <v>93000000</v>
      </c>
    </row>
    <row r="39" spans="1:14" ht="21" customHeight="1" thickBot="1" x14ac:dyDescent="0.3">
      <c r="A39" s="10"/>
      <c r="B39" s="247"/>
      <c r="C39" s="127" t="s">
        <v>184</v>
      </c>
      <c r="D39" s="62" t="s">
        <v>23</v>
      </c>
      <c r="E39" s="94">
        <f>SUMIFS(E4:E37,F4:F37,D39,M4:M37,"تحویل")</f>
        <v>17</v>
      </c>
      <c r="F39" s="11"/>
      <c r="G39" s="62"/>
      <c r="H39" s="11"/>
      <c r="I39" s="247"/>
      <c r="J39" s="11" t="s">
        <v>23</v>
      </c>
      <c r="K39" s="11">
        <f>SUMIFS(E4:E37,F4:F37,J39)</f>
        <v>43</v>
      </c>
      <c r="L39" s="245"/>
      <c r="M39" s="113"/>
      <c r="N39" s="256"/>
    </row>
  </sheetData>
  <mergeCells count="5">
    <mergeCell ref="A1:K2"/>
    <mergeCell ref="B38:B39"/>
    <mergeCell ref="L38:L39"/>
    <mergeCell ref="N38:N39"/>
    <mergeCell ref="I38:I39"/>
  </mergeCells>
  <phoneticPr fontId="6" type="noConversion"/>
  <printOptions horizontalCentered="1" verticalCentered="1"/>
  <pageMargins left="0" right="0" top="0" bottom="0" header="0" footer="0"/>
  <pageSetup scale="95" fitToHeight="0" orientation="landscape" r:id="rId1"/>
  <ignoredErrors>
    <ignoredError sqref="L6 L12 L18 L28 L3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F410-6AB0-4801-B06B-98BFA4A596E6}">
  <sheetPr codeName="Sheet5">
    <pageSetUpPr fitToPage="1"/>
  </sheetPr>
  <dimension ref="A1:N29"/>
  <sheetViews>
    <sheetView rightToLeft="1" view="pageLayout" zoomScaleNormal="100" workbookViewId="0">
      <selection activeCell="F5" sqref="F5:J5"/>
    </sheetView>
  </sheetViews>
  <sheetFormatPr defaultRowHeight="15" x14ac:dyDescent="0.25"/>
  <cols>
    <col min="1" max="1" width="4.140625" customWidth="1"/>
    <col min="2" max="2" width="9.85546875" bestFit="1" customWidth="1"/>
    <col min="3" max="3" width="14.140625" customWidth="1"/>
    <col min="4" max="4" width="9.5703125" bestFit="1" customWidth="1"/>
    <col min="5" max="5" width="7.7109375" customWidth="1"/>
    <col min="7" max="7" width="11.7109375" bestFit="1" customWidth="1"/>
    <col min="8" max="8" width="10.5703125" bestFit="1" customWidth="1"/>
    <col min="14" max="14" width="13.140625" customWidth="1"/>
  </cols>
  <sheetData>
    <row r="1" spans="1:14" ht="20.2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8">
        <v>1405</v>
      </c>
    </row>
    <row r="2" spans="1:14" ht="20.2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9">
        <v>6</v>
      </c>
    </row>
    <row r="3" spans="1:14" ht="41.25" customHeight="1" thickBot="1" x14ac:dyDescent="0.3">
      <c r="A3" s="24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">
        <v>1</v>
      </c>
      <c r="B4" s="29" t="s">
        <v>185</v>
      </c>
      <c r="C4" s="4" t="s">
        <v>88</v>
      </c>
      <c r="D4" s="4" t="s">
        <v>103</v>
      </c>
      <c r="E4" s="4">
        <v>8</v>
      </c>
      <c r="F4" s="3" t="s">
        <v>14</v>
      </c>
      <c r="G4" s="47" t="s">
        <v>21</v>
      </c>
      <c r="H4" s="2" t="s">
        <v>87</v>
      </c>
      <c r="I4" s="2"/>
      <c r="J4" s="6" t="s">
        <v>91</v>
      </c>
      <c r="K4" s="36" t="s">
        <v>186</v>
      </c>
      <c r="L4" s="42">
        <f>SUMIFS([1]اردیبهشت!$AD$76:$AD$257,[1]اردیبهشت!$C$76:$C$257,"قطعه نو",[1]اردیبهشت!$B$76:$B$257,C4,[1]اردیبهشت!$O$76:$O$257,B4)</f>
        <v>0</v>
      </c>
      <c r="M4" s="50" t="s">
        <v>20</v>
      </c>
      <c r="N4" s="51">
        <f>L4*(500000*1.5)</f>
        <v>0</v>
      </c>
    </row>
    <row r="5" spans="1:14" ht="28.7" customHeight="1" x14ac:dyDescent="0.25">
      <c r="A5" s="3">
        <v>2</v>
      </c>
      <c r="B5" s="21" t="s">
        <v>85</v>
      </c>
      <c r="C5" s="3" t="s">
        <v>76</v>
      </c>
      <c r="D5" s="1" t="s">
        <v>32</v>
      </c>
      <c r="E5" s="43">
        <v>1</v>
      </c>
      <c r="F5" s="4" t="s">
        <v>14</v>
      </c>
      <c r="G5" s="47" t="s">
        <v>21</v>
      </c>
      <c r="H5" s="47">
        <v>14046</v>
      </c>
      <c r="I5" s="2"/>
      <c r="J5" s="6" t="s">
        <v>95</v>
      </c>
      <c r="K5" s="36" t="s">
        <v>186</v>
      </c>
      <c r="L5" s="42">
        <f>SUMIFS([1]اردیبهشت!$AD$76:$AD$257,[1]اردیبهشت!$C$76:$C$257,"قطعه نو",[1]اردیبهشت!$B$76:$B$257,C5,[1]اردیبهشت!$O$76:$O$257,B5)</f>
        <v>0</v>
      </c>
      <c r="M5" s="1" t="s">
        <v>20</v>
      </c>
      <c r="N5" s="51">
        <f t="shared" ref="N5:N19" si="0">L5*(500000*1.5)</f>
        <v>0</v>
      </c>
    </row>
    <row r="6" spans="1:14" ht="28.7" customHeight="1" x14ac:dyDescent="0.25">
      <c r="A6" s="3">
        <v>3</v>
      </c>
      <c r="B6" s="19" t="s">
        <v>55</v>
      </c>
      <c r="C6" s="3" t="s">
        <v>76</v>
      </c>
      <c r="D6" s="1" t="s">
        <v>32</v>
      </c>
      <c r="E6" s="43">
        <v>0</v>
      </c>
      <c r="F6" s="4" t="s">
        <v>14</v>
      </c>
      <c r="G6" s="47" t="s">
        <v>21</v>
      </c>
      <c r="H6" s="47">
        <v>14046</v>
      </c>
      <c r="I6" s="2"/>
      <c r="J6" s="6" t="s">
        <v>95</v>
      </c>
      <c r="K6" s="36" t="s">
        <v>186</v>
      </c>
      <c r="L6" s="42">
        <f>SUMIFS([1]اردیبهشت!$AD$76:$AD$257,[1]اردیبهشت!$C$76:$C$257,"قطعه نو",[1]اردیبهشت!$B$76:$B$257,C6,[1]اردیبهشت!$O$76:$O$257,B6)</f>
        <v>0</v>
      </c>
      <c r="M6" s="1" t="s">
        <v>20</v>
      </c>
      <c r="N6" s="51">
        <f t="shared" si="0"/>
        <v>0</v>
      </c>
    </row>
    <row r="7" spans="1:14" ht="28.7" customHeight="1" x14ac:dyDescent="0.25">
      <c r="A7" s="3">
        <v>4</v>
      </c>
      <c r="B7" s="52" t="s">
        <v>50</v>
      </c>
      <c r="C7" s="48" t="s">
        <v>90</v>
      </c>
      <c r="D7" s="48" t="s">
        <v>17</v>
      </c>
      <c r="E7" s="48">
        <v>1</v>
      </c>
      <c r="F7" s="48" t="s">
        <v>14</v>
      </c>
      <c r="G7" s="57" t="s">
        <v>21</v>
      </c>
      <c r="H7" s="49"/>
      <c r="I7" s="49"/>
      <c r="J7" s="35" t="s">
        <v>187</v>
      </c>
      <c r="K7" s="36" t="s">
        <v>188</v>
      </c>
      <c r="L7" s="42">
        <f>SUMIFS([1]اردیبهشت!$AD$76:$AD$257,[1]اردیبهشت!$C$76:$C$257,"قطعه نو",[1]اردیبهشت!$B$76:$B$257,C7,[1]اردیبهشت!$O$76:$O$257,B7)</f>
        <v>0</v>
      </c>
      <c r="M7" s="1" t="s">
        <v>20</v>
      </c>
      <c r="N7" s="51">
        <f t="shared" si="0"/>
        <v>0</v>
      </c>
    </row>
    <row r="8" spans="1:14" ht="28.7" customHeight="1" x14ac:dyDescent="0.25">
      <c r="A8" s="3">
        <v>5</v>
      </c>
      <c r="B8" s="52" t="s">
        <v>190</v>
      </c>
      <c r="C8" s="48" t="s">
        <v>189</v>
      </c>
      <c r="D8" s="48" t="s">
        <v>32</v>
      </c>
      <c r="E8" s="48">
        <v>1</v>
      </c>
      <c r="F8" s="48" t="s">
        <v>14</v>
      </c>
      <c r="G8" s="57" t="s">
        <v>21</v>
      </c>
      <c r="H8" s="49"/>
      <c r="I8" s="49"/>
      <c r="J8" s="35" t="s">
        <v>188</v>
      </c>
      <c r="K8" s="36"/>
      <c r="L8" s="42">
        <f>SUMIFS([1]اردیبهشت!$AD$76:$AD$257,[1]اردیبهشت!$C$76:$C$257,"قطعه نو",[1]اردیبهشت!$B$76:$B$257,C8,[1]اردیبهشت!$O$76:$O$257,B8)</f>
        <v>0</v>
      </c>
      <c r="M8" s="1" t="s">
        <v>37</v>
      </c>
      <c r="N8" s="51">
        <f t="shared" si="0"/>
        <v>0</v>
      </c>
    </row>
    <row r="9" spans="1:14" ht="28.7" customHeight="1" x14ac:dyDescent="0.25">
      <c r="A9" s="3">
        <v>6</v>
      </c>
      <c r="B9" s="52" t="s">
        <v>89</v>
      </c>
      <c r="C9" s="48" t="s">
        <v>181</v>
      </c>
      <c r="D9" s="48" t="s">
        <v>17</v>
      </c>
      <c r="E9" s="48">
        <v>1</v>
      </c>
      <c r="F9" s="48" t="s">
        <v>14</v>
      </c>
      <c r="G9" s="57" t="s">
        <v>21</v>
      </c>
      <c r="H9" s="49">
        <v>15657</v>
      </c>
      <c r="I9" s="49"/>
      <c r="J9" s="35" t="s">
        <v>187</v>
      </c>
      <c r="K9" s="36" t="s">
        <v>187</v>
      </c>
      <c r="L9" s="42">
        <f>SUMIFS([1]اردیبهشت!$AD$76:$AD$257,[1]اردیبهشت!$C$76:$C$257,"قطعه نو",[1]اردیبهشت!$B$76:$B$257,C9,[1]اردیبهشت!$O$76:$O$257,B9)+8</f>
        <v>8</v>
      </c>
      <c r="M9" s="1" t="s">
        <v>20</v>
      </c>
      <c r="N9" s="51">
        <f t="shared" si="0"/>
        <v>6000000</v>
      </c>
    </row>
    <row r="10" spans="1:14" ht="28.7" customHeight="1" x14ac:dyDescent="0.25">
      <c r="A10" s="3">
        <v>7</v>
      </c>
      <c r="B10" s="52" t="s">
        <v>163</v>
      </c>
      <c r="C10" s="4" t="s">
        <v>94</v>
      </c>
      <c r="D10" s="4" t="s">
        <v>103</v>
      </c>
      <c r="E10" s="4">
        <v>4</v>
      </c>
      <c r="F10" s="3" t="s">
        <v>14</v>
      </c>
      <c r="G10" s="47" t="s">
        <v>21</v>
      </c>
      <c r="H10" s="2" t="s">
        <v>87</v>
      </c>
      <c r="I10" s="49"/>
      <c r="J10" s="6" t="s">
        <v>91</v>
      </c>
      <c r="K10" s="36"/>
      <c r="L10" s="42">
        <f>SUMIFS([1]اردیبهشت!$AD$76:$AD$257,[1]اردیبهشت!$C$76:$C$257,"قطعه نو",[1]اردیبهشت!$B$76:$B$257,C10,[1]اردیبهشت!$O$76:$O$257,B10)</f>
        <v>0</v>
      </c>
      <c r="M10" s="1" t="s">
        <v>37</v>
      </c>
      <c r="N10" s="51">
        <f t="shared" si="0"/>
        <v>0</v>
      </c>
    </row>
    <row r="11" spans="1:14" ht="28.7" customHeight="1" x14ac:dyDescent="0.25">
      <c r="A11" s="3">
        <v>8</v>
      </c>
      <c r="B11" s="52" t="s">
        <v>191</v>
      </c>
      <c r="C11" s="4" t="s">
        <v>94</v>
      </c>
      <c r="D11" s="4" t="s">
        <v>103</v>
      </c>
      <c r="E11" s="4">
        <v>4</v>
      </c>
      <c r="F11" s="3" t="s">
        <v>14</v>
      </c>
      <c r="G11" s="47" t="s">
        <v>21</v>
      </c>
      <c r="H11" s="2" t="s">
        <v>87</v>
      </c>
      <c r="I11" s="49"/>
      <c r="J11" s="6" t="s">
        <v>93</v>
      </c>
      <c r="K11" s="36" t="s">
        <v>187</v>
      </c>
      <c r="L11" s="42">
        <f>SUMIFS([1]اردیبهشت!$AD$76:$AD$257,[1]اردیبهشت!$C$76:$C$257,"قطعه نو",[1]اردیبهشت!$B$76:$B$257,C11,[1]اردیبهشت!$O$76:$O$257,B11)</f>
        <v>0</v>
      </c>
      <c r="M11" s="1" t="s">
        <v>20</v>
      </c>
      <c r="N11" s="51">
        <f t="shared" si="0"/>
        <v>0</v>
      </c>
    </row>
    <row r="12" spans="1:14" ht="28.7" customHeight="1" x14ac:dyDescent="0.25">
      <c r="A12" s="3">
        <v>9</v>
      </c>
      <c r="B12" s="52" t="s">
        <v>65</v>
      </c>
      <c r="C12" s="48" t="s">
        <v>43</v>
      </c>
      <c r="D12" s="48" t="s">
        <v>32</v>
      </c>
      <c r="E12" s="48">
        <v>2</v>
      </c>
      <c r="F12" s="3" t="s">
        <v>14</v>
      </c>
      <c r="G12" s="57" t="s">
        <v>21</v>
      </c>
      <c r="H12" s="49"/>
      <c r="I12" s="49"/>
      <c r="J12" s="35" t="s">
        <v>186</v>
      </c>
      <c r="K12" s="36"/>
      <c r="L12" s="42">
        <f>SUMIFS([1]اردیبهشت!$AD$76:$AD$257,[1]اردیبهشت!$C$76:$C$257,"قطعه نو",[1]اردیبهشت!$B$76:$B$257,C12,[1]اردیبهشت!$O$76:$O$257,B12)</f>
        <v>0</v>
      </c>
      <c r="M12" s="1" t="s">
        <v>37</v>
      </c>
      <c r="N12" s="51">
        <f t="shared" si="0"/>
        <v>0</v>
      </c>
    </row>
    <row r="13" spans="1:14" ht="28.7" customHeight="1" x14ac:dyDescent="0.25">
      <c r="A13" s="3">
        <v>10</v>
      </c>
      <c r="B13" s="29" t="s">
        <v>173</v>
      </c>
      <c r="C13" s="4" t="s">
        <v>26</v>
      </c>
      <c r="D13" s="4" t="s">
        <v>17</v>
      </c>
      <c r="E13" s="4">
        <v>20</v>
      </c>
      <c r="F13" s="4" t="s">
        <v>14</v>
      </c>
      <c r="G13" s="4" t="s">
        <v>21</v>
      </c>
      <c r="H13" s="49"/>
      <c r="I13" s="49"/>
      <c r="J13" s="5" t="s">
        <v>171</v>
      </c>
      <c r="K13" s="36"/>
      <c r="L13" s="42">
        <f>SUMIFS([1]اردیبهشت!$AD$76:$AD$257,[1]اردیبهشت!$C$76:$C$257,"قطعه نو",[1]اردیبهشت!$B$76:$B$257,C13,[1]اردیبهشت!$O$76:$O$257,B13)</f>
        <v>0</v>
      </c>
      <c r="M13" s="1" t="s">
        <v>37</v>
      </c>
      <c r="N13" s="51">
        <f t="shared" si="0"/>
        <v>0</v>
      </c>
    </row>
    <row r="14" spans="1:14" ht="28.7" customHeight="1" x14ac:dyDescent="0.25">
      <c r="A14" s="3">
        <v>11</v>
      </c>
      <c r="B14" s="52" t="s">
        <v>85</v>
      </c>
      <c r="C14" s="48" t="s">
        <v>174</v>
      </c>
      <c r="D14" s="48" t="s">
        <v>32</v>
      </c>
      <c r="E14" s="48">
        <v>1</v>
      </c>
      <c r="F14" s="48" t="s">
        <v>14</v>
      </c>
      <c r="G14" s="57" t="s">
        <v>21</v>
      </c>
      <c r="H14" s="49">
        <v>15656</v>
      </c>
      <c r="I14" s="49">
        <v>2508</v>
      </c>
      <c r="J14" s="35" t="s">
        <v>192</v>
      </c>
      <c r="K14" s="36" t="s">
        <v>187</v>
      </c>
      <c r="L14" s="42">
        <f>SUMIFS([1]اردیبهشت!$AD$76:$AD$257,[1]اردیبهشت!$C$76:$C$257,"قطعه نو",[1]اردیبهشت!$B$76:$B$257,C14,[1]اردیبهشت!$O$76:$O$257,B14)</f>
        <v>0</v>
      </c>
      <c r="M14" s="1" t="s">
        <v>20</v>
      </c>
      <c r="N14" s="51">
        <f t="shared" si="0"/>
        <v>0</v>
      </c>
    </row>
    <row r="15" spans="1:14" ht="28.7" customHeight="1" x14ac:dyDescent="0.25">
      <c r="A15" s="3">
        <v>12</v>
      </c>
      <c r="B15" s="52" t="s">
        <v>194</v>
      </c>
      <c r="C15" s="48" t="s">
        <v>193</v>
      </c>
      <c r="D15" s="48" t="s">
        <v>195</v>
      </c>
      <c r="E15" s="48">
        <v>1</v>
      </c>
      <c r="F15" s="48" t="s">
        <v>14</v>
      </c>
      <c r="G15" s="57" t="s">
        <v>21</v>
      </c>
      <c r="H15" s="49"/>
      <c r="I15" s="49">
        <v>7103</v>
      </c>
      <c r="J15" s="35" t="s">
        <v>187</v>
      </c>
      <c r="K15" s="36" t="s">
        <v>187</v>
      </c>
      <c r="L15" s="42">
        <f>SUMIFS([1]اردیبهشت!$AD$76:$AD$257,[1]اردیبهشت!$C$76:$C$257,"قطعه نو",[1]اردیبهشت!$B$76:$B$257,C15,[1]اردیبهشت!$O$76:$O$257,B15)</f>
        <v>0</v>
      </c>
      <c r="M15" s="1" t="s">
        <v>20</v>
      </c>
      <c r="N15" s="51">
        <f t="shared" si="0"/>
        <v>0</v>
      </c>
    </row>
    <row r="16" spans="1:14" ht="28.7" customHeight="1" x14ac:dyDescent="0.25">
      <c r="A16" s="3">
        <v>13</v>
      </c>
      <c r="B16" s="52" t="s">
        <v>70</v>
      </c>
      <c r="C16" s="48" t="s">
        <v>27</v>
      </c>
      <c r="D16" s="4" t="s">
        <v>17</v>
      </c>
      <c r="E16" s="48">
        <v>1</v>
      </c>
      <c r="F16" s="48" t="s">
        <v>14</v>
      </c>
      <c r="G16" s="57" t="s">
        <v>21</v>
      </c>
      <c r="H16" s="49">
        <v>14578</v>
      </c>
      <c r="I16" s="49"/>
      <c r="J16" s="35" t="s">
        <v>192</v>
      </c>
      <c r="K16" s="36" t="s">
        <v>192</v>
      </c>
      <c r="L16" s="42">
        <f>SUMIFS([1]اردیبهشت!$AD$76:$AD$257,[1]اردیبهشت!$C$76:$C$257,"قطعه نو",[1]اردیبهشت!$B$76:$B$257,C16,[1]اردیبهشت!$O$76:$O$257,B16)</f>
        <v>0</v>
      </c>
      <c r="M16" s="1" t="s">
        <v>20</v>
      </c>
      <c r="N16" s="51">
        <f t="shared" si="0"/>
        <v>0</v>
      </c>
    </row>
    <row r="17" spans="1:14" ht="28.7" customHeight="1" x14ac:dyDescent="0.25">
      <c r="A17" s="3">
        <v>14</v>
      </c>
      <c r="B17" s="52" t="s">
        <v>89</v>
      </c>
      <c r="C17" s="48" t="s">
        <v>27</v>
      </c>
      <c r="D17" s="4" t="s">
        <v>17</v>
      </c>
      <c r="E17" s="48">
        <v>2</v>
      </c>
      <c r="F17" s="48" t="s">
        <v>14</v>
      </c>
      <c r="G17" s="57" t="s">
        <v>21</v>
      </c>
      <c r="H17" s="49">
        <v>15589</v>
      </c>
      <c r="I17" s="49"/>
      <c r="J17" s="35" t="s">
        <v>188</v>
      </c>
      <c r="K17" s="35" t="s">
        <v>188</v>
      </c>
      <c r="L17" s="42">
        <f>SUMIFS([1]اردیبهشت!$AD$76:$AD$257,[1]اردیبهشت!$C$76:$C$257,"قطعه نو",[1]اردیبهشت!$B$76:$B$257,C17,[1]اردیبهشت!$O$76:$O$257,B17)</f>
        <v>0</v>
      </c>
      <c r="M17" s="1" t="s">
        <v>20</v>
      </c>
      <c r="N17" s="51">
        <f t="shared" si="0"/>
        <v>0</v>
      </c>
    </row>
    <row r="18" spans="1:14" ht="28.7" customHeight="1" x14ac:dyDescent="0.25">
      <c r="A18" s="3">
        <v>15</v>
      </c>
      <c r="B18" s="52" t="s">
        <v>194</v>
      </c>
      <c r="C18" s="48" t="s">
        <v>196</v>
      </c>
      <c r="D18" s="48" t="s">
        <v>32</v>
      </c>
      <c r="E18" s="48">
        <v>1</v>
      </c>
      <c r="F18" s="48" t="s">
        <v>23</v>
      </c>
      <c r="G18" s="57" t="s">
        <v>60</v>
      </c>
      <c r="H18" s="49"/>
      <c r="I18" s="49"/>
      <c r="J18" s="35" t="s">
        <v>192</v>
      </c>
      <c r="K18" s="36" t="s">
        <v>192</v>
      </c>
      <c r="L18" s="42">
        <f>SUMIFS([1]اردیبهشت!$AD$76:$AD$257,[1]اردیبهشت!$C$76:$C$257,"قطعه تعمیری",[1]اردیبهشت!$B$76:$B$257,C18,[1]اردیبهشت!$O$76:$O$257,B18)</f>
        <v>0</v>
      </c>
      <c r="M18" s="1" t="s">
        <v>20</v>
      </c>
      <c r="N18" s="51">
        <f t="shared" si="0"/>
        <v>0</v>
      </c>
    </row>
    <row r="19" spans="1:14" ht="28.7" customHeight="1" x14ac:dyDescent="0.25">
      <c r="A19" s="3">
        <v>16</v>
      </c>
      <c r="B19" s="52" t="s">
        <v>69</v>
      </c>
      <c r="C19" s="48" t="s">
        <v>25</v>
      </c>
      <c r="D19" s="4" t="s">
        <v>17</v>
      </c>
      <c r="E19" s="48">
        <v>1</v>
      </c>
      <c r="F19" s="48" t="s">
        <v>23</v>
      </c>
      <c r="G19" s="57" t="s">
        <v>60</v>
      </c>
      <c r="H19" s="49"/>
      <c r="I19" s="49"/>
      <c r="J19" s="35" t="s">
        <v>192</v>
      </c>
      <c r="K19" s="36" t="s">
        <v>187</v>
      </c>
      <c r="L19" s="42">
        <f>SUMIFS([1]اردیبهشت!$AD$76:$AD$257,[1]اردیبهشت!$C$76:$C$257,"قطعه تعمیری",[1]اردیبهشت!$B$76:$B$257,C19,[1]اردیبهشت!$O$76:$O$257,B19)</f>
        <v>0</v>
      </c>
      <c r="M19" s="1" t="s">
        <v>20</v>
      </c>
      <c r="N19" s="51">
        <f t="shared" si="0"/>
        <v>0</v>
      </c>
    </row>
    <row r="20" spans="1:14" ht="28.7" customHeight="1" x14ac:dyDescent="0.25">
      <c r="A20" s="3">
        <v>17</v>
      </c>
      <c r="B20" s="53" t="s">
        <v>85</v>
      </c>
      <c r="C20" s="21" t="s">
        <v>197</v>
      </c>
      <c r="D20" s="48" t="s">
        <v>32</v>
      </c>
      <c r="E20" s="1">
        <v>1</v>
      </c>
      <c r="F20" s="1" t="s">
        <v>23</v>
      </c>
      <c r="G20" s="1" t="s">
        <v>60</v>
      </c>
      <c r="H20" s="1">
        <v>15657</v>
      </c>
      <c r="I20" s="3"/>
      <c r="J20" s="5" t="s">
        <v>187</v>
      </c>
      <c r="K20" s="6" t="s">
        <v>187</v>
      </c>
      <c r="L20" s="42">
        <f>SUMIFS([1]اردیبهشت!$AD$76:$AD$257,[1]اردیبهشت!$C$76:$C$257,"قطعه تعمیری",[1]اردیبهشت!$B$76:$B$257,C20,[1]اردیبهشت!$O$76:$O$257,B20)</f>
        <v>0</v>
      </c>
      <c r="M20" s="1" t="s">
        <v>20</v>
      </c>
      <c r="N20" s="51">
        <f t="shared" ref="N20:N27" si="1">L20*(500000*1.5)</f>
        <v>0</v>
      </c>
    </row>
    <row r="21" spans="1:14" ht="28.7" customHeight="1" x14ac:dyDescent="0.25">
      <c r="A21" s="3">
        <v>18</v>
      </c>
      <c r="B21" s="53" t="s">
        <v>85</v>
      </c>
      <c r="C21" s="21" t="s">
        <v>88</v>
      </c>
      <c r="D21" s="1" t="s">
        <v>103</v>
      </c>
      <c r="E21" s="1">
        <v>1</v>
      </c>
      <c r="F21" s="1" t="s">
        <v>23</v>
      </c>
      <c r="G21" s="1" t="s">
        <v>198</v>
      </c>
      <c r="H21" s="2"/>
      <c r="I21" s="2"/>
      <c r="J21" s="5" t="s">
        <v>178</v>
      </c>
      <c r="K21" s="6" t="s">
        <v>188</v>
      </c>
      <c r="L21" s="42">
        <f>SUMIFS([1]اردیبهشت!$AD$76:$AD$257,[1]اردیبهشت!$C$76:$C$257,"قطعه تعمیری",[1]اردیبهشت!$B$76:$B$257,C21,[1]اردیبهشت!$O$76:$O$257,B21)+12</f>
        <v>12</v>
      </c>
      <c r="M21" s="1" t="s">
        <v>20</v>
      </c>
      <c r="N21" s="51">
        <f t="shared" si="1"/>
        <v>9000000</v>
      </c>
    </row>
    <row r="22" spans="1:14" ht="28.7" customHeight="1" x14ac:dyDescent="0.25">
      <c r="A22" s="3">
        <v>19</v>
      </c>
      <c r="B22" s="53" t="s">
        <v>85</v>
      </c>
      <c r="C22" s="21" t="s">
        <v>49</v>
      </c>
      <c r="D22" s="48" t="s">
        <v>32</v>
      </c>
      <c r="E22" s="1">
        <v>1</v>
      </c>
      <c r="F22" s="1" t="s">
        <v>23</v>
      </c>
      <c r="G22" s="1" t="s">
        <v>199</v>
      </c>
      <c r="H22" s="2"/>
      <c r="I22" s="2"/>
      <c r="J22" s="5" t="s">
        <v>187</v>
      </c>
      <c r="K22" s="6" t="s">
        <v>187</v>
      </c>
      <c r="L22" s="42">
        <f>SUMIFS([1]اردیبهشت!$AD$76:$AD$257,[1]اردیبهشت!$C$76:$C$257,"قطعه تعمیری",[1]اردیبهشت!$B$76:$B$257,C22,[1]اردیبهشت!$O$76:$O$257,B22)</f>
        <v>0</v>
      </c>
      <c r="M22" s="1" t="s">
        <v>20</v>
      </c>
      <c r="N22" s="51">
        <f t="shared" si="1"/>
        <v>0</v>
      </c>
    </row>
    <row r="23" spans="1:14" ht="28.7" customHeight="1" x14ac:dyDescent="0.25">
      <c r="A23" s="3">
        <v>20</v>
      </c>
      <c r="B23" s="56" t="s">
        <v>77</v>
      </c>
      <c r="C23" s="1" t="s">
        <v>26</v>
      </c>
      <c r="D23" s="4" t="s">
        <v>17</v>
      </c>
      <c r="E23" s="4">
        <v>8</v>
      </c>
      <c r="F23" s="4" t="s">
        <v>23</v>
      </c>
      <c r="G23" s="47" t="s">
        <v>200</v>
      </c>
      <c r="H23" s="3">
        <v>15588</v>
      </c>
      <c r="I23" s="3"/>
      <c r="J23" s="4" t="s">
        <v>188</v>
      </c>
      <c r="K23" s="4" t="s">
        <v>188</v>
      </c>
      <c r="L23" s="42">
        <f>SUMIFS([1]اردیبهشت!$AD$76:$AD$257,[1]اردیبهشت!$C$76:$C$257,"قطعه تعمیری",[1]اردیبهشت!$B$76:$B$257,C23,[1]اردیبهشت!$O$76:$O$257,B23)</f>
        <v>0</v>
      </c>
      <c r="M23" s="4" t="s">
        <v>20</v>
      </c>
      <c r="N23" s="51">
        <f t="shared" si="1"/>
        <v>0</v>
      </c>
    </row>
    <row r="24" spans="1:14" ht="28.7" customHeight="1" x14ac:dyDescent="0.25">
      <c r="A24" s="3">
        <v>21</v>
      </c>
      <c r="B24" s="16" t="s">
        <v>201</v>
      </c>
      <c r="C24" s="16" t="s">
        <v>46</v>
      </c>
      <c r="D24" s="4" t="s">
        <v>15</v>
      </c>
      <c r="E24" s="4">
        <v>1</v>
      </c>
      <c r="F24" s="4" t="s">
        <v>23</v>
      </c>
      <c r="G24" s="47" t="s">
        <v>84</v>
      </c>
      <c r="H24" s="4">
        <v>16153</v>
      </c>
      <c r="I24" s="2">
        <v>2</v>
      </c>
      <c r="J24" s="4" t="s">
        <v>188</v>
      </c>
      <c r="K24" s="4" t="s">
        <v>188</v>
      </c>
      <c r="L24" s="42">
        <f>SUMIFS([1]اردیبهشت!$AD$76:$AD$257,[1]اردیبهشت!$C$76:$C$257,"قطعه تعمیری",[1]اردیبهشت!$B$76:$B$257,C24,[1]اردیبهشت!$O$76:$O$257,B24)</f>
        <v>0</v>
      </c>
      <c r="M24" s="4" t="s">
        <v>20</v>
      </c>
      <c r="N24" s="51">
        <f t="shared" si="1"/>
        <v>0</v>
      </c>
    </row>
    <row r="25" spans="1:14" ht="28.7" customHeight="1" x14ac:dyDescent="0.25">
      <c r="A25" s="3">
        <v>22</v>
      </c>
      <c r="B25" s="16" t="s">
        <v>202</v>
      </c>
      <c r="C25" s="16" t="s">
        <v>46</v>
      </c>
      <c r="D25" s="4" t="s">
        <v>15</v>
      </c>
      <c r="E25" s="4">
        <v>1</v>
      </c>
      <c r="F25" s="4" t="s">
        <v>23</v>
      </c>
      <c r="G25" s="47" t="s">
        <v>204</v>
      </c>
      <c r="H25" s="20">
        <v>16152</v>
      </c>
      <c r="I25" s="2">
        <v>4</v>
      </c>
      <c r="J25" s="4" t="s">
        <v>188</v>
      </c>
      <c r="K25" s="4" t="s">
        <v>188</v>
      </c>
      <c r="L25" s="42">
        <f>SUMIFS([1]اردیبهشت!$AD$76:$AD$257,[1]اردیبهشت!$C$76:$C$257,"قطعه تعمیری",[1]اردیبهشت!$B$76:$B$257,C25,[1]اردیبهشت!$O$76:$O$257,B25)</f>
        <v>0</v>
      </c>
      <c r="M25" s="4" t="s">
        <v>20</v>
      </c>
      <c r="N25" s="51">
        <f t="shared" si="1"/>
        <v>0</v>
      </c>
    </row>
    <row r="26" spans="1:14" ht="28.7" customHeight="1" x14ac:dyDescent="0.25">
      <c r="A26" s="3">
        <v>23</v>
      </c>
      <c r="B26" s="16" t="s">
        <v>203</v>
      </c>
      <c r="C26" s="16" t="s">
        <v>46</v>
      </c>
      <c r="D26" s="4" t="s">
        <v>15</v>
      </c>
      <c r="E26" s="4">
        <v>2</v>
      </c>
      <c r="F26" s="4" t="s">
        <v>23</v>
      </c>
      <c r="G26" s="47" t="s">
        <v>205</v>
      </c>
      <c r="H26" s="19">
        <v>16154</v>
      </c>
      <c r="I26" s="2">
        <v>2</v>
      </c>
      <c r="J26" s="4" t="s">
        <v>206</v>
      </c>
      <c r="K26" s="4" t="s">
        <v>206</v>
      </c>
      <c r="L26" s="42">
        <f>SUMIFS([1]اردیبهشت!$AD$76:$AD$257,[1]اردیبهشت!$C$76:$C$257,"قطعه تعمیری",[1]اردیبهشت!$B$76:$B$257,C26,[1]اردیبهشت!$O$76:$O$257,B26)</f>
        <v>0</v>
      </c>
      <c r="M26" s="4" t="s">
        <v>20</v>
      </c>
      <c r="N26" s="51">
        <f t="shared" si="1"/>
        <v>0</v>
      </c>
    </row>
    <row r="27" spans="1:14" ht="28.7" customHeight="1" thickBot="1" x14ac:dyDescent="0.3">
      <c r="A27" s="3">
        <v>24</v>
      </c>
      <c r="B27" s="16" t="s">
        <v>85</v>
      </c>
      <c r="C27" s="16" t="s">
        <v>27</v>
      </c>
      <c r="D27" s="4" t="s">
        <v>17</v>
      </c>
      <c r="E27" s="4">
        <v>1</v>
      </c>
      <c r="F27" s="4" t="s">
        <v>23</v>
      </c>
      <c r="G27" s="47" t="s">
        <v>18</v>
      </c>
      <c r="H27" s="2">
        <v>14584</v>
      </c>
      <c r="I27" s="2">
        <v>1</v>
      </c>
      <c r="J27" s="6" t="s">
        <v>188</v>
      </c>
      <c r="K27" s="6" t="s">
        <v>186</v>
      </c>
      <c r="L27" s="42">
        <f>SUMIFS([1]اردیبهشت!$AD$76:$AD$257,[1]اردیبهشت!$C$76:$C$257,"قطعه تعمیری",[1]اردیبهشت!$B$76:$B$257,C27,[1]اردیبهشت!$O$76:$O$257,B27)</f>
        <v>0</v>
      </c>
      <c r="M27" s="27" t="s">
        <v>20</v>
      </c>
      <c r="N27" s="51">
        <f t="shared" si="1"/>
        <v>0</v>
      </c>
    </row>
    <row r="28" spans="1:14" ht="23.25" customHeight="1" x14ac:dyDescent="0.25">
      <c r="A28" s="31"/>
      <c r="B28" s="251" t="s">
        <v>30</v>
      </c>
      <c r="C28" s="128" t="s">
        <v>184</v>
      </c>
      <c r="D28" s="83" t="s">
        <v>14</v>
      </c>
      <c r="E28" s="93">
        <f>SUMIFS(E4:E27,F4:F27,D28,M4:M27,"تحویل")</f>
        <v>20</v>
      </c>
      <c r="F28" s="125"/>
      <c r="G28" s="83"/>
      <c r="H28" s="9"/>
      <c r="I28" s="251" t="s">
        <v>115</v>
      </c>
      <c r="J28" s="9" t="s">
        <v>14</v>
      </c>
      <c r="K28" s="9">
        <f>SUMIFS(E4:E27,F4:F27,J28)</f>
        <v>47</v>
      </c>
      <c r="L28" s="252">
        <f>SUM(L4:L27)</f>
        <v>20</v>
      </c>
      <c r="M28" s="112"/>
      <c r="N28" s="257">
        <f>SUM(N4:N27)</f>
        <v>15000000</v>
      </c>
    </row>
    <row r="29" spans="1:14" ht="23.25" customHeight="1" thickBot="1" x14ac:dyDescent="0.3">
      <c r="A29" s="10"/>
      <c r="B29" s="247"/>
      <c r="C29" s="129" t="s">
        <v>184</v>
      </c>
      <c r="D29" s="62" t="s">
        <v>23</v>
      </c>
      <c r="E29" s="94">
        <f>SUMIFS(E4:E27,F4:F27,D29,M4:M27,"تحویل")</f>
        <v>18</v>
      </c>
      <c r="F29" s="11"/>
      <c r="G29" s="62"/>
      <c r="H29" s="11"/>
      <c r="I29" s="247"/>
      <c r="J29" s="11" t="s">
        <v>23</v>
      </c>
      <c r="K29" s="11">
        <f>SUMIFS(E5:E27,F5:F27,J29)</f>
        <v>18</v>
      </c>
      <c r="L29" s="245"/>
      <c r="M29" s="113"/>
      <c r="N29" s="258"/>
    </row>
  </sheetData>
  <mergeCells count="5">
    <mergeCell ref="A1:K2"/>
    <mergeCell ref="B28:B29"/>
    <mergeCell ref="L28:L29"/>
    <mergeCell ref="N28:N29"/>
    <mergeCell ref="I28:I29"/>
  </mergeCells>
  <printOptions horizontalCentered="1" verticalCentered="1"/>
  <pageMargins left="0" right="0" top="0" bottom="0" header="0" footer="0"/>
  <pageSetup fitToHeight="0" orientation="landscape" r:id="rId1"/>
  <ignoredErrors>
    <ignoredError sqref="L18 L9 L21" formula="1"/>
    <ignoredError sqref="K2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8430-A7F8-4320-9D5C-54CFDD4AAA0D}">
  <sheetPr codeName="Sheet6">
    <pageSetUpPr fitToPage="1"/>
  </sheetPr>
  <dimension ref="A1:N27"/>
  <sheetViews>
    <sheetView rightToLeft="1" view="pageLayout" zoomScaleNormal="100" workbookViewId="0">
      <selection activeCell="D4" sqref="D4:K4"/>
    </sheetView>
  </sheetViews>
  <sheetFormatPr defaultRowHeight="15" x14ac:dyDescent="0.25"/>
  <cols>
    <col min="1" max="1" width="5.7109375" customWidth="1"/>
    <col min="2" max="2" width="11.28515625" customWidth="1"/>
    <col min="3" max="3" width="14.140625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7</v>
      </c>
    </row>
    <row r="3" spans="1:14" ht="42.75" customHeight="1" thickBot="1" x14ac:dyDescent="0.3">
      <c r="A3" s="24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26">
        <v>1</v>
      </c>
      <c r="B4" s="133" t="s">
        <v>85</v>
      </c>
      <c r="C4" s="66" t="s">
        <v>207</v>
      </c>
      <c r="D4" s="66" t="s">
        <v>32</v>
      </c>
      <c r="E4" s="66">
        <v>1</v>
      </c>
      <c r="F4" s="12" t="s">
        <v>14</v>
      </c>
      <c r="G4" s="67" t="s">
        <v>21</v>
      </c>
      <c r="H4" s="73">
        <v>14046</v>
      </c>
      <c r="I4" s="73"/>
      <c r="J4" s="68" t="s">
        <v>208</v>
      </c>
      <c r="K4" s="68"/>
      <c r="L4" s="145">
        <f>SUMIFS([1]اردیبهشت!$AF$258:$AF$408,[1]اردیبهشت!$C$258:$C$408,"قطعه نو",[1]اردیبهشت!$B$258:$B$408,C4,[1]اردیبهشت!$P$258:$P$408,B4)</f>
        <v>3</v>
      </c>
      <c r="M4" s="65" t="s">
        <v>37</v>
      </c>
      <c r="N4" s="69">
        <f>L4*(500000*1.5)</f>
        <v>2250000</v>
      </c>
    </row>
    <row r="5" spans="1:14" ht="28.7" customHeight="1" x14ac:dyDescent="0.25">
      <c r="A5" s="26">
        <v>2</v>
      </c>
      <c r="B5" s="134" t="s">
        <v>190</v>
      </c>
      <c r="C5" s="48" t="s">
        <v>189</v>
      </c>
      <c r="D5" s="48" t="s">
        <v>32</v>
      </c>
      <c r="E5" s="48">
        <v>1</v>
      </c>
      <c r="F5" s="48" t="s">
        <v>14</v>
      </c>
      <c r="G5" s="57" t="s">
        <v>21</v>
      </c>
      <c r="H5" s="49"/>
      <c r="I5" s="49"/>
      <c r="J5" s="35" t="s">
        <v>188</v>
      </c>
      <c r="K5" s="36"/>
      <c r="L5" s="43">
        <f>SUMIFS([1]اردیبهشت!$AF$258:$AF$408,[1]اردیبهشت!$C$258:$C$408,"قطعه نو",[1]اردیبهشت!$B$258:$B$408,C5,[1]اردیبهشت!$P$258:$P$408,B5)</f>
        <v>30</v>
      </c>
      <c r="M5" s="1" t="s">
        <v>37</v>
      </c>
      <c r="N5" s="51">
        <f t="shared" ref="N5:N25" si="0">L5*(500000*1.5)</f>
        <v>22500000</v>
      </c>
    </row>
    <row r="6" spans="1:14" ht="28.7" customHeight="1" x14ac:dyDescent="0.25">
      <c r="A6" s="26">
        <v>3</v>
      </c>
      <c r="B6" s="75" t="s">
        <v>71</v>
      </c>
      <c r="C6" s="3" t="s">
        <v>209</v>
      </c>
      <c r="D6" s="1" t="s">
        <v>54</v>
      </c>
      <c r="E6" s="43">
        <v>2</v>
      </c>
      <c r="F6" s="4" t="s">
        <v>14</v>
      </c>
      <c r="G6" s="47" t="s">
        <v>21</v>
      </c>
      <c r="H6" s="47"/>
      <c r="I6" s="2"/>
      <c r="J6" s="6" t="s">
        <v>210</v>
      </c>
      <c r="K6" s="36"/>
      <c r="L6" s="43">
        <f>SUMIFS([1]اردیبهشت!$AF$258:$AF$408,[1]اردیبهشت!$C$258:$C$408,"قطعه نو",[1]اردیبهشت!$B$258:$B$408,C6,[1]اردیبهشت!$P$258:$P$408,B6)</f>
        <v>8</v>
      </c>
      <c r="M6" s="1" t="s">
        <v>37</v>
      </c>
      <c r="N6" s="51">
        <f t="shared" si="0"/>
        <v>6000000</v>
      </c>
    </row>
    <row r="7" spans="1:14" ht="28.7" customHeight="1" x14ac:dyDescent="0.25">
      <c r="A7" s="26">
        <v>4</v>
      </c>
      <c r="B7" s="29" t="s">
        <v>85</v>
      </c>
      <c r="C7" s="4" t="s">
        <v>88</v>
      </c>
      <c r="D7" s="4" t="s">
        <v>103</v>
      </c>
      <c r="E7" s="4">
        <v>8</v>
      </c>
      <c r="F7" s="3" t="s">
        <v>14</v>
      </c>
      <c r="G7" s="47" t="s">
        <v>21</v>
      </c>
      <c r="H7" s="2" t="s">
        <v>87</v>
      </c>
      <c r="I7" s="2"/>
      <c r="J7" s="35" t="s">
        <v>91</v>
      </c>
      <c r="K7" s="36"/>
      <c r="L7" s="43">
        <f>SUMIFS([1]اردیبهشت!$AF$258:$AF$408,[1]اردیبهشت!$C$258:$C$408,"قطعه نو",[1]اردیبهشت!$B$258:$B$408,C7,[1]اردیبهشت!$P$258:$P$408,B7)</f>
        <v>3</v>
      </c>
      <c r="M7" s="50" t="s">
        <v>37</v>
      </c>
      <c r="N7" s="51">
        <f t="shared" si="0"/>
        <v>2250000</v>
      </c>
    </row>
    <row r="8" spans="1:14" ht="28.7" customHeight="1" x14ac:dyDescent="0.25">
      <c r="A8" s="26">
        <v>5</v>
      </c>
      <c r="B8" s="29" t="s">
        <v>71</v>
      </c>
      <c r="C8" s="4" t="s">
        <v>142</v>
      </c>
      <c r="D8" s="47" t="s">
        <v>17</v>
      </c>
      <c r="E8" s="91">
        <v>2</v>
      </c>
      <c r="F8" s="4" t="s">
        <v>14</v>
      </c>
      <c r="G8" s="47" t="s">
        <v>144</v>
      </c>
      <c r="H8" s="2">
        <v>15413</v>
      </c>
      <c r="I8" s="21" t="s">
        <v>145</v>
      </c>
      <c r="J8" s="6" t="s">
        <v>133</v>
      </c>
      <c r="K8" s="36" t="s">
        <v>111</v>
      </c>
      <c r="L8" s="43">
        <f>SUMIFS([1]اردیبهشت!$AF$258:$AF$408,[1]اردیبهشت!$C$258:$C$408,"قطعه نو",[1]اردیبهشت!$B$258:$B$408,C8,[1]اردیبهشت!$P$258:$P$408,B8)</f>
        <v>1.5</v>
      </c>
      <c r="M8" s="1" t="s">
        <v>20</v>
      </c>
      <c r="N8" s="51">
        <f t="shared" si="0"/>
        <v>1125000</v>
      </c>
    </row>
    <row r="9" spans="1:14" ht="28.7" customHeight="1" x14ac:dyDescent="0.25">
      <c r="A9" s="26">
        <v>6</v>
      </c>
      <c r="B9" s="29" t="s">
        <v>173</v>
      </c>
      <c r="C9" s="4" t="s">
        <v>26</v>
      </c>
      <c r="D9" s="4" t="s">
        <v>17</v>
      </c>
      <c r="E9" s="4">
        <v>20</v>
      </c>
      <c r="F9" s="4" t="s">
        <v>14</v>
      </c>
      <c r="G9" s="4" t="s">
        <v>21</v>
      </c>
      <c r="H9" s="49"/>
      <c r="I9" s="49"/>
      <c r="J9" s="5" t="s">
        <v>171</v>
      </c>
      <c r="K9" s="36"/>
      <c r="L9" s="43">
        <f>SUMIFS([1]اردیبهشت!$AF$258:$AF$408,[1]اردیبهشت!$C$258:$C$408,"قطعه نو",[1]اردیبهشت!$B$258:$B$408,C9,[1]اردیبهشت!$P$258:$P$408,B9)</f>
        <v>5</v>
      </c>
      <c r="M9" s="1" t="s">
        <v>37</v>
      </c>
      <c r="N9" s="51">
        <f t="shared" si="0"/>
        <v>3750000</v>
      </c>
    </row>
    <row r="10" spans="1:14" ht="28.7" customHeight="1" x14ac:dyDescent="0.25">
      <c r="A10" s="26">
        <v>7</v>
      </c>
      <c r="B10" s="134" t="s">
        <v>212</v>
      </c>
      <c r="C10" s="4" t="s">
        <v>211</v>
      </c>
      <c r="D10" s="48" t="s">
        <v>32</v>
      </c>
      <c r="E10" s="4">
        <v>2</v>
      </c>
      <c r="F10" s="4" t="s">
        <v>14</v>
      </c>
      <c r="G10" s="47" t="s">
        <v>21</v>
      </c>
      <c r="H10" s="2">
        <v>15667</v>
      </c>
      <c r="I10" s="49"/>
      <c r="J10" s="6" t="s">
        <v>213</v>
      </c>
      <c r="K10" s="36" t="s">
        <v>214</v>
      </c>
      <c r="L10" s="43">
        <f>SUMIFS([1]اردیبهشت!$AF$258:$AF$408,[1]اردیبهشت!$C$258:$C$408,"قطعه نو",[1]اردیبهشت!$B$258:$B$408,C10,[1]اردیبهشت!$P$258:$P$408,B10)</f>
        <v>0</v>
      </c>
      <c r="M10" s="1" t="s">
        <v>20</v>
      </c>
      <c r="N10" s="51">
        <f t="shared" si="0"/>
        <v>0</v>
      </c>
    </row>
    <row r="11" spans="1:14" ht="28.7" customHeight="1" x14ac:dyDescent="0.25">
      <c r="A11" s="26">
        <v>8</v>
      </c>
      <c r="B11" s="134" t="s">
        <v>44</v>
      </c>
      <c r="C11" s="4" t="s">
        <v>83</v>
      </c>
      <c r="D11" s="48" t="s">
        <v>32</v>
      </c>
      <c r="E11" s="4">
        <v>1</v>
      </c>
      <c r="F11" s="4" t="s">
        <v>14</v>
      </c>
      <c r="G11" s="47" t="s">
        <v>21</v>
      </c>
      <c r="H11" s="2">
        <v>15667</v>
      </c>
      <c r="I11" s="49"/>
      <c r="J11" s="6" t="s">
        <v>213</v>
      </c>
      <c r="K11" s="36" t="s">
        <v>214</v>
      </c>
      <c r="L11" s="43">
        <f>SUMIFS([1]اردیبهشت!$AF$258:$AF$408,[1]اردیبهشت!$C$258:$C$408,"قطعه نو",[1]اردیبهشت!$B$258:$B$408,C11,[1]اردیبهشت!$P$258:$P$408,B11)</f>
        <v>2</v>
      </c>
      <c r="M11" s="1" t="s">
        <v>20</v>
      </c>
      <c r="N11" s="51">
        <f t="shared" si="0"/>
        <v>1500000</v>
      </c>
    </row>
    <row r="12" spans="1:14" ht="28.7" customHeight="1" x14ac:dyDescent="0.25">
      <c r="A12" s="26">
        <v>9</v>
      </c>
      <c r="B12" s="134" t="s">
        <v>216</v>
      </c>
      <c r="C12" s="48" t="s">
        <v>215</v>
      </c>
      <c r="D12" s="48" t="s">
        <v>32</v>
      </c>
      <c r="E12" s="48">
        <v>1</v>
      </c>
      <c r="F12" s="3" t="s">
        <v>14</v>
      </c>
      <c r="G12" s="57" t="s">
        <v>21</v>
      </c>
      <c r="H12" s="49"/>
      <c r="I12" s="49"/>
      <c r="J12" s="35" t="s">
        <v>217</v>
      </c>
      <c r="K12" s="36"/>
      <c r="L12" s="43">
        <f>SUMIFS([1]اردیبهشت!$AF$258:$AF$408,[1]اردیبهشت!$C$258:$C$408,"قطعه نو",[1]اردیبهشت!$B$258:$B$408,C12,[1]اردیبهشت!$P$258:$P$408,B12)</f>
        <v>32</v>
      </c>
      <c r="M12" s="1" t="s">
        <v>37</v>
      </c>
      <c r="N12" s="51">
        <f t="shared" si="0"/>
        <v>24000000</v>
      </c>
    </row>
    <row r="13" spans="1:14" ht="28.7" customHeight="1" x14ac:dyDescent="0.25">
      <c r="A13" s="26">
        <v>10</v>
      </c>
      <c r="B13" s="29" t="s">
        <v>89</v>
      </c>
      <c r="C13" s="4" t="s">
        <v>218</v>
      </c>
      <c r="D13" s="48" t="s">
        <v>32</v>
      </c>
      <c r="E13" s="4">
        <v>1</v>
      </c>
      <c r="F13" s="3" t="s">
        <v>14</v>
      </c>
      <c r="G13" s="4" t="s">
        <v>21</v>
      </c>
      <c r="H13" s="49">
        <v>15666</v>
      </c>
      <c r="I13" s="49"/>
      <c r="J13" s="5" t="s">
        <v>219</v>
      </c>
      <c r="K13" s="36" t="s">
        <v>213</v>
      </c>
      <c r="L13" s="42">
        <f>SUMIFS([1]اردیبهشت!$AF$258:$AF$408,[1]اردیبهشت!$C$258:$C$408,"قطعه نو",[1]اردیبهشت!$B$258:$B$408,C13,[1]اردیبهشت!$P$258:$P$408,B13)</f>
        <v>3.3333333333333335</v>
      </c>
      <c r="M13" s="1" t="s">
        <v>20</v>
      </c>
      <c r="N13" s="51">
        <f t="shared" si="0"/>
        <v>2500000</v>
      </c>
    </row>
    <row r="14" spans="1:14" ht="28.7" customHeight="1" x14ac:dyDescent="0.25">
      <c r="A14" s="26">
        <v>11</v>
      </c>
      <c r="B14" s="134" t="s">
        <v>220</v>
      </c>
      <c r="C14" s="48" t="s">
        <v>31</v>
      </c>
      <c r="D14" s="48" t="s">
        <v>32</v>
      </c>
      <c r="E14" s="48">
        <v>1</v>
      </c>
      <c r="F14" s="48" t="s">
        <v>23</v>
      </c>
      <c r="G14" s="57" t="s">
        <v>221</v>
      </c>
      <c r="H14" s="49">
        <v>15035</v>
      </c>
      <c r="I14" s="49"/>
      <c r="J14" s="35" t="s">
        <v>208</v>
      </c>
      <c r="K14" s="36" t="s">
        <v>210</v>
      </c>
      <c r="L14" s="42">
        <f>SUMIFS([1]اردیبهشت!$AF$258:$AF$408,[1]اردیبهشت!$C$258:$C$408,"قطعه تعمیری",[1]اردیبهشت!$B$258:$B$408,C14,[1]اردیبهشت!$P$258:$P$408,B14)</f>
        <v>2.5</v>
      </c>
      <c r="M14" s="1" t="s">
        <v>20</v>
      </c>
      <c r="N14" s="51">
        <f t="shared" si="0"/>
        <v>1875000</v>
      </c>
    </row>
    <row r="15" spans="1:14" ht="28.7" customHeight="1" x14ac:dyDescent="0.25">
      <c r="A15" s="26">
        <v>12</v>
      </c>
      <c r="B15" s="134" t="s">
        <v>85</v>
      </c>
      <c r="C15" s="48" t="s">
        <v>222</v>
      </c>
      <c r="D15" s="48" t="s">
        <v>103</v>
      </c>
      <c r="E15" s="48">
        <v>1</v>
      </c>
      <c r="F15" s="48" t="s">
        <v>23</v>
      </c>
      <c r="G15" s="57" t="s">
        <v>223</v>
      </c>
      <c r="H15" s="49">
        <v>15591</v>
      </c>
      <c r="I15" s="49"/>
      <c r="J15" s="35" t="s">
        <v>214</v>
      </c>
      <c r="K15" s="36" t="s">
        <v>214</v>
      </c>
      <c r="L15" s="42">
        <f>SUMIFS([1]اردیبهشت!$AF$258:$AF$408,[1]اردیبهشت!$C$258:$C$408,"قطعه تعمیری",[1]اردیبهشت!$B$258:$B$408,C15,[1]اردیبهشت!$P$258:$P$408,B15)</f>
        <v>2.5</v>
      </c>
      <c r="M15" s="1" t="s">
        <v>20</v>
      </c>
      <c r="N15" s="51">
        <f t="shared" si="0"/>
        <v>1875000</v>
      </c>
    </row>
    <row r="16" spans="1:14" ht="28.7" customHeight="1" x14ac:dyDescent="0.25">
      <c r="A16" s="26">
        <v>13</v>
      </c>
      <c r="B16" s="134" t="s">
        <v>73</v>
      </c>
      <c r="C16" s="48" t="s">
        <v>24</v>
      </c>
      <c r="D16" s="4" t="s">
        <v>17</v>
      </c>
      <c r="E16" s="48">
        <v>1</v>
      </c>
      <c r="F16" s="48" t="s">
        <v>23</v>
      </c>
      <c r="G16" s="57" t="s">
        <v>78</v>
      </c>
      <c r="H16" s="49"/>
      <c r="I16" s="49"/>
      <c r="J16" s="35" t="s">
        <v>208</v>
      </c>
      <c r="K16" s="36" t="s">
        <v>214</v>
      </c>
      <c r="L16" s="42">
        <f>SUMIFS([1]اردیبهشت!$AF$258:$AF$408,[1]اردیبهشت!$C$258:$C$408,"قطعه تعمیری",[1]اردیبهشت!$B$258:$B$408,C16,[1]اردیبهشت!$P$258:$P$408,B16)</f>
        <v>2</v>
      </c>
      <c r="M16" s="1" t="s">
        <v>20</v>
      </c>
      <c r="N16" s="51">
        <f t="shared" si="0"/>
        <v>1500000</v>
      </c>
    </row>
    <row r="17" spans="1:14" ht="28.7" customHeight="1" x14ac:dyDescent="0.25">
      <c r="A17" s="26">
        <v>14</v>
      </c>
      <c r="B17" s="134" t="s">
        <v>13</v>
      </c>
      <c r="C17" s="48" t="s">
        <v>224</v>
      </c>
      <c r="D17" s="48" t="s">
        <v>32</v>
      </c>
      <c r="E17" s="48">
        <v>5</v>
      </c>
      <c r="F17" s="48" t="s">
        <v>23</v>
      </c>
      <c r="G17" s="57" t="s">
        <v>18</v>
      </c>
      <c r="H17" s="49">
        <v>15862</v>
      </c>
      <c r="I17" s="49">
        <v>3207</v>
      </c>
      <c r="J17" s="35" t="s">
        <v>217</v>
      </c>
      <c r="K17" s="35" t="s">
        <v>217</v>
      </c>
      <c r="L17" s="42">
        <f>SUMIFS([1]اردیبهشت!$AF$258:$AF$408,[1]اردیبهشت!$C$258:$C$408,"قطعه تعمیری",[1]اردیبهشت!$B$258:$B$408,C17,[1]اردیبهشت!$P$258:$P$408,B17)</f>
        <v>2.5</v>
      </c>
      <c r="M17" s="1" t="s">
        <v>20</v>
      </c>
      <c r="N17" s="51">
        <f t="shared" si="0"/>
        <v>1875000</v>
      </c>
    </row>
    <row r="18" spans="1:14" ht="28.7" customHeight="1" x14ac:dyDescent="0.25">
      <c r="A18" s="26">
        <v>15</v>
      </c>
      <c r="B18" s="134" t="s">
        <v>225</v>
      </c>
      <c r="C18" s="48" t="s">
        <v>197</v>
      </c>
      <c r="D18" s="4" t="s">
        <v>17</v>
      </c>
      <c r="E18" s="48">
        <v>1</v>
      </c>
      <c r="F18" s="48" t="s">
        <v>23</v>
      </c>
      <c r="G18" s="57" t="s">
        <v>18</v>
      </c>
      <c r="H18" s="49"/>
      <c r="I18" s="49"/>
      <c r="J18" s="35" t="s">
        <v>217</v>
      </c>
      <c r="K18" s="35" t="s">
        <v>217</v>
      </c>
      <c r="L18" s="42">
        <f>SUMIFS([1]اردیبهشت!$AF$258:$AF$408,[1]اردیبهشت!$C$258:$C$408,"قطعه تعمیری",[1]اردیبهشت!$B$258:$B$408,C18,[1]اردیبهشت!$P$258:$P$408,B18)</f>
        <v>2</v>
      </c>
      <c r="M18" s="1" t="s">
        <v>20</v>
      </c>
      <c r="N18" s="51">
        <f t="shared" si="0"/>
        <v>1500000</v>
      </c>
    </row>
    <row r="19" spans="1:14" ht="28.7" customHeight="1" x14ac:dyDescent="0.25">
      <c r="A19" s="26">
        <v>16</v>
      </c>
      <c r="B19" s="134" t="s">
        <v>85</v>
      </c>
      <c r="C19" s="48" t="s">
        <v>48</v>
      </c>
      <c r="D19" s="48" t="s">
        <v>103</v>
      </c>
      <c r="E19" s="48">
        <v>5</v>
      </c>
      <c r="F19" s="48" t="s">
        <v>23</v>
      </c>
      <c r="G19" s="57" t="s">
        <v>18</v>
      </c>
      <c r="H19" s="49">
        <v>15670</v>
      </c>
      <c r="I19" s="49"/>
      <c r="J19" s="35" t="s">
        <v>214</v>
      </c>
      <c r="K19" s="36"/>
      <c r="L19" s="42">
        <f>SUMIFS([1]اردیبهشت!$AF$258:$AF$408,[1]اردیبهشت!$C$258:$C$408,"قطعه تعمیری",[1]اردیبهشت!$B$258:$B$408,C19,[1]اردیبهشت!$P$258:$P$408,B19)</f>
        <v>2</v>
      </c>
      <c r="M19" s="1" t="s">
        <v>37</v>
      </c>
      <c r="N19" s="51">
        <f t="shared" si="0"/>
        <v>1500000</v>
      </c>
    </row>
    <row r="20" spans="1:14" ht="28.7" customHeight="1" x14ac:dyDescent="0.25">
      <c r="A20" s="26">
        <v>17</v>
      </c>
      <c r="B20" s="59" t="s">
        <v>39</v>
      </c>
      <c r="C20" s="21" t="s">
        <v>22</v>
      </c>
      <c r="D20" s="48" t="s">
        <v>32</v>
      </c>
      <c r="E20" s="1">
        <v>6</v>
      </c>
      <c r="F20" s="48" t="s">
        <v>23</v>
      </c>
      <c r="G20" s="57" t="s">
        <v>18</v>
      </c>
      <c r="H20" s="1"/>
      <c r="I20" s="3"/>
      <c r="J20" s="35" t="s">
        <v>217</v>
      </c>
      <c r="K20" s="35" t="s">
        <v>208</v>
      </c>
      <c r="L20" s="42">
        <f>SUMIFS([1]اردیبهشت!$AF$258:$AF$408,[1]اردیبهشت!$C$258:$C$408,"قطعه تعمیری",[1]اردیبهشت!$B$258:$B$408,C20,[1]اردیبهشت!$P$258:$P$408,B20)</f>
        <v>5.6666666666666661</v>
      </c>
      <c r="M20" s="1" t="s">
        <v>20</v>
      </c>
      <c r="N20" s="51">
        <f t="shared" si="0"/>
        <v>4250000</v>
      </c>
    </row>
    <row r="21" spans="1:14" ht="28.7" customHeight="1" x14ac:dyDescent="0.25">
      <c r="A21" s="26">
        <v>18</v>
      </c>
      <c r="B21" s="59" t="s">
        <v>212</v>
      </c>
      <c r="C21" s="21" t="s">
        <v>226</v>
      </c>
      <c r="D21" s="48" t="s">
        <v>32</v>
      </c>
      <c r="E21" s="1">
        <v>1</v>
      </c>
      <c r="F21" s="48" t="s">
        <v>23</v>
      </c>
      <c r="G21" s="57" t="s">
        <v>18</v>
      </c>
      <c r="H21" s="2"/>
      <c r="I21" s="2"/>
      <c r="J21" s="5" t="s">
        <v>219</v>
      </c>
      <c r="K21" s="5" t="s">
        <v>219</v>
      </c>
      <c r="L21" s="42">
        <f>SUMIFS([1]اردیبهشت!$AF$258:$AF$408,[1]اردیبهشت!$C$258:$C$408,"قطعه تعمیری",[1]اردیبهشت!$B$258:$B$408,C21,[1]اردیبهشت!$P$258:$P$408,B21)</f>
        <v>0</v>
      </c>
      <c r="M21" s="1" t="s">
        <v>20</v>
      </c>
      <c r="N21" s="51">
        <f t="shared" si="0"/>
        <v>0</v>
      </c>
    </row>
    <row r="22" spans="1:14" ht="28.7" customHeight="1" x14ac:dyDescent="0.25">
      <c r="A22" s="26">
        <v>19</v>
      </c>
      <c r="B22" s="59" t="s">
        <v>85</v>
      </c>
      <c r="C22" s="21" t="s">
        <v>27</v>
      </c>
      <c r="D22" s="4" t="s">
        <v>17</v>
      </c>
      <c r="E22" s="1">
        <v>1</v>
      </c>
      <c r="F22" s="48" t="s">
        <v>23</v>
      </c>
      <c r="G22" s="57" t="s">
        <v>18</v>
      </c>
      <c r="H22" s="2">
        <v>14586</v>
      </c>
      <c r="I22" s="2">
        <v>6503</v>
      </c>
      <c r="J22" s="5" t="s">
        <v>213</v>
      </c>
      <c r="K22" s="35" t="s">
        <v>214</v>
      </c>
      <c r="L22" s="42">
        <f>SUMIFS([1]اردیبهشت!$AF$258:$AF$408,[1]اردیبهشت!$C$258:$C$408,"قطعه تعمیری",[1]اردیبهشت!$B$258:$B$408,C22,[1]اردیبهشت!$P$258:$P$408,B22)</f>
        <v>3.666666666666667</v>
      </c>
      <c r="M22" s="1" t="s">
        <v>37</v>
      </c>
      <c r="N22" s="51">
        <f t="shared" si="0"/>
        <v>2750000</v>
      </c>
    </row>
    <row r="23" spans="1:14" ht="28.7" customHeight="1" x14ac:dyDescent="0.25">
      <c r="A23" s="26">
        <v>20</v>
      </c>
      <c r="B23" s="71" t="s">
        <v>44</v>
      </c>
      <c r="C23" s="21" t="s">
        <v>27</v>
      </c>
      <c r="D23" s="4" t="s">
        <v>17</v>
      </c>
      <c r="E23" s="1">
        <v>1</v>
      </c>
      <c r="F23" s="48" t="s">
        <v>23</v>
      </c>
      <c r="G23" s="57" t="s">
        <v>18</v>
      </c>
      <c r="H23" s="2">
        <v>14586</v>
      </c>
      <c r="I23" s="2">
        <v>6503</v>
      </c>
      <c r="J23" s="5" t="s">
        <v>213</v>
      </c>
      <c r="K23" s="35" t="s">
        <v>214</v>
      </c>
      <c r="L23" s="42">
        <f>SUMIFS([1]اردیبهشت!$AF$258:$AF$408,[1]اردیبهشت!$C$258:$C$408,"قطعه تعمیری",[1]اردیبهشت!$B$258:$B$408,C23,[1]اردیبهشت!$P$258:$P$408,B23)</f>
        <v>2</v>
      </c>
      <c r="M23" s="1" t="s">
        <v>20</v>
      </c>
      <c r="N23" s="51">
        <f t="shared" si="0"/>
        <v>1500000</v>
      </c>
    </row>
    <row r="24" spans="1:14" ht="28.7" customHeight="1" x14ac:dyDescent="0.25">
      <c r="A24" s="26"/>
      <c r="B24" s="71"/>
      <c r="C24" s="53"/>
      <c r="D24" s="4"/>
      <c r="E24" s="1"/>
      <c r="F24" s="48"/>
      <c r="G24" s="57"/>
      <c r="H24" s="2"/>
      <c r="I24" s="2"/>
      <c r="J24" s="5"/>
      <c r="K24" s="35"/>
      <c r="L24" s="42"/>
      <c r="M24" s="1"/>
      <c r="N24" s="51"/>
    </row>
    <row r="25" spans="1:14" ht="28.7" customHeight="1" thickBot="1" x14ac:dyDescent="0.3">
      <c r="A25" s="26">
        <v>21</v>
      </c>
      <c r="B25" s="29"/>
      <c r="C25" s="16"/>
      <c r="D25" s="4"/>
      <c r="E25" s="4"/>
      <c r="F25" s="4"/>
      <c r="G25" s="47"/>
      <c r="H25" s="4"/>
      <c r="I25" s="2"/>
      <c r="J25" s="4"/>
      <c r="K25" s="4"/>
      <c r="L25" s="42">
        <f>SUMIFS([1]اردیبهشت!$AF$258:$AF$408,[1]اردیبهشت!$C$258:$C$408,"قطعه تعمیری",[1]اردیبهشت!$B$258:$B$408,C25,[1]اردیبهشت!$P$258:$P$408,B25)</f>
        <v>0</v>
      </c>
      <c r="M25" s="4"/>
      <c r="N25" s="51">
        <f t="shared" si="0"/>
        <v>0</v>
      </c>
    </row>
    <row r="26" spans="1:14" ht="21" customHeight="1" x14ac:dyDescent="0.25">
      <c r="A26" s="31"/>
      <c r="B26" s="246" t="s">
        <v>30</v>
      </c>
      <c r="C26" s="131" t="s">
        <v>184</v>
      </c>
      <c r="D26" s="61" t="s">
        <v>14</v>
      </c>
      <c r="E26" s="102">
        <f>SUMIFS(E4:E25,F4:F25,D26,M4:M25,"تحویل")</f>
        <v>6</v>
      </c>
      <c r="F26" s="132"/>
      <c r="G26" s="61"/>
      <c r="H26" s="60"/>
      <c r="I26" s="246" t="s">
        <v>115</v>
      </c>
      <c r="J26" s="60" t="s">
        <v>14</v>
      </c>
      <c r="K26" s="60">
        <f>SUMIFS(E4:E25,F4:F25,J26)</f>
        <v>39</v>
      </c>
      <c r="L26" s="244">
        <f>SUM(L4:L25)</f>
        <v>112.66666666666667</v>
      </c>
      <c r="M26" s="118"/>
      <c r="N26" s="259">
        <f>SUM(N4:N25)</f>
        <v>84500000</v>
      </c>
    </row>
    <row r="27" spans="1:14" ht="21" customHeight="1" thickBot="1" x14ac:dyDescent="0.3">
      <c r="A27" s="10"/>
      <c r="B27" s="247"/>
      <c r="C27" s="129" t="s">
        <v>184</v>
      </c>
      <c r="D27" s="62" t="s">
        <v>23</v>
      </c>
      <c r="E27" s="94">
        <f>SUMIFS(E4:E25,F4:F25,D27,M4:M25,"تحویل")</f>
        <v>17</v>
      </c>
      <c r="F27" s="11"/>
      <c r="G27" s="62"/>
      <c r="H27" s="11"/>
      <c r="I27" s="247"/>
      <c r="J27" s="11" t="s">
        <v>23</v>
      </c>
      <c r="K27" s="11">
        <f>SUMIFS(E5:E25,F5:F25,J27)</f>
        <v>23</v>
      </c>
      <c r="L27" s="245"/>
      <c r="M27" s="113"/>
      <c r="N27" s="258"/>
    </row>
  </sheetData>
  <mergeCells count="5">
    <mergeCell ref="A1:K2"/>
    <mergeCell ref="B26:B27"/>
    <mergeCell ref="I26:I27"/>
    <mergeCell ref="L26:L27"/>
    <mergeCell ref="N26:N27"/>
  </mergeCells>
  <printOptions horizontalCentered="1" verticalCentered="1"/>
  <pageMargins left="0" right="0" top="0" bottom="0" header="0" footer="0"/>
  <pageSetup scale="9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E26B-CA6B-4097-9A41-5C12C076995C}">
  <sheetPr>
    <pageSetUpPr fitToPage="1"/>
  </sheetPr>
  <dimension ref="A1:N39"/>
  <sheetViews>
    <sheetView rightToLeft="1" view="pageLayout" topLeftCell="A19" zoomScaleNormal="100" workbookViewId="0">
      <selection activeCell="C34" sqref="C34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8</v>
      </c>
    </row>
    <row r="3" spans="1:14" ht="42.75" customHeight="1" thickBot="1" x14ac:dyDescent="0.3">
      <c r="A3" s="24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26">
        <v>1</v>
      </c>
      <c r="B4" s="134" t="s">
        <v>190</v>
      </c>
      <c r="C4" s="48" t="s">
        <v>189</v>
      </c>
      <c r="D4" s="48" t="s">
        <v>32</v>
      </c>
      <c r="E4" s="48">
        <v>1</v>
      </c>
      <c r="F4" s="48" t="s">
        <v>14</v>
      </c>
      <c r="G4" s="57" t="s">
        <v>21</v>
      </c>
      <c r="H4" s="49"/>
      <c r="I4" s="49"/>
      <c r="J4" s="35" t="s">
        <v>188</v>
      </c>
      <c r="K4" s="68"/>
      <c r="L4" s="145">
        <f>SUMIFS([1]اردیبهشت!$AF$409:$AF$648,[1]اردیبهشت!$C$409:$C$648,"قطعه نو",[1]اردیبهشت!$B$409:$B$648,C4,[1]اردیبهشت!$P$409:$P$648,B4)</f>
        <v>26</v>
      </c>
      <c r="M4" s="65" t="s">
        <v>37</v>
      </c>
      <c r="N4" s="69">
        <f>L4*(500000*1.5)</f>
        <v>19500000</v>
      </c>
    </row>
    <row r="5" spans="1:14" ht="28.7" customHeight="1" x14ac:dyDescent="0.25">
      <c r="A5" s="26">
        <v>2</v>
      </c>
      <c r="B5" s="29" t="s">
        <v>173</v>
      </c>
      <c r="C5" s="4" t="s">
        <v>26</v>
      </c>
      <c r="D5" s="4" t="s">
        <v>17</v>
      </c>
      <c r="E5" s="4">
        <v>20</v>
      </c>
      <c r="F5" s="4" t="s">
        <v>14</v>
      </c>
      <c r="G5" s="4" t="s">
        <v>21</v>
      </c>
      <c r="H5" s="49"/>
      <c r="I5" s="49"/>
      <c r="J5" s="5" t="s">
        <v>171</v>
      </c>
      <c r="K5" s="36"/>
      <c r="L5" s="43">
        <f>SUMIFS([1]اردیبهشت!$AF$409:$AF$648,[1]اردیبهشت!$C$409:$C$648,"قطعه نو",[1]اردیبهشت!$B$409:$B$648,C5,[1]اردیبهشت!$P$409:$P$648,B5)</f>
        <v>4</v>
      </c>
      <c r="M5" s="1" t="s">
        <v>37</v>
      </c>
      <c r="N5" s="51">
        <f t="shared" ref="N5:N37" si="0">L5*(500000*1.5)</f>
        <v>3000000</v>
      </c>
    </row>
    <row r="6" spans="1:14" ht="28.7" customHeight="1" x14ac:dyDescent="0.25">
      <c r="A6" s="26">
        <v>3</v>
      </c>
      <c r="B6" s="134" t="s">
        <v>216</v>
      </c>
      <c r="C6" s="48" t="s">
        <v>215</v>
      </c>
      <c r="D6" s="48" t="s">
        <v>32</v>
      </c>
      <c r="E6" s="48">
        <v>1</v>
      </c>
      <c r="F6" s="3" t="s">
        <v>14</v>
      </c>
      <c r="G6" s="57" t="s">
        <v>21</v>
      </c>
      <c r="H6" s="49"/>
      <c r="I6" s="49"/>
      <c r="J6" s="35" t="s">
        <v>217</v>
      </c>
      <c r="K6" s="36"/>
      <c r="L6" s="43">
        <f>SUMIFS([1]اردیبهشت!$AF$409:$AF$648,[1]اردیبهشت!$C$409:$C$648,"قطعه نو",[1]اردیبهشت!$B$409:$B$648,C6,[1]اردیبهشت!$P$409:$P$648,B6)</f>
        <v>40</v>
      </c>
      <c r="M6" s="1" t="s">
        <v>37</v>
      </c>
      <c r="N6" s="51">
        <f t="shared" si="0"/>
        <v>30000000</v>
      </c>
    </row>
    <row r="7" spans="1:14" ht="28.7" customHeight="1" x14ac:dyDescent="0.25">
      <c r="A7" s="26">
        <v>4</v>
      </c>
      <c r="B7" s="29" t="s">
        <v>227</v>
      </c>
      <c r="C7" s="4" t="s">
        <v>31</v>
      </c>
      <c r="D7" s="48" t="s">
        <v>32</v>
      </c>
      <c r="E7" s="4">
        <v>300</v>
      </c>
      <c r="F7" s="3" t="s">
        <v>14</v>
      </c>
      <c r="G7" s="57" t="s">
        <v>21</v>
      </c>
      <c r="H7" s="2" t="s">
        <v>228</v>
      </c>
      <c r="I7" s="2"/>
      <c r="J7" s="35" t="s">
        <v>229</v>
      </c>
      <c r="K7" s="36"/>
      <c r="L7" s="43">
        <f>SUMIFS([1]اردیبهشت!$AF$409:$AF$648,[1]اردیبهشت!$C$409:$C$648,"قطعه نو",[1]اردیبهشت!$B$409:$B$648,C7,[1]اردیبهشت!$P$409:$P$648,B7)</f>
        <v>6</v>
      </c>
      <c r="M7" s="50" t="s">
        <v>37</v>
      </c>
      <c r="N7" s="51">
        <f t="shared" si="0"/>
        <v>4500000</v>
      </c>
    </row>
    <row r="8" spans="1:14" ht="28.7" customHeight="1" x14ac:dyDescent="0.25">
      <c r="A8" s="26">
        <v>5</v>
      </c>
      <c r="B8" s="29" t="s">
        <v>55</v>
      </c>
      <c r="C8" s="4" t="s">
        <v>25</v>
      </c>
      <c r="D8" s="48" t="s">
        <v>32</v>
      </c>
      <c r="E8" s="91">
        <v>1</v>
      </c>
      <c r="F8" s="3" t="s">
        <v>14</v>
      </c>
      <c r="G8" s="47" t="s">
        <v>21</v>
      </c>
      <c r="H8" s="2"/>
      <c r="I8" s="21"/>
      <c r="J8" s="6" t="s">
        <v>231</v>
      </c>
      <c r="K8" s="36"/>
      <c r="L8" s="43">
        <f>SUMIFS([1]اردیبهشت!$AF$409:$AF$648,[1]اردیبهشت!$C$409:$C$648,"قطعه نو",[1]اردیبهشت!$B$409:$B$648,C8,[1]اردیبهشت!$P$409:$P$648,B8)</f>
        <v>4</v>
      </c>
      <c r="M8" s="1" t="s">
        <v>20</v>
      </c>
      <c r="N8" s="51">
        <f t="shared" si="0"/>
        <v>3000000</v>
      </c>
    </row>
    <row r="9" spans="1:14" ht="28.7" customHeight="1" x14ac:dyDescent="0.25">
      <c r="A9" s="26">
        <v>6</v>
      </c>
      <c r="B9" s="29" t="s">
        <v>85</v>
      </c>
      <c r="C9" s="4" t="s">
        <v>25</v>
      </c>
      <c r="D9" s="48" t="s">
        <v>17</v>
      </c>
      <c r="E9" s="4">
        <v>1</v>
      </c>
      <c r="F9" s="3" t="s">
        <v>14</v>
      </c>
      <c r="G9" s="4" t="s">
        <v>230</v>
      </c>
      <c r="H9" s="49">
        <v>14589</v>
      </c>
      <c r="I9" s="49">
        <v>2063</v>
      </c>
      <c r="J9" s="5" t="s">
        <v>232</v>
      </c>
      <c r="K9" s="36"/>
      <c r="L9" s="43">
        <f>SUMIFS([1]اردیبهشت!$AF$409:$AF$648,[1]اردیبهشت!$C$409:$C$648,"قطعه نو",[1]اردیبهشت!$B$409:$B$648,C9,[1]اردیبهشت!$P$409:$P$648,B9)</f>
        <v>6</v>
      </c>
      <c r="M9" s="1" t="s">
        <v>37</v>
      </c>
      <c r="N9" s="51">
        <f t="shared" si="0"/>
        <v>4500000</v>
      </c>
    </row>
    <row r="10" spans="1:14" ht="28.7" customHeight="1" x14ac:dyDescent="0.25">
      <c r="A10" s="26">
        <v>7</v>
      </c>
      <c r="B10" s="134" t="s">
        <v>65</v>
      </c>
      <c r="C10" s="48" t="s">
        <v>88</v>
      </c>
      <c r="D10" s="48" t="s">
        <v>236</v>
      </c>
      <c r="E10" s="48">
        <v>60</v>
      </c>
      <c r="F10" s="48" t="s">
        <v>14</v>
      </c>
      <c r="G10" s="57" t="s">
        <v>21</v>
      </c>
      <c r="H10" s="2"/>
      <c r="I10" s="49"/>
      <c r="J10" s="6" t="s">
        <v>110</v>
      </c>
      <c r="K10" s="36"/>
      <c r="L10" s="43">
        <f>SUMIFS([1]اردیبهشت!$AF$409:$AF$648,[1]اردیبهشت!$C$409:$C$648,"قطعه نو",[1]اردیبهشت!$B$409:$B$648,C10,[1]اردیبهشت!$P$409:$P$648,B10)</f>
        <v>50</v>
      </c>
      <c r="M10" s="1" t="s">
        <v>37</v>
      </c>
      <c r="N10" s="51">
        <f t="shared" si="0"/>
        <v>37500000</v>
      </c>
    </row>
    <row r="11" spans="1:14" ht="28.7" customHeight="1" x14ac:dyDescent="0.25">
      <c r="A11" s="26">
        <v>8</v>
      </c>
      <c r="B11" s="134" t="s">
        <v>85</v>
      </c>
      <c r="C11" s="4" t="s">
        <v>48</v>
      </c>
      <c r="D11" s="48" t="s">
        <v>236</v>
      </c>
      <c r="E11" s="48">
        <v>1</v>
      </c>
      <c r="F11" s="48" t="s">
        <v>14</v>
      </c>
      <c r="G11" s="57" t="s">
        <v>21</v>
      </c>
      <c r="H11" s="49">
        <v>15670</v>
      </c>
      <c r="I11" s="49"/>
      <c r="J11" s="35" t="s">
        <v>110</v>
      </c>
      <c r="K11" s="36" t="s">
        <v>237</v>
      </c>
      <c r="L11" s="43">
        <f>SUMIFS([1]اردیبهشت!$AF$409:$AF$648,[1]اردیبهشت!$C$409:$C$648,"قطعه نو",[1]اردیبهشت!$B$409:$B$648,C11,[1]اردیبهشت!$P$409:$P$648,B11)</f>
        <v>2</v>
      </c>
      <c r="M11" s="1" t="s">
        <v>20</v>
      </c>
      <c r="N11" s="51">
        <f t="shared" si="0"/>
        <v>1500000</v>
      </c>
    </row>
    <row r="12" spans="1:14" ht="28.7" customHeight="1" x14ac:dyDescent="0.25">
      <c r="A12" s="26">
        <v>9</v>
      </c>
      <c r="B12" s="134" t="s">
        <v>233</v>
      </c>
      <c r="C12" s="4" t="s">
        <v>48</v>
      </c>
      <c r="D12" s="48" t="s">
        <v>236</v>
      </c>
      <c r="E12" s="48">
        <v>1</v>
      </c>
      <c r="F12" s="48" t="s">
        <v>14</v>
      </c>
      <c r="G12" s="57" t="s">
        <v>21</v>
      </c>
      <c r="H12" s="49">
        <v>15670</v>
      </c>
      <c r="I12" s="49"/>
      <c r="J12" s="35" t="s">
        <v>110</v>
      </c>
      <c r="K12" s="36" t="s">
        <v>237</v>
      </c>
      <c r="L12" s="43">
        <f>SUMIFS([1]اردیبهشت!$AF$409:$AF$648,[1]اردیبهشت!$C$409:$C$648,"قطعه نو",[1]اردیبهشت!$B$409:$B$648,C12,[1]اردیبهشت!$P$409:$P$648,B12)</f>
        <v>3</v>
      </c>
      <c r="M12" s="1" t="s">
        <v>20</v>
      </c>
      <c r="N12" s="51">
        <f t="shared" si="0"/>
        <v>2250000</v>
      </c>
    </row>
    <row r="13" spans="1:14" ht="28.7" customHeight="1" x14ac:dyDescent="0.25">
      <c r="A13" s="26">
        <v>10</v>
      </c>
      <c r="B13" s="29" t="s">
        <v>234</v>
      </c>
      <c r="C13" s="4" t="s">
        <v>48</v>
      </c>
      <c r="D13" s="48" t="s">
        <v>236</v>
      </c>
      <c r="E13" s="48">
        <v>1</v>
      </c>
      <c r="F13" s="48" t="s">
        <v>14</v>
      </c>
      <c r="G13" s="57" t="s">
        <v>21</v>
      </c>
      <c r="H13" s="49">
        <v>15670</v>
      </c>
      <c r="I13" s="49"/>
      <c r="J13" s="35" t="s">
        <v>110</v>
      </c>
      <c r="K13" s="36" t="s">
        <v>237</v>
      </c>
      <c r="L13" s="43">
        <f>SUMIFS([1]اردیبهشت!$AF$409:$AF$648,[1]اردیبهشت!$C$409:$C$648,"قطعه نو",[1]اردیبهشت!$B$409:$B$648,C13,[1]اردیبهشت!$P$409:$P$648,B13)</f>
        <v>4</v>
      </c>
      <c r="M13" s="1" t="s">
        <v>20</v>
      </c>
      <c r="N13" s="51">
        <f t="shared" si="0"/>
        <v>3000000</v>
      </c>
    </row>
    <row r="14" spans="1:14" ht="28.7" customHeight="1" x14ac:dyDescent="0.25">
      <c r="A14" s="26">
        <v>11</v>
      </c>
      <c r="B14" s="134" t="s">
        <v>235</v>
      </c>
      <c r="C14" s="4" t="s">
        <v>48</v>
      </c>
      <c r="D14" s="48" t="s">
        <v>236</v>
      </c>
      <c r="E14" s="48">
        <v>1</v>
      </c>
      <c r="F14" s="48" t="s">
        <v>14</v>
      </c>
      <c r="G14" s="57" t="s">
        <v>21</v>
      </c>
      <c r="H14" s="49">
        <v>15670</v>
      </c>
      <c r="I14" s="49"/>
      <c r="J14" s="35" t="s">
        <v>110</v>
      </c>
      <c r="K14" s="36" t="s">
        <v>237</v>
      </c>
      <c r="L14" s="43">
        <f>SUMIFS([1]اردیبهشت!$AF$409:$AF$648,[1]اردیبهشت!$C$409:$C$648,"قطعه نو",[1]اردیبهشت!$B$409:$B$648,C14,[1]اردیبهشت!$P$409:$P$648,B14)</f>
        <v>8</v>
      </c>
      <c r="M14" s="1" t="s">
        <v>20</v>
      </c>
      <c r="N14" s="51">
        <f t="shared" si="0"/>
        <v>6000000</v>
      </c>
    </row>
    <row r="15" spans="1:14" ht="28.7" customHeight="1" x14ac:dyDescent="0.25">
      <c r="A15" s="26">
        <v>12</v>
      </c>
      <c r="B15" s="134" t="s">
        <v>239</v>
      </c>
      <c r="C15" s="48" t="s">
        <v>238</v>
      </c>
      <c r="D15" s="48" t="s">
        <v>32</v>
      </c>
      <c r="E15" s="48">
        <v>1</v>
      </c>
      <c r="F15" s="48" t="s">
        <v>14</v>
      </c>
      <c r="G15" s="57" t="s">
        <v>21</v>
      </c>
      <c r="H15" s="49"/>
      <c r="I15" s="49"/>
      <c r="J15" s="35" t="s">
        <v>237</v>
      </c>
      <c r="K15" s="36"/>
      <c r="L15" s="43">
        <f>SUMIFS([1]اردیبهشت!$AF$409:$AF$648,[1]اردیبهشت!$C$409:$C$648,"قطعه نو",[1]اردیبهشت!$B$409:$B$648,C15,[1]اردیبهشت!$P$409:$P$648,B15)</f>
        <v>7</v>
      </c>
      <c r="M15" s="1" t="s">
        <v>37</v>
      </c>
      <c r="N15" s="51">
        <f t="shared" si="0"/>
        <v>5250000</v>
      </c>
    </row>
    <row r="16" spans="1:14" ht="28.7" customHeight="1" x14ac:dyDescent="0.25">
      <c r="A16" s="26">
        <v>13</v>
      </c>
      <c r="B16" s="134" t="s">
        <v>212</v>
      </c>
      <c r="C16" s="48" t="s">
        <v>240</v>
      </c>
      <c r="D16" s="48" t="s">
        <v>236</v>
      </c>
      <c r="E16" s="48">
        <v>2</v>
      </c>
      <c r="F16" s="48" t="s">
        <v>14</v>
      </c>
      <c r="G16" s="57" t="s">
        <v>21</v>
      </c>
      <c r="H16" s="49"/>
      <c r="I16" s="49"/>
      <c r="J16" s="35" t="s">
        <v>241</v>
      </c>
      <c r="K16" s="36" t="s">
        <v>237</v>
      </c>
      <c r="L16" s="43">
        <f>SUMIFS([1]اردیبهشت!$AF$409:$AF$648,[1]اردیبهشت!$C$409:$C$648,"قطعه نو",[1]اردیبهشت!$B$409:$B$648,C16,[1]اردیبهشت!$P$409:$P$648,B16)</f>
        <v>2</v>
      </c>
      <c r="M16" s="1" t="s">
        <v>20</v>
      </c>
      <c r="N16" s="51">
        <f t="shared" si="0"/>
        <v>1500000</v>
      </c>
    </row>
    <row r="17" spans="1:14" ht="28.7" customHeight="1" x14ac:dyDescent="0.25">
      <c r="A17" s="26">
        <v>14</v>
      </c>
      <c r="B17" s="134" t="s">
        <v>242</v>
      </c>
      <c r="C17" s="48" t="s">
        <v>142</v>
      </c>
      <c r="D17" s="47" t="s">
        <v>17</v>
      </c>
      <c r="E17" s="91">
        <v>2</v>
      </c>
      <c r="F17" s="4" t="s">
        <v>14</v>
      </c>
      <c r="G17" s="47" t="s">
        <v>144</v>
      </c>
      <c r="H17" s="2">
        <v>15413</v>
      </c>
      <c r="I17" s="21" t="s">
        <v>145</v>
      </c>
      <c r="J17" s="35" t="s">
        <v>217</v>
      </c>
      <c r="K17" s="35" t="s">
        <v>237</v>
      </c>
      <c r="L17" s="43">
        <f>SUMIFS([1]اردیبهشت!$AF$409:$AF$648,[1]اردیبهشت!$C$409:$C$648,"قطعه نو",[1]اردیبهشت!$B$409:$B$648,C17,[1]اردیبهشت!$P$409:$P$648,B17)</f>
        <v>1</v>
      </c>
      <c r="M17" s="1" t="s">
        <v>20</v>
      </c>
      <c r="N17" s="51">
        <f t="shared" si="0"/>
        <v>750000</v>
      </c>
    </row>
    <row r="18" spans="1:14" ht="28.7" customHeight="1" x14ac:dyDescent="0.25">
      <c r="A18" s="26">
        <v>15</v>
      </c>
      <c r="B18" s="29" t="s">
        <v>243</v>
      </c>
      <c r="C18" s="48" t="s">
        <v>174</v>
      </c>
      <c r="D18" s="48" t="s">
        <v>32</v>
      </c>
      <c r="E18" s="4">
        <v>1</v>
      </c>
      <c r="F18" s="4" t="s">
        <v>14</v>
      </c>
      <c r="G18" s="4" t="s">
        <v>21</v>
      </c>
      <c r="H18" s="49"/>
      <c r="I18" s="49"/>
      <c r="J18" s="5" t="s">
        <v>110</v>
      </c>
      <c r="K18" s="35" t="s">
        <v>237</v>
      </c>
      <c r="L18" s="43">
        <f>SUMIFS([1]اردیبهشت!$AF$409:$AF$648,[1]اردیبهشت!$C$409:$C$648,"قطعه نو",[1]اردیبهشت!$B$409:$B$648,C18,[1]اردیبهشت!$P$409:$P$648,B18)</f>
        <v>9</v>
      </c>
      <c r="M18" s="1" t="s">
        <v>20</v>
      </c>
      <c r="N18" s="51">
        <f t="shared" si="0"/>
        <v>6750000</v>
      </c>
    </row>
    <row r="19" spans="1:14" ht="28.7" customHeight="1" x14ac:dyDescent="0.25">
      <c r="A19" s="26">
        <v>16</v>
      </c>
      <c r="B19" s="134" t="s">
        <v>216</v>
      </c>
      <c r="C19" s="48" t="s">
        <v>215</v>
      </c>
      <c r="D19" s="48" t="s">
        <v>32</v>
      </c>
      <c r="E19" s="48">
        <v>1</v>
      </c>
      <c r="F19" s="48" t="s">
        <v>14</v>
      </c>
      <c r="G19" s="57" t="s">
        <v>21</v>
      </c>
      <c r="H19" s="49"/>
      <c r="I19" s="49"/>
      <c r="J19" s="35" t="s">
        <v>244</v>
      </c>
      <c r="K19" s="36"/>
      <c r="L19" s="43">
        <f>SUMIFS([1]اردیبهشت!$AF$409:$AF$648,[1]اردیبهشت!$C$409:$C$648,"قطعه نو",[1]اردیبهشت!$B$409:$B$648,C19,[1]اردیبهشت!$P$409:$P$648,B19)</f>
        <v>40</v>
      </c>
      <c r="M19" s="1" t="s">
        <v>37</v>
      </c>
      <c r="N19" s="51">
        <f t="shared" si="0"/>
        <v>30000000</v>
      </c>
    </row>
    <row r="20" spans="1:14" ht="28.7" customHeight="1" x14ac:dyDescent="0.25">
      <c r="A20" s="26">
        <v>17</v>
      </c>
      <c r="B20" s="59" t="s">
        <v>89</v>
      </c>
      <c r="C20" s="21" t="s">
        <v>27</v>
      </c>
      <c r="D20" s="47" t="s">
        <v>17</v>
      </c>
      <c r="E20" s="1">
        <v>1</v>
      </c>
      <c r="F20" s="48" t="s">
        <v>14</v>
      </c>
      <c r="G20" s="57" t="s">
        <v>21</v>
      </c>
      <c r="H20" s="1"/>
      <c r="I20" s="3"/>
      <c r="J20" s="35" t="s">
        <v>241</v>
      </c>
      <c r="K20" s="35" t="s">
        <v>237</v>
      </c>
      <c r="L20" s="43">
        <f>SUMIFS([1]اردیبهشت!$AF$409:$AF$648,[1]اردیبهشت!$C$409:$C$648,"قطعه نو",[1]اردیبهشت!$B$409:$B$648,C20,[1]اردیبهشت!$P$409:$P$648,B20)</f>
        <v>6.5</v>
      </c>
      <c r="M20" s="1" t="s">
        <v>20</v>
      </c>
      <c r="N20" s="51">
        <f t="shared" si="0"/>
        <v>4875000</v>
      </c>
    </row>
    <row r="21" spans="1:14" ht="28.7" customHeight="1" thickBot="1" x14ac:dyDescent="0.3">
      <c r="A21" s="26">
        <v>18</v>
      </c>
      <c r="B21" s="146" t="s">
        <v>194</v>
      </c>
      <c r="C21" s="147" t="s">
        <v>27</v>
      </c>
      <c r="D21" s="58" t="s">
        <v>17</v>
      </c>
      <c r="E21" s="148">
        <v>1</v>
      </c>
      <c r="F21" s="149" t="s">
        <v>14</v>
      </c>
      <c r="G21" s="150" t="s">
        <v>21</v>
      </c>
      <c r="H21" s="46"/>
      <c r="I21" s="46"/>
      <c r="J21" s="151" t="s">
        <v>241</v>
      </c>
      <c r="K21" s="151" t="s">
        <v>237</v>
      </c>
      <c r="L21" s="152">
        <f>SUMIFS([1]اردیبهشت!$AF$409:$AF$648,[1]اردیبهشت!$C$409:$C$648,"قطعه نو",[1]اردیبهشت!$B$409:$B$648,C21,[1]اردیبهشت!$P$409:$P$648,B21)</f>
        <v>1.5</v>
      </c>
      <c r="M21" s="148" t="s">
        <v>20</v>
      </c>
      <c r="N21" s="153">
        <f t="shared" si="0"/>
        <v>1125000</v>
      </c>
    </row>
    <row r="22" spans="1:14" ht="28.7" customHeight="1" x14ac:dyDescent="0.25">
      <c r="A22" s="26">
        <v>19</v>
      </c>
      <c r="B22" s="154" t="s">
        <v>245</v>
      </c>
      <c r="C22" s="155" t="s">
        <v>27</v>
      </c>
      <c r="D22" s="67" t="s">
        <v>17</v>
      </c>
      <c r="E22" s="65">
        <v>1</v>
      </c>
      <c r="F22" s="66" t="s">
        <v>14</v>
      </c>
      <c r="G22" s="67" t="s">
        <v>21</v>
      </c>
      <c r="H22" s="73">
        <v>15592</v>
      </c>
      <c r="I22" s="73"/>
      <c r="J22" s="156" t="s">
        <v>241</v>
      </c>
      <c r="K22" s="156" t="s">
        <v>237</v>
      </c>
      <c r="L22" s="145">
        <f>SUMIFS([1]اردیبهشت!$AF$409:$AF$648,[1]اردیبهشت!$C$409:$C$648,"قطعه نو",[1]اردیبهشت!$B$409:$B$648,C22,[1]اردیبهشت!$P$409:$P$648,B22)</f>
        <v>7.5</v>
      </c>
      <c r="M22" s="65" t="s">
        <v>20</v>
      </c>
      <c r="N22" s="69">
        <f t="shared" si="0"/>
        <v>5625000</v>
      </c>
    </row>
    <row r="23" spans="1:14" ht="28.7" customHeight="1" x14ac:dyDescent="0.25">
      <c r="A23" s="26">
        <v>20</v>
      </c>
      <c r="B23" s="59" t="s">
        <v>220</v>
      </c>
      <c r="C23" s="21" t="s">
        <v>31</v>
      </c>
      <c r="D23" s="48" t="s">
        <v>32</v>
      </c>
      <c r="E23" s="1">
        <v>2</v>
      </c>
      <c r="F23" s="48" t="s">
        <v>23</v>
      </c>
      <c r="G23" s="57" t="s">
        <v>18</v>
      </c>
      <c r="H23" s="2"/>
      <c r="I23" s="2"/>
      <c r="J23" s="35" t="s">
        <v>241</v>
      </c>
      <c r="K23" s="35" t="s">
        <v>244</v>
      </c>
      <c r="L23" s="43">
        <f>SUMIFS([1]اردیبهشت!$AF$409:$AF$648,[1]اردیبهشت!$C$409:$C$648,"قطعه تعمیری",[1]اردیبهشت!$B$409:$B$648,C23,[1]اردیبهشت!$P$409:$P$648,B23)</f>
        <v>1.5</v>
      </c>
      <c r="M23" s="1" t="s">
        <v>20</v>
      </c>
      <c r="N23" s="161">
        <f t="shared" si="0"/>
        <v>1125000</v>
      </c>
    </row>
    <row r="24" spans="1:14" ht="28.7" customHeight="1" x14ac:dyDescent="0.25">
      <c r="A24" s="26">
        <v>21</v>
      </c>
      <c r="B24" s="59" t="s">
        <v>85</v>
      </c>
      <c r="C24" s="21" t="s">
        <v>222</v>
      </c>
      <c r="D24" s="47" t="s">
        <v>236</v>
      </c>
      <c r="E24" s="1">
        <v>1</v>
      </c>
      <c r="F24" s="48" t="s">
        <v>23</v>
      </c>
      <c r="G24" s="57" t="s">
        <v>18</v>
      </c>
      <c r="H24" s="2">
        <v>15591</v>
      </c>
      <c r="I24" s="2"/>
      <c r="J24" s="35" t="s">
        <v>110</v>
      </c>
      <c r="K24" s="35" t="s">
        <v>241</v>
      </c>
      <c r="L24" s="43">
        <f>SUMIFS([1]اردیبهشت!$AF$409:$AF$648,[1]اردیبهشت!$C$409:$C$648,"قطعه تعمیری",[1]اردیبهشت!$B$409:$B$648,C24,[1]اردیبهشت!$P$409:$P$648,B24)</f>
        <v>1</v>
      </c>
      <c r="M24" s="1" t="s">
        <v>20</v>
      </c>
      <c r="N24" s="161">
        <f t="shared" si="0"/>
        <v>750000</v>
      </c>
    </row>
    <row r="25" spans="1:14" ht="28.7" customHeight="1" x14ac:dyDescent="0.25">
      <c r="A25" s="26">
        <v>22</v>
      </c>
      <c r="B25" s="59" t="s">
        <v>242</v>
      </c>
      <c r="C25" s="21" t="s">
        <v>24</v>
      </c>
      <c r="D25" s="47" t="s">
        <v>17</v>
      </c>
      <c r="E25" s="1">
        <v>1</v>
      </c>
      <c r="F25" s="48" t="s">
        <v>23</v>
      </c>
      <c r="G25" s="57" t="s">
        <v>18</v>
      </c>
      <c r="H25" s="2">
        <v>15687</v>
      </c>
      <c r="I25" s="2"/>
      <c r="J25" s="35" t="s">
        <v>232</v>
      </c>
      <c r="K25" s="35" t="s">
        <v>237</v>
      </c>
      <c r="L25" s="43">
        <f>SUMIFS([1]اردیبهشت!$AF$409:$AF$648,[1]اردیبهشت!$C$409:$C$648,"قطعه تعمیری",[1]اردیبهشت!$B$409:$B$648,C25,[1]اردیبهشت!$P$409:$P$648,"*")</f>
        <v>3</v>
      </c>
      <c r="M25" s="1" t="s">
        <v>20</v>
      </c>
      <c r="N25" s="161">
        <f t="shared" si="0"/>
        <v>2250000</v>
      </c>
    </row>
    <row r="26" spans="1:14" ht="28.7" customHeight="1" x14ac:dyDescent="0.25">
      <c r="A26" s="26">
        <v>23</v>
      </c>
      <c r="B26" s="59" t="s">
        <v>89</v>
      </c>
      <c r="C26" s="21" t="s">
        <v>224</v>
      </c>
      <c r="D26" s="48" t="s">
        <v>32</v>
      </c>
      <c r="E26" s="1">
        <v>1</v>
      </c>
      <c r="F26" s="48" t="s">
        <v>23</v>
      </c>
      <c r="G26" s="57" t="s">
        <v>18</v>
      </c>
      <c r="H26" s="2"/>
      <c r="I26" s="2"/>
      <c r="J26" s="35" t="s">
        <v>232</v>
      </c>
      <c r="K26" s="35" t="s">
        <v>232</v>
      </c>
      <c r="L26" s="43">
        <f>SUMIFS([1]اردیبهشت!$AF$409:$AF$648,[1]اردیبهشت!$C$409:$C$648,"قطعه تعمیری",[1]اردیبهشت!$B$409:$B$648,C26,[1]اردیبهشت!$P$409:$P$648,B26)</f>
        <v>1</v>
      </c>
      <c r="M26" s="1" t="s">
        <v>20</v>
      </c>
      <c r="N26" s="161">
        <f t="shared" si="0"/>
        <v>750000</v>
      </c>
    </row>
    <row r="27" spans="1:14" ht="28.7" customHeight="1" x14ac:dyDescent="0.25">
      <c r="A27" s="26">
        <v>24</v>
      </c>
      <c r="B27" s="59" t="s">
        <v>13</v>
      </c>
      <c r="C27" s="21" t="s">
        <v>246</v>
      </c>
      <c r="D27" s="47" t="s">
        <v>29</v>
      </c>
      <c r="E27" s="1">
        <v>20</v>
      </c>
      <c r="F27" s="48" t="s">
        <v>23</v>
      </c>
      <c r="G27" s="57" t="s">
        <v>18</v>
      </c>
      <c r="H27" s="2"/>
      <c r="I27" s="2"/>
      <c r="J27" s="35" t="s">
        <v>244</v>
      </c>
      <c r="K27" s="35" t="s">
        <v>231</v>
      </c>
      <c r="L27" s="43">
        <f>SUMIFS([1]اردیبهشت!$AF$409:$AF$648,[1]اردیبهشت!$C$409:$C$648,"قطعه تعمیری",[1]اردیبهشت!$B$409:$B$648,C27,[1]اردیبهشت!$P$409:$P$648,B27)</f>
        <v>5</v>
      </c>
      <c r="M27" s="1" t="s">
        <v>20</v>
      </c>
      <c r="N27" s="161">
        <f t="shared" si="0"/>
        <v>3750000</v>
      </c>
    </row>
    <row r="28" spans="1:14" ht="28.7" customHeight="1" x14ac:dyDescent="0.25">
      <c r="A28" s="26">
        <v>25</v>
      </c>
      <c r="B28" s="59" t="s">
        <v>247</v>
      </c>
      <c r="C28" s="21" t="s">
        <v>56</v>
      </c>
      <c r="D28" s="48" t="s">
        <v>32</v>
      </c>
      <c r="E28" s="1">
        <v>1</v>
      </c>
      <c r="F28" s="48" t="s">
        <v>23</v>
      </c>
      <c r="G28" s="57" t="s">
        <v>18</v>
      </c>
      <c r="H28" s="2">
        <v>15681</v>
      </c>
      <c r="I28" s="2"/>
      <c r="J28" s="35" t="s">
        <v>244</v>
      </c>
      <c r="K28" s="35" t="s">
        <v>231</v>
      </c>
      <c r="L28" s="43">
        <f>SUMIFS([1]اردیبهشت!$AF$409:$AF$648,[1]اردیبهشت!$C$409:$C$648,"قطعه تعمیری",[1]اردیبهشت!$B$409:$B$648,C28,[1]اردیبهشت!$P$409:$P$648,B28)</f>
        <v>11</v>
      </c>
      <c r="M28" s="1" t="s">
        <v>20</v>
      </c>
      <c r="N28" s="161">
        <f t="shared" si="0"/>
        <v>8250000</v>
      </c>
    </row>
    <row r="29" spans="1:14" ht="28.7" customHeight="1" x14ac:dyDescent="0.25">
      <c r="A29" s="26">
        <v>26</v>
      </c>
      <c r="B29" s="59" t="s">
        <v>64</v>
      </c>
      <c r="C29" s="21" t="s">
        <v>248</v>
      </c>
      <c r="D29" s="47" t="s">
        <v>17</v>
      </c>
      <c r="E29" s="1">
        <v>2</v>
      </c>
      <c r="F29" s="48" t="s">
        <v>23</v>
      </c>
      <c r="G29" s="57" t="s">
        <v>18</v>
      </c>
      <c r="H29" s="21" t="s">
        <v>249</v>
      </c>
      <c r="I29" s="2">
        <v>2904</v>
      </c>
      <c r="J29" s="35" t="s">
        <v>110</v>
      </c>
      <c r="K29" s="35" t="s">
        <v>237</v>
      </c>
      <c r="L29" s="43">
        <f>SUMIFS([1]اردیبهشت!$AF$409:$AF$648,[1]اردیبهشت!$C$409:$C$648,"قطعه تعمیری",[1]اردیبهشت!$B$409:$B$648,C29,[1]اردیبهشت!$P$409:$P$648,B29)</f>
        <v>15.5</v>
      </c>
      <c r="M29" s="1" t="s">
        <v>37</v>
      </c>
      <c r="N29" s="161">
        <f t="shared" si="0"/>
        <v>11625000</v>
      </c>
    </row>
    <row r="30" spans="1:14" ht="28.7" customHeight="1" x14ac:dyDescent="0.25">
      <c r="A30" s="26">
        <v>27</v>
      </c>
      <c r="B30" s="59" t="s">
        <v>39</v>
      </c>
      <c r="C30" s="21" t="s">
        <v>22</v>
      </c>
      <c r="D30" s="48" t="s">
        <v>32</v>
      </c>
      <c r="E30" s="1">
        <v>10</v>
      </c>
      <c r="F30" s="48" t="s">
        <v>23</v>
      </c>
      <c r="G30" s="57" t="s">
        <v>18</v>
      </c>
      <c r="H30" s="2"/>
      <c r="I30" s="2"/>
      <c r="J30" s="35" t="s">
        <v>110</v>
      </c>
      <c r="K30" s="35" t="s">
        <v>232</v>
      </c>
      <c r="L30" s="43">
        <f>SUMIFS([1]اردیبهشت!$AF$409:$AF$648,[1]اردیبهشت!$C$409:$C$648,"قطعه تعمیری",[1]اردیبهشت!$B$409:$B$648,C30,[1]اردیبهشت!$P$409:$P$648,B30)</f>
        <v>5</v>
      </c>
      <c r="M30" s="1" t="s">
        <v>20</v>
      </c>
      <c r="N30" s="161">
        <f t="shared" si="0"/>
        <v>3750000</v>
      </c>
    </row>
    <row r="31" spans="1:14" ht="28.7" customHeight="1" x14ac:dyDescent="0.25">
      <c r="A31" s="26">
        <v>28</v>
      </c>
      <c r="B31" s="59" t="s">
        <v>42</v>
      </c>
      <c r="C31" s="21" t="s">
        <v>250</v>
      </c>
      <c r="D31" s="47" t="s">
        <v>29</v>
      </c>
      <c r="E31" s="1">
        <v>1</v>
      </c>
      <c r="F31" s="48" t="s">
        <v>23</v>
      </c>
      <c r="G31" s="57" t="s">
        <v>18</v>
      </c>
      <c r="H31" s="2"/>
      <c r="I31" s="2"/>
      <c r="J31" s="35" t="s">
        <v>110</v>
      </c>
      <c r="K31" s="35" t="s">
        <v>110</v>
      </c>
      <c r="L31" s="43">
        <f>SUMIFS([1]اردیبهشت!$AF$409:$AF$648,[1]اردیبهشت!$C$409:$C$648,"قطعه تعمیری",[1]اردیبهشت!$B$409:$B$648,C31,[1]اردیبهشت!$P$409:$P$648,B31)</f>
        <v>2</v>
      </c>
      <c r="M31" s="1" t="s">
        <v>20</v>
      </c>
      <c r="N31" s="161">
        <f t="shared" si="0"/>
        <v>1500000</v>
      </c>
    </row>
    <row r="32" spans="1:14" ht="28.7" customHeight="1" x14ac:dyDescent="0.25">
      <c r="A32" s="26">
        <v>29</v>
      </c>
      <c r="B32" s="59" t="s">
        <v>42</v>
      </c>
      <c r="C32" s="21" t="s">
        <v>251</v>
      </c>
      <c r="D32" s="47" t="s">
        <v>29</v>
      </c>
      <c r="E32" s="1">
        <v>1</v>
      </c>
      <c r="F32" s="48" t="s">
        <v>23</v>
      </c>
      <c r="G32" s="57" t="s">
        <v>18</v>
      </c>
      <c r="H32" s="2"/>
      <c r="I32" s="2"/>
      <c r="J32" s="35" t="s">
        <v>110</v>
      </c>
      <c r="K32" s="35" t="s">
        <v>110</v>
      </c>
      <c r="L32" s="43">
        <f>SUMIFS([1]اردیبهشت!$AF$409:$AF$648,[1]اردیبهشت!$C$409:$C$648,"قطعه تعمیری",[1]اردیبهشت!$B$409:$B$648,C32,[1]اردیبهشت!$P$409:$P$648,B32)</f>
        <v>2</v>
      </c>
      <c r="M32" s="1" t="s">
        <v>20</v>
      </c>
      <c r="N32" s="161">
        <f t="shared" si="0"/>
        <v>1500000</v>
      </c>
    </row>
    <row r="33" spans="1:14" ht="28.7" customHeight="1" x14ac:dyDescent="0.25">
      <c r="A33" s="26">
        <v>30</v>
      </c>
      <c r="B33" s="59" t="s">
        <v>253</v>
      </c>
      <c r="C33" s="21" t="s">
        <v>252</v>
      </c>
      <c r="D33" s="48" t="s">
        <v>32</v>
      </c>
      <c r="E33" s="1">
        <v>2</v>
      </c>
      <c r="F33" s="48" t="s">
        <v>23</v>
      </c>
      <c r="G33" s="57" t="s">
        <v>18</v>
      </c>
      <c r="H33" s="2"/>
      <c r="I33" s="2"/>
      <c r="J33" s="35" t="s">
        <v>231</v>
      </c>
      <c r="K33" s="35" t="s">
        <v>232</v>
      </c>
      <c r="L33" s="43">
        <f>SUMIFS([1]اردیبهشت!$AF$409:$AF$648,[1]اردیبهشت!$C$409:$C$648,"قطعه تعمیری",[1]اردیبهشت!$B$409:$B$648,C33,[1]اردیبهشت!$P$409:$P$648,"*")</f>
        <v>4.5</v>
      </c>
      <c r="M33" s="1" t="s">
        <v>20</v>
      </c>
      <c r="N33" s="161">
        <f t="shared" si="0"/>
        <v>3375000</v>
      </c>
    </row>
    <row r="34" spans="1:14" ht="28.7" customHeight="1" x14ac:dyDescent="0.25">
      <c r="A34" s="26">
        <v>31</v>
      </c>
      <c r="B34" s="59" t="s">
        <v>53</v>
      </c>
      <c r="C34" s="21" t="s">
        <v>254</v>
      </c>
      <c r="D34" s="48" t="s">
        <v>32</v>
      </c>
      <c r="E34" s="1">
        <v>4</v>
      </c>
      <c r="F34" s="48" t="s">
        <v>23</v>
      </c>
      <c r="G34" s="57" t="s">
        <v>18</v>
      </c>
      <c r="H34" s="2"/>
      <c r="I34" s="2"/>
      <c r="J34" s="35" t="s">
        <v>231</v>
      </c>
      <c r="K34" s="35" t="s">
        <v>231</v>
      </c>
      <c r="L34" s="43">
        <f>SUMIFS([1]اردیبهشت!$AF$409:$AF$648,[1]اردیبهشت!$C$409:$C$648,"قطعه تعمیری",[1]اردیبهشت!$B$409:$B$648,C34,[1]اردیبهشت!$P$409:$P$648,B34)</f>
        <v>4.95</v>
      </c>
      <c r="M34" s="1" t="s">
        <v>20</v>
      </c>
      <c r="N34" s="161">
        <f t="shared" si="0"/>
        <v>3712500</v>
      </c>
    </row>
    <row r="35" spans="1:14" ht="28.7" customHeight="1" x14ac:dyDescent="0.25">
      <c r="A35" s="26">
        <v>32</v>
      </c>
      <c r="B35" s="59" t="s">
        <v>89</v>
      </c>
      <c r="C35" s="21" t="s">
        <v>27</v>
      </c>
      <c r="D35" s="47" t="s">
        <v>17</v>
      </c>
      <c r="E35" s="1">
        <v>1</v>
      </c>
      <c r="F35" s="48" t="s">
        <v>23</v>
      </c>
      <c r="G35" s="57" t="s">
        <v>18</v>
      </c>
      <c r="H35" s="2">
        <v>15593</v>
      </c>
      <c r="I35" s="2">
        <v>6401</v>
      </c>
      <c r="J35" s="35" t="s">
        <v>232</v>
      </c>
      <c r="K35" s="35" t="s">
        <v>232</v>
      </c>
      <c r="L35" s="43">
        <f>SUMIFS([1]اردیبهشت!$AF$409:$AF$648,[1]اردیبهشت!$C$409:$C$648,"قطعه تعمیری",[1]اردیبهشت!$B$409:$B$648,C35,[1]اردیبهشت!$P$409:$P$648,B35)</f>
        <v>2</v>
      </c>
      <c r="M35" s="1" t="s">
        <v>20</v>
      </c>
      <c r="N35" s="161">
        <f t="shared" si="0"/>
        <v>1500000</v>
      </c>
    </row>
    <row r="36" spans="1:14" ht="28.7" customHeight="1" x14ac:dyDescent="0.25">
      <c r="A36" s="26">
        <v>33</v>
      </c>
      <c r="B36" s="28"/>
      <c r="C36" s="21"/>
      <c r="D36" s="4"/>
      <c r="E36" s="1"/>
      <c r="F36" s="48"/>
      <c r="G36" s="57"/>
      <c r="H36" s="2"/>
      <c r="I36" s="2"/>
      <c r="J36" s="5"/>
      <c r="K36" s="35"/>
      <c r="L36" s="43">
        <f>SUMIFS([1]اردیبهشت!$AF$409:$AF$648,[1]اردیبهشت!$C$409:$C$648,"قطعه تعمیری",[1]اردیبهشت!$B$409:$B$648,C36,[1]اردیبهشت!$P$409:$P$648,B36)</f>
        <v>0</v>
      </c>
      <c r="M36" s="1"/>
      <c r="N36" s="161">
        <f t="shared" si="0"/>
        <v>0</v>
      </c>
    </row>
    <row r="37" spans="1:14" ht="28.7" customHeight="1" thickBot="1" x14ac:dyDescent="0.3">
      <c r="A37" s="26">
        <v>34</v>
      </c>
      <c r="B37" s="70"/>
      <c r="C37" s="157"/>
      <c r="D37" s="158"/>
      <c r="E37" s="158"/>
      <c r="F37" s="158"/>
      <c r="G37" s="159"/>
      <c r="H37" s="158"/>
      <c r="I37" s="13"/>
      <c r="J37" s="158"/>
      <c r="K37" s="158"/>
      <c r="L37" s="162">
        <f>SUMIFS([1]اردیبهشت!$AF$409:$AF$648,[1]اردیبهشت!$C$409:$C$648,"قطعه تعمیری",[1]اردیبهشت!$B$409:$B$648,C37,[1]اردیبهشت!$P$409:$P$648,B37)</f>
        <v>0</v>
      </c>
      <c r="M37" s="158"/>
      <c r="N37" s="160">
        <f t="shared" si="0"/>
        <v>0</v>
      </c>
    </row>
    <row r="38" spans="1:14" ht="21" customHeight="1" x14ac:dyDescent="0.25">
      <c r="A38" s="31"/>
      <c r="B38" s="246" t="s">
        <v>30</v>
      </c>
      <c r="C38" s="131" t="s">
        <v>184</v>
      </c>
      <c r="D38" s="61" t="s">
        <v>14</v>
      </c>
      <c r="E38" s="102">
        <f>SUMIFS(E4:E37,F4:F37,D38,M4:M37,"تحویل")</f>
        <v>13</v>
      </c>
      <c r="F38" s="132"/>
      <c r="G38" s="61"/>
      <c r="H38" s="60"/>
      <c r="I38" s="246" t="s">
        <v>115</v>
      </c>
      <c r="J38" s="60" t="s">
        <v>14</v>
      </c>
      <c r="K38" s="60">
        <f>SUMIFS(E4:E37,F4:F37,J38)</f>
        <v>398</v>
      </c>
      <c r="L38" s="244">
        <f>SUM(L4:L37)</f>
        <v>285.95</v>
      </c>
      <c r="M38" s="118"/>
      <c r="N38" s="259">
        <f>SUM(N4:N37)</f>
        <v>214462500</v>
      </c>
    </row>
    <row r="39" spans="1:14" ht="21" customHeight="1" thickBot="1" x14ac:dyDescent="0.3">
      <c r="A39" s="10"/>
      <c r="B39" s="247"/>
      <c r="C39" s="129" t="s">
        <v>184</v>
      </c>
      <c r="D39" s="62" t="s">
        <v>23</v>
      </c>
      <c r="E39" s="94">
        <f>SUMIFS(E4:E37,F4:F37,D39,M4:M37,"تحویل")</f>
        <v>45</v>
      </c>
      <c r="F39" s="11"/>
      <c r="G39" s="62"/>
      <c r="H39" s="11"/>
      <c r="I39" s="247"/>
      <c r="J39" s="11" t="s">
        <v>23</v>
      </c>
      <c r="K39" s="11">
        <f>SUMIFS(E5:E37,F5:F37,J39)</f>
        <v>47</v>
      </c>
      <c r="L39" s="245"/>
      <c r="M39" s="113"/>
      <c r="N39" s="258"/>
    </row>
  </sheetData>
  <mergeCells count="5">
    <mergeCell ref="A1:K2"/>
    <mergeCell ref="B38:B39"/>
    <mergeCell ref="I38:I39"/>
    <mergeCell ref="L38:L39"/>
    <mergeCell ref="N38:N39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L23 L25 L33" formula="1"/>
    <ignoredError sqref="K3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7F31-469C-4550-9E0D-1F3DA6FF6E23}">
  <sheetPr>
    <pageSetUpPr fitToPage="1"/>
  </sheetPr>
  <dimension ref="A1:N26"/>
  <sheetViews>
    <sheetView rightToLeft="1" view="pageLayout" zoomScaleNormal="100" workbookViewId="0">
      <selection activeCell="K26" sqref="K26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9</v>
      </c>
    </row>
    <row r="3" spans="1:14" ht="42.75" customHeight="1" thickBot="1" x14ac:dyDescent="0.3">
      <c r="A3" s="24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26">
        <v>1</v>
      </c>
      <c r="B4" s="134" t="s">
        <v>190</v>
      </c>
      <c r="C4" s="48" t="s">
        <v>189</v>
      </c>
      <c r="D4" s="48" t="s">
        <v>32</v>
      </c>
      <c r="E4" s="48">
        <v>1</v>
      </c>
      <c r="F4" s="48" t="s">
        <v>14</v>
      </c>
      <c r="G4" s="57" t="s">
        <v>21</v>
      </c>
      <c r="H4" s="49"/>
      <c r="I4" s="49"/>
      <c r="J4" s="35" t="s">
        <v>188</v>
      </c>
      <c r="K4" s="68"/>
      <c r="L4" s="145">
        <f>SUMIFS([1]اردیبهشت!$AF$617:$AF$805,[1]اردیبهشت!$C$617:$C$805,"قطعه نو",[1]اردیبهشت!$B$617:$B$805,C4,[1]اردیبهشت!$P$617:$P$805,B4)</f>
        <v>26</v>
      </c>
      <c r="M4" s="65" t="s">
        <v>37</v>
      </c>
      <c r="N4" s="69">
        <f>L4*(500000*1.5)</f>
        <v>19500000</v>
      </c>
    </row>
    <row r="5" spans="1:14" ht="28.7" customHeight="1" x14ac:dyDescent="0.25">
      <c r="A5" s="26">
        <v>2</v>
      </c>
      <c r="B5" s="29" t="s">
        <v>173</v>
      </c>
      <c r="C5" s="4" t="s">
        <v>26</v>
      </c>
      <c r="D5" s="4" t="s">
        <v>17</v>
      </c>
      <c r="E5" s="4">
        <v>20</v>
      </c>
      <c r="F5" s="4" t="s">
        <v>14</v>
      </c>
      <c r="G5" s="4" t="s">
        <v>21</v>
      </c>
      <c r="H5" s="49"/>
      <c r="I5" s="49"/>
      <c r="J5" s="5" t="s">
        <v>171</v>
      </c>
      <c r="K5" s="36" t="s">
        <v>263</v>
      </c>
      <c r="L5" s="43">
        <f>SUMIFS([1]اردیبهشت!$AF$617:$AF$805,[1]اردیبهشت!$C$617:$C$805,"قطعه نو",[1]اردیبهشت!$B$617:$B$805,C5,[1]اردیبهشت!$P$617:$P$805,B5)</f>
        <v>4</v>
      </c>
      <c r="M5" s="1" t="s">
        <v>20</v>
      </c>
      <c r="N5" s="51">
        <f t="shared" ref="N5:N24" si="0">L5*(500000*1.5)</f>
        <v>3000000</v>
      </c>
    </row>
    <row r="6" spans="1:14" ht="28.7" customHeight="1" x14ac:dyDescent="0.25">
      <c r="A6" s="26">
        <v>3</v>
      </c>
      <c r="B6" s="134" t="s">
        <v>216</v>
      </c>
      <c r="C6" s="48" t="s">
        <v>215</v>
      </c>
      <c r="D6" s="48" t="s">
        <v>32</v>
      </c>
      <c r="E6" s="48">
        <v>1</v>
      </c>
      <c r="F6" s="3" t="s">
        <v>14</v>
      </c>
      <c r="G6" s="57" t="s">
        <v>21</v>
      </c>
      <c r="H6" s="49"/>
      <c r="I6" s="49"/>
      <c r="J6" s="35" t="s">
        <v>217</v>
      </c>
      <c r="K6" s="36"/>
      <c r="L6" s="43">
        <f>SUMIFS([1]اردیبهشت!$AF$617:$AF$805,[1]اردیبهشت!$C$617:$C$805,"قطعه نو",[1]اردیبهشت!$B$617:$B$805,C6,[1]اردیبهشت!$P$617:$P$805,B6)</f>
        <v>4</v>
      </c>
      <c r="M6" s="1" t="s">
        <v>37</v>
      </c>
      <c r="N6" s="51">
        <f t="shared" si="0"/>
        <v>3000000</v>
      </c>
    </row>
    <row r="7" spans="1:14" ht="28.7" customHeight="1" x14ac:dyDescent="0.25">
      <c r="A7" s="26">
        <v>4</v>
      </c>
      <c r="B7" s="29" t="s">
        <v>227</v>
      </c>
      <c r="C7" s="4" t="s">
        <v>31</v>
      </c>
      <c r="D7" s="48" t="s">
        <v>32</v>
      </c>
      <c r="E7" s="4">
        <v>300</v>
      </c>
      <c r="F7" s="3" t="s">
        <v>14</v>
      </c>
      <c r="G7" s="57" t="s">
        <v>21</v>
      </c>
      <c r="H7" s="2" t="s">
        <v>228</v>
      </c>
      <c r="I7" s="2"/>
      <c r="J7" s="35" t="s">
        <v>229</v>
      </c>
      <c r="K7" s="36"/>
      <c r="L7" s="43">
        <f>SUMIFS([1]اردیبهشت!$AF$617:$AF$805,[1]اردیبهشت!$C$617:$C$805,"قطعه نو",[1]اردیبهشت!$B$617:$B$805,C7,[1]اردیبهشت!$P$617:$P$805,"*")</f>
        <v>9</v>
      </c>
      <c r="M7" s="50" t="s">
        <v>37</v>
      </c>
      <c r="N7" s="51">
        <f t="shared" si="0"/>
        <v>6750000</v>
      </c>
    </row>
    <row r="8" spans="1:14" ht="28.7" customHeight="1" x14ac:dyDescent="0.25">
      <c r="A8" s="26">
        <v>5</v>
      </c>
      <c r="B8" s="29" t="s">
        <v>55</v>
      </c>
      <c r="C8" s="4" t="s">
        <v>25</v>
      </c>
      <c r="D8" s="48" t="s">
        <v>32</v>
      </c>
      <c r="E8" s="91">
        <v>1</v>
      </c>
      <c r="F8" s="3" t="s">
        <v>14</v>
      </c>
      <c r="G8" s="47" t="s">
        <v>21</v>
      </c>
      <c r="H8" s="2">
        <v>15561</v>
      </c>
      <c r="I8" s="21">
        <v>2064</v>
      </c>
      <c r="J8" s="6" t="s">
        <v>231</v>
      </c>
      <c r="K8" s="36" t="s">
        <v>256</v>
      </c>
      <c r="L8" s="43">
        <f>SUMIFS([1]اردیبهشت!$AF$617:$AF$805,[1]اردیبهشت!$C$617:$C$805,"قطعه نو",[1]اردیبهشت!$B$617:$B$805,C8,[1]اردیبهشت!$P$617:$P$805,"*")</f>
        <v>8</v>
      </c>
      <c r="M8" s="1" t="s">
        <v>20</v>
      </c>
      <c r="N8" s="51">
        <f t="shared" si="0"/>
        <v>6000000</v>
      </c>
    </row>
    <row r="9" spans="1:14" ht="28.7" customHeight="1" x14ac:dyDescent="0.25">
      <c r="A9" s="26">
        <v>6</v>
      </c>
      <c r="B9" s="134" t="s">
        <v>65</v>
      </c>
      <c r="C9" s="48" t="s">
        <v>88</v>
      </c>
      <c r="D9" s="48" t="s">
        <v>236</v>
      </c>
      <c r="E9" s="48">
        <v>8</v>
      </c>
      <c r="F9" s="48" t="s">
        <v>14</v>
      </c>
      <c r="G9" s="57" t="s">
        <v>21</v>
      </c>
      <c r="H9" s="2" t="s">
        <v>87</v>
      </c>
      <c r="I9" s="49"/>
      <c r="J9" s="6" t="s">
        <v>261</v>
      </c>
      <c r="K9" s="36" t="s">
        <v>256</v>
      </c>
      <c r="L9" s="43">
        <f>SUMIFS([1]اردیبهشت!$AF$617:$AF$805,[1]اردیبهشت!$C$617:$C$805,"قطعه نو",[1]اردیبهشت!$B$617:$B$805,C9,[1]اردیبهشت!$P$617:$P$805,B9)</f>
        <v>79.5</v>
      </c>
      <c r="M9" s="1" t="s">
        <v>20</v>
      </c>
      <c r="N9" s="51">
        <f t="shared" si="0"/>
        <v>59625000</v>
      </c>
    </row>
    <row r="10" spans="1:14" ht="28.7" customHeight="1" x14ac:dyDescent="0.25">
      <c r="A10" s="26">
        <v>7</v>
      </c>
      <c r="B10" s="134" t="s">
        <v>239</v>
      </c>
      <c r="C10" s="48" t="s">
        <v>238</v>
      </c>
      <c r="D10" s="48" t="s">
        <v>32</v>
      </c>
      <c r="E10" s="48">
        <v>1</v>
      </c>
      <c r="F10" s="48" t="s">
        <v>14</v>
      </c>
      <c r="G10" s="57" t="s">
        <v>21</v>
      </c>
      <c r="H10" s="49"/>
      <c r="I10" s="49"/>
      <c r="J10" s="35" t="s">
        <v>237</v>
      </c>
      <c r="K10" s="36" t="s">
        <v>237</v>
      </c>
      <c r="L10" s="43">
        <f>SUMIFS([1]اردیبهشت!$AF$617:$AF$805,[1]اردیبهشت!$C$617:$C$805,"قطعه نو",[1]اردیبهشت!$B$617:$B$805,C10,[1]اردیبهشت!$P$617:$P$805,B10)</f>
        <v>7</v>
      </c>
      <c r="M10" s="1" t="s">
        <v>20</v>
      </c>
      <c r="N10" s="51">
        <f t="shared" si="0"/>
        <v>5250000</v>
      </c>
    </row>
    <row r="11" spans="1:14" ht="28.7" customHeight="1" x14ac:dyDescent="0.25">
      <c r="A11" s="26">
        <v>8</v>
      </c>
      <c r="B11" s="59" t="s">
        <v>89</v>
      </c>
      <c r="C11" s="21" t="s">
        <v>27</v>
      </c>
      <c r="D11" s="47" t="s">
        <v>17</v>
      </c>
      <c r="E11" s="1">
        <v>1</v>
      </c>
      <c r="F11" s="48" t="s">
        <v>14</v>
      </c>
      <c r="G11" s="57" t="s">
        <v>21</v>
      </c>
      <c r="H11" s="1"/>
      <c r="I11" s="3"/>
      <c r="J11" s="35" t="s">
        <v>244</v>
      </c>
      <c r="K11" s="36" t="s">
        <v>262</v>
      </c>
      <c r="L11" s="43">
        <f>SUMIFS([1]اردیبهشت!$AF$617:$AF$805,[1]اردیبهشت!$C$617:$C$805,"قطعه نو",[1]اردیبهشت!$B$617:$B$805,C11,[1]اردیبهشت!$P$617:$P$805,B11)</f>
        <v>2</v>
      </c>
      <c r="M11" s="1" t="s">
        <v>20</v>
      </c>
      <c r="N11" s="51">
        <f t="shared" si="0"/>
        <v>1500000</v>
      </c>
    </row>
    <row r="12" spans="1:14" ht="28.7" customHeight="1" x14ac:dyDescent="0.25">
      <c r="A12" s="26">
        <v>9</v>
      </c>
      <c r="B12" s="29" t="s">
        <v>255</v>
      </c>
      <c r="C12" s="4" t="s">
        <v>76</v>
      </c>
      <c r="D12" s="48" t="s">
        <v>32</v>
      </c>
      <c r="E12" s="48">
        <v>1</v>
      </c>
      <c r="F12" s="4" t="s">
        <v>14</v>
      </c>
      <c r="G12" s="47" t="s">
        <v>21</v>
      </c>
      <c r="H12" s="47">
        <v>14046</v>
      </c>
      <c r="I12" s="2"/>
      <c r="J12" s="6" t="s">
        <v>95</v>
      </c>
      <c r="K12" s="36"/>
      <c r="L12" s="43">
        <f>SUMIFS([1]اردیبهشت!$AF$617:$AF$805,[1]اردیبهشت!$C$617:$C$805,"قطعه نو",[1]اردیبهشت!$B$617:$B$805,C12,[1]اردیبهشت!$P$617:$P$805,B12)+3</f>
        <v>7</v>
      </c>
      <c r="M12" s="1" t="s">
        <v>37</v>
      </c>
      <c r="N12" s="51">
        <f t="shared" si="0"/>
        <v>5250000</v>
      </c>
    </row>
    <row r="13" spans="1:14" ht="28.7" customHeight="1" x14ac:dyDescent="0.25">
      <c r="A13" s="26">
        <v>10</v>
      </c>
      <c r="B13" s="134" t="s">
        <v>89</v>
      </c>
      <c r="C13" s="4" t="s">
        <v>257</v>
      </c>
      <c r="D13" s="48" t="s">
        <v>32</v>
      </c>
      <c r="E13" s="48">
        <v>1</v>
      </c>
      <c r="F13" s="4" t="s">
        <v>14</v>
      </c>
      <c r="G13" s="47" t="s">
        <v>21</v>
      </c>
      <c r="H13" s="49">
        <v>15557</v>
      </c>
      <c r="I13" s="49"/>
      <c r="J13" s="6" t="s">
        <v>258</v>
      </c>
      <c r="K13" s="36" t="s">
        <v>259</v>
      </c>
      <c r="L13" s="43">
        <f>SUMIFS([1]اردیبهشت!$AF$617:$AF$805,[1]اردیبهشت!$C$617:$C$805,"قطعه نو",[1]اردیبهشت!$B$617:$B$805,C13,[1]اردیبهشت!$P$617:$P$805,"*")</f>
        <v>2</v>
      </c>
      <c r="M13" s="1" t="s">
        <v>20</v>
      </c>
      <c r="N13" s="51">
        <f t="shared" si="0"/>
        <v>1500000</v>
      </c>
    </row>
    <row r="14" spans="1:14" ht="28.7" customHeight="1" x14ac:dyDescent="0.25">
      <c r="A14" s="26">
        <v>11</v>
      </c>
      <c r="B14" s="134" t="s">
        <v>260</v>
      </c>
      <c r="C14" s="48" t="s">
        <v>94</v>
      </c>
      <c r="D14" s="48" t="s">
        <v>236</v>
      </c>
      <c r="E14" s="48">
        <v>8</v>
      </c>
      <c r="F14" s="48" t="s">
        <v>14</v>
      </c>
      <c r="G14" s="57" t="s">
        <v>21</v>
      </c>
      <c r="H14" s="2" t="s">
        <v>87</v>
      </c>
      <c r="I14" s="49"/>
      <c r="J14" s="6" t="s">
        <v>261</v>
      </c>
      <c r="K14" s="36"/>
      <c r="L14" s="43">
        <f>SUMIFS([1]اردیبهشت!$AF$617:$AF$805,[1]اردیبهشت!$C$617:$C$805,"قطعه نو",[1]اردیبهشت!$B$617:$B$805,C14,[1]اردیبهشت!$P$617:$P$805,B14)</f>
        <v>16</v>
      </c>
      <c r="M14" s="1" t="s">
        <v>37</v>
      </c>
      <c r="N14" s="51">
        <f t="shared" si="0"/>
        <v>12000000</v>
      </c>
    </row>
    <row r="15" spans="1:14" ht="28.7" customHeight="1" x14ac:dyDescent="0.25">
      <c r="A15" s="26">
        <v>12</v>
      </c>
      <c r="B15" s="134" t="s">
        <v>55</v>
      </c>
      <c r="C15" s="48" t="s">
        <v>174</v>
      </c>
      <c r="D15" s="48" t="s">
        <v>32</v>
      </c>
      <c r="E15" s="48">
        <v>1</v>
      </c>
      <c r="F15" s="48" t="s">
        <v>14</v>
      </c>
      <c r="G15" s="57" t="s">
        <v>21</v>
      </c>
      <c r="H15" s="2">
        <v>15564</v>
      </c>
      <c r="I15" s="49">
        <v>2504</v>
      </c>
      <c r="J15" s="6" t="s">
        <v>262</v>
      </c>
      <c r="K15" s="36"/>
      <c r="L15" s="163">
        <f>SUMIFS([1]اردیبهشت!$AF$617:$AF$805,[1]اردیبهشت!$C$617:$C$805,"قطعه نو",[1]اردیبهشت!$B$617:$B$805,C15,[1]اردیبهشت!$P$617:$P$805,"*")+5</f>
        <v>7</v>
      </c>
      <c r="M15" s="1" t="s">
        <v>37</v>
      </c>
      <c r="N15" s="51">
        <f t="shared" si="0"/>
        <v>5250000</v>
      </c>
    </row>
    <row r="16" spans="1:14" ht="28.7" customHeight="1" x14ac:dyDescent="0.25">
      <c r="A16" s="26">
        <v>13</v>
      </c>
      <c r="B16" s="134" t="s">
        <v>265</v>
      </c>
      <c r="C16" s="21" t="s">
        <v>264</v>
      </c>
      <c r="D16" s="48" t="s">
        <v>54</v>
      </c>
      <c r="E16" s="48">
        <v>1</v>
      </c>
      <c r="F16" s="48" t="s">
        <v>14</v>
      </c>
      <c r="G16" s="57" t="s">
        <v>21</v>
      </c>
      <c r="H16" s="49"/>
      <c r="I16" s="49"/>
      <c r="J16" s="6" t="s">
        <v>266</v>
      </c>
      <c r="K16" s="6" t="s">
        <v>262</v>
      </c>
      <c r="L16" s="43">
        <f>SUMIFS([1]اردیبهشت!$AF$617:$AF$805,[1]اردیبهشت!$C$617:$C$805,"قطعه نو",[1]اردیبهشت!$B$617:$B$805,C16,[1]اردیبهشت!$P$617:$P$805,B16)</f>
        <v>7.666666666666667</v>
      </c>
      <c r="M16" s="1" t="s">
        <v>20</v>
      </c>
      <c r="N16" s="51">
        <f t="shared" si="0"/>
        <v>5750000</v>
      </c>
    </row>
    <row r="17" spans="1:14" ht="28.7" customHeight="1" x14ac:dyDescent="0.25">
      <c r="A17" s="26">
        <v>14</v>
      </c>
      <c r="B17" s="134" t="s">
        <v>267</v>
      </c>
      <c r="C17" s="48" t="s">
        <v>24</v>
      </c>
      <c r="D17" s="48" t="s">
        <v>17</v>
      </c>
      <c r="E17" s="48">
        <v>1</v>
      </c>
      <c r="F17" s="48" t="s">
        <v>23</v>
      </c>
      <c r="G17" s="57" t="s">
        <v>268</v>
      </c>
      <c r="H17" s="2">
        <v>15560</v>
      </c>
      <c r="I17" s="21">
        <v>6504</v>
      </c>
      <c r="J17" s="6" t="s">
        <v>269</v>
      </c>
      <c r="K17" s="35" t="s">
        <v>262</v>
      </c>
      <c r="L17" s="43">
        <f>SUMIFS([1]اردیبهشت!$AF$617:$AF$805,[1]اردیبهشت!$C$617:$C$805,"قطعه تعمیری",[1]اردیبهشت!$B$617:$B$805,C17,[1]اردیبهشت!$P$617:$P$805,B17)</f>
        <v>4</v>
      </c>
      <c r="M17" s="1" t="s">
        <v>20</v>
      </c>
      <c r="N17" s="51">
        <f t="shared" si="0"/>
        <v>3000000</v>
      </c>
    </row>
    <row r="18" spans="1:14" ht="28.7" customHeight="1" x14ac:dyDescent="0.25">
      <c r="A18" s="26">
        <v>15</v>
      </c>
      <c r="B18" s="29" t="s">
        <v>271</v>
      </c>
      <c r="C18" s="48" t="s">
        <v>270</v>
      </c>
      <c r="D18" s="48" t="s">
        <v>32</v>
      </c>
      <c r="E18" s="4">
        <v>4</v>
      </c>
      <c r="F18" s="4" t="s">
        <v>23</v>
      </c>
      <c r="G18" s="4" t="s">
        <v>18</v>
      </c>
      <c r="H18" s="49"/>
      <c r="I18" s="49"/>
      <c r="J18" s="6" t="s">
        <v>259</v>
      </c>
      <c r="K18" s="35"/>
      <c r="L18" s="43">
        <f>SUMIFS([1]اردیبهشت!$AF$617:$AF$805,[1]اردیبهشت!$C$617:$C$805,"قطعه تعمیری",[1]اردیبهشت!$B$617:$B$805,C18,[1]اردیبهشت!$P$617:$P$805,B18)+3</f>
        <v>21.5</v>
      </c>
      <c r="M18" s="1" t="s">
        <v>37</v>
      </c>
      <c r="N18" s="51">
        <f t="shared" si="0"/>
        <v>16125000</v>
      </c>
    </row>
    <row r="19" spans="1:14" ht="28.7" customHeight="1" x14ac:dyDescent="0.25">
      <c r="A19" s="26">
        <v>16</v>
      </c>
      <c r="B19" s="134" t="s">
        <v>239</v>
      </c>
      <c r="C19" s="48" t="s">
        <v>238</v>
      </c>
      <c r="D19" s="48" t="s">
        <v>32</v>
      </c>
      <c r="E19" s="48">
        <v>1</v>
      </c>
      <c r="F19" s="48" t="s">
        <v>23</v>
      </c>
      <c r="G19" s="57" t="s">
        <v>18</v>
      </c>
      <c r="H19" s="49"/>
      <c r="I19" s="49"/>
      <c r="J19" s="6" t="s">
        <v>259</v>
      </c>
      <c r="K19" s="35" t="s">
        <v>262</v>
      </c>
      <c r="L19" s="43">
        <f>SUMIFS([1]اردیبهشت!$AF$617:$AF$805,[1]اردیبهشت!$C$617:$C$805,"قطعه تعمیری",[1]اردیبهشت!$B$617:$B$805,C19,[1]اردیبهشت!$P$617:$P$805,B19)</f>
        <v>16</v>
      </c>
      <c r="M19" s="1" t="s">
        <v>20</v>
      </c>
      <c r="N19" s="51">
        <f t="shared" si="0"/>
        <v>12000000</v>
      </c>
    </row>
    <row r="20" spans="1:14" ht="28.7" customHeight="1" x14ac:dyDescent="0.25">
      <c r="A20" s="26">
        <v>17</v>
      </c>
      <c r="B20" s="59" t="s">
        <v>64</v>
      </c>
      <c r="C20" s="21" t="s">
        <v>248</v>
      </c>
      <c r="D20" s="47" t="s">
        <v>17</v>
      </c>
      <c r="E20" s="1">
        <v>1</v>
      </c>
      <c r="F20" s="48" t="s">
        <v>23</v>
      </c>
      <c r="G20" s="57" t="s">
        <v>60</v>
      </c>
      <c r="H20" s="1">
        <v>11143</v>
      </c>
      <c r="I20" s="3">
        <v>2904</v>
      </c>
      <c r="J20" s="35" t="s">
        <v>263</v>
      </c>
      <c r="K20" s="35" t="s">
        <v>266</v>
      </c>
      <c r="L20" s="43">
        <f>SUMIFS([1]اردیبهشت!$AF$617:$AF$805,[1]اردیبهشت!$C$617:$C$805,"قطعه تعمیری",[1]اردیبهشت!$B$617:$B$805,C20,[1]اردیبهشت!$P$617:$P$805,B20)</f>
        <v>5.5</v>
      </c>
      <c r="M20" s="1" t="s">
        <v>20</v>
      </c>
      <c r="N20" s="51">
        <f t="shared" si="0"/>
        <v>4125000</v>
      </c>
    </row>
    <row r="21" spans="1:14" ht="28.7" customHeight="1" thickBot="1" x14ac:dyDescent="0.3">
      <c r="A21" s="26">
        <v>18</v>
      </c>
      <c r="B21" s="146" t="s">
        <v>68</v>
      </c>
      <c r="C21" s="147" t="s">
        <v>272</v>
      </c>
      <c r="D21" s="48" t="s">
        <v>32</v>
      </c>
      <c r="E21" s="148">
        <v>1</v>
      </c>
      <c r="F21" s="48" t="s">
        <v>23</v>
      </c>
      <c r="G21" s="57" t="s">
        <v>60</v>
      </c>
      <c r="H21" s="46">
        <v>15690</v>
      </c>
      <c r="I21" s="46">
        <v>2510</v>
      </c>
      <c r="J21" s="35" t="s">
        <v>258</v>
      </c>
      <c r="K21" s="35" t="s">
        <v>258</v>
      </c>
      <c r="L21" s="43">
        <f>SUMIFS([1]اردیبهشت!$AF$617:$AF$805,[1]اردیبهشت!$C$617:$C$805,"قطعه تعمیری",[1]اردیبهشت!$B$617:$B$805,C21,[1]اردیبهشت!$P$617:$P$805,B21)</f>
        <v>2.5</v>
      </c>
      <c r="M21" s="148" t="s">
        <v>20</v>
      </c>
      <c r="N21" s="153">
        <f t="shared" si="0"/>
        <v>1875000</v>
      </c>
    </row>
    <row r="22" spans="1:14" ht="28.7" customHeight="1" x14ac:dyDescent="0.25">
      <c r="A22" s="26">
        <v>19</v>
      </c>
      <c r="B22" s="154" t="s">
        <v>85</v>
      </c>
      <c r="C22" s="155" t="s">
        <v>174</v>
      </c>
      <c r="D22" s="165" t="s">
        <v>17</v>
      </c>
      <c r="E22" s="166">
        <v>1</v>
      </c>
      <c r="F22" s="167" t="s">
        <v>23</v>
      </c>
      <c r="G22" s="165" t="s">
        <v>18</v>
      </c>
      <c r="H22" s="168">
        <v>15691</v>
      </c>
      <c r="I22" s="73">
        <v>2511</v>
      </c>
      <c r="J22" s="164" t="s">
        <v>269</v>
      </c>
      <c r="K22" s="156" t="s">
        <v>262</v>
      </c>
      <c r="L22" s="43">
        <f>SUMIFS([1]اردیبهشت!$AF$617:$AF$805,[1]اردیبهشت!$C$617:$C$805,"قطعه تعمیری",[1]اردیبهشت!$B$617:$B$805,C22,[1]اردیبهشت!$P$617:$P$805,B22)</f>
        <v>10.5</v>
      </c>
      <c r="M22" s="65" t="s">
        <v>20</v>
      </c>
      <c r="N22" s="69">
        <f t="shared" si="0"/>
        <v>7875000</v>
      </c>
    </row>
    <row r="23" spans="1:14" ht="28.7" customHeight="1" x14ac:dyDescent="0.25">
      <c r="A23" s="26">
        <v>20</v>
      </c>
      <c r="B23" s="59" t="s">
        <v>13</v>
      </c>
      <c r="C23" s="21" t="s">
        <v>27</v>
      </c>
      <c r="D23" s="47" t="s">
        <v>17</v>
      </c>
      <c r="E23" s="1">
        <v>1</v>
      </c>
      <c r="F23" s="4" t="s">
        <v>23</v>
      </c>
      <c r="G23" s="47" t="s">
        <v>18</v>
      </c>
      <c r="H23" s="2"/>
      <c r="I23" s="2"/>
      <c r="J23" s="5" t="s">
        <v>262</v>
      </c>
      <c r="K23" s="35" t="s">
        <v>256</v>
      </c>
      <c r="L23" s="43">
        <f>SUMIFS([1]اردیبهشت!$AF$617:$AF$805,[1]اردیبهشت!$C$617:$C$805,"قطعه تعمیری",[1]اردیبهشت!$B$617:$B$805,C23,[1]اردیبهشت!$P$617:$P$805,B23)</f>
        <v>4</v>
      </c>
      <c r="M23" s="1" t="s">
        <v>20</v>
      </c>
      <c r="N23" s="161">
        <f t="shared" si="0"/>
        <v>3000000</v>
      </c>
    </row>
    <row r="24" spans="1:14" ht="28.7" customHeight="1" thickBot="1" x14ac:dyDescent="0.3">
      <c r="A24" s="26">
        <v>21</v>
      </c>
      <c r="B24" s="59"/>
      <c r="C24" s="21"/>
      <c r="D24" s="47"/>
      <c r="E24" s="1"/>
      <c r="F24" s="48"/>
      <c r="G24" s="57"/>
      <c r="H24" s="2"/>
      <c r="I24" s="2"/>
      <c r="J24" s="35"/>
      <c r="K24" s="35"/>
      <c r="L24" s="43"/>
      <c r="M24" s="1"/>
      <c r="N24" s="161">
        <f t="shared" si="0"/>
        <v>0</v>
      </c>
    </row>
    <row r="25" spans="1:14" ht="21" customHeight="1" x14ac:dyDescent="0.25">
      <c r="A25" s="31"/>
      <c r="B25" s="246" t="s">
        <v>30</v>
      </c>
      <c r="C25" s="131" t="s">
        <v>184</v>
      </c>
      <c r="D25" s="61" t="s">
        <v>14</v>
      </c>
      <c r="E25" s="102">
        <f>SUMIFS(E4:E24,F4:F24,D25,M4:M24,"تحویل")</f>
        <v>33</v>
      </c>
      <c r="F25" s="132"/>
      <c r="G25" s="61"/>
      <c r="H25" s="60"/>
      <c r="I25" s="246" t="s">
        <v>115</v>
      </c>
      <c r="J25" s="60" t="s">
        <v>14</v>
      </c>
      <c r="K25" s="60">
        <f>SUMIFS(E4:E24,F4:F24,J25)</f>
        <v>345</v>
      </c>
      <c r="L25" s="244">
        <f>SUM(L4:L24)</f>
        <v>243.16666666666666</v>
      </c>
      <c r="M25" s="118"/>
      <c r="N25" s="259">
        <f>SUM(N4:N24)</f>
        <v>182375000</v>
      </c>
    </row>
    <row r="26" spans="1:14" ht="21" customHeight="1" thickBot="1" x14ac:dyDescent="0.3">
      <c r="A26" s="10"/>
      <c r="B26" s="247"/>
      <c r="C26" s="129" t="s">
        <v>184</v>
      </c>
      <c r="D26" s="62" t="s">
        <v>23</v>
      </c>
      <c r="E26" s="94">
        <f>SUMIFS(E4:E24,F4:F24,D26,M4:M24,"تحویل")</f>
        <v>6</v>
      </c>
      <c r="F26" s="11"/>
      <c r="G26" s="62"/>
      <c r="H26" s="11"/>
      <c r="I26" s="247"/>
      <c r="J26" s="11" t="s">
        <v>23</v>
      </c>
      <c r="K26" s="11">
        <f>SUMIFS(E5:E24,F5:F24,J26)</f>
        <v>10</v>
      </c>
      <c r="L26" s="245"/>
      <c r="M26" s="113"/>
      <c r="N26" s="258"/>
    </row>
  </sheetData>
  <mergeCells count="5">
    <mergeCell ref="A1:K2"/>
    <mergeCell ref="B25:B26"/>
    <mergeCell ref="I25:I26"/>
    <mergeCell ref="L25:L26"/>
    <mergeCell ref="N25:N26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K26" formulaRange="1"/>
    <ignoredError sqref="L13:L15 L7 L1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B498-7D09-4E57-BDA8-B9013E86AA73}">
  <sheetPr>
    <pageSetUpPr fitToPage="1"/>
  </sheetPr>
  <dimension ref="A1:N24"/>
  <sheetViews>
    <sheetView rightToLeft="1" view="pageLayout" topLeftCell="A10" zoomScaleNormal="100" workbookViewId="0">
      <selection activeCell="D19" sqref="D19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10</v>
      </c>
    </row>
    <row r="3" spans="1:14" ht="42.75" customHeight="1" thickBot="1" x14ac:dyDescent="0.3">
      <c r="A3" s="24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26">
        <v>1</v>
      </c>
      <c r="B4" s="134" t="s">
        <v>260</v>
      </c>
      <c r="C4" s="48" t="s">
        <v>94</v>
      </c>
      <c r="D4" s="48" t="s">
        <v>273</v>
      </c>
      <c r="E4" s="48">
        <v>8</v>
      </c>
      <c r="F4" s="48" t="s">
        <v>14</v>
      </c>
      <c r="G4" s="57" t="s">
        <v>21</v>
      </c>
      <c r="H4" s="2" t="s">
        <v>87</v>
      </c>
      <c r="I4" s="49"/>
      <c r="J4" s="6" t="s">
        <v>261</v>
      </c>
      <c r="K4" s="68"/>
      <c r="L4" s="145">
        <f>SUMIFS([1]خرداد!$AF$2:$AF$140,[1]خرداد!$C$2:$C$140,"قطعه نو",[1]خرداد!$B$2:$B$140,C4,[1]خرداد!$P$2:$P$140,B4)</f>
        <v>20.166666666666664</v>
      </c>
      <c r="M4" s="65" t="s">
        <v>37</v>
      </c>
      <c r="N4" s="69">
        <f>L4*(500000*1.5)</f>
        <v>15124999.999999998</v>
      </c>
    </row>
    <row r="5" spans="1:14" ht="28.7" customHeight="1" x14ac:dyDescent="0.25">
      <c r="A5" s="26">
        <v>2</v>
      </c>
      <c r="B5" s="29" t="s">
        <v>55</v>
      </c>
      <c r="C5" s="4" t="s">
        <v>76</v>
      </c>
      <c r="D5" s="48" t="s">
        <v>32</v>
      </c>
      <c r="E5" s="48">
        <v>1</v>
      </c>
      <c r="F5" s="4" t="s">
        <v>14</v>
      </c>
      <c r="G5" s="47" t="s">
        <v>21</v>
      </c>
      <c r="H5" s="47">
        <v>14046</v>
      </c>
      <c r="I5" s="2"/>
      <c r="J5" s="6" t="s">
        <v>95</v>
      </c>
      <c r="K5" s="36"/>
      <c r="L5" s="43">
        <f>SUMIFS([1]خرداد!$AF$2:$AF$140,[1]خرداد!$C$2:$C$140,"قطعه نو",[1]خرداد!$B$2:$B$140,C5,[1]خرداد!$P$2:$P$140,B5)</f>
        <v>13.333333333333334</v>
      </c>
      <c r="M5" s="1" t="s">
        <v>37</v>
      </c>
      <c r="N5" s="51">
        <f t="shared" ref="N5:N22" si="0">L5*(500000*1.5)</f>
        <v>10000000</v>
      </c>
    </row>
    <row r="6" spans="1:14" ht="28.7" customHeight="1" x14ac:dyDescent="0.25">
      <c r="A6" s="26">
        <v>3</v>
      </c>
      <c r="B6" s="134" t="s">
        <v>275</v>
      </c>
      <c r="C6" s="48" t="s">
        <v>274</v>
      </c>
      <c r="D6" s="48" t="s">
        <v>132</v>
      </c>
      <c r="E6" s="48">
        <v>8000</v>
      </c>
      <c r="F6" s="3" t="s">
        <v>14</v>
      </c>
      <c r="G6" s="57" t="s">
        <v>21</v>
      </c>
      <c r="H6" s="49"/>
      <c r="I6" s="49"/>
      <c r="J6" s="35" t="s">
        <v>276</v>
      </c>
      <c r="K6" s="36" t="s">
        <v>288</v>
      </c>
      <c r="L6" s="43">
        <f>SUMIFS([1]خرداد!$AF$2:$AF$140,[1]خرداد!$C$2:$C$140,"قطعه نو",[1]خرداد!$B$2:$B$140,C6,[1]خرداد!$P$2:$P$140,B6)</f>
        <v>22.5</v>
      </c>
      <c r="M6" s="1" t="s">
        <v>20</v>
      </c>
      <c r="N6" s="51">
        <f t="shared" si="0"/>
        <v>16875000</v>
      </c>
    </row>
    <row r="7" spans="1:14" ht="28.7" customHeight="1" x14ac:dyDescent="0.25">
      <c r="A7" s="26">
        <v>4</v>
      </c>
      <c r="B7" s="29" t="s">
        <v>277</v>
      </c>
      <c r="C7" s="4" t="s">
        <v>31</v>
      </c>
      <c r="D7" s="48" t="s">
        <v>32</v>
      </c>
      <c r="E7" s="4">
        <v>300</v>
      </c>
      <c r="F7" s="3" t="s">
        <v>14</v>
      </c>
      <c r="G7" s="57" t="s">
        <v>21</v>
      </c>
      <c r="H7" s="2" t="s">
        <v>228</v>
      </c>
      <c r="I7" s="2"/>
      <c r="J7" s="35" t="s">
        <v>229</v>
      </c>
      <c r="K7" s="36"/>
      <c r="L7" s="43">
        <f>SUMIFS([1]خرداد!$AF$2:$AF$140,[1]خرداد!$C$2:$C$140,"قطعه نو",[1]خرداد!$B$2:$B$140,C7,[1]خرداد!$P$2:$P$140,B7)</f>
        <v>64</v>
      </c>
      <c r="M7" s="50" t="s">
        <v>37</v>
      </c>
      <c r="N7" s="51">
        <f t="shared" si="0"/>
        <v>48000000</v>
      </c>
    </row>
    <row r="8" spans="1:14" ht="28.7" customHeight="1" x14ac:dyDescent="0.25">
      <c r="A8" s="26">
        <v>5</v>
      </c>
      <c r="B8" s="134" t="s">
        <v>55</v>
      </c>
      <c r="C8" s="48" t="s">
        <v>174</v>
      </c>
      <c r="D8" s="48" t="s">
        <v>32</v>
      </c>
      <c r="E8" s="48">
        <v>1</v>
      </c>
      <c r="F8" s="48" t="s">
        <v>14</v>
      </c>
      <c r="G8" s="57" t="s">
        <v>21</v>
      </c>
      <c r="H8" s="2">
        <v>15564</v>
      </c>
      <c r="I8" s="49">
        <v>2504</v>
      </c>
      <c r="J8" s="6" t="s">
        <v>262</v>
      </c>
      <c r="K8" s="36" t="s">
        <v>279</v>
      </c>
      <c r="L8" s="43">
        <f>SUMIFS([1]خرداد!$AF$2:$AF$140,[1]خرداد!$C$2:$C$140,"قطعه نو",[1]خرداد!$B$2:$B$140,C8,[1]خرداد!$P$2:$P$140,B8)</f>
        <v>6</v>
      </c>
      <c r="M8" s="1" t="s">
        <v>20</v>
      </c>
      <c r="N8" s="51">
        <f t="shared" si="0"/>
        <v>4500000</v>
      </c>
    </row>
    <row r="9" spans="1:14" ht="28.7" customHeight="1" x14ac:dyDescent="0.25">
      <c r="A9" s="26">
        <v>6</v>
      </c>
      <c r="B9" s="29" t="s">
        <v>271</v>
      </c>
      <c r="C9" s="48" t="s">
        <v>270</v>
      </c>
      <c r="D9" s="48" t="s">
        <v>32</v>
      </c>
      <c r="E9" s="4">
        <v>4</v>
      </c>
      <c r="F9" s="4" t="s">
        <v>23</v>
      </c>
      <c r="G9" s="4" t="s">
        <v>18</v>
      </c>
      <c r="H9" s="49"/>
      <c r="I9" s="49"/>
      <c r="J9" s="6" t="s">
        <v>259</v>
      </c>
      <c r="K9" s="36"/>
      <c r="L9" s="43">
        <f>SUMIFS([1]خرداد!$AF$2:$AF$140,[1]خرداد!$C$2:$C$140,"قطعه تعمیری",[1]خرداد!$B$2:$B$140,C9,[1]خرداد!$P$2:$P$140,B9)</f>
        <v>18.5</v>
      </c>
      <c r="M9" s="1" t="s">
        <v>37</v>
      </c>
      <c r="N9" s="51">
        <f t="shared" si="0"/>
        <v>13875000</v>
      </c>
    </row>
    <row r="10" spans="1:14" ht="28.7" customHeight="1" x14ac:dyDescent="0.25">
      <c r="A10" s="26">
        <v>7</v>
      </c>
      <c r="B10" s="134" t="s">
        <v>85</v>
      </c>
      <c r="C10" s="48" t="s">
        <v>58</v>
      </c>
      <c r="D10" s="48" t="s">
        <v>32</v>
      </c>
      <c r="E10" s="48">
        <v>4</v>
      </c>
      <c r="F10" s="48" t="s">
        <v>23</v>
      </c>
      <c r="G10" s="57" t="s">
        <v>18</v>
      </c>
      <c r="H10" s="2"/>
      <c r="I10" s="49"/>
      <c r="J10" s="36" t="s">
        <v>279</v>
      </c>
      <c r="K10" s="36"/>
      <c r="L10" s="43">
        <f>SUMIFS([1]خرداد!$AF$2:$AF$140,[1]خرداد!$C$2:$C$140,"قطعه تعمیری",[1]خرداد!$B$2:$B$140,C10,[1]خرداد!$P$2:$P$140,B10)</f>
        <v>15</v>
      </c>
      <c r="M10" s="1" t="s">
        <v>37</v>
      </c>
      <c r="N10" s="51">
        <f t="shared" si="0"/>
        <v>11250000</v>
      </c>
    </row>
    <row r="11" spans="1:14" ht="28.7" customHeight="1" x14ac:dyDescent="0.25">
      <c r="A11" s="26">
        <v>8</v>
      </c>
      <c r="B11" s="134" t="s">
        <v>85</v>
      </c>
      <c r="C11" s="4" t="s">
        <v>56</v>
      </c>
      <c r="D11" s="48" t="s">
        <v>32</v>
      </c>
      <c r="E11" s="48">
        <v>1</v>
      </c>
      <c r="F11" s="48" t="s">
        <v>23</v>
      </c>
      <c r="G11" s="57" t="s">
        <v>18</v>
      </c>
      <c r="H11" s="49">
        <v>15685</v>
      </c>
      <c r="I11" s="49">
        <v>2025</v>
      </c>
      <c r="J11" s="35" t="s">
        <v>278</v>
      </c>
      <c r="K11" s="36" t="s">
        <v>278</v>
      </c>
      <c r="L11" s="43">
        <f>SUMIFS([1]خرداد!$AF$2:$AF$140,[1]خرداد!$C$2:$C$140,"قطعه تعمیری",[1]خرداد!$B$2:$B$140,C11,[1]خرداد!$P$2:$P$140,B11)</f>
        <v>3</v>
      </c>
      <c r="M11" s="1" t="s">
        <v>20</v>
      </c>
      <c r="N11" s="51">
        <f t="shared" si="0"/>
        <v>2250000</v>
      </c>
    </row>
    <row r="12" spans="1:14" ht="28.7" customHeight="1" x14ac:dyDescent="0.25">
      <c r="A12" s="26">
        <v>9</v>
      </c>
      <c r="B12" s="134" t="s">
        <v>85</v>
      </c>
      <c r="C12" s="4" t="s">
        <v>48</v>
      </c>
      <c r="D12" s="48" t="s">
        <v>273</v>
      </c>
      <c r="E12" s="48">
        <v>1</v>
      </c>
      <c r="F12" s="48" t="s">
        <v>23</v>
      </c>
      <c r="G12" s="57" t="s">
        <v>18</v>
      </c>
      <c r="H12" s="49">
        <v>15597</v>
      </c>
      <c r="I12" s="49"/>
      <c r="J12" s="35" t="s">
        <v>276</v>
      </c>
      <c r="K12" s="36" t="s">
        <v>278</v>
      </c>
      <c r="L12" s="43">
        <f>SUMIFS([1]خرداد!$AF$2:$AF$140,[1]خرداد!$C$2:$C$140,"قطعه تعمیری",[1]خرداد!$B$2:$B$140,C12,[1]خرداد!$P$2:$P$140,B12)</f>
        <v>9</v>
      </c>
      <c r="M12" s="1" t="s">
        <v>20</v>
      </c>
      <c r="N12" s="51">
        <f t="shared" si="0"/>
        <v>6750000</v>
      </c>
    </row>
    <row r="13" spans="1:14" ht="28.7" customHeight="1" x14ac:dyDescent="0.25">
      <c r="A13" s="26">
        <v>10</v>
      </c>
      <c r="B13" s="29" t="s">
        <v>68</v>
      </c>
      <c r="C13" s="4" t="s">
        <v>280</v>
      </c>
      <c r="D13" s="48" t="s">
        <v>32</v>
      </c>
      <c r="E13" s="48">
        <v>1</v>
      </c>
      <c r="F13" s="48" t="s">
        <v>23</v>
      </c>
      <c r="G13" s="57" t="s">
        <v>18</v>
      </c>
      <c r="H13" s="49">
        <v>15692</v>
      </c>
      <c r="I13" s="49">
        <v>2506</v>
      </c>
      <c r="J13" s="35" t="s">
        <v>276</v>
      </c>
      <c r="K13" s="36" t="s">
        <v>281</v>
      </c>
      <c r="L13" s="43">
        <f>SUMIFS([1]خرداد!$AF$2:$AF$140,[1]خرداد!$C$2:$C$140,"قطعه تعمیری",[1]خرداد!$B$2:$B$140,C13,[1]خرداد!$P$2:$P$140,B13)</f>
        <v>8.5</v>
      </c>
      <c r="M13" s="1" t="s">
        <v>20</v>
      </c>
      <c r="N13" s="51">
        <f t="shared" si="0"/>
        <v>6375000</v>
      </c>
    </row>
    <row r="14" spans="1:14" ht="28.7" customHeight="1" x14ac:dyDescent="0.25">
      <c r="A14" s="26">
        <v>11</v>
      </c>
      <c r="B14" s="134" t="s">
        <v>77</v>
      </c>
      <c r="C14" s="4" t="s">
        <v>28</v>
      </c>
      <c r="D14" s="48" t="s">
        <v>32</v>
      </c>
      <c r="E14" s="48">
        <v>1</v>
      </c>
      <c r="F14" s="48" t="s">
        <v>23</v>
      </c>
      <c r="G14" s="57" t="s">
        <v>18</v>
      </c>
      <c r="H14" s="49">
        <v>15976</v>
      </c>
      <c r="I14" s="49">
        <v>2511</v>
      </c>
      <c r="J14" s="35" t="s">
        <v>282</v>
      </c>
      <c r="K14" s="35" t="s">
        <v>279</v>
      </c>
      <c r="L14" s="43">
        <f>SUMIFS([1]خرداد!$AF$2:$AF$140,[1]خرداد!$C$2:$C$140,"قطعه تعمیری",[1]خرداد!$B$2:$B$140,C14,[1]خرداد!$P$2:$P$140,"*")</f>
        <v>4.5</v>
      </c>
      <c r="M14" s="1" t="s">
        <v>20</v>
      </c>
      <c r="N14" s="51">
        <f t="shared" si="0"/>
        <v>3375000</v>
      </c>
    </row>
    <row r="15" spans="1:14" ht="28.7" customHeight="1" x14ac:dyDescent="0.25">
      <c r="A15" s="26">
        <v>12</v>
      </c>
      <c r="B15" s="134" t="s">
        <v>39</v>
      </c>
      <c r="C15" s="48" t="s">
        <v>22</v>
      </c>
      <c r="D15" s="48" t="s">
        <v>32</v>
      </c>
      <c r="E15" s="48">
        <v>8</v>
      </c>
      <c r="F15" s="48" t="s">
        <v>23</v>
      </c>
      <c r="G15" s="57" t="s">
        <v>18</v>
      </c>
      <c r="H15" s="49"/>
      <c r="I15" s="49"/>
      <c r="J15" s="35" t="s">
        <v>279</v>
      </c>
      <c r="K15" s="35" t="s">
        <v>279</v>
      </c>
      <c r="L15" s="43">
        <f>SUMIFS([1]خرداد!$AF$2:$AF$140,[1]خرداد!$C$2:$C$140,"قطعه تعمیری",[1]خرداد!$B$2:$B$140,C15,[1]خرداد!$P$2:$P$140,B15)</f>
        <v>1</v>
      </c>
      <c r="M15" s="1" t="s">
        <v>20</v>
      </c>
      <c r="N15" s="51">
        <f t="shared" si="0"/>
        <v>750000</v>
      </c>
    </row>
    <row r="16" spans="1:14" ht="28.7" customHeight="1" x14ac:dyDescent="0.25">
      <c r="A16" s="26">
        <v>13</v>
      </c>
      <c r="B16" s="134" t="s">
        <v>61</v>
      </c>
      <c r="C16" s="48" t="s">
        <v>283</v>
      </c>
      <c r="D16" s="48" t="s">
        <v>32</v>
      </c>
      <c r="E16" s="48">
        <v>1</v>
      </c>
      <c r="F16" s="48" t="s">
        <v>23</v>
      </c>
      <c r="G16" s="57" t="s">
        <v>18</v>
      </c>
      <c r="H16" s="49" t="s">
        <v>284</v>
      </c>
      <c r="I16" s="49"/>
      <c r="J16" s="35" t="s">
        <v>279</v>
      </c>
      <c r="K16" s="35" t="s">
        <v>279</v>
      </c>
      <c r="L16" s="43">
        <f>SUMIFS([1]خرداد!$AF$2:$AF$140,[1]خرداد!$C$2:$C$140,"قطعه تعمیری",[1]خرداد!$B$2:$B$140,C16,[1]خرداد!$P$2:$P$140,B16)</f>
        <v>1.75</v>
      </c>
      <c r="M16" s="1" t="s">
        <v>20</v>
      </c>
      <c r="N16" s="51">
        <f t="shared" si="0"/>
        <v>1312500</v>
      </c>
    </row>
    <row r="17" spans="1:14" ht="28.7" customHeight="1" x14ac:dyDescent="0.25">
      <c r="A17" s="26">
        <v>14</v>
      </c>
      <c r="B17" s="134" t="s">
        <v>61</v>
      </c>
      <c r="C17" s="48" t="s">
        <v>285</v>
      </c>
      <c r="D17" s="48" t="s">
        <v>32</v>
      </c>
      <c r="E17" s="48">
        <v>1</v>
      </c>
      <c r="F17" s="48" t="s">
        <v>23</v>
      </c>
      <c r="G17" s="57" t="s">
        <v>18</v>
      </c>
      <c r="H17" s="49" t="s">
        <v>284</v>
      </c>
      <c r="I17" s="49"/>
      <c r="J17" s="35" t="s">
        <v>279</v>
      </c>
      <c r="K17" s="35" t="s">
        <v>279</v>
      </c>
      <c r="L17" s="43">
        <f>SUMIFS([1]خرداد!$AF$2:$AF$140,[1]خرداد!$C$2:$C$140,"قطعه تعمیری",[1]خرداد!$B$2:$B$140,C17,[1]خرداد!$P$2:$P$140,B17)</f>
        <v>1.8333333333333333</v>
      </c>
      <c r="M17" s="1" t="s">
        <v>20</v>
      </c>
      <c r="N17" s="51">
        <f t="shared" si="0"/>
        <v>1375000</v>
      </c>
    </row>
    <row r="18" spans="1:14" ht="28.7" customHeight="1" x14ac:dyDescent="0.25">
      <c r="A18" s="26">
        <v>15</v>
      </c>
      <c r="B18" s="29" t="s">
        <v>42</v>
      </c>
      <c r="C18" s="48" t="s">
        <v>250</v>
      </c>
      <c r="D18" s="48" t="s">
        <v>195</v>
      </c>
      <c r="E18" s="4">
        <v>1</v>
      </c>
      <c r="F18" s="4" t="s">
        <v>23</v>
      </c>
      <c r="G18" s="4" t="s">
        <v>18</v>
      </c>
      <c r="H18" s="49"/>
      <c r="I18" s="49"/>
      <c r="J18" s="5" t="s">
        <v>278</v>
      </c>
      <c r="K18" s="5" t="s">
        <v>278</v>
      </c>
      <c r="L18" s="43">
        <f>SUMIFS([1]خرداد!$AF$2:$AF$140,[1]خرداد!$C$2:$C$140,"قطعه تعمیری",[1]خرداد!$B$2:$B$140,C18,[1]خرداد!$P$2:$P$140,B18)</f>
        <v>2</v>
      </c>
      <c r="M18" s="1" t="s">
        <v>20</v>
      </c>
      <c r="N18" s="51">
        <f t="shared" si="0"/>
        <v>1500000</v>
      </c>
    </row>
    <row r="19" spans="1:14" ht="28.7" customHeight="1" x14ac:dyDescent="0.25">
      <c r="A19" s="26">
        <v>16</v>
      </c>
      <c r="B19" s="134" t="s">
        <v>286</v>
      </c>
      <c r="C19" s="48" t="s">
        <v>46</v>
      </c>
      <c r="D19" s="48" t="s">
        <v>287</v>
      </c>
      <c r="E19" s="48">
        <v>2</v>
      </c>
      <c r="F19" s="48" t="s">
        <v>23</v>
      </c>
      <c r="G19" s="57" t="s">
        <v>18</v>
      </c>
      <c r="H19" s="49">
        <v>15596</v>
      </c>
      <c r="I19" s="49"/>
      <c r="J19" s="35" t="s">
        <v>282</v>
      </c>
      <c r="K19" s="36" t="s">
        <v>282</v>
      </c>
      <c r="L19" s="43">
        <f>SUMIFS([1]خرداد!$AF$2:$AF$140,[1]خرداد!$C$2:$C$140,"قطعه تعمیری",[1]خرداد!$B$2:$B$140,C19,[1]خرداد!$P$2:$P$140,B19)</f>
        <v>5</v>
      </c>
      <c r="M19" s="1" t="s">
        <v>20</v>
      </c>
      <c r="N19" s="51">
        <f t="shared" si="0"/>
        <v>3750000</v>
      </c>
    </row>
    <row r="20" spans="1:14" ht="28.7" customHeight="1" x14ac:dyDescent="0.25">
      <c r="A20" s="26">
        <v>17</v>
      </c>
      <c r="B20" s="59" t="s">
        <v>13</v>
      </c>
      <c r="C20" s="21" t="s">
        <v>27</v>
      </c>
      <c r="D20" s="47" t="s">
        <v>17</v>
      </c>
      <c r="E20" s="1">
        <v>5</v>
      </c>
      <c r="F20" s="48" t="s">
        <v>23</v>
      </c>
      <c r="G20" s="57" t="s">
        <v>18</v>
      </c>
      <c r="H20" s="1"/>
      <c r="I20" s="3"/>
      <c r="J20" s="35" t="s">
        <v>279</v>
      </c>
      <c r="K20" s="35"/>
      <c r="L20" s="43">
        <f>SUMIFS([1]خرداد!$AF$2:$AF$140,[1]خرداد!$C$2:$C$140,"قطعه تعمیری",[1]خرداد!$B$2:$B$140,C20,[1]خرداد!$P$2:$P$140,B20)</f>
        <v>28</v>
      </c>
      <c r="M20" s="1" t="s">
        <v>37</v>
      </c>
      <c r="N20" s="51">
        <f t="shared" si="0"/>
        <v>21000000</v>
      </c>
    </row>
    <row r="21" spans="1:14" ht="28.7" customHeight="1" x14ac:dyDescent="0.25">
      <c r="A21" s="26">
        <v>18</v>
      </c>
      <c r="B21" s="59" t="s">
        <v>85</v>
      </c>
      <c r="C21" s="21" t="s">
        <v>27</v>
      </c>
      <c r="D21" s="47" t="s">
        <v>17</v>
      </c>
      <c r="E21" s="1">
        <v>1</v>
      </c>
      <c r="F21" s="4" t="s">
        <v>23</v>
      </c>
      <c r="G21" s="47" t="s">
        <v>18</v>
      </c>
      <c r="H21" s="2"/>
      <c r="I21" s="2"/>
      <c r="J21" s="5" t="s">
        <v>279</v>
      </c>
      <c r="K21" s="5" t="s">
        <v>278</v>
      </c>
      <c r="L21" s="43">
        <f>SUMIFS([1]خرداد!$AF$2:$AF$140,[1]خرداد!$C$2:$C$140,"قطعه تعمیری",[1]خرداد!$B$2:$B$140,C21,[1]خرداد!$P$2:$P$140,B21)</f>
        <v>3</v>
      </c>
      <c r="M21" s="1" t="s">
        <v>20</v>
      </c>
      <c r="N21" s="161">
        <f t="shared" si="0"/>
        <v>2250000</v>
      </c>
    </row>
    <row r="22" spans="1:14" ht="28.7" customHeight="1" thickBot="1" x14ac:dyDescent="0.3">
      <c r="A22" s="26">
        <v>19</v>
      </c>
      <c r="B22" s="75" t="s">
        <v>146</v>
      </c>
      <c r="C22" s="19" t="s">
        <v>27</v>
      </c>
      <c r="D22" s="57" t="s">
        <v>17</v>
      </c>
      <c r="E22" s="76">
        <v>3</v>
      </c>
      <c r="F22" s="48" t="s">
        <v>23</v>
      </c>
      <c r="G22" s="57" t="s">
        <v>18</v>
      </c>
      <c r="H22" s="49"/>
      <c r="I22" s="49"/>
      <c r="J22" s="35" t="s">
        <v>279</v>
      </c>
      <c r="K22" s="35" t="s">
        <v>278</v>
      </c>
      <c r="L22" s="42">
        <f>SUMIFS([1]خرداد!$AF$2:$AF$140,[1]خرداد!$C$2:$C$140,"قطعه تعمیری",[1]خرداد!$B$2:$B$140,C22,[1]خرداد!$P$2:$P$140,B22)</f>
        <v>5</v>
      </c>
      <c r="M22" s="76" t="s">
        <v>20</v>
      </c>
      <c r="N22" s="51">
        <f t="shared" si="0"/>
        <v>3750000</v>
      </c>
    </row>
    <row r="23" spans="1:14" ht="21" customHeight="1" x14ac:dyDescent="0.25">
      <c r="A23" s="31"/>
      <c r="B23" s="246" t="s">
        <v>30</v>
      </c>
      <c r="C23" s="131" t="s">
        <v>184</v>
      </c>
      <c r="D23" s="61" t="s">
        <v>14</v>
      </c>
      <c r="E23" s="102">
        <f>SUMIFS(E4:E22,F4:F22,D23,M4:M22,"تحویل")</f>
        <v>8001</v>
      </c>
      <c r="F23" s="132"/>
      <c r="G23" s="61"/>
      <c r="H23" s="60"/>
      <c r="I23" s="246" t="s">
        <v>115</v>
      </c>
      <c r="J23" s="60" t="s">
        <v>14</v>
      </c>
      <c r="K23" s="60">
        <f>SUMIFS(E4:E22,F4:F22,J23)</f>
        <v>8310</v>
      </c>
      <c r="L23" s="244">
        <f>SUM(L4:L22)</f>
        <v>232.08333333333334</v>
      </c>
      <c r="M23" s="118"/>
      <c r="N23" s="259">
        <f>SUM(N4:N22)</f>
        <v>174062500</v>
      </c>
    </row>
    <row r="24" spans="1:14" ht="21" customHeight="1" thickBot="1" x14ac:dyDescent="0.3">
      <c r="A24" s="10"/>
      <c r="B24" s="247"/>
      <c r="C24" s="129" t="s">
        <v>184</v>
      </c>
      <c r="D24" s="62" t="s">
        <v>23</v>
      </c>
      <c r="E24" s="94">
        <f>SUMIFS(E4:E22,F4:F22,D24,M4:M22,"تحویل")</f>
        <v>21</v>
      </c>
      <c r="F24" s="11"/>
      <c r="G24" s="62"/>
      <c r="H24" s="11"/>
      <c r="I24" s="247"/>
      <c r="J24" s="11" t="s">
        <v>23</v>
      </c>
      <c r="K24" s="11">
        <f>SUMIFS(E5:E22,F5:F22,J24)</f>
        <v>34</v>
      </c>
      <c r="L24" s="245"/>
      <c r="M24" s="113"/>
      <c r="N24" s="258"/>
    </row>
  </sheetData>
  <mergeCells count="5">
    <mergeCell ref="A1:K2"/>
    <mergeCell ref="B23:B24"/>
    <mergeCell ref="I23:I24"/>
    <mergeCell ref="L23:L24"/>
    <mergeCell ref="N23:N24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L14" formula="1"/>
    <ignoredError sqref="K24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48F2-C7D0-4E43-A254-D64EE2BB756C}">
  <sheetPr>
    <pageSetUpPr fitToPage="1"/>
  </sheetPr>
  <dimension ref="A1:N36"/>
  <sheetViews>
    <sheetView rightToLeft="1" view="pageLayout" zoomScaleNormal="100" workbookViewId="0">
      <selection activeCell="M36" sqref="M36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11</v>
      </c>
    </row>
    <row r="3" spans="1:14" ht="42.75" customHeight="1" thickBot="1" x14ac:dyDescent="0.3">
      <c r="A3" s="24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26">
        <v>1</v>
      </c>
      <c r="B4" s="134" t="s">
        <v>71</v>
      </c>
      <c r="C4" s="4" t="s">
        <v>31</v>
      </c>
      <c r="D4" s="48" t="s">
        <v>32</v>
      </c>
      <c r="E4" s="4">
        <v>300</v>
      </c>
      <c r="F4" s="3" t="s">
        <v>14</v>
      </c>
      <c r="G4" s="57" t="s">
        <v>21</v>
      </c>
      <c r="H4" s="2" t="s">
        <v>228</v>
      </c>
      <c r="I4" s="2"/>
      <c r="J4" s="35" t="s">
        <v>229</v>
      </c>
      <c r="K4" s="36"/>
      <c r="L4" s="145">
        <f>SUMIFS([1]خرداد!$AF$141:$AF$261,[1]خرداد!$C$141:$C$261,"قطعه نو",[1]خرداد!$B$141:$B$261,C4,[1]خرداد!$P$141:$P$261,B4)</f>
        <v>43.5</v>
      </c>
      <c r="M4" s="65" t="s">
        <v>37</v>
      </c>
      <c r="N4" s="69">
        <f>L4*(500000*1.5)</f>
        <v>32625000</v>
      </c>
    </row>
    <row r="5" spans="1:14" ht="28.7" customHeight="1" x14ac:dyDescent="0.25">
      <c r="A5" s="26">
        <v>2</v>
      </c>
      <c r="B5" s="29" t="s">
        <v>89</v>
      </c>
      <c r="C5" s="4" t="s">
        <v>24</v>
      </c>
      <c r="D5" s="48" t="s">
        <v>17</v>
      </c>
      <c r="E5" s="48">
        <v>1</v>
      </c>
      <c r="F5" s="4" t="s">
        <v>14</v>
      </c>
      <c r="G5" s="47" t="s">
        <v>21</v>
      </c>
      <c r="H5" s="47">
        <v>15572</v>
      </c>
      <c r="I5" s="2">
        <v>6502</v>
      </c>
      <c r="J5" s="6" t="s">
        <v>206</v>
      </c>
      <c r="K5" s="36"/>
      <c r="L5" s="43">
        <f>SUMIFS([1]خرداد!$AF$141:$AF$261,[1]خرداد!$C$141:$C$261,"قطعه نو",[1]خرداد!$B$141:$B$261,C5,[1]خرداد!$P$141:$P$261,B5)</f>
        <v>5</v>
      </c>
      <c r="M5" s="1" t="s">
        <v>37</v>
      </c>
      <c r="N5" s="51">
        <f t="shared" ref="N5:N33" si="0">L5*(500000*1.5)</f>
        <v>3750000</v>
      </c>
    </row>
    <row r="6" spans="1:14" ht="28.7" customHeight="1" x14ac:dyDescent="0.25">
      <c r="A6" s="26">
        <v>3</v>
      </c>
      <c r="B6" s="134" t="s">
        <v>290</v>
      </c>
      <c r="C6" s="48" t="s">
        <v>289</v>
      </c>
      <c r="D6" s="48" t="s">
        <v>291</v>
      </c>
      <c r="E6" s="48">
        <v>1</v>
      </c>
      <c r="F6" s="3" t="s">
        <v>14</v>
      </c>
      <c r="G6" s="57" t="s">
        <v>292</v>
      </c>
      <c r="H6" s="49">
        <v>1708</v>
      </c>
      <c r="I6" s="49">
        <v>6007</v>
      </c>
      <c r="J6" s="35" t="s">
        <v>293</v>
      </c>
      <c r="K6" s="36"/>
      <c r="L6" s="43">
        <f>SUMIFS([1]خرداد!$AF$141:$AF$261,[1]خرداد!$C$141:$C$261,"قطعه نو",[1]خرداد!$B$141:$B$261,C6,[1]خرداد!$P$141:$P$261,B6)</f>
        <v>6</v>
      </c>
      <c r="M6" s="1" t="s">
        <v>37</v>
      </c>
      <c r="N6" s="51">
        <f t="shared" si="0"/>
        <v>4500000</v>
      </c>
    </row>
    <row r="7" spans="1:14" ht="28.7" customHeight="1" x14ac:dyDescent="0.25">
      <c r="A7" s="26">
        <v>4</v>
      </c>
      <c r="B7" s="29" t="s">
        <v>85</v>
      </c>
      <c r="C7" s="4" t="s">
        <v>294</v>
      </c>
      <c r="D7" s="48" t="s">
        <v>17</v>
      </c>
      <c r="E7" s="4">
        <v>1</v>
      </c>
      <c r="F7" s="3" t="s">
        <v>14</v>
      </c>
      <c r="G7" s="57" t="s">
        <v>21</v>
      </c>
      <c r="H7" s="2">
        <v>15573</v>
      </c>
      <c r="I7" s="2">
        <v>2064</v>
      </c>
      <c r="J7" s="35" t="s">
        <v>295</v>
      </c>
      <c r="K7" s="36" t="s">
        <v>295</v>
      </c>
      <c r="L7" s="43">
        <f>SUMIFS([1]خرداد!$AF$141:$AF$261,[1]خرداد!$C$141:$C$261,"قطعه نو",[1]خرداد!$B$141:$B$261,C7,[1]خرداد!$P$141:$P$261,B7)</f>
        <v>4</v>
      </c>
      <c r="M7" s="50" t="s">
        <v>20</v>
      </c>
      <c r="N7" s="51">
        <f t="shared" si="0"/>
        <v>3000000</v>
      </c>
    </row>
    <row r="8" spans="1:14" ht="28.7" customHeight="1" x14ac:dyDescent="0.25">
      <c r="A8" s="26">
        <v>5</v>
      </c>
      <c r="B8" s="134" t="s">
        <v>275</v>
      </c>
      <c r="C8" s="48" t="s">
        <v>274</v>
      </c>
      <c r="D8" s="48" t="s">
        <v>132</v>
      </c>
      <c r="E8" s="48">
        <v>1000</v>
      </c>
      <c r="F8" s="3" t="s">
        <v>14</v>
      </c>
      <c r="G8" s="57" t="s">
        <v>21</v>
      </c>
      <c r="H8" s="49"/>
      <c r="I8" s="49"/>
      <c r="J8" s="6" t="s">
        <v>288</v>
      </c>
      <c r="K8" s="36" t="s">
        <v>296</v>
      </c>
      <c r="L8" s="43">
        <f>SUMIFS([1]خرداد!$AF$141:$AF$261,[1]خرداد!$C$141:$C$261,"قطعه نو",[1]خرداد!$B$141:$B$261,C8,[1]خرداد!$P$141:$P$261,B8)</f>
        <v>15</v>
      </c>
      <c r="M8" s="1" t="s">
        <v>20</v>
      </c>
      <c r="N8" s="51">
        <f t="shared" si="0"/>
        <v>11250000</v>
      </c>
    </row>
    <row r="9" spans="1:14" ht="28.7" customHeight="1" x14ac:dyDescent="0.25">
      <c r="A9" s="26">
        <v>6</v>
      </c>
      <c r="B9" s="29" t="s">
        <v>298</v>
      </c>
      <c r="C9" s="48" t="s">
        <v>297</v>
      </c>
      <c r="D9" s="48" t="s">
        <v>132</v>
      </c>
      <c r="E9" s="48">
        <v>1000</v>
      </c>
      <c r="F9" s="3" t="s">
        <v>14</v>
      </c>
      <c r="G9" s="57" t="s">
        <v>21</v>
      </c>
      <c r="H9" s="49"/>
      <c r="I9" s="49"/>
      <c r="J9" s="6" t="s">
        <v>293</v>
      </c>
      <c r="K9" s="36"/>
      <c r="L9" s="43">
        <f>SUMIFS([1]خرداد!$AF$141:$AF$261,[1]خرداد!$C$141:$C$261,"قطعه نو",[1]خرداد!$B$141:$B$261,C9,[1]خرداد!$P$141:$P$261,B9)</f>
        <v>15</v>
      </c>
      <c r="M9" s="1" t="s">
        <v>37</v>
      </c>
      <c r="N9" s="51">
        <f t="shared" si="0"/>
        <v>11250000</v>
      </c>
    </row>
    <row r="10" spans="1:14" ht="28.7" customHeight="1" x14ac:dyDescent="0.25">
      <c r="A10" s="26">
        <v>7</v>
      </c>
      <c r="B10" s="134" t="s">
        <v>300</v>
      </c>
      <c r="C10" s="48" t="s">
        <v>299</v>
      </c>
      <c r="D10" s="48" t="s">
        <v>17</v>
      </c>
      <c r="E10" s="48">
        <v>6</v>
      </c>
      <c r="F10" s="48" t="s">
        <v>14</v>
      </c>
      <c r="G10" s="57" t="s">
        <v>21</v>
      </c>
      <c r="H10" s="2"/>
      <c r="I10" s="49"/>
      <c r="J10" s="36" t="s">
        <v>296</v>
      </c>
      <c r="K10" s="36"/>
      <c r="L10" s="43">
        <f>SUMIFS([1]خرداد!$AF$141:$AF$261,[1]خرداد!$C$141:$C$261,"قطعه نو",[1]خرداد!$B$141:$B$261,C10,[1]خرداد!$P$141:$P$261,B10)</f>
        <v>16.5</v>
      </c>
      <c r="M10" s="1" t="s">
        <v>37</v>
      </c>
      <c r="N10" s="51">
        <f t="shared" si="0"/>
        <v>12375000</v>
      </c>
    </row>
    <row r="11" spans="1:14" ht="28.7" customHeight="1" x14ac:dyDescent="0.25">
      <c r="A11" s="26">
        <v>8</v>
      </c>
      <c r="B11" s="134" t="s">
        <v>239</v>
      </c>
      <c r="C11" s="4" t="s">
        <v>301</v>
      </c>
      <c r="D11" s="48" t="s">
        <v>195</v>
      </c>
      <c r="E11" s="48">
        <v>8</v>
      </c>
      <c r="F11" s="48" t="s">
        <v>14</v>
      </c>
      <c r="G11" s="57" t="s">
        <v>21</v>
      </c>
      <c r="H11" s="49"/>
      <c r="I11" s="49"/>
      <c r="J11" s="35" t="s">
        <v>288</v>
      </c>
      <c r="K11" s="36" t="s">
        <v>293</v>
      </c>
      <c r="L11" s="43">
        <f>SUMIFS([1]خرداد!$AF$141:$AF$261,[1]خرداد!$C$141:$C$261,"قطعه نو",[1]خرداد!$B$141:$B$261,C11,[1]خرداد!$P$141:$P$261,B11)</f>
        <v>12</v>
      </c>
      <c r="M11" s="1" t="s">
        <v>20</v>
      </c>
      <c r="N11" s="51">
        <f t="shared" si="0"/>
        <v>9000000</v>
      </c>
    </row>
    <row r="12" spans="1:14" ht="28.7" customHeight="1" x14ac:dyDescent="0.25">
      <c r="A12" s="26">
        <v>9</v>
      </c>
      <c r="B12" s="134" t="s">
        <v>260</v>
      </c>
      <c r="C12" s="4" t="s">
        <v>94</v>
      </c>
      <c r="D12" s="48" t="s">
        <v>273</v>
      </c>
      <c r="E12" s="48">
        <v>8</v>
      </c>
      <c r="F12" s="48" t="s">
        <v>14</v>
      </c>
      <c r="G12" s="57" t="s">
        <v>21</v>
      </c>
      <c r="H12" s="2" t="s">
        <v>87</v>
      </c>
      <c r="I12" s="49"/>
      <c r="J12" s="6" t="s">
        <v>261</v>
      </c>
      <c r="K12" s="36"/>
      <c r="L12" s="43">
        <f>SUMIFS([1]خرداد!$AF$141:$AF$261,[1]خرداد!$C$141:$C$261,"قطعه نو",[1]خرداد!$B$141:$B$261,C12,[1]خرداد!$P$141:$P$261,"*")</f>
        <v>67</v>
      </c>
      <c r="M12" s="1" t="s">
        <v>37</v>
      </c>
      <c r="N12" s="51">
        <f t="shared" si="0"/>
        <v>50250000</v>
      </c>
    </row>
    <row r="13" spans="1:14" ht="28.7" customHeight="1" x14ac:dyDescent="0.25">
      <c r="A13" s="26">
        <v>10</v>
      </c>
      <c r="B13" s="29" t="s">
        <v>50</v>
      </c>
      <c r="C13" s="4" t="s">
        <v>280</v>
      </c>
      <c r="D13" s="48" t="s">
        <v>32</v>
      </c>
      <c r="E13" s="48">
        <v>1</v>
      </c>
      <c r="F13" s="48" t="s">
        <v>14</v>
      </c>
      <c r="G13" s="57" t="s">
        <v>21</v>
      </c>
      <c r="H13" s="49">
        <v>15577</v>
      </c>
      <c r="I13" s="49"/>
      <c r="J13" s="36" t="s">
        <v>296</v>
      </c>
      <c r="K13" s="36" t="s">
        <v>296</v>
      </c>
      <c r="L13" s="43">
        <f>SUMIFS([1]خرداد!$AF$141:$AF$261,[1]خرداد!$C$141:$C$261,"قطعه نو",[1]خرداد!$B$141:$B$261,C13,[1]خرداد!$P$141:$P$261,B13)</f>
        <v>4</v>
      </c>
      <c r="M13" s="1" t="s">
        <v>20</v>
      </c>
      <c r="N13" s="51">
        <f t="shared" si="0"/>
        <v>3000000</v>
      </c>
    </row>
    <row r="14" spans="1:14" ht="28.7" customHeight="1" x14ac:dyDescent="0.25">
      <c r="A14" s="26">
        <v>11</v>
      </c>
      <c r="B14" s="134" t="s">
        <v>302</v>
      </c>
      <c r="C14" s="4" t="s">
        <v>26</v>
      </c>
      <c r="D14" s="48" t="s">
        <v>17</v>
      </c>
      <c r="E14" s="48">
        <v>20</v>
      </c>
      <c r="F14" s="48" t="s">
        <v>14</v>
      </c>
      <c r="G14" s="57" t="s">
        <v>21</v>
      </c>
      <c r="H14" s="49"/>
      <c r="I14" s="49"/>
      <c r="J14" s="36" t="s">
        <v>295</v>
      </c>
      <c r="K14" s="35"/>
      <c r="L14" s="43">
        <f>SUMIFS([1]خرداد!$AF$141:$AF$261,[1]خرداد!$C$141:$C$261,"قطعه نو",[1]خرداد!$B$141:$B$261,C14,[1]خرداد!$P$141:$P$261,B14)</f>
        <v>19</v>
      </c>
      <c r="M14" s="1" t="s">
        <v>37</v>
      </c>
      <c r="N14" s="51">
        <f t="shared" si="0"/>
        <v>14250000</v>
      </c>
    </row>
    <row r="15" spans="1:14" ht="28.7" customHeight="1" x14ac:dyDescent="0.25">
      <c r="A15" s="26">
        <v>12</v>
      </c>
      <c r="B15" s="134" t="s">
        <v>304</v>
      </c>
      <c r="C15" s="48" t="s">
        <v>303</v>
      </c>
      <c r="D15" s="48" t="s">
        <v>132</v>
      </c>
      <c r="E15" s="48">
        <v>8</v>
      </c>
      <c r="F15" s="48" t="s">
        <v>14</v>
      </c>
      <c r="G15" s="57" t="s">
        <v>21</v>
      </c>
      <c r="H15" s="49"/>
      <c r="I15" s="49"/>
      <c r="J15" s="36" t="s">
        <v>295</v>
      </c>
      <c r="K15" s="35"/>
      <c r="L15" s="43">
        <f>SUMIFS([1]خرداد!$AF$141:$AF$261,[1]خرداد!$C$141:$C$261,"قطعه نو",[1]خرداد!$B$141:$B$261,C15,[1]خرداد!$P$141:$P$261,B15)</f>
        <v>25.333333333333336</v>
      </c>
      <c r="M15" s="1" t="s">
        <v>37</v>
      </c>
      <c r="N15" s="51">
        <f t="shared" si="0"/>
        <v>19000000</v>
      </c>
    </row>
    <row r="16" spans="1:14" ht="28.7" customHeight="1" x14ac:dyDescent="0.25">
      <c r="A16" s="26">
        <v>13</v>
      </c>
      <c r="B16" s="134" t="s">
        <v>305</v>
      </c>
      <c r="C16" s="48" t="s">
        <v>31</v>
      </c>
      <c r="D16" s="48" t="s">
        <v>32</v>
      </c>
      <c r="E16" s="48">
        <v>1</v>
      </c>
      <c r="F16" s="48" t="s">
        <v>23</v>
      </c>
      <c r="G16" s="57" t="s">
        <v>18</v>
      </c>
      <c r="H16" s="49">
        <v>15568</v>
      </c>
      <c r="I16" s="49"/>
      <c r="J16" s="35" t="s">
        <v>288</v>
      </c>
      <c r="K16" s="35" t="s">
        <v>288</v>
      </c>
      <c r="L16" s="43">
        <f>SUMIFS([1]خرداد!$AF$141:$AF$261,[1]خرداد!$C$141:$C$261,"قطعه تعمیری",[1]خرداد!$B$141:$B$261,C16,[1]خرداد!$P$141:$P$261,B16)</f>
        <v>2</v>
      </c>
      <c r="M16" s="1" t="s">
        <v>20</v>
      </c>
      <c r="N16" s="51">
        <f t="shared" si="0"/>
        <v>1500000</v>
      </c>
    </row>
    <row r="17" spans="1:14" ht="28.7" customHeight="1" x14ac:dyDescent="0.25">
      <c r="A17" s="26">
        <v>14</v>
      </c>
      <c r="B17" s="134" t="s">
        <v>306</v>
      </c>
      <c r="C17" s="48" t="s">
        <v>24</v>
      </c>
      <c r="D17" s="48" t="s">
        <v>17</v>
      </c>
      <c r="E17" s="48">
        <v>1</v>
      </c>
      <c r="F17" s="48" t="s">
        <v>23</v>
      </c>
      <c r="G17" s="57" t="s">
        <v>18</v>
      </c>
      <c r="H17" s="49">
        <v>15560</v>
      </c>
      <c r="I17" s="49">
        <v>6504</v>
      </c>
      <c r="J17" s="35" t="s">
        <v>288</v>
      </c>
      <c r="K17" s="35" t="s">
        <v>288</v>
      </c>
      <c r="L17" s="43">
        <f>SUMIFS([1]خرداد!$AF$141:$AF$261,[1]خرداد!$C$141:$C$261,"قطعه تعمیری",[1]خرداد!$B$141:$B$261,C17,[1]خرداد!$P$141:$P$261,B17)</f>
        <v>12</v>
      </c>
      <c r="M17" s="1" t="s">
        <v>20</v>
      </c>
      <c r="N17" s="51">
        <f t="shared" si="0"/>
        <v>9000000</v>
      </c>
    </row>
    <row r="18" spans="1:14" ht="28.7" customHeight="1" x14ac:dyDescent="0.25">
      <c r="A18" s="26">
        <v>15</v>
      </c>
      <c r="B18" s="29" t="s">
        <v>13</v>
      </c>
      <c r="C18" s="48" t="s">
        <v>307</v>
      </c>
      <c r="D18" s="48" t="s">
        <v>32</v>
      </c>
      <c r="E18" s="4">
        <v>1</v>
      </c>
      <c r="F18" s="48" t="s">
        <v>23</v>
      </c>
      <c r="G18" s="57" t="s">
        <v>18</v>
      </c>
      <c r="H18" s="49">
        <v>15895</v>
      </c>
      <c r="I18" s="49">
        <v>3207</v>
      </c>
      <c r="J18" s="36" t="s">
        <v>295</v>
      </c>
      <c r="K18" s="36" t="s">
        <v>295</v>
      </c>
      <c r="L18" s="43">
        <f>SUMIFS([1]خرداد!$AF$141:$AF$261,[1]خرداد!$C$141:$C$261,"قطعه تعمیری",[1]خرداد!$B$141:$B$261,C18,[1]خرداد!$P$141:$P$261,B18)</f>
        <v>1.5</v>
      </c>
      <c r="M18" s="1" t="s">
        <v>20</v>
      </c>
      <c r="N18" s="51">
        <f t="shared" si="0"/>
        <v>1125000</v>
      </c>
    </row>
    <row r="19" spans="1:14" ht="28.7" customHeight="1" x14ac:dyDescent="0.25">
      <c r="A19" s="26">
        <v>16</v>
      </c>
      <c r="B19" s="134" t="s">
        <v>271</v>
      </c>
      <c r="C19" s="48" t="s">
        <v>270</v>
      </c>
      <c r="D19" s="48" t="s">
        <v>32</v>
      </c>
      <c r="E19" s="4">
        <v>4</v>
      </c>
      <c r="F19" s="4" t="s">
        <v>23</v>
      </c>
      <c r="G19" s="4" t="s">
        <v>18</v>
      </c>
      <c r="H19" s="49"/>
      <c r="I19" s="49"/>
      <c r="J19" s="6" t="s">
        <v>259</v>
      </c>
      <c r="K19" s="36" t="s">
        <v>293</v>
      </c>
      <c r="L19" s="43">
        <f>SUMIFS([1]خرداد!$AF$141:$AF$261,[1]خرداد!$C$141:$C$261,"قطعه تعمیری",[1]خرداد!$B$141:$B$261,C19,[1]خرداد!$P$141:$P$261,B19)</f>
        <v>14</v>
      </c>
      <c r="M19" s="1" t="s">
        <v>20</v>
      </c>
      <c r="N19" s="51">
        <f t="shared" si="0"/>
        <v>10500000</v>
      </c>
    </row>
    <row r="20" spans="1:14" ht="28.7" customHeight="1" x14ac:dyDescent="0.25">
      <c r="A20" s="26">
        <v>17</v>
      </c>
      <c r="B20" s="59" t="s">
        <v>13</v>
      </c>
      <c r="C20" s="21" t="s">
        <v>301</v>
      </c>
      <c r="D20" s="47" t="s">
        <v>195</v>
      </c>
      <c r="E20" s="1">
        <v>12</v>
      </c>
      <c r="F20" s="4" t="s">
        <v>23</v>
      </c>
      <c r="G20" s="4" t="s">
        <v>18</v>
      </c>
      <c r="H20" s="1"/>
      <c r="I20" s="3"/>
      <c r="J20" s="36" t="s">
        <v>295</v>
      </c>
      <c r="K20" s="36" t="s">
        <v>295</v>
      </c>
      <c r="L20" s="43">
        <f>SUMIFS([1]خرداد!$AF$141:$AF$261,[1]خرداد!$C$141:$C$261,"قطعه تعمیری",[1]خرداد!$B$141:$B$261,C20,[1]خرداد!$P$141:$P$261,B20)</f>
        <v>9</v>
      </c>
      <c r="M20" s="1" t="s">
        <v>20</v>
      </c>
      <c r="N20" s="51">
        <f t="shared" si="0"/>
        <v>6750000</v>
      </c>
    </row>
    <row r="21" spans="1:14" ht="28.7" customHeight="1" x14ac:dyDescent="0.25">
      <c r="A21" s="26">
        <v>18</v>
      </c>
      <c r="B21" s="59" t="s">
        <v>77</v>
      </c>
      <c r="C21" s="21" t="s">
        <v>308</v>
      </c>
      <c r="D21" s="48" t="s">
        <v>17</v>
      </c>
      <c r="E21" s="1">
        <v>1</v>
      </c>
      <c r="F21" s="4" t="s">
        <v>23</v>
      </c>
      <c r="G21" s="4" t="s">
        <v>18</v>
      </c>
      <c r="H21" s="1"/>
      <c r="I21" s="3"/>
      <c r="J21" s="35" t="s">
        <v>288</v>
      </c>
      <c r="K21" s="35" t="s">
        <v>288</v>
      </c>
      <c r="L21" s="43">
        <f>SUMIFS([1]خرداد!$AF$141:$AF$261,[1]خرداد!$C$141:$C$261,"قطعه تعمیری",[1]خرداد!$B$141:$B$261,C21,[1]خرداد!$P$141:$P$261,B21)</f>
        <v>3</v>
      </c>
      <c r="M21" s="1" t="s">
        <v>20</v>
      </c>
      <c r="N21" s="51">
        <f t="shared" si="0"/>
        <v>2250000</v>
      </c>
    </row>
    <row r="22" spans="1:14" ht="28.7" customHeight="1" x14ac:dyDescent="0.25">
      <c r="A22" s="26">
        <v>19</v>
      </c>
      <c r="B22" s="59" t="s">
        <v>53</v>
      </c>
      <c r="C22" s="21" t="s">
        <v>309</v>
      </c>
      <c r="D22" s="47" t="s">
        <v>32</v>
      </c>
      <c r="E22" s="1">
        <v>13</v>
      </c>
      <c r="F22" s="4" t="s">
        <v>23</v>
      </c>
      <c r="G22" s="4" t="s">
        <v>18</v>
      </c>
      <c r="H22" s="1"/>
      <c r="I22" s="3"/>
      <c r="J22" s="35" t="s">
        <v>288</v>
      </c>
      <c r="K22" s="35" t="s">
        <v>288</v>
      </c>
      <c r="L22" s="43">
        <f>SUMIFS([1]خرداد!$AF$141:$AF$261,[1]خرداد!$C$141:$C$261,"قطعه تعمیری",[1]خرداد!$B$141:$B$261,C22,[1]خرداد!$P$141:$P$261,B22)</f>
        <v>11</v>
      </c>
      <c r="M22" s="1" t="s">
        <v>20</v>
      </c>
      <c r="N22" s="51">
        <f t="shared" si="0"/>
        <v>8250000</v>
      </c>
    </row>
    <row r="23" spans="1:14" ht="28.7" customHeight="1" x14ac:dyDescent="0.25">
      <c r="A23" s="26">
        <v>20</v>
      </c>
      <c r="B23" s="59" t="s">
        <v>310</v>
      </c>
      <c r="C23" s="21" t="s">
        <v>58</v>
      </c>
      <c r="D23" s="48" t="s">
        <v>32</v>
      </c>
      <c r="E23" s="48">
        <v>4</v>
      </c>
      <c r="F23" s="48" t="s">
        <v>23</v>
      </c>
      <c r="G23" s="57" t="s">
        <v>18</v>
      </c>
      <c r="H23" s="2"/>
      <c r="I23" s="49"/>
      <c r="J23" s="36" t="s">
        <v>279</v>
      </c>
      <c r="K23" s="36"/>
      <c r="L23" s="43">
        <f>SUMIFS([1]خرداد!$AF$141:$AF$261,[1]خرداد!$C$141:$C$261,"قطعه تعمیری",[1]خرداد!$B$141:$B$261,C23,[1]خرداد!$P$141:$P$261,B23)</f>
        <v>33</v>
      </c>
      <c r="M23" s="1" t="s">
        <v>37</v>
      </c>
      <c r="N23" s="51">
        <f t="shared" si="0"/>
        <v>24750000</v>
      </c>
    </row>
    <row r="24" spans="1:14" ht="28.7" customHeight="1" x14ac:dyDescent="0.25">
      <c r="A24" s="26">
        <v>21</v>
      </c>
      <c r="B24" s="59" t="s">
        <v>85</v>
      </c>
      <c r="C24" s="21" t="s">
        <v>43</v>
      </c>
      <c r="D24" s="48" t="s">
        <v>32</v>
      </c>
      <c r="E24" s="1">
        <v>1</v>
      </c>
      <c r="F24" s="4" t="s">
        <v>23</v>
      </c>
      <c r="G24" s="4" t="s">
        <v>18</v>
      </c>
      <c r="H24" s="1"/>
      <c r="I24" s="3"/>
      <c r="J24" s="36" t="s">
        <v>296</v>
      </c>
      <c r="K24" s="36" t="s">
        <v>293</v>
      </c>
      <c r="L24" s="43">
        <f>SUMIFS([1]خرداد!$AF$141:$AF$261,[1]خرداد!$C$141:$C$261,"قطعه تعمیری",[1]خرداد!$B$141:$B$261,C24,[1]خرداد!$P$141:$P$261,"*")</f>
        <v>10</v>
      </c>
      <c r="M24" s="1" t="s">
        <v>20</v>
      </c>
      <c r="N24" s="51">
        <f t="shared" si="0"/>
        <v>7500000</v>
      </c>
    </row>
    <row r="25" spans="1:14" ht="28.7" customHeight="1" x14ac:dyDescent="0.25">
      <c r="A25" s="26">
        <v>22</v>
      </c>
      <c r="B25" s="59" t="s">
        <v>312</v>
      </c>
      <c r="C25" s="21" t="s">
        <v>311</v>
      </c>
      <c r="D25" s="48" t="s">
        <v>17</v>
      </c>
      <c r="E25" s="1">
        <v>1</v>
      </c>
      <c r="F25" s="4" t="s">
        <v>23</v>
      </c>
      <c r="G25" s="4" t="s">
        <v>18</v>
      </c>
      <c r="H25" s="1"/>
      <c r="I25" s="3"/>
      <c r="J25" s="36" t="s">
        <v>296</v>
      </c>
      <c r="K25" s="36"/>
      <c r="L25" s="43">
        <f>SUMIFS([1]خرداد!$AF$141:$AF$261,[1]خرداد!$C$141:$C$261,"قطعه تعمیری",[1]خرداد!$B$141:$B$261,C25,[1]خرداد!$P$141:$P$261,B25)</f>
        <v>29</v>
      </c>
      <c r="M25" s="1" t="s">
        <v>37</v>
      </c>
      <c r="N25" s="51">
        <f t="shared" si="0"/>
        <v>21750000</v>
      </c>
    </row>
    <row r="26" spans="1:14" ht="28.7" customHeight="1" x14ac:dyDescent="0.25">
      <c r="A26" s="26">
        <v>23</v>
      </c>
      <c r="B26" s="59" t="s">
        <v>314</v>
      </c>
      <c r="C26" s="21" t="s">
        <v>313</v>
      </c>
      <c r="D26" s="48" t="s">
        <v>32</v>
      </c>
      <c r="E26" s="1">
        <v>1</v>
      </c>
      <c r="F26" s="4" t="s">
        <v>23</v>
      </c>
      <c r="G26" s="4" t="s">
        <v>18</v>
      </c>
      <c r="H26" s="1"/>
      <c r="I26" s="3"/>
      <c r="J26" s="36" t="s">
        <v>293</v>
      </c>
      <c r="K26" s="36" t="s">
        <v>293</v>
      </c>
      <c r="L26" s="43">
        <f>SUMIFS([1]خرداد!$AF$141:$AF$261,[1]خرداد!$C$141:$C$261,"قطعه تعمیری",[1]خرداد!$B$141:$B$261,C26,[1]خرداد!$P$141:$P$261,B26)</f>
        <v>1.5</v>
      </c>
      <c r="M26" s="1" t="s">
        <v>20</v>
      </c>
      <c r="N26" s="51">
        <f t="shared" si="0"/>
        <v>1125000</v>
      </c>
    </row>
    <row r="27" spans="1:14" ht="28.7" customHeight="1" x14ac:dyDescent="0.25">
      <c r="A27" s="26">
        <v>24</v>
      </c>
      <c r="B27" s="59" t="s">
        <v>315</v>
      </c>
      <c r="C27" s="21" t="s">
        <v>174</v>
      </c>
      <c r="D27" s="48" t="s">
        <v>32</v>
      </c>
      <c r="E27" s="1">
        <v>1</v>
      </c>
      <c r="F27" s="4" t="s">
        <v>23</v>
      </c>
      <c r="G27" s="4" t="s">
        <v>18</v>
      </c>
      <c r="H27" s="1"/>
      <c r="I27" s="3">
        <v>2504</v>
      </c>
      <c r="J27" s="36" t="s">
        <v>293</v>
      </c>
      <c r="K27" s="36" t="s">
        <v>293</v>
      </c>
      <c r="L27" s="43">
        <f>SUMIFS([1]خرداد!$AF$141:$AF$261,[1]خرداد!$C$141:$C$261,"قطعه تعمیری",[1]خرداد!$B$141:$B$261,C27,[1]خرداد!$P$141:$P$261,B27)</f>
        <v>1</v>
      </c>
      <c r="M27" s="1" t="s">
        <v>20</v>
      </c>
      <c r="N27" s="51">
        <f t="shared" si="0"/>
        <v>750000</v>
      </c>
    </row>
    <row r="28" spans="1:14" ht="28.7" customHeight="1" x14ac:dyDescent="0.25">
      <c r="A28" s="26">
        <v>25</v>
      </c>
      <c r="B28" s="59" t="s">
        <v>61</v>
      </c>
      <c r="C28" s="21" t="s">
        <v>285</v>
      </c>
      <c r="D28" s="48" t="s">
        <v>32</v>
      </c>
      <c r="E28" s="1">
        <v>1</v>
      </c>
      <c r="F28" s="4" t="s">
        <v>23</v>
      </c>
      <c r="G28" s="4" t="s">
        <v>18</v>
      </c>
      <c r="H28" s="1" t="s">
        <v>284</v>
      </c>
      <c r="I28" s="3"/>
      <c r="J28" s="36" t="s">
        <v>282</v>
      </c>
      <c r="K28" s="36" t="s">
        <v>296</v>
      </c>
      <c r="L28" s="43">
        <f>SUMIFS([1]خرداد!$AF$141:$AF$261,[1]خرداد!$C$141:$C$261,"قطعه تعمیری",[1]خرداد!$B$141:$B$261,C28,[1]خرداد!$P$141:$P$261,B28)</f>
        <v>5</v>
      </c>
      <c r="M28" s="1" t="s">
        <v>20</v>
      </c>
      <c r="N28" s="51">
        <f t="shared" si="0"/>
        <v>3750000</v>
      </c>
    </row>
    <row r="29" spans="1:14" ht="28.7" customHeight="1" x14ac:dyDescent="0.25">
      <c r="A29" s="26">
        <v>26</v>
      </c>
      <c r="B29" s="59" t="s">
        <v>317</v>
      </c>
      <c r="C29" s="21" t="s">
        <v>316</v>
      </c>
      <c r="D29" s="47" t="s">
        <v>318</v>
      </c>
      <c r="E29" s="1">
        <v>12</v>
      </c>
      <c r="F29" s="4" t="s">
        <v>23</v>
      </c>
      <c r="G29" s="4" t="s">
        <v>18</v>
      </c>
      <c r="H29" s="1"/>
      <c r="I29" s="3"/>
      <c r="J29" s="36" t="s">
        <v>295</v>
      </c>
      <c r="K29" s="36" t="s">
        <v>296</v>
      </c>
      <c r="L29" s="43">
        <f>SUMIFS([1]خرداد!$AF$141:$AF$261,[1]خرداد!$C$141:$C$261,"قطعه تعمیری",[1]خرداد!$B$141:$B$261,C29,[1]خرداد!$P$141:$P$261,B29)</f>
        <v>8</v>
      </c>
      <c r="M29" s="1" t="s">
        <v>20</v>
      </c>
      <c r="N29" s="51">
        <f t="shared" si="0"/>
        <v>6000000</v>
      </c>
    </row>
    <row r="30" spans="1:14" ht="28.7" customHeight="1" x14ac:dyDescent="0.25">
      <c r="A30" s="26">
        <v>27</v>
      </c>
      <c r="B30" s="59" t="s">
        <v>42</v>
      </c>
      <c r="C30" s="21" t="s">
        <v>319</v>
      </c>
      <c r="D30" s="47" t="s">
        <v>195</v>
      </c>
      <c r="E30" s="1">
        <v>1</v>
      </c>
      <c r="F30" s="4" t="s">
        <v>23</v>
      </c>
      <c r="G30" s="4" t="s">
        <v>18</v>
      </c>
      <c r="H30" s="1"/>
      <c r="I30" s="3"/>
      <c r="J30" s="36" t="s">
        <v>296</v>
      </c>
      <c r="K30" s="36" t="s">
        <v>296</v>
      </c>
      <c r="L30" s="43">
        <f>SUMIFS([1]خرداد!$AF$141:$AF$261,[1]خرداد!$C$141:$C$261,"قطعه تعمیری",[1]خرداد!$B$141:$B$261,C30,[1]خرداد!$P$141:$P$261,B30)</f>
        <v>2</v>
      </c>
      <c r="M30" s="1" t="s">
        <v>20</v>
      </c>
      <c r="N30" s="51">
        <f t="shared" si="0"/>
        <v>1500000</v>
      </c>
    </row>
    <row r="31" spans="1:14" ht="28.7" customHeight="1" x14ac:dyDescent="0.25">
      <c r="A31" s="26">
        <v>28</v>
      </c>
      <c r="B31" s="59" t="s">
        <v>36</v>
      </c>
      <c r="C31" s="21" t="s">
        <v>320</v>
      </c>
      <c r="D31" s="47" t="s">
        <v>195</v>
      </c>
      <c r="E31" s="1">
        <v>1</v>
      </c>
      <c r="F31" s="4" t="s">
        <v>23</v>
      </c>
      <c r="G31" s="4" t="s">
        <v>18</v>
      </c>
      <c r="H31" s="1"/>
      <c r="I31" s="3"/>
      <c r="J31" s="36" t="s">
        <v>295</v>
      </c>
      <c r="K31" s="36" t="s">
        <v>295</v>
      </c>
      <c r="L31" s="43">
        <f>SUMIFS([1]خرداد!$AF$141:$AF$261,[1]خرداد!$C$141:$C$261,"قطعه تعمیری",[1]خرداد!$B$141:$B$261,C31,[1]خرداد!$P$141:$P$261,B31)</f>
        <v>1.5</v>
      </c>
      <c r="M31" s="1" t="s">
        <v>20</v>
      </c>
      <c r="N31" s="51">
        <f t="shared" si="0"/>
        <v>1125000</v>
      </c>
    </row>
    <row r="32" spans="1:14" ht="28.7" customHeight="1" x14ac:dyDescent="0.25">
      <c r="A32" s="26">
        <v>29</v>
      </c>
      <c r="B32" s="59" t="s">
        <v>85</v>
      </c>
      <c r="C32" s="21" t="s">
        <v>27</v>
      </c>
      <c r="D32" s="48" t="s">
        <v>17</v>
      </c>
      <c r="E32" s="1">
        <v>1</v>
      </c>
      <c r="F32" s="4" t="s">
        <v>23</v>
      </c>
      <c r="G32" s="4" t="s">
        <v>18</v>
      </c>
      <c r="H32" s="2">
        <v>15575</v>
      </c>
      <c r="I32" s="2">
        <v>6406</v>
      </c>
      <c r="J32" s="5" t="s">
        <v>279</v>
      </c>
      <c r="K32" s="5"/>
      <c r="L32" s="43">
        <f>SUMIFS([1]خرداد!$AF$141:$AF$261,[1]خرداد!$C$141:$C$261,"قطعه تعمیری",[1]خرداد!$B$141:$B$261,C32,[1]خرداد!$P$141:$P$261,B32)</f>
        <v>6.5</v>
      </c>
      <c r="M32" s="1" t="s">
        <v>37</v>
      </c>
      <c r="N32" s="51">
        <f t="shared" si="0"/>
        <v>4875000</v>
      </c>
    </row>
    <row r="33" spans="1:14" ht="28.7" customHeight="1" thickBot="1" x14ac:dyDescent="0.3">
      <c r="A33" s="173">
        <v>30</v>
      </c>
      <c r="B33" s="174"/>
      <c r="C33" s="175"/>
      <c r="D33" s="150"/>
      <c r="E33" s="176"/>
      <c r="F33" s="149"/>
      <c r="G33" s="150"/>
      <c r="H33" s="177"/>
      <c r="I33" s="177"/>
      <c r="J33" s="151"/>
      <c r="K33" s="151"/>
      <c r="L33" s="152">
        <f>SUMIFS([1]خرداد!$AF$141:$AF$261,[1]خرداد!$C$141:$C$261,"قطعه تعمیری",[1]خرداد!$B$141:$B$261,C33,[1]خرداد!$P$141:$P$261,B33)</f>
        <v>0</v>
      </c>
      <c r="M33" s="176"/>
      <c r="N33" s="153">
        <f t="shared" si="0"/>
        <v>0</v>
      </c>
    </row>
    <row r="34" spans="1:14" ht="21" customHeight="1" x14ac:dyDescent="0.25">
      <c r="A34" s="31"/>
      <c r="B34" s="251" t="s">
        <v>30</v>
      </c>
      <c r="C34" s="194" t="s">
        <v>184</v>
      </c>
      <c r="D34" s="187" t="s">
        <v>14</v>
      </c>
      <c r="E34" s="188">
        <f>SUMIFS(E4:E33,F4:F33,D34,M4:M33,"تحویل")</f>
        <v>1010</v>
      </c>
      <c r="F34" s="189"/>
      <c r="G34" s="187"/>
      <c r="H34" s="190"/>
      <c r="I34" s="191"/>
      <c r="J34" s="190" t="s">
        <v>14</v>
      </c>
      <c r="K34" s="190">
        <f>SUMIFS(E4:E33,F4:F33,J34)</f>
        <v>2354</v>
      </c>
      <c r="L34" s="192">
        <f>SUMIFS(L4:L33,F4:F33,J34)</f>
        <v>232.33333333333334</v>
      </c>
      <c r="M34" s="188"/>
      <c r="N34" s="193">
        <f>SUMIFS(N4:N33,F4:F33,J34)</f>
        <v>174250000</v>
      </c>
    </row>
    <row r="35" spans="1:14" ht="21" customHeight="1" thickBot="1" x14ac:dyDescent="0.3">
      <c r="A35" s="180"/>
      <c r="B35" s="246"/>
      <c r="C35" s="195" t="s">
        <v>184</v>
      </c>
      <c r="D35" s="61" t="s">
        <v>23</v>
      </c>
      <c r="E35" s="102">
        <f>SUMIFS(E4:E33,F4:F33,D35,M4:M33,"تحویل")</f>
        <v>51</v>
      </c>
      <c r="F35" s="60"/>
      <c r="G35" s="61"/>
      <c r="H35" s="60"/>
      <c r="I35" s="186"/>
      <c r="J35" s="60" t="s">
        <v>23</v>
      </c>
      <c r="K35" s="60">
        <f>SUMIFS(E5:E33,F5:F33,J35)</f>
        <v>57</v>
      </c>
      <c r="L35" s="169">
        <f>SUMIFS(L5:L34,F5:F34,J35)</f>
        <v>150</v>
      </c>
      <c r="M35" s="102"/>
      <c r="N35" s="182">
        <f>SUMIFS(N5:N34,F5:F34,J35)</f>
        <v>112500000</v>
      </c>
    </row>
    <row r="36" spans="1:14" ht="26.25" customHeight="1" thickBot="1" x14ac:dyDescent="0.3">
      <c r="A36" s="183"/>
      <c r="B36" s="184" t="s">
        <v>115</v>
      </c>
      <c r="C36" s="181"/>
      <c r="D36" s="179"/>
      <c r="E36" s="179">
        <f>SUM(E34:E35)</f>
        <v>1061</v>
      </c>
      <c r="F36" s="181"/>
      <c r="G36" s="181"/>
      <c r="H36" s="181"/>
      <c r="I36" s="181"/>
      <c r="J36" s="179"/>
      <c r="K36" s="179">
        <f>SUM(K34:K35)</f>
        <v>2411</v>
      </c>
      <c r="L36" s="185">
        <f>SUM(L34:L35)</f>
        <v>382.33333333333337</v>
      </c>
      <c r="M36" s="179"/>
      <c r="N36" s="179">
        <f>SUM(N34:N35)</f>
        <v>286750000</v>
      </c>
    </row>
  </sheetData>
  <mergeCells count="2">
    <mergeCell ref="A1:K2"/>
    <mergeCell ref="B34:B35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L12 L24" formula="1"/>
    <ignoredError sqref="K35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ABAB-214A-4D4E-A31F-C29AB22EE324}">
  <sheetPr>
    <pageSetUpPr fitToPage="1"/>
  </sheetPr>
  <dimension ref="A1:N31"/>
  <sheetViews>
    <sheetView rightToLeft="1" view="pageLayout" zoomScaleNormal="100" workbookViewId="0">
      <selection activeCell="C10" sqref="C10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12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134" t="s">
        <v>71</v>
      </c>
      <c r="C4" s="48" t="s">
        <v>31</v>
      </c>
      <c r="D4" s="48" t="s">
        <v>32</v>
      </c>
      <c r="E4" s="48">
        <v>300</v>
      </c>
      <c r="F4" s="34" t="s">
        <v>14</v>
      </c>
      <c r="G4" s="57" t="s">
        <v>21</v>
      </c>
      <c r="H4" s="49" t="s">
        <v>228</v>
      </c>
      <c r="I4" s="49"/>
      <c r="J4" s="35" t="s">
        <v>229</v>
      </c>
      <c r="K4" s="36"/>
      <c r="L4" s="42">
        <f>SUMIFS([1]خرداد!$AF$262:$AF$385,[1]خرداد!$C$262:$C$385,"قطعه نو",[1]خرداد!$B$262:$B$385,C4,[1]خرداد!$P$262:$P$385,B4)</f>
        <v>36</v>
      </c>
      <c r="M4" s="76" t="s">
        <v>37</v>
      </c>
      <c r="N4" s="51">
        <f>L4*(500000*1.5)</f>
        <v>27000000</v>
      </c>
    </row>
    <row r="5" spans="1:14" ht="28.7" customHeight="1" x14ac:dyDescent="0.25">
      <c r="A5" s="26">
        <v>2</v>
      </c>
      <c r="B5" s="29" t="s">
        <v>89</v>
      </c>
      <c r="C5" s="4" t="s">
        <v>24</v>
      </c>
      <c r="D5" s="48" t="s">
        <v>17</v>
      </c>
      <c r="E5" s="48">
        <v>1</v>
      </c>
      <c r="F5" s="4" t="s">
        <v>14</v>
      </c>
      <c r="G5" s="47" t="s">
        <v>21</v>
      </c>
      <c r="H5" s="47">
        <v>15572</v>
      </c>
      <c r="I5" s="2">
        <v>6502</v>
      </c>
      <c r="J5" s="6" t="s">
        <v>206</v>
      </c>
      <c r="K5" s="36" t="s">
        <v>321</v>
      </c>
      <c r="L5" s="43">
        <f>SUMIFS([1]خرداد!$AF$262:$AF$385,[1]خرداد!$C$262:$C$385,"قطعه نو",[1]خرداد!$B$262:$B$385,C5,[1]خرداد!$P$262:$P$385,"*")</f>
        <v>3</v>
      </c>
      <c r="M5" s="1" t="s">
        <v>20</v>
      </c>
      <c r="N5" s="51">
        <f t="shared" ref="N5:N26" si="0">L5*(500000*1.5)</f>
        <v>2250000</v>
      </c>
    </row>
    <row r="6" spans="1:14" ht="28.7" customHeight="1" x14ac:dyDescent="0.25">
      <c r="A6" s="26">
        <v>3</v>
      </c>
      <c r="B6" s="134" t="s">
        <v>290</v>
      </c>
      <c r="C6" s="48" t="s">
        <v>289</v>
      </c>
      <c r="D6" s="48" t="s">
        <v>291</v>
      </c>
      <c r="E6" s="48">
        <v>1</v>
      </c>
      <c r="F6" s="3" t="s">
        <v>14</v>
      </c>
      <c r="G6" s="57" t="s">
        <v>292</v>
      </c>
      <c r="H6" s="49">
        <v>1708</v>
      </c>
      <c r="I6" s="49">
        <v>6007</v>
      </c>
      <c r="J6" s="35" t="s">
        <v>293</v>
      </c>
      <c r="K6" s="36"/>
      <c r="L6" s="43">
        <f>SUMIFS([1]خرداد!$AF$262:$AF$385,[1]خرداد!$C$262:$C$385,"قطعه نو",[1]خرداد!$B$262:$B$385,C6,[1]خرداد!$P$262:$P$385,"*")</f>
        <v>2</v>
      </c>
      <c r="M6" s="1" t="s">
        <v>37</v>
      </c>
      <c r="N6" s="51">
        <f t="shared" si="0"/>
        <v>1500000</v>
      </c>
    </row>
    <row r="7" spans="1:14" ht="28.7" customHeight="1" x14ac:dyDescent="0.25">
      <c r="A7" s="26">
        <v>4</v>
      </c>
      <c r="B7" s="134" t="s">
        <v>304</v>
      </c>
      <c r="C7" s="48" t="s">
        <v>303</v>
      </c>
      <c r="D7" s="48" t="s">
        <v>132</v>
      </c>
      <c r="E7" s="48">
        <v>8</v>
      </c>
      <c r="F7" s="48" t="s">
        <v>14</v>
      </c>
      <c r="G7" s="57" t="s">
        <v>21</v>
      </c>
      <c r="H7" s="49"/>
      <c r="I7" s="49"/>
      <c r="J7" s="36" t="s">
        <v>295</v>
      </c>
      <c r="K7" s="36" t="s">
        <v>321</v>
      </c>
      <c r="L7" s="43">
        <f>SUMIFS([1]خرداد!$AF$262:$AF$385,[1]خرداد!$C$262:$C$385,"قطعه نو",[1]خرداد!$B$262:$B$385,C7,[1]خرداد!$P$262:$P$385,B7)</f>
        <v>46.5</v>
      </c>
      <c r="M7" s="50" t="s">
        <v>20</v>
      </c>
      <c r="N7" s="51">
        <f t="shared" si="0"/>
        <v>34875000</v>
      </c>
    </row>
    <row r="8" spans="1:14" ht="28.7" customHeight="1" x14ac:dyDescent="0.25">
      <c r="A8" s="26">
        <v>5</v>
      </c>
      <c r="B8" s="29" t="s">
        <v>71</v>
      </c>
      <c r="C8" s="4" t="s">
        <v>76</v>
      </c>
      <c r="D8" s="48" t="s">
        <v>32</v>
      </c>
      <c r="E8" s="48">
        <v>1</v>
      </c>
      <c r="F8" s="4" t="s">
        <v>14</v>
      </c>
      <c r="G8" s="47" t="s">
        <v>21</v>
      </c>
      <c r="H8" s="47">
        <v>14046</v>
      </c>
      <c r="I8" s="2"/>
      <c r="J8" s="6" t="s">
        <v>95</v>
      </c>
      <c r="K8" s="36"/>
      <c r="L8" s="43">
        <f>SUMIFS([1]خرداد!$AF$262:$AF$385,[1]خرداد!$C$262:$C$385,"قطعه نو",[1]خرداد!$B$262:$B$385,C8,[1]خرداد!$P$262:$P$385,"*")</f>
        <v>21</v>
      </c>
      <c r="M8" s="1" t="s">
        <v>37</v>
      </c>
      <c r="N8" s="51">
        <f t="shared" si="0"/>
        <v>15750000</v>
      </c>
    </row>
    <row r="9" spans="1:14" ht="28.7" customHeight="1" x14ac:dyDescent="0.25">
      <c r="A9" s="26">
        <v>6</v>
      </c>
      <c r="B9" s="29" t="s">
        <v>298</v>
      </c>
      <c r="C9" s="48" t="s">
        <v>297</v>
      </c>
      <c r="D9" s="48" t="s">
        <v>132</v>
      </c>
      <c r="E9" s="48">
        <v>9240</v>
      </c>
      <c r="F9" s="3" t="s">
        <v>14</v>
      </c>
      <c r="G9" s="57" t="s">
        <v>21</v>
      </c>
      <c r="H9" s="49"/>
      <c r="I9" s="49"/>
      <c r="J9" s="6" t="s">
        <v>293</v>
      </c>
      <c r="K9" s="36" t="s">
        <v>321</v>
      </c>
      <c r="L9" s="43">
        <f>SUMIFS([1]خرداد!$AF$262:$AF$385,[1]خرداد!$C$262:$C$385,"قطعه نو",[1]خرداد!$B$262:$B$385,C9,[1]خرداد!$P$262:$P$385,B9)</f>
        <v>33.5</v>
      </c>
      <c r="M9" s="1" t="s">
        <v>20</v>
      </c>
      <c r="N9" s="51">
        <f t="shared" si="0"/>
        <v>25125000</v>
      </c>
    </row>
    <row r="10" spans="1:14" ht="28.7" customHeight="1" x14ac:dyDescent="0.25">
      <c r="A10" s="26">
        <v>7</v>
      </c>
      <c r="B10" s="134" t="s">
        <v>300</v>
      </c>
      <c r="C10" s="48" t="s">
        <v>299</v>
      </c>
      <c r="D10" s="48" t="s">
        <v>17</v>
      </c>
      <c r="E10" s="48">
        <v>6</v>
      </c>
      <c r="F10" s="48" t="s">
        <v>14</v>
      </c>
      <c r="G10" s="57" t="s">
        <v>21</v>
      </c>
      <c r="H10" s="2"/>
      <c r="I10" s="49"/>
      <c r="J10" s="36" t="s">
        <v>296</v>
      </c>
      <c r="K10" s="36"/>
      <c r="L10" s="43">
        <f>SUMIFS([1]خرداد!$AF$262:$AF$385,[1]خرداد!$C$262:$C$385,"قطعه نو",[1]خرداد!$B$262:$B$385,C10,[1]خرداد!$P$262:$P$385,B10)</f>
        <v>7.5</v>
      </c>
      <c r="M10" s="1" t="s">
        <v>37</v>
      </c>
      <c r="N10" s="51">
        <f t="shared" si="0"/>
        <v>5625000</v>
      </c>
    </row>
    <row r="11" spans="1:14" ht="28.7" customHeight="1" x14ac:dyDescent="0.25">
      <c r="A11" s="26">
        <v>8</v>
      </c>
      <c r="B11" s="134" t="s">
        <v>85</v>
      </c>
      <c r="C11" s="4" t="s">
        <v>88</v>
      </c>
      <c r="D11" s="48" t="s">
        <v>273</v>
      </c>
      <c r="E11" s="48">
        <v>1</v>
      </c>
      <c r="F11" s="48" t="s">
        <v>14</v>
      </c>
      <c r="G11" s="57" t="s">
        <v>21</v>
      </c>
      <c r="H11" s="49"/>
      <c r="I11" s="49"/>
      <c r="J11" s="35" t="s">
        <v>321</v>
      </c>
      <c r="K11" s="36"/>
      <c r="L11" s="43">
        <f>SUMIFS([1]خرداد!$AF$262:$AF$385,[1]خرداد!$C$262:$C$385,"قطعه نو",[1]خرداد!$B$262:$B$385,C11,[1]خرداد!$P$262:$P$385,B11)</f>
        <v>2</v>
      </c>
      <c r="M11" s="1" t="s">
        <v>37</v>
      </c>
      <c r="N11" s="51">
        <f t="shared" si="0"/>
        <v>1500000</v>
      </c>
    </row>
    <row r="12" spans="1:14" ht="28.7" customHeight="1" x14ac:dyDescent="0.25">
      <c r="A12" s="26">
        <v>9</v>
      </c>
      <c r="B12" s="134" t="s">
        <v>260</v>
      </c>
      <c r="C12" s="4" t="s">
        <v>94</v>
      </c>
      <c r="D12" s="48" t="s">
        <v>273</v>
      </c>
      <c r="E12" s="48">
        <v>8</v>
      </c>
      <c r="F12" s="48" t="s">
        <v>14</v>
      </c>
      <c r="G12" s="57" t="s">
        <v>21</v>
      </c>
      <c r="H12" s="2" t="s">
        <v>87</v>
      </c>
      <c r="I12" s="49"/>
      <c r="J12" s="6" t="s">
        <v>261</v>
      </c>
      <c r="K12" s="36"/>
      <c r="L12" s="43">
        <f>SUMIFS([1]خرداد!$AF$262:$AF$385,[1]خرداد!$C$262:$C$385,"قطعه نو",[1]خرداد!$B$262:$B$385,C12,[1]خرداد!$P$262:$P$385,B12)</f>
        <v>13.833333333333332</v>
      </c>
      <c r="M12" s="1" t="s">
        <v>37</v>
      </c>
      <c r="N12" s="51">
        <f t="shared" si="0"/>
        <v>10375000</v>
      </c>
    </row>
    <row r="13" spans="1:14" ht="28.7" customHeight="1" x14ac:dyDescent="0.25">
      <c r="A13" s="26">
        <v>10</v>
      </c>
      <c r="B13" s="29" t="s">
        <v>322</v>
      </c>
      <c r="C13" s="4" t="s">
        <v>28</v>
      </c>
      <c r="D13" s="48" t="s">
        <v>17</v>
      </c>
      <c r="E13" s="48">
        <v>1</v>
      </c>
      <c r="F13" s="48" t="s">
        <v>14</v>
      </c>
      <c r="G13" s="57" t="s">
        <v>21</v>
      </c>
      <c r="H13" s="49"/>
      <c r="I13" s="49"/>
      <c r="J13" s="6" t="s">
        <v>261</v>
      </c>
      <c r="K13" s="6" t="s">
        <v>261</v>
      </c>
      <c r="L13" s="43">
        <f>SUMIFS([1]خرداد!$AF$262:$AF$385,[1]خرداد!$C$262:$C$385,"قطعه نو",[1]خرداد!$B$262:$B$385,C13,[1]خرداد!$P$262:$P$385,B13)</f>
        <v>1</v>
      </c>
      <c r="M13" s="1" t="s">
        <v>20</v>
      </c>
      <c r="N13" s="51">
        <f t="shared" si="0"/>
        <v>750000</v>
      </c>
    </row>
    <row r="14" spans="1:14" ht="28.7" customHeight="1" x14ac:dyDescent="0.25">
      <c r="A14" s="26">
        <v>11</v>
      </c>
      <c r="B14" s="134" t="s">
        <v>302</v>
      </c>
      <c r="C14" s="4" t="s">
        <v>26</v>
      </c>
      <c r="D14" s="48" t="s">
        <v>17</v>
      </c>
      <c r="E14" s="48">
        <v>20</v>
      </c>
      <c r="F14" s="48" t="s">
        <v>14</v>
      </c>
      <c r="G14" s="57" t="s">
        <v>21</v>
      </c>
      <c r="H14" s="49"/>
      <c r="I14" s="49"/>
      <c r="J14" s="36" t="s">
        <v>295</v>
      </c>
      <c r="K14" s="35"/>
      <c r="L14" s="43">
        <f>SUMIFS([1]خرداد!$AF$262:$AF$385,[1]خرداد!$C$262:$C$385,"قطعه نو",[1]خرداد!$B$262:$B$385,C14,[1]خرداد!$P$262:$P$385,B14)</f>
        <v>2</v>
      </c>
      <c r="M14" s="1" t="s">
        <v>37</v>
      </c>
      <c r="N14" s="51">
        <f t="shared" si="0"/>
        <v>1500000</v>
      </c>
    </row>
    <row r="15" spans="1:14" ht="28.7" customHeight="1" x14ac:dyDescent="0.25">
      <c r="A15" s="26">
        <v>12</v>
      </c>
      <c r="B15" s="134" t="s">
        <v>85</v>
      </c>
      <c r="C15" s="48" t="s">
        <v>323</v>
      </c>
      <c r="D15" s="48" t="s">
        <v>32</v>
      </c>
      <c r="E15" s="48">
        <v>1</v>
      </c>
      <c r="F15" s="48" t="s">
        <v>14</v>
      </c>
      <c r="G15" s="57" t="s">
        <v>21</v>
      </c>
      <c r="H15" s="49"/>
      <c r="I15" s="49"/>
      <c r="J15" s="6" t="s">
        <v>261</v>
      </c>
      <c r="K15" s="6" t="s">
        <v>261</v>
      </c>
      <c r="L15" s="43">
        <f>SUMIFS([1]خرداد!$AF$262:$AF$385,[1]خرداد!$C$262:$C$385,"قطعه نو",[1]خرداد!$B$262:$B$385,C15,[1]خرداد!$P$262:$P$385,"*")</f>
        <v>0</v>
      </c>
      <c r="M15" s="1" t="s">
        <v>20</v>
      </c>
      <c r="N15" s="51">
        <f t="shared" si="0"/>
        <v>0</v>
      </c>
    </row>
    <row r="16" spans="1:14" ht="28.7" customHeight="1" x14ac:dyDescent="0.25">
      <c r="A16" s="26">
        <v>13</v>
      </c>
      <c r="B16" s="59" t="s">
        <v>310</v>
      </c>
      <c r="C16" s="21" t="s">
        <v>58</v>
      </c>
      <c r="D16" s="48" t="s">
        <v>32</v>
      </c>
      <c r="E16" s="48">
        <v>4</v>
      </c>
      <c r="F16" s="48" t="s">
        <v>23</v>
      </c>
      <c r="G16" s="57" t="s">
        <v>18</v>
      </c>
      <c r="H16" s="2"/>
      <c r="I16" s="49"/>
      <c r="J16" s="36" t="s">
        <v>279</v>
      </c>
      <c r="K16" s="35"/>
      <c r="L16" s="163">
        <f>SUMIFS([1]خرداد!$AF$262:$AF$385,[1]خرداد!$C$262:$C$385,"قطعه تعمیری",[1]خرداد!$B$262:$B$385,C16,[1]خرداد!$P$262:$P$385,B16)</f>
        <v>21</v>
      </c>
      <c r="M16" s="1" t="s">
        <v>37</v>
      </c>
      <c r="N16" s="51">
        <f t="shared" si="0"/>
        <v>15750000</v>
      </c>
    </row>
    <row r="17" spans="1:14" ht="28.7" customHeight="1" x14ac:dyDescent="0.25">
      <c r="A17" s="26">
        <v>14</v>
      </c>
      <c r="B17" s="134" t="s">
        <v>235</v>
      </c>
      <c r="C17" s="48" t="s">
        <v>48</v>
      </c>
      <c r="D17" s="48" t="s">
        <v>273</v>
      </c>
      <c r="E17" s="48">
        <v>1</v>
      </c>
      <c r="F17" s="48" t="s">
        <v>23</v>
      </c>
      <c r="G17" s="57" t="s">
        <v>18</v>
      </c>
      <c r="H17" s="49"/>
      <c r="I17" s="49"/>
      <c r="J17" s="35" t="s">
        <v>324</v>
      </c>
      <c r="K17" s="35" t="s">
        <v>324</v>
      </c>
      <c r="L17" s="43">
        <f>SUMIFS([1]خرداد!$AF$262:$AF$385,[1]خرداد!$C$262:$C$385,"قطعه تعمیری",[1]خرداد!$B$262:$B$385,C17,[1]خرداد!$P$262:$P$385,B17)</f>
        <v>2</v>
      </c>
      <c r="M17" s="1" t="s">
        <v>20</v>
      </c>
      <c r="N17" s="51">
        <f t="shared" si="0"/>
        <v>1500000</v>
      </c>
    </row>
    <row r="18" spans="1:14" ht="28.7" customHeight="1" x14ac:dyDescent="0.25">
      <c r="A18" s="26">
        <v>15</v>
      </c>
      <c r="B18" s="29" t="s">
        <v>61</v>
      </c>
      <c r="C18" s="48" t="s">
        <v>325</v>
      </c>
      <c r="D18" s="48" t="s">
        <v>326</v>
      </c>
      <c r="E18" s="4">
        <v>1</v>
      </c>
      <c r="F18" s="48" t="s">
        <v>23</v>
      </c>
      <c r="G18" s="57" t="s">
        <v>18</v>
      </c>
      <c r="H18" s="49"/>
      <c r="I18" s="49"/>
      <c r="J18" s="36" t="s">
        <v>327</v>
      </c>
      <c r="K18" s="36" t="s">
        <v>328</v>
      </c>
      <c r="L18" s="43">
        <f>SUMIFS([1]خرداد!$AF$262:$AF$385,[1]خرداد!$C$262:$C$385,"قطعه تعمیری",[1]خرداد!$B$262:$B$385,C18,[1]خرداد!$P$262:$P$385,B18)</f>
        <v>14</v>
      </c>
      <c r="M18" s="1" t="s">
        <v>20</v>
      </c>
      <c r="N18" s="51">
        <f t="shared" si="0"/>
        <v>10500000</v>
      </c>
    </row>
    <row r="19" spans="1:14" ht="28.7" customHeight="1" x14ac:dyDescent="0.25">
      <c r="A19" s="26">
        <v>16</v>
      </c>
      <c r="B19" s="134" t="s">
        <v>64</v>
      </c>
      <c r="C19" s="48" t="s">
        <v>248</v>
      </c>
      <c r="D19" s="48" t="s">
        <v>17</v>
      </c>
      <c r="E19" s="4">
        <v>2</v>
      </c>
      <c r="F19" s="48" t="s">
        <v>23</v>
      </c>
      <c r="G19" s="57" t="s">
        <v>18</v>
      </c>
      <c r="H19" s="49">
        <v>13043</v>
      </c>
      <c r="I19" s="49"/>
      <c r="J19" s="35" t="s">
        <v>329</v>
      </c>
      <c r="K19" s="35" t="s">
        <v>330</v>
      </c>
      <c r="L19" s="43">
        <f>SUMIFS([1]خرداد!$AF$262:$AF$385,[1]خرداد!$C$262:$C$385,"قطعه تعمیری",[1]خرداد!$B$262:$B$385,C19,[1]خرداد!$P$262:$P$385,B19)</f>
        <v>14.5</v>
      </c>
      <c r="M19" s="1" t="s">
        <v>20</v>
      </c>
      <c r="N19" s="51">
        <f t="shared" si="0"/>
        <v>10875000</v>
      </c>
    </row>
    <row r="20" spans="1:14" ht="28.7" customHeight="1" x14ac:dyDescent="0.25">
      <c r="A20" s="26">
        <v>17</v>
      </c>
      <c r="B20" s="59" t="s">
        <v>331</v>
      </c>
      <c r="C20" s="21" t="s">
        <v>311</v>
      </c>
      <c r="D20" s="48" t="s">
        <v>32</v>
      </c>
      <c r="E20" s="48">
        <v>1</v>
      </c>
      <c r="F20" s="48" t="s">
        <v>23</v>
      </c>
      <c r="G20" s="57" t="s">
        <v>18</v>
      </c>
      <c r="H20" s="1"/>
      <c r="I20" s="3"/>
      <c r="J20" s="35" t="s">
        <v>329</v>
      </c>
      <c r="K20" s="36"/>
      <c r="L20" s="43">
        <f>SUMIFS([1]خرداد!$AF$262:$AF$385,[1]خرداد!$C$262:$C$385,"قطعه تعمیری",[1]خرداد!$B$262:$B$385,C20,[1]خرداد!$P$262:$P$385,"*")</f>
        <v>37</v>
      </c>
      <c r="M20" s="1" t="s">
        <v>37</v>
      </c>
      <c r="N20" s="51">
        <f t="shared" si="0"/>
        <v>27750000</v>
      </c>
    </row>
    <row r="21" spans="1:14" ht="28.7" customHeight="1" x14ac:dyDescent="0.25">
      <c r="A21" s="26">
        <v>18</v>
      </c>
      <c r="B21" s="59" t="s">
        <v>332</v>
      </c>
      <c r="C21" s="21" t="s">
        <v>28</v>
      </c>
      <c r="D21" s="48" t="s">
        <v>17</v>
      </c>
      <c r="E21" s="1">
        <v>1</v>
      </c>
      <c r="F21" s="48" t="s">
        <v>23</v>
      </c>
      <c r="G21" s="57" t="s">
        <v>18</v>
      </c>
      <c r="H21" s="1">
        <v>15598</v>
      </c>
      <c r="I21" s="3">
        <v>2902</v>
      </c>
      <c r="J21" s="35" t="s">
        <v>333</v>
      </c>
      <c r="K21" s="35" t="s">
        <v>333</v>
      </c>
      <c r="L21" s="43">
        <f>SUMIFS([1]خرداد!$AF$262:$AF$385,[1]خرداد!$C$262:$C$385,"قطعه تعمیری",[1]خرداد!$B$262:$B$385,C21,[1]خرداد!$P$262:$P$385,B21)</f>
        <v>2</v>
      </c>
      <c r="M21" s="1" t="s">
        <v>20</v>
      </c>
      <c r="N21" s="51">
        <f t="shared" si="0"/>
        <v>1500000</v>
      </c>
    </row>
    <row r="22" spans="1:14" ht="28.7" customHeight="1" x14ac:dyDescent="0.25">
      <c r="A22" s="26">
        <v>19</v>
      </c>
      <c r="B22" s="59" t="s">
        <v>39</v>
      </c>
      <c r="C22" s="21" t="s">
        <v>22</v>
      </c>
      <c r="D22" s="47" t="s">
        <v>291</v>
      </c>
      <c r="E22" s="1">
        <v>8</v>
      </c>
      <c r="F22" s="48" t="s">
        <v>23</v>
      </c>
      <c r="G22" s="57" t="s">
        <v>18</v>
      </c>
      <c r="H22" s="1"/>
      <c r="I22" s="3"/>
      <c r="J22" s="35" t="s">
        <v>329</v>
      </c>
      <c r="K22" s="35" t="s">
        <v>329</v>
      </c>
      <c r="L22" s="163">
        <f>SUMIFS([1]خرداد!$AF$262:$AF$385,[1]خرداد!$C$262:$C$385,"قطعه تعمیری",[1]خرداد!$B$262:$B$385,C22,[1]خرداد!$P$262:$P$385,B22)</f>
        <v>1</v>
      </c>
      <c r="M22" s="1" t="s">
        <v>20</v>
      </c>
      <c r="N22" s="51">
        <f t="shared" si="0"/>
        <v>750000</v>
      </c>
    </row>
    <row r="23" spans="1:14" ht="28.7" customHeight="1" x14ac:dyDescent="0.25">
      <c r="A23" s="26">
        <v>20</v>
      </c>
      <c r="B23" s="59" t="s">
        <v>61</v>
      </c>
      <c r="C23" s="21" t="s">
        <v>283</v>
      </c>
      <c r="D23" s="48" t="s">
        <v>32</v>
      </c>
      <c r="E23" s="48">
        <v>1</v>
      </c>
      <c r="F23" s="48" t="s">
        <v>23</v>
      </c>
      <c r="G23" s="57" t="s">
        <v>18</v>
      </c>
      <c r="H23" s="2"/>
      <c r="I23" s="49"/>
      <c r="J23" s="35" t="s">
        <v>324</v>
      </c>
      <c r="K23" s="35" t="s">
        <v>324</v>
      </c>
      <c r="L23" s="43">
        <f>SUMIFS([1]خرداد!$AF$262:$AF$385,[1]خرداد!$C$262:$C$385,"قطعه تعمیری",[1]خرداد!$B$262:$B$385,C23,[1]خرداد!$P$262:$P$385,B23)</f>
        <v>4.5</v>
      </c>
      <c r="M23" s="1" t="s">
        <v>20</v>
      </c>
      <c r="N23" s="51">
        <f t="shared" si="0"/>
        <v>3375000</v>
      </c>
    </row>
    <row r="24" spans="1:14" ht="28.7" customHeight="1" x14ac:dyDescent="0.25">
      <c r="A24" s="26">
        <v>21</v>
      </c>
      <c r="B24" s="59" t="s">
        <v>64</v>
      </c>
      <c r="C24" s="21" t="s">
        <v>323</v>
      </c>
      <c r="D24" s="48" t="s">
        <v>32</v>
      </c>
      <c r="E24" s="48">
        <v>1</v>
      </c>
      <c r="F24" s="48" t="s">
        <v>23</v>
      </c>
      <c r="G24" s="57" t="s">
        <v>18</v>
      </c>
      <c r="H24" s="1"/>
      <c r="I24" s="3"/>
      <c r="J24" s="35" t="s">
        <v>329</v>
      </c>
      <c r="K24" s="35" t="s">
        <v>321</v>
      </c>
      <c r="L24" s="43">
        <f>SUMIFS([1]خرداد!$AF$262:$AF$385,[1]خرداد!$C$262:$C$385,"قطعه تعمیری",[1]خرداد!$B$262:$B$385,C24,[1]خرداد!$P$262:$P$385,B24)</f>
        <v>0</v>
      </c>
      <c r="M24" s="1" t="s">
        <v>20</v>
      </c>
      <c r="N24" s="51">
        <f t="shared" si="0"/>
        <v>0</v>
      </c>
    </row>
    <row r="25" spans="1:14" ht="28.7" customHeight="1" x14ac:dyDescent="0.25">
      <c r="A25" s="26">
        <v>22</v>
      </c>
      <c r="B25" s="59" t="s">
        <v>334</v>
      </c>
      <c r="C25" s="21" t="s">
        <v>27</v>
      </c>
      <c r="D25" s="48" t="s">
        <v>17</v>
      </c>
      <c r="E25" s="1">
        <v>1</v>
      </c>
      <c r="F25" s="4" t="s">
        <v>23</v>
      </c>
      <c r="G25" s="4" t="s">
        <v>18</v>
      </c>
      <c r="H25" s="1">
        <v>15581</v>
      </c>
      <c r="I25" s="3">
        <v>6401</v>
      </c>
      <c r="J25" s="36" t="s">
        <v>333</v>
      </c>
      <c r="K25" s="36" t="s">
        <v>333</v>
      </c>
      <c r="L25" s="43">
        <f>SUMIFS([1]خرداد!$AF$262:$AF$385,[1]خرداد!$C$262:$C$385,"قطعه تعمیری",[1]خرداد!$B$262:$B$385,C25,[1]خرداد!$P$262:$P$385,B25)</f>
        <v>2</v>
      </c>
      <c r="M25" s="1" t="s">
        <v>20</v>
      </c>
      <c r="N25" s="51">
        <f t="shared" si="0"/>
        <v>1500000</v>
      </c>
    </row>
    <row r="26" spans="1:14" ht="28.7" customHeight="1" thickBot="1" x14ac:dyDescent="0.3">
      <c r="A26" s="173">
        <v>23</v>
      </c>
      <c r="B26" s="146"/>
      <c r="C26" s="147"/>
      <c r="D26" s="149"/>
      <c r="E26" s="148"/>
      <c r="F26" s="45"/>
      <c r="G26" s="45"/>
      <c r="H26" s="148"/>
      <c r="I26" s="196"/>
      <c r="J26" s="77"/>
      <c r="K26" s="77"/>
      <c r="L26" s="152">
        <f>SUMIFS([1]خرداد!$AF$262:$AF$385,[1]خرداد!$C$262:$C$385,"قطعه تعمیری",[1]خرداد!$B$262:$B$385,C26,[1]خرداد!$P$262:$P$385,B26)</f>
        <v>0</v>
      </c>
      <c r="M26" s="148"/>
      <c r="N26" s="153">
        <f t="shared" si="0"/>
        <v>0</v>
      </c>
    </row>
    <row r="27" spans="1:14" ht="21" customHeight="1" x14ac:dyDescent="0.25">
      <c r="A27" s="31"/>
      <c r="B27" s="251" t="s">
        <v>30</v>
      </c>
      <c r="C27" s="128" t="s">
        <v>184</v>
      </c>
      <c r="D27" s="83" t="s">
        <v>14</v>
      </c>
      <c r="E27" s="93">
        <f>SUMIFS(E4:E26,F4:F26,D27,M4:M26,"تحویل")</f>
        <v>9251</v>
      </c>
      <c r="F27" s="125"/>
      <c r="G27" s="83"/>
      <c r="H27" s="9"/>
      <c r="I27" s="251" t="s">
        <v>115</v>
      </c>
      <c r="J27" s="9" t="s">
        <v>14</v>
      </c>
      <c r="K27" s="9">
        <f>SUMIFS(E4:E26,F4:F26,J27)</f>
        <v>9588</v>
      </c>
      <c r="L27" s="197">
        <f>SUMIFS(L4:L26,F4:F26,J27)</f>
        <v>168.33333333333334</v>
      </c>
      <c r="M27" s="112"/>
      <c r="N27" s="178">
        <f>SUMIFS(N4:N26,F4:F26,J27)</f>
        <v>126250000</v>
      </c>
    </row>
    <row r="28" spans="1:14" ht="21" customHeight="1" x14ac:dyDescent="0.25">
      <c r="A28" s="180"/>
      <c r="B28" s="246"/>
      <c r="C28" s="131" t="s">
        <v>184</v>
      </c>
      <c r="D28" s="61" t="s">
        <v>23</v>
      </c>
      <c r="E28" s="102">
        <f>SUMIFS(E4:E26,F4:F26,D28,M4:M26,"تحویل")</f>
        <v>16</v>
      </c>
      <c r="F28" s="60"/>
      <c r="G28" s="61"/>
      <c r="H28" s="60"/>
      <c r="I28" s="246"/>
      <c r="J28" s="60" t="s">
        <v>23</v>
      </c>
      <c r="K28" s="60">
        <f>SUMIFS(E5:E26,F5:F26,J28)</f>
        <v>21</v>
      </c>
      <c r="L28" s="172">
        <f>SUMIFS(L5:L27,F5:F27,J28)</f>
        <v>98</v>
      </c>
      <c r="M28" s="118"/>
      <c r="N28" s="182">
        <f>SUMIFS(N5:N27,F5:F27,J28)</f>
        <v>73500000</v>
      </c>
    </row>
    <row r="29" spans="1:14" ht="29.25" customHeight="1" thickBot="1" x14ac:dyDescent="0.3">
      <c r="A29" s="198"/>
      <c r="B29" s="203" t="s">
        <v>115</v>
      </c>
      <c r="C29" s="199"/>
      <c r="D29" s="200"/>
      <c r="E29" s="199">
        <f>E27+E28</f>
        <v>9267</v>
      </c>
      <c r="F29" s="199"/>
      <c r="G29" s="199"/>
      <c r="H29" s="199"/>
      <c r="I29" s="199"/>
      <c r="J29" s="199"/>
      <c r="K29" s="199">
        <f>K27+K28</f>
        <v>9609</v>
      </c>
      <c r="L29" s="199">
        <f>L27+L28</f>
        <v>266.33333333333337</v>
      </c>
      <c r="M29" s="201"/>
      <c r="N29" s="202">
        <f>N27+N28</f>
        <v>199750000</v>
      </c>
    </row>
    <row r="31" spans="1:14" x14ac:dyDescent="0.25">
      <c r="N31" s="95"/>
    </row>
  </sheetData>
  <mergeCells count="3">
    <mergeCell ref="A1:K2"/>
    <mergeCell ref="B27:B28"/>
    <mergeCell ref="I27:I28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L7:L9 L15 L20" formula="1"/>
    <ignoredError sqref="K28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B63B-BF67-4B28-B536-BF57D29530DF}">
  <sheetPr>
    <pageSetUpPr fitToPage="1"/>
  </sheetPr>
  <dimension ref="A1:N32"/>
  <sheetViews>
    <sheetView rightToLeft="1" view="pageLayout" topLeftCell="A22" zoomScaleNormal="100" workbookViewId="0">
      <selection activeCell="B25" sqref="B25:G25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13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134" t="s">
        <v>71</v>
      </c>
      <c r="C4" s="48" t="s">
        <v>31</v>
      </c>
      <c r="D4" s="48" t="s">
        <v>32</v>
      </c>
      <c r="E4" s="48">
        <v>300</v>
      </c>
      <c r="F4" s="34" t="s">
        <v>14</v>
      </c>
      <c r="G4" s="57" t="s">
        <v>21</v>
      </c>
      <c r="H4" s="49" t="s">
        <v>228</v>
      </c>
      <c r="I4" s="49"/>
      <c r="J4" s="35" t="s">
        <v>229</v>
      </c>
      <c r="K4" s="36"/>
      <c r="L4" s="42">
        <f>SUMIFS([1]خرداد!$AF$386:$AF$618,[1]خرداد!$C$386:$C$618,"قطعه نو",[1]خرداد!$B$386:$B$618,C4,[1]خرداد!$P$386:$P$618,B4)</f>
        <v>21</v>
      </c>
      <c r="M4" s="76" t="s">
        <v>37</v>
      </c>
      <c r="N4" s="51">
        <f>L4*(500000*1.5)</f>
        <v>15750000</v>
      </c>
    </row>
    <row r="5" spans="1:14" ht="28.7" customHeight="1" x14ac:dyDescent="0.25">
      <c r="A5" s="26">
        <v>2</v>
      </c>
      <c r="B5" s="29" t="s">
        <v>336</v>
      </c>
      <c r="C5" s="4" t="s">
        <v>335</v>
      </c>
      <c r="D5" s="48" t="s">
        <v>132</v>
      </c>
      <c r="E5" s="48">
        <v>3730</v>
      </c>
      <c r="F5" s="3" t="s">
        <v>14</v>
      </c>
      <c r="G5" s="57" t="s">
        <v>21</v>
      </c>
      <c r="H5" s="47"/>
      <c r="I5" s="2"/>
      <c r="J5" s="6" t="s">
        <v>337</v>
      </c>
      <c r="K5" s="36" t="s">
        <v>338</v>
      </c>
      <c r="L5" s="42">
        <f>SUMIFS([1]خرداد!$AF$386:$AF$618,[1]خرداد!$C$386:$C$618,"قطعه نو",[1]خرداد!$B$386:$B$618,C5,[1]خرداد!$P$386:$P$618,B5)</f>
        <v>22.5</v>
      </c>
      <c r="M5" s="1" t="s">
        <v>20</v>
      </c>
      <c r="N5" s="51">
        <f t="shared" ref="N5:N27" si="0">L5*(500000*1.5)</f>
        <v>16875000</v>
      </c>
    </row>
    <row r="6" spans="1:14" ht="28.7" customHeight="1" x14ac:dyDescent="0.25">
      <c r="A6" s="26">
        <v>3</v>
      </c>
      <c r="B6" s="134" t="s">
        <v>190</v>
      </c>
      <c r="C6" s="48" t="s">
        <v>189</v>
      </c>
      <c r="D6" s="48" t="s">
        <v>132</v>
      </c>
      <c r="E6" s="48">
        <v>50000</v>
      </c>
      <c r="F6" s="3" t="s">
        <v>14</v>
      </c>
      <c r="G6" s="57" t="s">
        <v>21</v>
      </c>
      <c r="H6" s="49"/>
      <c r="I6" s="49"/>
      <c r="J6" s="35" t="s">
        <v>340</v>
      </c>
      <c r="K6" s="36"/>
      <c r="L6" s="42">
        <f>SUMIFS([1]خرداد!$AF$386:$AF$618,[1]خرداد!$C$386:$C$618,"قطعه نو",[1]خرداد!$B$386:$B$618,C6,[1]خرداد!$P$386:$P$618,B6)</f>
        <v>22.5</v>
      </c>
      <c r="M6" s="1" t="s">
        <v>37</v>
      </c>
      <c r="N6" s="51">
        <f t="shared" si="0"/>
        <v>16875000</v>
      </c>
    </row>
    <row r="7" spans="1:14" ht="28.7" customHeight="1" x14ac:dyDescent="0.25">
      <c r="A7" s="26">
        <v>4</v>
      </c>
      <c r="B7" s="134" t="s">
        <v>225</v>
      </c>
      <c r="C7" s="48" t="s">
        <v>299</v>
      </c>
      <c r="D7" s="48" t="s">
        <v>341</v>
      </c>
      <c r="E7" s="48">
        <v>2</v>
      </c>
      <c r="F7" s="48" t="s">
        <v>14</v>
      </c>
      <c r="G7" s="57" t="s">
        <v>21</v>
      </c>
      <c r="H7" s="49"/>
      <c r="I7" s="49"/>
      <c r="J7" s="36" t="s">
        <v>296</v>
      </c>
      <c r="K7" s="36"/>
      <c r="L7" s="42">
        <f>SUMIFS([1]خرداد!$AF$386:$AF$618,[1]خرداد!$C$386:$C$618,"قطعه نو",[1]خرداد!$B$386:$B$618,C7,[1]خرداد!$P$386:$P$618,B7)</f>
        <v>40</v>
      </c>
      <c r="M7" s="1" t="s">
        <v>37</v>
      </c>
      <c r="N7" s="51">
        <f t="shared" si="0"/>
        <v>30000000</v>
      </c>
    </row>
    <row r="8" spans="1:14" ht="28.7" customHeight="1" x14ac:dyDescent="0.25">
      <c r="A8" s="26">
        <v>5</v>
      </c>
      <c r="B8" s="29" t="s">
        <v>342</v>
      </c>
      <c r="C8" s="48" t="s">
        <v>299</v>
      </c>
      <c r="D8" s="48" t="s">
        <v>341</v>
      </c>
      <c r="E8" s="48">
        <v>2</v>
      </c>
      <c r="F8" s="48" t="s">
        <v>14</v>
      </c>
      <c r="G8" s="57" t="s">
        <v>21</v>
      </c>
      <c r="H8" s="47"/>
      <c r="I8" s="2"/>
      <c r="J8" s="36" t="s">
        <v>296</v>
      </c>
      <c r="K8" s="36"/>
      <c r="L8" s="42">
        <f>SUMIFS([1]خرداد!$AF$386:$AF$618,[1]خرداد!$C$386:$C$618,"قطعه نو",[1]خرداد!$B$386:$B$618,C8,[1]خرداد!$P$386:$P$618,B8)</f>
        <v>7.5</v>
      </c>
      <c r="M8" s="1" t="s">
        <v>37</v>
      </c>
      <c r="N8" s="51">
        <f t="shared" si="0"/>
        <v>5625000</v>
      </c>
    </row>
    <row r="9" spans="1:14" ht="28.7" customHeight="1" x14ac:dyDescent="0.25">
      <c r="A9" s="26">
        <v>6</v>
      </c>
      <c r="B9" s="29" t="s">
        <v>343</v>
      </c>
      <c r="C9" s="48" t="s">
        <v>299</v>
      </c>
      <c r="D9" s="48" t="s">
        <v>341</v>
      </c>
      <c r="E9" s="48">
        <v>2</v>
      </c>
      <c r="F9" s="48" t="s">
        <v>14</v>
      </c>
      <c r="G9" s="57" t="s">
        <v>21</v>
      </c>
      <c r="H9" s="49"/>
      <c r="I9" s="49"/>
      <c r="J9" s="36" t="s">
        <v>296</v>
      </c>
      <c r="K9" s="36"/>
      <c r="L9" s="42">
        <f>SUMIFS([1]خرداد!$AF$386:$AF$618,[1]خرداد!$C$386:$C$618,"قطعه نو",[1]خرداد!$B$386:$B$618,C9,[1]خرداد!$P$386:$P$618,"*")</f>
        <v>63.5</v>
      </c>
      <c r="M9" s="50" t="s">
        <v>37</v>
      </c>
      <c r="N9" s="51">
        <f t="shared" si="0"/>
        <v>47625000</v>
      </c>
    </row>
    <row r="10" spans="1:14" ht="28.7" customHeight="1" x14ac:dyDescent="0.25">
      <c r="A10" s="26">
        <v>7</v>
      </c>
      <c r="B10" s="134" t="s">
        <v>344</v>
      </c>
      <c r="C10" s="48" t="s">
        <v>301</v>
      </c>
      <c r="D10" s="48" t="s">
        <v>29</v>
      </c>
      <c r="E10" s="48">
        <v>1</v>
      </c>
      <c r="F10" s="48" t="s">
        <v>14</v>
      </c>
      <c r="G10" s="57" t="s">
        <v>21</v>
      </c>
      <c r="H10" s="2"/>
      <c r="I10" s="49"/>
      <c r="J10" s="36" t="s">
        <v>340</v>
      </c>
      <c r="K10" s="36" t="s">
        <v>340</v>
      </c>
      <c r="L10" s="42">
        <f>SUMIFS([1]خرداد!$AF$386:$AF$618,[1]خرداد!$C$386:$C$618,"قطعه نو",[1]خرداد!$B$386:$B$618,C10,[1]خرداد!$P$386:$P$618,B10)</f>
        <v>2</v>
      </c>
      <c r="M10" s="1" t="s">
        <v>20</v>
      </c>
      <c r="N10" s="51">
        <f t="shared" si="0"/>
        <v>1500000</v>
      </c>
    </row>
    <row r="11" spans="1:14" ht="28.7" customHeight="1" x14ac:dyDescent="0.25">
      <c r="A11" s="26">
        <v>8</v>
      </c>
      <c r="B11" s="134" t="s">
        <v>89</v>
      </c>
      <c r="C11" s="4" t="s">
        <v>48</v>
      </c>
      <c r="D11" s="48" t="s">
        <v>345</v>
      </c>
      <c r="E11" s="48">
        <v>10</v>
      </c>
      <c r="F11" s="48" t="s">
        <v>14</v>
      </c>
      <c r="G11" s="57" t="s">
        <v>21</v>
      </c>
      <c r="H11" s="49"/>
      <c r="I11" s="49"/>
      <c r="J11" s="36" t="s">
        <v>340</v>
      </c>
      <c r="K11" s="36" t="s">
        <v>340</v>
      </c>
      <c r="L11" s="42">
        <f>SUMIFS([1]خرداد!$AF$386:$AF$618,[1]خرداد!$C$386:$C$618,"قطعه نو",[1]خرداد!$B$386:$B$618,C11,[1]خرداد!$P$386:$P$618,B11)</f>
        <v>3</v>
      </c>
      <c r="M11" s="1" t="s">
        <v>20</v>
      </c>
      <c r="N11" s="51">
        <f t="shared" si="0"/>
        <v>2250000</v>
      </c>
    </row>
    <row r="12" spans="1:14" ht="28.7" customHeight="1" x14ac:dyDescent="0.25">
      <c r="A12" s="26">
        <v>9</v>
      </c>
      <c r="B12" s="134" t="s">
        <v>13</v>
      </c>
      <c r="C12" s="4" t="s">
        <v>88</v>
      </c>
      <c r="D12" s="48" t="s">
        <v>345</v>
      </c>
      <c r="E12" s="48">
        <v>3</v>
      </c>
      <c r="F12" s="48" t="s">
        <v>14</v>
      </c>
      <c r="G12" s="57" t="s">
        <v>21</v>
      </c>
      <c r="H12" s="2"/>
      <c r="I12" s="49"/>
      <c r="J12" s="6" t="s">
        <v>296</v>
      </c>
      <c r="K12" s="36"/>
      <c r="L12" s="42">
        <f>SUMIFS([1]خرداد!$AF$386:$AF$618,[1]خرداد!$C$386:$C$618,"قطعه نو",[1]خرداد!$B$386:$B$618,C12,[1]خرداد!$P$386:$P$618,B12)</f>
        <v>22</v>
      </c>
      <c r="M12" s="1" t="s">
        <v>37</v>
      </c>
      <c r="N12" s="51">
        <f t="shared" si="0"/>
        <v>16500000</v>
      </c>
    </row>
    <row r="13" spans="1:14" ht="28.7" customHeight="1" x14ac:dyDescent="0.25">
      <c r="A13" s="26">
        <v>10</v>
      </c>
      <c r="B13" s="29" t="s">
        <v>260</v>
      </c>
      <c r="C13" s="4" t="s">
        <v>94</v>
      </c>
      <c r="D13" s="48" t="s">
        <v>345</v>
      </c>
      <c r="E13" s="48">
        <v>5</v>
      </c>
      <c r="F13" s="48" t="s">
        <v>14</v>
      </c>
      <c r="G13" s="57" t="s">
        <v>21</v>
      </c>
      <c r="H13" s="49"/>
      <c r="I13" s="49"/>
      <c r="J13" s="6" t="s">
        <v>346</v>
      </c>
      <c r="K13" s="6"/>
      <c r="L13" s="42">
        <f>SUMIFS([1]خرداد!$AF$386:$AF$618,[1]خرداد!$C$386:$C$618,"قطعه نو",[1]خرداد!$B$386:$B$618,C13,[1]خرداد!$P$386:$P$618,B13)</f>
        <v>5.166666666666667</v>
      </c>
      <c r="M13" s="1" t="s">
        <v>37</v>
      </c>
      <c r="N13" s="51">
        <f t="shared" si="0"/>
        <v>3875000</v>
      </c>
    </row>
    <row r="14" spans="1:14" ht="28.7" customHeight="1" x14ac:dyDescent="0.25">
      <c r="A14" s="26">
        <v>11</v>
      </c>
      <c r="B14" s="134" t="s">
        <v>89</v>
      </c>
      <c r="C14" s="4" t="s">
        <v>28</v>
      </c>
      <c r="D14" s="48" t="s">
        <v>347</v>
      </c>
      <c r="E14" s="48">
        <v>2</v>
      </c>
      <c r="F14" s="48" t="s">
        <v>14</v>
      </c>
      <c r="G14" s="57" t="s">
        <v>21</v>
      </c>
      <c r="H14" s="49"/>
      <c r="I14" s="49"/>
      <c r="J14" s="36" t="s">
        <v>321</v>
      </c>
      <c r="K14" s="35" t="s">
        <v>338</v>
      </c>
      <c r="L14" s="42">
        <f>SUMIFS([1]خرداد!$AF$386:$AF$618,[1]خرداد!$C$386:$C$618,"قطعه نو",[1]خرداد!$B$386:$B$618,C14,[1]خرداد!$P$386:$P$618,"*")</f>
        <v>4</v>
      </c>
      <c r="M14" s="1" t="s">
        <v>20</v>
      </c>
      <c r="N14" s="51">
        <f t="shared" si="0"/>
        <v>3000000</v>
      </c>
    </row>
    <row r="15" spans="1:14" ht="28.7" customHeight="1" x14ac:dyDescent="0.25">
      <c r="A15" s="26">
        <v>12</v>
      </c>
      <c r="B15" s="134" t="s">
        <v>348</v>
      </c>
      <c r="C15" s="48" t="s">
        <v>323</v>
      </c>
      <c r="D15" s="48" t="s">
        <v>347</v>
      </c>
      <c r="E15" s="48">
        <v>1</v>
      </c>
      <c r="F15" s="48" t="s">
        <v>14</v>
      </c>
      <c r="G15" s="57" t="s">
        <v>21</v>
      </c>
      <c r="H15" s="49"/>
      <c r="I15" s="49"/>
      <c r="J15" s="6" t="s">
        <v>349</v>
      </c>
      <c r="K15" s="6" t="s">
        <v>338</v>
      </c>
      <c r="L15" s="42">
        <f>SUMIFS([1]خرداد!$AF$386:$AF$618,[1]خرداد!$C$386:$C$618,"قطعه نو",[1]خرداد!$B$386:$B$618,C15,[1]خرداد!$P$386:$P$618,B15)</f>
        <v>2</v>
      </c>
      <c r="M15" s="1" t="s">
        <v>20</v>
      </c>
      <c r="N15" s="51">
        <f t="shared" si="0"/>
        <v>1500000</v>
      </c>
    </row>
    <row r="16" spans="1:14" ht="28.7" customHeight="1" x14ac:dyDescent="0.25">
      <c r="A16" s="26">
        <v>13</v>
      </c>
      <c r="B16" s="59" t="s">
        <v>302</v>
      </c>
      <c r="C16" s="21" t="s">
        <v>350</v>
      </c>
      <c r="D16" s="48" t="s">
        <v>351</v>
      </c>
      <c r="E16" s="48">
        <v>100</v>
      </c>
      <c r="F16" s="48" t="s">
        <v>14</v>
      </c>
      <c r="G16" s="57" t="s">
        <v>21</v>
      </c>
      <c r="H16" s="2"/>
      <c r="I16" s="49"/>
      <c r="J16" s="6" t="s">
        <v>349</v>
      </c>
      <c r="K16" s="35"/>
      <c r="L16" s="42">
        <f>SUMIFS([1]خرداد!$AF$386:$AF$618,[1]خرداد!$C$386:$C$618,"قطعه نو",[1]خرداد!$B$386:$B$618,C16,[1]خرداد!$P$386:$P$618,B16)</f>
        <v>31</v>
      </c>
      <c r="M16" s="1" t="s">
        <v>37</v>
      </c>
      <c r="N16" s="51">
        <f t="shared" si="0"/>
        <v>23250000</v>
      </c>
    </row>
    <row r="17" spans="1:14" ht="28.7" customHeight="1" x14ac:dyDescent="0.25">
      <c r="A17" s="26">
        <v>14</v>
      </c>
      <c r="B17" s="134" t="s">
        <v>52</v>
      </c>
      <c r="C17" s="48" t="s">
        <v>31</v>
      </c>
      <c r="D17" s="48" t="s">
        <v>347</v>
      </c>
      <c r="E17" s="48">
        <v>1</v>
      </c>
      <c r="F17" s="48" t="s">
        <v>23</v>
      </c>
      <c r="G17" s="57" t="s">
        <v>18</v>
      </c>
      <c r="H17" s="49">
        <v>15646</v>
      </c>
      <c r="I17" s="49"/>
      <c r="J17" s="6" t="s">
        <v>339</v>
      </c>
      <c r="K17" s="6" t="s">
        <v>339</v>
      </c>
      <c r="L17" s="42">
        <f>SUMIFS([1]خرداد!$AF$386:$AF$618,[1]خرداد!$C$386:$C$618,"قطعه تعمیری",[1]خرداد!$B$386:$B$618,C17,[1]خرداد!$P$386:$P$618,B17)</f>
        <v>1.5</v>
      </c>
      <c r="M17" s="1" t="s">
        <v>20</v>
      </c>
      <c r="N17" s="51">
        <f t="shared" si="0"/>
        <v>1125000</v>
      </c>
    </row>
    <row r="18" spans="1:14" ht="28.7" customHeight="1" x14ac:dyDescent="0.25">
      <c r="A18" s="26">
        <v>15</v>
      </c>
      <c r="B18" s="29" t="s">
        <v>85</v>
      </c>
      <c r="C18" s="48" t="s">
        <v>25</v>
      </c>
      <c r="D18" s="48" t="s">
        <v>347</v>
      </c>
      <c r="E18" s="4">
        <v>1</v>
      </c>
      <c r="F18" s="48" t="s">
        <v>23</v>
      </c>
      <c r="G18" s="57" t="s">
        <v>352</v>
      </c>
      <c r="H18" s="49">
        <v>15992</v>
      </c>
      <c r="I18" s="49">
        <v>2008</v>
      </c>
      <c r="J18" s="6" t="s">
        <v>349</v>
      </c>
      <c r="K18" s="6" t="s">
        <v>349</v>
      </c>
      <c r="L18" s="42">
        <f>SUMIFS([1]خرداد!$AF$386:$AF$618,[1]خرداد!$C$386:$C$618,"قطعه تعمیری",[1]خرداد!$B$386:$B$618,C18,[1]خرداد!$P$386:$P$618,B18)</f>
        <v>2</v>
      </c>
      <c r="M18" s="1" t="s">
        <v>20</v>
      </c>
      <c r="N18" s="51">
        <f t="shared" si="0"/>
        <v>1500000</v>
      </c>
    </row>
    <row r="19" spans="1:14" ht="28.7" customHeight="1" x14ac:dyDescent="0.25">
      <c r="A19" s="26">
        <v>16</v>
      </c>
      <c r="B19" s="134" t="s">
        <v>85</v>
      </c>
      <c r="C19" s="48" t="s">
        <v>294</v>
      </c>
      <c r="D19" s="48" t="s">
        <v>341</v>
      </c>
      <c r="E19" s="4">
        <v>2</v>
      </c>
      <c r="F19" s="48" t="s">
        <v>23</v>
      </c>
      <c r="G19" s="57" t="s">
        <v>353</v>
      </c>
      <c r="H19" s="49"/>
      <c r="I19" s="49"/>
      <c r="J19" s="6" t="s">
        <v>349</v>
      </c>
      <c r="K19" s="6" t="s">
        <v>340</v>
      </c>
      <c r="L19" s="42">
        <f>SUMIFS([1]خرداد!$AF$386:$AF$618,[1]خرداد!$C$386:$C$618,"قطعه تعمیری",[1]خرداد!$B$386:$B$618,C19,[1]خرداد!$P$386:$P$618,"*")</f>
        <v>7</v>
      </c>
      <c r="M19" s="1" t="s">
        <v>20</v>
      </c>
      <c r="N19" s="51">
        <f t="shared" si="0"/>
        <v>5250000</v>
      </c>
    </row>
    <row r="20" spans="1:14" ht="28.7" customHeight="1" x14ac:dyDescent="0.25">
      <c r="A20" s="26">
        <v>17</v>
      </c>
      <c r="B20" s="59" t="s">
        <v>13</v>
      </c>
      <c r="C20" s="21" t="s">
        <v>246</v>
      </c>
      <c r="D20" s="48" t="s">
        <v>29</v>
      </c>
      <c r="E20" s="48">
        <v>15</v>
      </c>
      <c r="F20" s="48" t="s">
        <v>23</v>
      </c>
      <c r="G20" s="57" t="s">
        <v>354</v>
      </c>
      <c r="H20" s="1"/>
      <c r="I20" s="3"/>
      <c r="J20" s="6" t="s">
        <v>349</v>
      </c>
      <c r="K20" s="6" t="s">
        <v>339</v>
      </c>
      <c r="L20" s="42">
        <f>SUMIFS([1]خرداد!$AF$386:$AF$618,[1]خرداد!$C$386:$C$618,"قطعه تعمیری",[1]خرداد!$B$386:$B$618,C20,[1]خرداد!$P$386:$P$618,B20)</f>
        <v>9</v>
      </c>
      <c r="M20" s="1" t="s">
        <v>20</v>
      </c>
      <c r="N20" s="51">
        <f t="shared" si="0"/>
        <v>6750000</v>
      </c>
    </row>
    <row r="21" spans="1:14" ht="28.7" customHeight="1" x14ac:dyDescent="0.25">
      <c r="A21" s="26">
        <v>18</v>
      </c>
      <c r="B21" s="59" t="s">
        <v>310</v>
      </c>
      <c r="C21" s="21" t="s">
        <v>58</v>
      </c>
      <c r="D21" s="48" t="s">
        <v>347</v>
      </c>
      <c r="E21" s="1">
        <v>4</v>
      </c>
      <c r="F21" s="48" t="s">
        <v>23</v>
      </c>
      <c r="G21" s="57" t="s">
        <v>355</v>
      </c>
      <c r="H21" s="1"/>
      <c r="I21" s="3"/>
      <c r="J21" s="6" t="s">
        <v>349</v>
      </c>
      <c r="K21" s="35"/>
      <c r="L21" s="42">
        <f>SUMIFS([1]خرداد!$AF$386:$AF$618,[1]خرداد!$C$386:$C$618,"قطعه تعمیری",[1]خرداد!$B$386:$B$618,C21,[1]خرداد!$P$386:$P$618,"*")</f>
        <v>47</v>
      </c>
      <c r="M21" s="1" t="s">
        <v>37</v>
      </c>
      <c r="N21" s="51">
        <f t="shared" si="0"/>
        <v>35250000</v>
      </c>
    </row>
    <row r="22" spans="1:14" ht="28.7" customHeight="1" x14ac:dyDescent="0.25">
      <c r="A22" s="26">
        <v>19</v>
      </c>
      <c r="B22" s="59" t="s">
        <v>85</v>
      </c>
      <c r="C22" s="21" t="s">
        <v>56</v>
      </c>
      <c r="D22" s="48" t="s">
        <v>341</v>
      </c>
      <c r="E22" s="1">
        <v>1</v>
      </c>
      <c r="F22" s="48" t="s">
        <v>23</v>
      </c>
      <c r="G22" s="57" t="s">
        <v>18</v>
      </c>
      <c r="H22" s="1"/>
      <c r="I22" s="3"/>
      <c r="J22" s="6" t="s">
        <v>339</v>
      </c>
      <c r="K22" s="6" t="s">
        <v>339</v>
      </c>
      <c r="L22" s="42">
        <f>SUMIFS([1]خرداد!$AF$386:$AF$618,[1]خرداد!$C$386:$C$618,"قطعه تعمیری",[1]خرداد!$B$386:$B$618,C22,[1]خرداد!$P$386:$P$618,B22)</f>
        <v>5.75</v>
      </c>
      <c r="M22" s="1" t="s">
        <v>20</v>
      </c>
      <c r="N22" s="51">
        <f t="shared" si="0"/>
        <v>4312500</v>
      </c>
    </row>
    <row r="23" spans="1:14" ht="28.7" customHeight="1" x14ac:dyDescent="0.25">
      <c r="A23" s="26">
        <v>20</v>
      </c>
      <c r="B23" s="59" t="s">
        <v>61</v>
      </c>
      <c r="C23" s="21" t="s">
        <v>325</v>
      </c>
      <c r="D23" s="48" t="s">
        <v>326</v>
      </c>
      <c r="E23" s="4">
        <v>1</v>
      </c>
      <c r="F23" s="48" t="s">
        <v>23</v>
      </c>
      <c r="G23" s="57" t="s">
        <v>18</v>
      </c>
      <c r="H23" s="49"/>
      <c r="I23" s="49"/>
      <c r="J23" s="36" t="s">
        <v>327</v>
      </c>
      <c r="K23" s="35" t="s">
        <v>339</v>
      </c>
      <c r="L23" s="42">
        <f>SUMIFS([1]خرداد!$AF$386:$AF$618,[1]خرداد!$C$386:$C$618,"قطعه تعمیری",[1]خرداد!$B$386:$B$618,C23,[1]خرداد!$P$386:$P$618,B23)</f>
        <v>1.5</v>
      </c>
      <c r="M23" s="1" t="s">
        <v>20</v>
      </c>
      <c r="N23" s="51">
        <f t="shared" si="0"/>
        <v>1125000</v>
      </c>
    </row>
    <row r="24" spans="1:14" ht="28.7" customHeight="1" x14ac:dyDescent="0.25">
      <c r="A24" s="26">
        <v>21</v>
      </c>
      <c r="B24" s="59" t="s">
        <v>331</v>
      </c>
      <c r="C24" s="21" t="s">
        <v>311</v>
      </c>
      <c r="D24" s="48" t="s">
        <v>32</v>
      </c>
      <c r="E24" s="48">
        <v>1</v>
      </c>
      <c r="F24" s="48" t="s">
        <v>23</v>
      </c>
      <c r="G24" s="57" t="s">
        <v>18</v>
      </c>
      <c r="H24" s="1"/>
      <c r="I24" s="3"/>
      <c r="J24" s="35" t="s">
        <v>329</v>
      </c>
      <c r="K24" s="35"/>
      <c r="L24" s="42">
        <f>SUMIFS([1]خرداد!$AF$386:$AF$618,[1]خرداد!$C$386:$C$618,"قطعه تعمیری",[1]خرداد!$B$386:$B$618,C24,[1]خرداد!$P$386:$P$618,"*")</f>
        <v>6.5</v>
      </c>
      <c r="M24" s="1" t="s">
        <v>37</v>
      </c>
      <c r="N24" s="51">
        <f t="shared" si="0"/>
        <v>4875000</v>
      </c>
    </row>
    <row r="25" spans="1:14" ht="28.7" customHeight="1" x14ac:dyDescent="0.25">
      <c r="A25" s="26">
        <v>22</v>
      </c>
      <c r="B25" s="59" t="s">
        <v>39</v>
      </c>
      <c r="C25" s="21" t="s">
        <v>22</v>
      </c>
      <c r="D25" s="48" t="s">
        <v>347</v>
      </c>
      <c r="E25" s="1">
        <v>8</v>
      </c>
      <c r="F25" s="4" t="s">
        <v>23</v>
      </c>
      <c r="G25" s="57" t="s">
        <v>18</v>
      </c>
      <c r="H25" s="1"/>
      <c r="I25" s="3"/>
      <c r="J25" s="6" t="s">
        <v>349</v>
      </c>
      <c r="K25" s="6" t="s">
        <v>349</v>
      </c>
      <c r="L25" s="42">
        <f>SUMIFS([1]خرداد!$AF$386:$AF$618,[1]خرداد!$C$386:$C$618,"قطعه تعمیری",[1]خرداد!$B$386:$B$618,C25,[1]خرداد!$P$386:$P$618,B25)</f>
        <v>2</v>
      </c>
      <c r="M25" s="1" t="s">
        <v>20</v>
      </c>
      <c r="N25" s="51">
        <f t="shared" si="0"/>
        <v>1500000</v>
      </c>
    </row>
    <row r="26" spans="1:14" ht="28.7" customHeight="1" x14ac:dyDescent="0.25">
      <c r="A26" s="26">
        <v>22</v>
      </c>
      <c r="B26" s="146" t="s">
        <v>42</v>
      </c>
      <c r="C26" s="21" t="s">
        <v>356</v>
      </c>
      <c r="D26" s="4" t="s">
        <v>29</v>
      </c>
      <c r="E26" s="1">
        <v>1</v>
      </c>
      <c r="F26" s="4" t="s">
        <v>23</v>
      </c>
      <c r="G26" s="57" t="s">
        <v>18</v>
      </c>
      <c r="H26" s="148"/>
      <c r="I26" s="196"/>
      <c r="J26" s="6" t="s">
        <v>340</v>
      </c>
      <c r="K26" s="6" t="s">
        <v>340</v>
      </c>
      <c r="L26" s="42">
        <f>SUMIFS([1]خرداد!$AF$386:$AF$618,[1]خرداد!$C$386:$C$618,"قطعه تعمیری",[1]خرداد!$B$386:$B$618,C26,[1]خرداد!$P$386:$P$618,B26)</f>
        <v>5</v>
      </c>
      <c r="M26" s="148" t="s">
        <v>20</v>
      </c>
      <c r="N26" s="51">
        <f t="shared" si="0"/>
        <v>3750000</v>
      </c>
    </row>
    <row r="27" spans="1:14" ht="28.7" customHeight="1" thickBot="1" x14ac:dyDescent="0.3">
      <c r="A27" s="26">
        <v>22</v>
      </c>
      <c r="B27" s="146" t="s">
        <v>70</v>
      </c>
      <c r="C27" s="175" t="s">
        <v>27</v>
      </c>
      <c r="D27" s="48" t="s">
        <v>341</v>
      </c>
      <c r="E27" s="176">
        <v>1</v>
      </c>
      <c r="F27" s="4" t="s">
        <v>23</v>
      </c>
      <c r="G27" s="57" t="s">
        <v>18</v>
      </c>
      <c r="H27" s="148">
        <v>15580</v>
      </c>
      <c r="I27" s="196">
        <v>6410</v>
      </c>
      <c r="J27" s="77" t="s">
        <v>279</v>
      </c>
      <c r="K27" s="77"/>
      <c r="L27" s="42">
        <f>SUMIFS([1]خرداد!$AF$386:$AF$618,[1]خرداد!$C$386:$C$618,"قطعه تعمیری",[1]خرداد!$B$386:$B$618,C27,[1]خرداد!$P$386:$P$618,B27)</f>
        <v>2</v>
      </c>
      <c r="M27" s="148" t="s">
        <v>37</v>
      </c>
      <c r="N27" s="51">
        <f t="shared" si="0"/>
        <v>1500000</v>
      </c>
    </row>
    <row r="28" spans="1:14" ht="21" customHeight="1" x14ac:dyDescent="0.25">
      <c r="A28" s="31"/>
      <c r="B28" s="251" t="s">
        <v>30</v>
      </c>
      <c r="C28" s="128" t="s">
        <v>184</v>
      </c>
      <c r="D28" s="83" t="s">
        <v>14</v>
      </c>
      <c r="E28" s="93">
        <f>SUMIFS(E4:E27,F4:F27,D28,M4:M27,"تحویل")</f>
        <v>3744</v>
      </c>
      <c r="F28" s="125"/>
      <c r="G28" s="83"/>
      <c r="H28" s="9"/>
      <c r="I28" s="251" t="s">
        <v>115</v>
      </c>
      <c r="J28" s="9" t="s">
        <v>14</v>
      </c>
      <c r="K28" s="9">
        <f>SUMIFS(E4:E27,F4:F27,J28)</f>
        <v>54158</v>
      </c>
      <c r="L28" s="171">
        <f>SUMIFS(L4:L27,F4:F27,J28)</f>
        <v>246.16666666666666</v>
      </c>
      <c r="M28" s="112"/>
      <c r="N28" s="178">
        <f>SUMIFS(N4:N27,F4:F27,J28)</f>
        <v>184625000</v>
      </c>
    </row>
    <row r="29" spans="1:14" ht="21" customHeight="1" x14ac:dyDescent="0.25">
      <c r="A29" s="180"/>
      <c r="B29" s="246"/>
      <c r="C29" s="131" t="s">
        <v>184</v>
      </c>
      <c r="D29" s="61" t="s">
        <v>23</v>
      </c>
      <c r="E29" s="102">
        <f>SUMIFS(E4:E27,F4:F27,D29,M4:M27,"تحویل")</f>
        <v>30</v>
      </c>
      <c r="F29" s="60"/>
      <c r="G29" s="61"/>
      <c r="H29" s="60"/>
      <c r="I29" s="246"/>
      <c r="J29" s="60" t="s">
        <v>23</v>
      </c>
      <c r="K29" s="60">
        <f>SUMIFS(E5:E27,F5:F27,J29)</f>
        <v>36</v>
      </c>
      <c r="L29" s="170">
        <f>SUMIFS(L5:L28,F5:F28,J29)</f>
        <v>89.25</v>
      </c>
      <c r="M29" s="118"/>
      <c r="N29" s="182">
        <f>SUMIFS(N5:N28,F5:F28,J29)</f>
        <v>66937500</v>
      </c>
    </row>
    <row r="30" spans="1:14" ht="29.25" customHeight="1" thickBot="1" x14ac:dyDescent="0.3">
      <c r="A30" s="198"/>
      <c r="B30" s="203" t="s">
        <v>115</v>
      </c>
      <c r="C30" s="199"/>
      <c r="D30" s="200"/>
      <c r="E30" s="199">
        <f>E28+E29</f>
        <v>3774</v>
      </c>
      <c r="F30" s="199"/>
      <c r="G30" s="199"/>
      <c r="H30" s="199"/>
      <c r="I30" s="199"/>
      <c r="J30" s="199"/>
      <c r="K30" s="199">
        <f>K28+K29</f>
        <v>54194</v>
      </c>
      <c r="L30" s="203">
        <f>L28+L29</f>
        <v>335.41666666666663</v>
      </c>
      <c r="M30" s="201"/>
      <c r="N30" s="202">
        <f>N28+N29</f>
        <v>251562500</v>
      </c>
    </row>
    <row r="32" spans="1:14" x14ac:dyDescent="0.25">
      <c r="N32" s="95"/>
    </row>
  </sheetData>
  <mergeCells count="3">
    <mergeCell ref="A1:K2"/>
    <mergeCell ref="B28:B29"/>
    <mergeCell ref="I28:I29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L9 L14 L17 L19:L21 L24" formula="1"/>
    <ignoredError sqref="K29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56C0-BF8F-4804-9B2E-C53F06368D09}">
  <sheetPr>
    <pageSetUpPr fitToPage="1"/>
  </sheetPr>
  <dimension ref="A1:N29"/>
  <sheetViews>
    <sheetView rightToLeft="1" view="pageLayout" topLeftCell="A15" zoomScaleNormal="100" workbookViewId="0">
      <selection activeCell="B18" sqref="B18:I18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14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134" t="s">
        <v>357</v>
      </c>
      <c r="C4" s="48" t="s">
        <v>76</v>
      </c>
      <c r="D4" s="48" t="s">
        <v>32</v>
      </c>
      <c r="E4" s="48">
        <v>1</v>
      </c>
      <c r="F4" s="34" t="s">
        <v>14</v>
      </c>
      <c r="G4" s="57" t="s">
        <v>21</v>
      </c>
      <c r="H4" s="49">
        <v>14046</v>
      </c>
      <c r="I4" s="49"/>
      <c r="J4" s="35" t="s">
        <v>358</v>
      </c>
      <c r="K4" s="36"/>
      <c r="L4" s="42">
        <f>SUMIFS([1]خرداد!$AF$619:$AF$690,[1]خرداد!$C$619:$C$690,"قطعه نو",[1]خرداد!$B$619:$B$690,C4,[1]خرداد!$P$619:$P$690,B4)+5</f>
        <v>10</v>
      </c>
      <c r="M4" s="76" t="s">
        <v>37</v>
      </c>
      <c r="N4" s="51">
        <f>L4*(500000*1.5)</f>
        <v>7500000</v>
      </c>
    </row>
    <row r="5" spans="1:14" ht="28.7" customHeight="1" x14ac:dyDescent="0.25">
      <c r="A5" s="26">
        <v>2</v>
      </c>
      <c r="B5" s="134" t="s">
        <v>190</v>
      </c>
      <c r="C5" s="48" t="s">
        <v>189</v>
      </c>
      <c r="D5" s="48" t="s">
        <v>132</v>
      </c>
      <c r="E5" s="48">
        <v>50000</v>
      </c>
      <c r="F5" s="3" t="s">
        <v>14</v>
      </c>
      <c r="G5" s="57" t="s">
        <v>21</v>
      </c>
      <c r="H5" s="49"/>
      <c r="I5" s="49"/>
      <c r="J5" s="35" t="s">
        <v>340</v>
      </c>
      <c r="K5" s="36"/>
      <c r="L5" s="42">
        <f>SUMIFS([1]خرداد!$AF$619:$AF$690,[1]خرداد!$C$619:$C$690,"قطعه نو",[1]خرداد!$B$619:$B$690,C5,[1]خرداد!$P$619:$P$690,B5)</f>
        <v>7.5</v>
      </c>
      <c r="M5" s="1" t="s">
        <v>20</v>
      </c>
      <c r="N5" s="51">
        <f t="shared" ref="N5:N24" si="0">L5*(500000*1.5)</f>
        <v>5625000</v>
      </c>
    </row>
    <row r="6" spans="1:14" ht="28.7" customHeight="1" x14ac:dyDescent="0.25">
      <c r="A6" s="26">
        <v>3</v>
      </c>
      <c r="B6" s="134" t="s">
        <v>225</v>
      </c>
      <c r="C6" s="48" t="s">
        <v>299</v>
      </c>
      <c r="D6" s="48" t="s">
        <v>341</v>
      </c>
      <c r="E6" s="48">
        <v>2</v>
      </c>
      <c r="F6" s="48" t="s">
        <v>14</v>
      </c>
      <c r="G6" s="57" t="s">
        <v>21</v>
      </c>
      <c r="H6" s="49"/>
      <c r="I6" s="49"/>
      <c r="J6" s="36" t="s">
        <v>296</v>
      </c>
      <c r="K6" s="36"/>
      <c r="L6" s="42">
        <f>SUMIFS([1]خرداد!$AF$619:$AF$690,[1]خرداد!$C$619:$C$690,"قطعه نو",[1]خرداد!$B$619:$B$690,C6,[1]خرداد!$P$619:$P$690,B6)+2.5</f>
        <v>21.5</v>
      </c>
      <c r="M6" s="1" t="s">
        <v>37</v>
      </c>
      <c r="N6" s="51">
        <f t="shared" si="0"/>
        <v>16125000</v>
      </c>
    </row>
    <row r="7" spans="1:14" ht="28.7" customHeight="1" x14ac:dyDescent="0.25">
      <c r="A7" s="26">
        <v>4</v>
      </c>
      <c r="B7" s="29" t="s">
        <v>342</v>
      </c>
      <c r="C7" s="48" t="s">
        <v>299</v>
      </c>
      <c r="D7" s="48" t="s">
        <v>341</v>
      </c>
      <c r="E7" s="48">
        <v>2</v>
      </c>
      <c r="F7" s="48" t="s">
        <v>14</v>
      </c>
      <c r="G7" s="57" t="s">
        <v>21</v>
      </c>
      <c r="H7" s="47"/>
      <c r="I7" s="2"/>
      <c r="J7" s="36" t="s">
        <v>296</v>
      </c>
      <c r="K7" s="36"/>
      <c r="L7" s="42">
        <f>SUMIFS([1]خرداد!$AF$619:$AF$690,[1]خرداد!$C$619:$C$690,"قطعه نو",[1]خرداد!$B$619:$B$690,C7,[1]خرداد!$P$619:$P$690,B7)</f>
        <v>15.5</v>
      </c>
      <c r="M7" s="1" t="s">
        <v>37</v>
      </c>
      <c r="N7" s="51">
        <f t="shared" si="0"/>
        <v>11625000</v>
      </c>
    </row>
    <row r="8" spans="1:14" ht="28.7" customHeight="1" x14ac:dyDescent="0.25">
      <c r="A8" s="26">
        <v>5</v>
      </c>
      <c r="B8" s="29" t="s">
        <v>343</v>
      </c>
      <c r="C8" s="48" t="s">
        <v>299</v>
      </c>
      <c r="D8" s="48" t="s">
        <v>341</v>
      </c>
      <c r="E8" s="48">
        <v>2</v>
      </c>
      <c r="F8" s="48" t="s">
        <v>14</v>
      </c>
      <c r="G8" s="57" t="s">
        <v>21</v>
      </c>
      <c r="H8" s="49"/>
      <c r="I8" s="49"/>
      <c r="J8" s="36" t="s">
        <v>296</v>
      </c>
      <c r="K8" s="36"/>
      <c r="L8" s="42">
        <f>SUMIFS([1]تیر!$AF$2:$AF$690,[1]تیر!$C$2:$C$690,"قطعه نو",[1]تیر!$B$2:$B$690,C8,[1]تیر!$P$2:$P$690,B8)</f>
        <v>42.333333333333336</v>
      </c>
      <c r="M8" s="1" t="s">
        <v>37</v>
      </c>
      <c r="N8" s="51">
        <f t="shared" si="0"/>
        <v>31750000</v>
      </c>
    </row>
    <row r="9" spans="1:14" ht="28.7" customHeight="1" x14ac:dyDescent="0.25">
      <c r="A9" s="26">
        <v>6</v>
      </c>
      <c r="B9" s="29" t="s">
        <v>260</v>
      </c>
      <c r="C9" s="4" t="s">
        <v>94</v>
      </c>
      <c r="D9" s="48" t="s">
        <v>345</v>
      </c>
      <c r="E9" s="48">
        <v>5</v>
      </c>
      <c r="F9" s="48" t="s">
        <v>14</v>
      </c>
      <c r="G9" s="57" t="s">
        <v>21</v>
      </c>
      <c r="H9" s="49"/>
      <c r="I9" s="49"/>
      <c r="J9" s="6" t="s">
        <v>346</v>
      </c>
      <c r="K9" s="36"/>
      <c r="L9" s="42">
        <f>SUMIFS([1]خرداد!$AF$619:$AF$690,[1]خرداد!$C$619:$C$690,"قطعه نو",[1]خرداد!$B$619:$B$690,C9,[1]خرداد!$P$619:$P$690,"*")</f>
        <v>35.583333333333329</v>
      </c>
      <c r="M9" s="50" t="s">
        <v>37</v>
      </c>
      <c r="N9" s="51">
        <f t="shared" si="0"/>
        <v>26687499.999999996</v>
      </c>
    </row>
    <row r="10" spans="1:14" ht="28.7" customHeight="1" x14ac:dyDescent="0.25">
      <c r="A10" s="26">
        <v>7</v>
      </c>
      <c r="B10" s="59" t="s">
        <v>302</v>
      </c>
      <c r="C10" s="21" t="s">
        <v>350</v>
      </c>
      <c r="D10" s="48" t="s">
        <v>351</v>
      </c>
      <c r="E10" s="48">
        <v>100</v>
      </c>
      <c r="F10" s="48" t="s">
        <v>14</v>
      </c>
      <c r="G10" s="57" t="s">
        <v>21</v>
      </c>
      <c r="H10" s="2"/>
      <c r="I10" s="49"/>
      <c r="J10" s="6" t="s">
        <v>349</v>
      </c>
      <c r="K10" s="36"/>
      <c r="L10" s="42">
        <f>SUMIFS([1]خرداد!$AF$619:$AF$690,[1]خرداد!$C$619:$C$690,"قطعه نو",[1]خرداد!$B$619:$B$690,C10,[1]خرداد!$P$619:$P$690,B10)+14</f>
        <v>38</v>
      </c>
      <c r="M10" s="1" t="s">
        <v>37</v>
      </c>
      <c r="N10" s="51">
        <f t="shared" si="0"/>
        <v>28500000</v>
      </c>
    </row>
    <row r="11" spans="1:14" ht="28.7" customHeight="1" x14ac:dyDescent="0.25">
      <c r="A11" s="26">
        <v>8</v>
      </c>
      <c r="B11" s="134" t="s">
        <v>360</v>
      </c>
      <c r="C11" s="4" t="s">
        <v>311</v>
      </c>
      <c r="D11" s="48" t="s">
        <v>341</v>
      </c>
      <c r="E11" s="48">
        <v>3</v>
      </c>
      <c r="F11" s="48" t="s">
        <v>14</v>
      </c>
      <c r="G11" s="57" t="s">
        <v>21</v>
      </c>
      <c r="H11" s="49"/>
      <c r="I11" s="49"/>
      <c r="J11" s="36" t="s">
        <v>359</v>
      </c>
      <c r="K11" s="36" t="s">
        <v>361</v>
      </c>
      <c r="L11" s="42">
        <f>SUMIFS([1]تیر!$AF$2:$AF$690,[1]تیر!$C$2:$C$690,"قطعه نو",[1]تیر!$B$2:$B$690,C11,[1]تیر!$P$2:$P$690,"*")</f>
        <v>7.3333333333333339</v>
      </c>
      <c r="M11" s="1" t="s">
        <v>20</v>
      </c>
      <c r="N11" s="51">
        <f t="shared" si="0"/>
        <v>5500000</v>
      </c>
    </row>
    <row r="12" spans="1:14" ht="28.7" customHeight="1" x14ac:dyDescent="0.25">
      <c r="A12" s="26">
        <v>9</v>
      </c>
      <c r="B12" s="134" t="s">
        <v>85</v>
      </c>
      <c r="C12" s="4" t="s">
        <v>24</v>
      </c>
      <c r="D12" s="48" t="s">
        <v>341</v>
      </c>
      <c r="E12" s="48">
        <v>2</v>
      </c>
      <c r="F12" s="48" t="s">
        <v>23</v>
      </c>
      <c r="G12" s="57" t="s">
        <v>362</v>
      </c>
      <c r="H12" s="2"/>
      <c r="I12" s="49"/>
      <c r="J12" s="6" t="s">
        <v>363</v>
      </c>
      <c r="K12" s="36" t="s">
        <v>363</v>
      </c>
      <c r="L12" s="42">
        <f>SUMIFS([1]خرداد!$AF$619:$AF$690,[1]خرداد!$C$619:$C$690,"قطعه تعمیری",[1]خرداد!$B$619:$B$690,C12,[1]خرداد!$P$619:$P$690,B12)</f>
        <v>3</v>
      </c>
      <c r="M12" s="1" t="s">
        <v>20</v>
      </c>
      <c r="N12" s="51">
        <f t="shared" si="0"/>
        <v>2250000</v>
      </c>
    </row>
    <row r="13" spans="1:14" ht="28.7" customHeight="1" x14ac:dyDescent="0.25">
      <c r="A13" s="26">
        <v>10</v>
      </c>
      <c r="B13" s="29" t="s">
        <v>364</v>
      </c>
      <c r="C13" s="4" t="s">
        <v>309</v>
      </c>
      <c r="D13" s="48" t="s">
        <v>341</v>
      </c>
      <c r="E13" s="48">
        <v>1</v>
      </c>
      <c r="F13" s="48" t="s">
        <v>23</v>
      </c>
      <c r="G13" s="57" t="s">
        <v>365</v>
      </c>
      <c r="H13" s="49">
        <v>15741</v>
      </c>
      <c r="I13" s="49"/>
      <c r="J13" s="6" t="s">
        <v>363</v>
      </c>
      <c r="K13" s="6" t="s">
        <v>363</v>
      </c>
      <c r="L13" s="42">
        <f>SUMIFS([1]خرداد!$AF$619:$AF$690,[1]خرداد!$C$619:$C$690,"قطعه تعمیری",[1]خرداد!$B$619:$B$690,C13,[1]خرداد!$P$619:$P$690,B13)</f>
        <v>1</v>
      </c>
      <c r="M13" s="1" t="s">
        <v>20</v>
      </c>
      <c r="N13" s="51">
        <f t="shared" si="0"/>
        <v>750000</v>
      </c>
    </row>
    <row r="14" spans="1:14" ht="28.7" customHeight="1" x14ac:dyDescent="0.25">
      <c r="A14" s="26">
        <v>11</v>
      </c>
      <c r="B14" s="59" t="s">
        <v>310</v>
      </c>
      <c r="C14" s="21" t="s">
        <v>58</v>
      </c>
      <c r="D14" s="48" t="s">
        <v>347</v>
      </c>
      <c r="E14" s="1">
        <v>4</v>
      </c>
      <c r="F14" s="48" t="s">
        <v>23</v>
      </c>
      <c r="G14" s="57" t="s">
        <v>355</v>
      </c>
      <c r="H14" s="1"/>
      <c r="I14" s="3"/>
      <c r="J14" s="6" t="s">
        <v>349</v>
      </c>
      <c r="K14" s="35"/>
      <c r="L14" s="42">
        <f>SUMIFS([1]خرداد!$AF$619:$AF$690,[1]خرداد!$C$619:$C$690,"قطعه تعمیری",[1]خرداد!$B$619:$B$690,C14,[1]خرداد!$P$619:$P$690,B14)</f>
        <v>11</v>
      </c>
      <c r="M14" s="1" t="s">
        <v>37</v>
      </c>
      <c r="N14" s="51">
        <f t="shared" si="0"/>
        <v>8250000</v>
      </c>
    </row>
    <row r="15" spans="1:14" ht="28.7" customHeight="1" x14ac:dyDescent="0.25">
      <c r="A15" s="26">
        <v>12</v>
      </c>
      <c r="B15" s="134" t="s">
        <v>85</v>
      </c>
      <c r="C15" s="48" t="s">
        <v>94</v>
      </c>
      <c r="D15" s="48" t="s">
        <v>345</v>
      </c>
      <c r="E15" s="48">
        <v>12</v>
      </c>
      <c r="F15" s="48" t="s">
        <v>23</v>
      </c>
      <c r="G15" s="57" t="s">
        <v>366</v>
      </c>
      <c r="H15" s="49"/>
      <c r="I15" s="49"/>
      <c r="J15" s="6" t="s">
        <v>363</v>
      </c>
      <c r="K15" s="6"/>
      <c r="L15" s="42">
        <f>SUMIFS([1]خرداد!$AF$619:$AF$690,[1]خرداد!$C$619:$C$690,"قطعه تعمیری",[1]خرداد!$B$619:$B$690,C15,[1]خرداد!$P$619:$P$690,"*")+20</f>
        <v>34</v>
      </c>
      <c r="M15" s="1" t="s">
        <v>37</v>
      </c>
      <c r="N15" s="51">
        <f t="shared" si="0"/>
        <v>25500000</v>
      </c>
    </row>
    <row r="16" spans="1:14" ht="28.7" customHeight="1" x14ac:dyDescent="0.25">
      <c r="A16" s="26">
        <v>13</v>
      </c>
      <c r="B16" s="59" t="s">
        <v>85</v>
      </c>
      <c r="C16" s="21" t="s">
        <v>280</v>
      </c>
      <c r="D16" s="48" t="s">
        <v>347</v>
      </c>
      <c r="E16" s="48">
        <v>1</v>
      </c>
      <c r="F16" s="48" t="s">
        <v>23</v>
      </c>
      <c r="G16" s="57" t="s">
        <v>18</v>
      </c>
      <c r="H16" s="2"/>
      <c r="I16" s="49"/>
      <c r="J16" s="6" t="s">
        <v>358</v>
      </c>
      <c r="K16" s="35" t="s">
        <v>358</v>
      </c>
      <c r="L16" s="42">
        <f>SUMIFS([1]خرداد!$AF$619:$AF$690,[1]خرداد!$C$619:$C$690,"قطعه تعمیری",[1]خرداد!$B$619:$B$690,C16,[1]خرداد!$P$619:$P$690,"*")</f>
        <v>3.5</v>
      </c>
      <c r="M16" s="1" t="s">
        <v>20</v>
      </c>
      <c r="N16" s="51">
        <f t="shared" si="0"/>
        <v>2625000</v>
      </c>
    </row>
    <row r="17" spans="1:14" ht="28.7" customHeight="1" x14ac:dyDescent="0.25">
      <c r="A17" s="26">
        <v>14</v>
      </c>
      <c r="B17" s="134" t="s">
        <v>348</v>
      </c>
      <c r="C17" s="4" t="s">
        <v>311</v>
      </c>
      <c r="D17" s="48" t="s">
        <v>341</v>
      </c>
      <c r="E17" s="48">
        <v>1</v>
      </c>
      <c r="F17" s="48" t="s">
        <v>23</v>
      </c>
      <c r="G17" s="57" t="s">
        <v>18</v>
      </c>
      <c r="H17" s="49"/>
      <c r="I17" s="49"/>
      <c r="J17" s="35" t="s">
        <v>329</v>
      </c>
      <c r="K17" s="6" t="s">
        <v>358</v>
      </c>
      <c r="L17" s="42">
        <f>SUMIFS([1]خرداد!$AF$619:$AF$690,[1]خرداد!$C$619:$C$690,"قطعه تعمیری",[1]خرداد!$B$619:$B$690,C17,[1]خرداد!$P$619:$P$690,B17)</f>
        <v>3</v>
      </c>
      <c r="M17" s="1" t="s">
        <v>20</v>
      </c>
      <c r="N17" s="51">
        <f t="shared" si="0"/>
        <v>2250000</v>
      </c>
    </row>
    <row r="18" spans="1:14" ht="28.7" customHeight="1" x14ac:dyDescent="0.25">
      <c r="A18" s="26">
        <v>15</v>
      </c>
      <c r="B18" s="59" t="s">
        <v>39</v>
      </c>
      <c r="C18" s="21" t="s">
        <v>22</v>
      </c>
      <c r="D18" s="48" t="s">
        <v>347</v>
      </c>
      <c r="E18" s="1">
        <v>8</v>
      </c>
      <c r="F18" s="4" t="s">
        <v>23</v>
      </c>
      <c r="G18" s="57" t="s">
        <v>18</v>
      </c>
      <c r="H18" s="49"/>
      <c r="I18" s="49"/>
      <c r="J18" s="6" t="s">
        <v>363</v>
      </c>
      <c r="K18" s="6" t="s">
        <v>361</v>
      </c>
      <c r="L18" s="42">
        <f>SUMIFS([1]خرداد!$AF$619:$AF$690,[1]خرداد!$C$619:$C$690,"قطعه تعمیری",[1]خرداد!$B$619:$B$690,C18,[1]خرداد!$P$619:$P$690,B18)+4</f>
        <v>5</v>
      </c>
      <c r="M18" s="1" t="s">
        <v>20</v>
      </c>
      <c r="N18" s="51">
        <f t="shared" si="0"/>
        <v>3750000</v>
      </c>
    </row>
    <row r="19" spans="1:14" ht="28.7" customHeight="1" x14ac:dyDescent="0.25">
      <c r="A19" s="26">
        <v>16</v>
      </c>
      <c r="B19" s="134" t="s">
        <v>367</v>
      </c>
      <c r="C19" s="48" t="s">
        <v>56</v>
      </c>
      <c r="D19" s="48" t="s">
        <v>347</v>
      </c>
      <c r="E19" s="4">
        <v>1</v>
      </c>
      <c r="F19" s="48" t="s">
        <v>23</v>
      </c>
      <c r="G19" s="57" t="s">
        <v>368</v>
      </c>
      <c r="H19" s="49"/>
      <c r="I19" s="49"/>
      <c r="J19" s="6" t="s">
        <v>359</v>
      </c>
      <c r="K19" s="6" t="s">
        <v>361</v>
      </c>
      <c r="L19" s="42">
        <f>SUMIFS([1]تیر!$AF$2:$AF$690,[1]تیر!$C$2:$C$690,"قطعه تعمیری",[1]تیر!$B$2:$B$690,C19,[1]تیر!$P$2:$P$690,"*")</f>
        <v>72.833333333333343</v>
      </c>
      <c r="M19" s="1" t="s">
        <v>20</v>
      </c>
      <c r="N19" s="51">
        <f t="shared" si="0"/>
        <v>54625000.000000007</v>
      </c>
    </row>
    <row r="20" spans="1:14" ht="28.7" customHeight="1" x14ac:dyDescent="0.25">
      <c r="A20" s="26">
        <v>17</v>
      </c>
      <c r="B20" s="59" t="s">
        <v>13</v>
      </c>
      <c r="C20" s="21" t="s">
        <v>43</v>
      </c>
      <c r="D20" s="48" t="s">
        <v>347</v>
      </c>
      <c r="E20" s="48">
        <v>10</v>
      </c>
      <c r="F20" s="48" t="s">
        <v>23</v>
      </c>
      <c r="G20" s="57" t="s">
        <v>18</v>
      </c>
      <c r="H20" s="1"/>
      <c r="I20" s="3"/>
      <c r="J20" s="6" t="s">
        <v>359</v>
      </c>
      <c r="K20" s="6" t="s">
        <v>361</v>
      </c>
      <c r="L20" s="42">
        <f>SUMIFS([1]تیر!$AF$2:$AF$690,[1]تیر!$C$2:$C$690,"قطعه تعمیری",[1]تیر!$B$2:$B$690,C20,[1]تیر!$P$2:$P$690,"*")</f>
        <v>50</v>
      </c>
      <c r="M20" s="1" t="s">
        <v>20</v>
      </c>
      <c r="N20" s="51">
        <f t="shared" si="0"/>
        <v>37500000</v>
      </c>
    </row>
    <row r="21" spans="1:14" ht="28.7" customHeight="1" x14ac:dyDescent="0.25">
      <c r="A21" s="26">
        <v>18</v>
      </c>
      <c r="B21" s="59" t="s">
        <v>85</v>
      </c>
      <c r="C21" s="21" t="s">
        <v>28</v>
      </c>
      <c r="D21" s="48" t="s">
        <v>347</v>
      </c>
      <c r="E21" s="1">
        <v>1</v>
      </c>
      <c r="F21" s="48" t="s">
        <v>23</v>
      </c>
      <c r="G21" s="57" t="s">
        <v>18</v>
      </c>
      <c r="H21" s="1">
        <v>15746</v>
      </c>
      <c r="I21" s="3">
        <v>2504</v>
      </c>
      <c r="J21" s="6" t="s">
        <v>359</v>
      </c>
      <c r="K21" s="6" t="s">
        <v>361</v>
      </c>
      <c r="L21" s="42">
        <f>SUMIFS([1]تیر!$AF$2:$AF$690,[1]تیر!$C$2:$C$690,"قطعه تعمیری",[1]تیر!$B$2:$B$690,C21,[1]تیر!$P$2:$P$690,"*")</f>
        <v>6</v>
      </c>
      <c r="M21" s="1" t="s">
        <v>20</v>
      </c>
      <c r="N21" s="51">
        <f t="shared" si="0"/>
        <v>4500000</v>
      </c>
    </row>
    <row r="22" spans="1:14" ht="28.7" customHeight="1" x14ac:dyDescent="0.25">
      <c r="A22" s="26">
        <v>19</v>
      </c>
      <c r="B22" s="59" t="s">
        <v>370</v>
      </c>
      <c r="C22" s="21" t="s">
        <v>369</v>
      </c>
      <c r="D22" s="48" t="s">
        <v>287</v>
      </c>
      <c r="E22" s="1">
        <v>1</v>
      </c>
      <c r="F22" s="48" t="s">
        <v>23</v>
      </c>
      <c r="G22" s="57" t="s">
        <v>18</v>
      </c>
      <c r="H22" s="1"/>
      <c r="I22" s="3"/>
      <c r="J22" s="6" t="s">
        <v>359</v>
      </c>
      <c r="K22" s="6" t="s">
        <v>361</v>
      </c>
      <c r="L22" s="42">
        <f>SUMIFS([1]تیر!$AF$2:$AF$690,[1]تیر!$C$2:$C$690,"قطعه تعمیری",[1]تیر!$B$2:$B$690,C22,[1]تیر!$P$2:$P$690,"*")</f>
        <v>0</v>
      </c>
      <c r="M22" s="1" t="s">
        <v>20</v>
      </c>
      <c r="N22" s="51">
        <f t="shared" si="0"/>
        <v>0</v>
      </c>
    </row>
    <row r="23" spans="1:14" ht="28.7" customHeight="1" x14ac:dyDescent="0.25">
      <c r="A23" s="26">
        <v>20</v>
      </c>
      <c r="B23" s="59" t="s">
        <v>89</v>
      </c>
      <c r="C23" s="21" t="s">
        <v>371</v>
      </c>
      <c r="D23" s="48" t="s">
        <v>15</v>
      </c>
      <c r="E23" s="4">
        <v>1</v>
      </c>
      <c r="F23" s="48" t="s">
        <v>23</v>
      </c>
      <c r="G23" s="57" t="s">
        <v>372</v>
      </c>
      <c r="H23" s="49">
        <v>15999</v>
      </c>
      <c r="I23" s="49"/>
      <c r="J23" s="6" t="s">
        <v>361</v>
      </c>
      <c r="K23" s="6" t="s">
        <v>361</v>
      </c>
      <c r="L23" s="42">
        <f>SUMIFS([1]تیر!$AF$2:$AF$690,[1]تیر!$C$2:$C$690,"قطعه تعمیری",[1]تیر!$B$2:$B$690,C23,[1]تیر!$P$2:$P$690,"*")</f>
        <v>4.5</v>
      </c>
      <c r="M23" s="1" t="s">
        <v>20</v>
      </c>
      <c r="N23" s="51">
        <f t="shared" si="0"/>
        <v>3375000</v>
      </c>
    </row>
    <row r="24" spans="1:14" ht="28.7" customHeight="1" thickBot="1" x14ac:dyDescent="0.3">
      <c r="A24" s="26">
        <v>21</v>
      </c>
      <c r="B24" s="146"/>
      <c r="C24" s="175"/>
      <c r="D24" s="48"/>
      <c r="E24" s="176"/>
      <c r="F24" s="4" t="s">
        <v>23</v>
      </c>
      <c r="G24" s="57"/>
      <c r="H24" s="148"/>
      <c r="I24" s="196"/>
      <c r="J24" s="77"/>
      <c r="K24" s="77"/>
      <c r="L24" s="42">
        <f>SUMIFS([1]خرداد!$AF$619:$AF$690,[1]خرداد!$C$619:$C$690,"قطعه تعمیری",[1]خرداد!$B$619:$B$690,C24,[1]خرداد!$P$619:$P$690,B24)</f>
        <v>0</v>
      </c>
      <c r="M24" s="148"/>
      <c r="N24" s="51">
        <f t="shared" si="0"/>
        <v>0</v>
      </c>
    </row>
    <row r="25" spans="1:14" ht="21" customHeight="1" x14ac:dyDescent="0.25">
      <c r="A25" s="31"/>
      <c r="B25" s="251" t="s">
        <v>30</v>
      </c>
      <c r="C25" s="128" t="s">
        <v>184</v>
      </c>
      <c r="D25" s="83" t="s">
        <v>14</v>
      </c>
      <c r="E25" s="93">
        <f>SUMIFS(E4:E24,F4:F24,D25,M4:M24,"تحویل")</f>
        <v>50003</v>
      </c>
      <c r="F25" s="125"/>
      <c r="G25" s="83"/>
      <c r="H25" s="9"/>
      <c r="I25" s="251" t="s">
        <v>115</v>
      </c>
      <c r="J25" s="9" t="s">
        <v>14</v>
      </c>
      <c r="K25" s="93">
        <f>SUMIFS(E4:E24,F4:F24,J25)</f>
        <v>50115</v>
      </c>
      <c r="L25" s="205">
        <f>SUMIFS(L4:L24,F4:F24,J25)</f>
        <v>177.75000000000003</v>
      </c>
      <c r="M25" s="112"/>
      <c r="N25" s="178">
        <f>SUMIFS(N4:N24,F4:F24,J25)</f>
        <v>133312500</v>
      </c>
    </row>
    <row r="26" spans="1:14" ht="21" customHeight="1" x14ac:dyDescent="0.25">
      <c r="A26" s="180"/>
      <c r="B26" s="246"/>
      <c r="C26" s="131" t="s">
        <v>184</v>
      </c>
      <c r="D26" s="61" t="s">
        <v>23</v>
      </c>
      <c r="E26" s="102">
        <f>SUMIFS(E4:E24,F4:F24,D26,M4:M24,"تحویل")</f>
        <v>27</v>
      </c>
      <c r="F26" s="60"/>
      <c r="G26" s="61"/>
      <c r="H26" s="60"/>
      <c r="I26" s="246"/>
      <c r="J26" s="60" t="s">
        <v>23</v>
      </c>
      <c r="K26" s="60">
        <f>SUMIFS(E5:E24,F5:F24,J26)</f>
        <v>43</v>
      </c>
      <c r="L26" s="204">
        <f>SUMIFS(L5:L25,F5:F25,J26)</f>
        <v>193.83333333333334</v>
      </c>
      <c r="M26" s="118"/>
      <c r="N26" s="182">
        <f>SUMIFS(N5:N25,F5:F25,J26)</f>
        <v>145375000</v>
      </c>
    </row>
    <row r="27" spans="1:14" ht="29.25" customHeight="1" thickBot="1" x14ac:dyDescent="0.3">
      <c r="A27" s="198"/>
      <c r="B27" s="203" t="s">
        <v>115</v>
      </c>
      <c r="C27" s="199"/>
      <c r="D27" s="200"/>
      <c r="E27" s="199">
        <f>E25+E26</f>
        <v>50030</v>
      </c>
      <c r="F27" s="199"/>
      <c r="G27" s="199"/>
      <c r="H27" s="199"/>
      <c r="I27" s="199"/>
      <c r="J27" s="199"/>
      <c r="K27" s="199">
        <f>K25+K26</f>
        <v>50158</v>
      </c>
      <c r="L27" s="203">
        <f>L25+L26</f>
        <v>371.58333333333337</v>
      </c>
      <c r="M27" s="201"/>
      <c r="N27" s="202">
        <f>N25+N26</f>
        <v>278687500</v>
      </c>
    </row>
    <row r="29" spans="1:14" x14ac:dyDescent="0.25">
      <c r="N29" s="95"/>
    </row>
  </sheetData>
  <mergeCells count="3">
    <mergeCell ref="A1:K2"/>
    <mergeCell ref="B25:B26"/>
    <mergeCell ref="I25:I26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L8 L6 L15 L18" formula="1"/>
    <ignoredError sqref="K26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FE5B-D190-486A-B026-6D976644E348}">
  <sheetPr>
    <pageSetUpPr fitToPage="1"/>
  </sheetPr>
  <dimension ref="A1:N31"/>
  <sheetViews>
    <sheetView rightToLeft="1" view="pageLayout" topLeftCell="A10" zoomScaleNormal="100" workbookViewId="0">
      <selection activeCell="B15" sqref="B15:J15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15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134" t="s">
        <v>225</v>
      </c>
      <c r="C4" s="48" t="s">
        <v>299</v>
      </c>
      <c r="D4" s="48" t="s">
        <v>341</v>
      </c>
      <c r="E4" s="48">
        <v>2</v>
      </c>
      <c r="F4" s="48" t="s">
        <v>14</v>
      </c>
      <c r="G4" s="57" t="s">
        <v>21</v>
      </c>
      <c r="H4" s="49"/>
      <c r="I4" s="49"/>
      <c r="J4" s="36" t="s">
        <v>296</v>
      </c>
      <c r="K4" s="36"/>
      <c r="L4" s="42">
        <f>SUMIFS([1]تیر!$AF$54:$AF$256,[1]تیر!$C$54:$C$256,"قطعه نو",[1]تیر!$B$54:$B$256,C4,[1]تیر!$P$54:$P$256,B4)</f>
        <v>4.5</v>
      </c>
      <c r="M4" s="76" t="s">
        <v>37</v>
      </c>
      <c r="N4" s="51">
        <f>SUMIFS([1]تیر!$AR$54:$AR$256,[1]تیر!$C$54:$C$256,"قطعه نو",[1]تیر!$B$54:$B$256,C4,[1]تیر!$P$54:$P$256,B4)</f>
        <v>3375000</v>
      </c>
    </row>
    <row r="5" spans="1:14" ht="28.7" customHeight="1" x14ac:dyDescent="0.25">
      <c r="A5" s="26">
        <v>2</v>
      </c>
      <c r="B5" s="29" t="s">
        <v>342</v>
      </c>
      <c r="C5" s="48" t="s">
        <v>299</v>
      </c>
      <c r="D5" s="48" t="s">
        <v>341</v>
      </c>
      <c r="E5" s="48">
        <v>2</v>
      </c>
      <c r="F5" s="48" t="s">
        <v>14</v>
      </c>
      <c r="G5" s="57" t="s">
        <v>21</v>
      </c>
      <c r="H5" s="47"/>
      <c r="I5" s="2"/>
      <c r="J5" s="36" t="s">
        <v>296</v>
      </c>
      <c r="K5" s="36"/>
      <c r="L5" s="42">
        <f>SUMIFS([1]تیر!$AF$54:$AF$256,[1]تیر!$C$54:$C$256,"قطعه نو",[1]تیر!$B$54:$B$256,C5,[1]تیر!$P$54:$P$256,B5)</f>
        <v>29.5</v>
      </c>
      <c r="M5" s="1" t="s">
        <v>20</v>
      </c>
      <c r="N5" s="51">
        <f>SUMIFS([1]تیر!$AR$54:$AR$256,[1]تیر!$C$54:$C$256,"قطعه نو",[1]تیر!$B$54:$B$256,C5,[1]تیر!$P$54:$P$256,B5)</f>
        <v>44250000</v>
      </c>
    </row>
    <row r="6" spans="1:14" ht="28.7" customHeight="1" x14ac:dyDescent="0.25">
      <c r="A6" s="26">
        <v>3</v>
      </c>
      <c r="B6" s="29" t="s">
        <v>343</v>
      </c>
      <c r="C6" s="48" t="s">
        <v>299</v>
      </c>
      <c r="D6" s="48" t="s">
        <v>341</v>
      </c>
      <c r="E6" s="48">
        <v>2</v>
      </c>
      <c r="F6" s="48" t="s">
        <v>14</v>
      </c>
      <c r="G6" s="57" t="s">
        <v>21</v>
      </c>
      <c r="H6" s="49"/>
      <c r="I6" s="49"/>
      <c r="J6" s="36" t="s">
        <v>296</v>
      </c>
      <c r="K6" s="36"/>
      <c r="L6" s="42">
        <f>SUMIFS([1]تیر!$AF$54:$AF$256,[1]تیر!$C$54:$C$256,"قطعه نو",[1]تیر!$B$54:$B$256,C6,[1]تیر!$P$54:$P$256,B6)</f>
        <v>21</v>
      </c>
      <c r="M6" s="1" t="s">
        <v>37</v>
      </c>
      <c r="N6" s="51">
        <f>SUMIFS([1]تیر!$AR$54:$AR$256,[1]تیر!$C$54:$C$256,"قطعه نو",[1]تیر!$B$54:$B$256,C6,[1]تیر!$P$54:$P$256,B6)</f>
        <v>28125000</v>
      </c>
    </row>
    <row r="7" spans="1:14" ht="28.7" customHeight="1" x14ac:dyDescent="0.25">
      <c r="A7" s="26">
        <v>4</v>
      </c>
      <c r="B7" s="29" t="s">
        <v>62</v>
      </c>
      <c r="C7" s="4" t="s">
        <v>373</v>
      </c>
      <c r="D7" s="48" t="s">
        <v>347</v>
      </c>
      <c r="E7" s="48">
        <v>1</v>
      </c>
      <c r="F7" s="48" t="s">
        <v>14</v>
      </c>
      <c r="G7" s="57" t="s">
        <v>21</v>
      </c>
      <c r="H7" s="49" t="s">
        <v>374</v>
      </c>
      <c r="I7" s="49"/>
      <c r="J7" s="6" t="s">
        <v>321</v>
      </c>
      <c r="K7" s="36"/>
      <c r="L7" s="42">
        <f>SUMIFS([1]تیر!$AF$54:$AF$256,[1]تیر!$C$54:$C$256,"قطعه نو",[1]تیر!$B$54:$B$256,C7,[1]تیر!$P$54:$P$256,"*")</f>
        <v>5</v>
      </c>
      <c r="M7" s="1" t="s">
        <v>37</v>
      </c>
      <c r="N7" s="51">
        <f>SUMIFS([1]تیر!$AR$54:$AR$256,[1]تیر!$C$54:$C$256,"قطعه نو",[1]تیر!$B$54:$B$256,C7,[1]تیر!$P$54:$P$256,"*")</f>
        <v>3750000</v>
      </c>
    </row>
    <row r="8" spans="1:14" ht="28.7" customHeight="1" x14ac:dyDescent="0.25">
      <c r="A8" s="26">
        <v>5</v>
      </c>
      <c r="B8" s="59" t="s">
        <v>302</v>
      </c>
      <c r="C8" s="21" t="s">
        <v>350</v>
      </c>
      <c r="D8" s="48" t="s">
        <v>351</v>
      </c>
      <c r="E8" s="48">
        <v>100</v>
      </c>
      <c r="F8" s="48" t="s">
        <v>14</v>
      </c>
      <c r="G8" s="57" t="s">
        <v>21</v>
      </c>
      <c r="H8" s="2"/>
      <c r="I8" s="49"/>
      <c r="J8" s="6" t="s">
        <v>349</v>
      </c>
      <c r="K8" s="36"/>
      <c r="L8" s="42">
        <f>SUMIFS([1]تیر!$AF$54:$AF$256,[1]تیر!$C$54:$C$256,"قطعه نو",[1]تیر!$B$54:$B$256,C8,[1]تیر!$P$54:$P$256,B8)</f>
        <v>26</v>
      </c>
      <c r="M8" s="1" t="s">
        <v>37</v>
      </c>
      <c r="N8" s="51">
        <f>SUMIFS([1]تیر!$AR$54:$AR$256,[1]تیر!$C$54:$C$256,"قطعه نو",[1]تیر!$B$54:$B$256,C8,[1]تیر!$P$54:$P$256,B8)</f>
        <v>19500000</v>
      </c>
    </row>
    <row r="9" spans="1:14" ht="28.7" customHeight="1" x14ac:dyDescent="0.25">
      <c r="A9" s="26">
        <v>6</v>
      </c>
      <c r="B9" s="29" t="s">
        <v>41</v>
      </c>
      <c r="C9" s="4" t="s">
        <v>58</v>
      </c>
      <c r="D9" s="48" t="s">
        <v>15</v>
      </c>
      <c r="E9" s="48">
        <v>4</v>
      </c>
      <c r="F9" s="48" t="s">
        <v>14</v>
      </c>
      <c r="G9" s="57" t="s">
        <v>375</v>
      </c>
      <c r="H9" s="49"/>
      <c r="I9" s="49"/>
      <c r="J9" s="6" t="s">
        <v>349</v>
      </c>
      <c r="K9" s="36"/>
      <c r="L9" s="42">
        <f>SUMIFS([1]تیر!$AF$54:$AF$256,[1]تیر!$C$54:$C$256,"قطعه نو",[1]تیر!$B$54:$B$256,C9,[1]تیر!$P$54:$P$256,B9)</f>
        <v>19</v>
      </c>
      <c r="M9" s="50" t="s">
        <v>37</v>
      </c>
      <c r="N9" s="51">
        <f>SUMIFS([1]تیر!$AR$54:$AR$256,[1]تیر!$C$54:$C$256,"قطعه نو",[1]تیر!$B$54:$B$256,C9,[1]تیر!$P$54:$P$256,B9)</f>
        <v>14250000</v>
      </c>
    </row>
    <row r="10" spans="1:14" ht="28.7" customHeight="1" x14ac:dyDescent="0.25">
      <c r="A10" s="26">
        <v>7</v>
      </c>
      <c r="B10" s="59" t="s">
        <v>55</v>
      </c>
      <c r="C10" s="21" t="s">
        <v>46</v>
      </c>
      <c r="D10" s="48" t="s">
        <v>15</v>
      </c>
      <c r="E10" s="48">
        <v>1</v>
      </c>
      <c r="F10" s="48" t="s">
        <v>14</v>
      </c>
      <c r="G10" s="57" t="s">
        <v>21</v>
      </c>
      <c r="H10" s="2"/>
      <c r="I10" s="49">
        <v>4</v>
      </c>
      <c r="J10" s="6" t="s">
        <v>376</v>
      </c>
      <c r="K10" s="36" t="s">
        <v>376</v>
      </c>
      <c r="L10" s="42">
        <f>SUMIFS([1]تیر!$AF$54:$AF$256,[1]تیر!$C$54:$C$256,"قطعه نو",[1]تیر!$B$54:$B$256,C10,[1]تیر!$P$54:$P$256,B10)</f>
        <v>2.5</v>
      </c>
      <c r="M10" s="1" t="s">
        <v>20</v>
      </c>
      <c r="N10" s="51">
        <f>SUMIFS([1]تیر!$AR$54:$AR$256,[1]تیر!$C$54:$C$256,"قطعه نو",[1]تیر!$B$54:$B$256,C10,[1]تیر!$P$54:$P$256,B10)</f>
        <v>1875000</v>
      </c>
    </row>
    <row r="11" spans="1:14" ht="28.7" customHeight="1" x14ac:dyDescent="0.25">
      <c r="A11" s="26">
        <v>8</v>
      </c>
      <c r="B11" s="134" t="s">
        <v>85</v>
      </c>
      <c r="C11" s="4" t="s">
        <v>24</v>
      </c>
      <c r="D11" s="48" t="s">
        <v>341</v>
      </c>
      <c r="E11" s="48">
        <v>1</v>
      </c>
      <c r="F11" s="48" t="s">
        <v>23</v>
      </c>
      <c r="G11" s="57" t="s">
        <v>377</v>
      </c>
      <c r="H11" s="49">
        <v>15548</v>
      </c>
      <c r="I11" s="49"/>
      <c r="J11" s="6" t="s">
        <v>376</v>
      </c>
      <c r="K11" s="6" t="s">
        <v>376</v>
      </c>
      <c r="L11" s="42">
        <f>SUMIFS([1]تیر!$AF$54:$AF$256,[1]تیر!$C$54:$C$256,"قطعه تعمیری",[1]تیر!$B$54:$B$256,C11,[1]تیر!$P$54:$P$256,B11)</f>
        <v>2</v>
      </c>
      <c r="M11" s="1" t="s">
        <v>20</v>
      </c>
      <c r="N11" s="51">
        <f>SUMIFS([1]تیر!$AR$54:$AR$256,[1]تیر!$C$54:$C$256,"قطعه تعمیری",[1]تیر!$B$54:$B$256,C11,[1]تیر!$P$54:$P$256,B11)</f>
        <v>1500000</v>
      </c>
    </row>
    <row r="12" spans="1:14" ht="28.7" customHeight="1" x14ac:dyDescent="0.25">
      <c r="A12" s="26">
        <v>9</v>
      </c>
      <c r="B12" s="29" t="s">
        <v>13</v>
      </c>
      <c r="C12" s="4" t="s">
        <v>378</v>
      </c>
      <c r="D12" s="48" t="s">
        <v>347</v>
      </c>
      <c r="E12" s="48">
        <v>4</v>
      </c>
      <c r="F12" s="48" t="s">
        <v>23</v>
      </c>
      <c r="G12" s="57" t="s">
        <v>80</v>
      </c>
      <c r="H12" s="2">
        <v>16735</v>
      </c>
      <c r="I12" s="49">
        <v>3206</v>
      </c>
      <c r="J12" s="6" t="s">
        <v>379</v>
      </c>
      <c r="K12" s="36" t="s">
        <v>380</v>
      </c>
      <c r="L12" s="42">
        <f>SUMIFS([1]تیر!$AF$54:$AF$256,[1]تیر!$C$54:$C$256,"قطعه تعمیری",[1]تیر!$B$54:$B$256,C12,[1]تیر!$P$54:$P$256,B12)</f>
        <v>0</v>
      </c>
      <c r="M12" s="1" t="s">
        <v>20</v>
      </c>
      <c r="N12" s="51">
        <f>SUMIFS([1]تیر!$AR$54:$AR$256,[1]تیر!$C$54:$C$256,"قطعه تعمیری",[1]تیر!$B$54:$B$256,C12,[1]تیر!$P$54:$P$256,B12)</f>
        <v>0</v>
      </c>
    </row>
    <row r="13" spans="1:14" ht="28.7" customHeight="1" x14ac:dyDescent="0.25">
      <c r="A13" s="26">
        <v>10</v>
      </c>
      <c r="B13" s="134" t="s">
        <v>85</v>
      </c>
      <c r="C13" s="48" t="s">
        <v>94</v>
      </c>
      <c r="D13" s="48" t="s">
        <v>345</v>
      </c>
      <c r="E13" s="48">
        <v>12</v>
      </c>
      <c r="F13" s="48" t="s">
        <v>23</v>
      </c>
      <c r="G13" s="57" t="s">
        <v>366</v>
      </c>
      <c r="H13" s="49"/>
      <c r="I13" s="49"/>
      <c r="J13" s="6" t="s">
        <v>363</v>
      </c>
      <c r="K13" s="6" t="s">
        <v>381</v>
      </c>
      <c r="L13" s="42">
        <f>SUMIFS([1]تیر!$AF$54:$AF$256,[1]تیر!$C$54:$C$256,"قطعه تعمیری",[1]تیر!$B$54:$B$256,C13,[1]تیر!$P$54:$P$256,"*")</f>
        <v>4</v>
      </c>
      <c r="M13" s="1" t="s">
        <v>20</v>
      </c>
      <c r="N13" s="51">
        <f>SUMIFS([1]تیر!$AR$54:$AR$256,[1]تیر!$C$54:$C$256,"قطعه تعمیری",[1]تیر!$B$54:$B$256,C13,[1]تیر!$P$54:$P$256,"*")</f>
        <v>3000000</v>
      </c>
    </row>
    <row r="14" spans="1:14" ht="28.7" customHeight="1" x14ac:dyDescent="0.25">
      <c r="A14" s="26">
        <v>11</v>
      </c>
      <c r="B14" s="134" t="s">
        <v>383</v>
      </c>
      <c r="C14" s="48" t="s">
        <v>382</v>
      </c>
      <c r="D14" s="48" t="s">
        <v>347</v>
      </c>
      <c r="E14" s="48">
        <v>1</v>
      </c>
      <c r="F14" s="48" t="s">
        <v>23</v>
      </c>
      <c r="G14" s="57" t="s">
        <v>384</v>
      </c>
      <c r="H14" s="49"/>
      <c r="I14" s="49"/>
      <c r="J14" s="6" t="s">
        <v>385</v>
      </c>
      <c r="K14" s="6" t="s">
        <v>385</v>
      </c>
      <c r="L14" s="42">
        <f>SUMIFS([1]تیر!$AF$54:$AF$256,[1]تیر!$C$54:$C$256,"قطعه تعمیری",[1]تیر!$B$54:$B$256,C14,[1]تیر!$P$54:$P$256,B14)</f>
        <v>3</v>
      </c>
      <c r="M14" s="1" t="s">
        <v>20</v>
      </c>
      <c r="N14" s="51">
        <f>SUMIFS([1]تیر!$AR$54:$AR$256,[1]تیر!$C$54:$C$256,"قطعه تعمیری",[1]تیر!$B$54:$B$256,C14,[1]تیر!$P$54:$P$256,B14)</f>
        <v>2250000</v>
      </c>
    </row>
    <row r="15" spans="1:14" ht="28.7" customHeight="1" x14ac:dyDescent="0.25">
      <c r="A15" s="26">
        <v>12</v>
      </c>
      <c r="B15" s="59" t="s">
        <v>85</v>
      </c>
      <c r="C15" s="21" t="s">
        <v>56</v>
      </c>
      <c r="D15" s="48" t="s">
        <v>347</v>
      </c>
      <c r="E15" s="48">
        <v>1</v>
      </c>
      <c r="F15" s="48" t="s">
        <v>23</v>
      </c>
      <c r="G15" s="57" t="s">
        <v>18</v>
      </c>
      <c r="H15" s="49">
        <v>16862</v>
      </c>
      <c r="I15" s="49">
        <v>2508</v>
      </c>
      <c r="J15" s="6" t="s">
        <v>379</v>
      </c>
      <c r="K15" s="6" t="s">
        <v>379</v>
      </c>
      <c r="L15" s="42">
        <f>SUMIFS([1]تیر!$AF$54:$AF$256,[1]تیر!$C$54:$C$256,"قطعه تعمیری",[1]تیر!$B$54:$B$256,C15,[1]تیر!$P$54:$P$256,"*")</f>
        <v>16.5</v>
      </c>
      <c r="M15" s="1" t="s">
        <v>20</v>
      </c>
      <c r="N15" s="51">
        <f>SUMIFS([1]تیر!$AR$54:$AR$256,[1]تیر!$C$54:$C$256,"قطعه تعمیری",[1]تیر!$B$54:$B$256,C15,[1]تیر!$P$54:$P$256,"*")</f>
        <v>12375000</v>
      </c>
    </row>
    <row r="16" spans="1:14" ht="28.7" customHeight="1" x14ac:dyDescent="0.25">
      <c r="A16" s="26">
        <v>13</v>
      </c>
      <c r="B16" s="134" t="s">
        <v>386</v>
      </c>
      <c r="C16" s="4" t="s">
        <v>48</v>
      </c>
      <c r="D16" s="48" t="s">
        <v>345</v>
      </c>
      <c r="E16" s="48">
        <v>1</v>
      </c>
      <c r="F16" s="48" t="s">
        <v>23</v>
      </c>
      <c r="G16" s="57" t="s">
        <v>18</v>
      </c>
      <c r="H16" s="2"/>
      <c r="I16" s="49"/>
      <c r="J16" s="6" t="s">
        <v>387</v>
      </c>
      <c r="K16" s="35" t="s">
        <v>388</v>
      </c>
      <c r="L16" s="42">
        <f>SUMIFS([1]تیر!$AF$54:$AF$256,[1]تیر!$C$54:$C$256,"قطعه تعمیری",[1]تیر!$B$54:$B$256,C16,[1]تیر!$P$54:$P$256,B16)</f>
        <v>8</v>
      </c>
      <c r="M16" s="1" t="s">
        <v>20</v>
      </c>
      <c r="N16" s="51">
        <f>SUMIFS([1]تیر!$AR$54:$AR$256,[1]تیر!$C$54:$C$256,"قطعه تعمیری",[1]تیر!$B$54:$B$256,C16,[1]تیر!$P$54:$P$256,B16)</f>
        <v>6000000</v>
      </c>
    </row>
    <row r="17" spans="1:14" ht="28.7" customHeight="1" x14ac:dyDescent="0.25">
      <c r="A17" s="26">
        <v>14</v>
      </c>
      <c r="B17" s="59" t="s">
        <v>85</v>
      </c>
      <c r="C17" s="21" t="s">
        <v>88</v>
      </c>
      <c r="D17" s="48" t="s">
        <v>345</v>
      </c>
      <c r="E17" s="48">
        <v>1</v>
      </c>
      <c r="F17" s="48" t="s">
        <v>23</v>
      </c>
      <c r="G17" s="57" t="s">
        <v>18</v>
      </c>
      <c r="H17" s="49">
        <v>16806</v>
      </c>
      <c r="I17" s="49"/>
      <c r="J17" s="6" t="s">
        <v>381</v>
      </c>
      <c r="K17" s="6" t="s">
        <v>381</v>
      </c>
      <c r="L17" s="42">
        <f>SUMIFS([1]تیر!$AF$54:$AF$256,[1]تیر!$C$54:$C$256,"قطعه تعمیری",[1]تیر!$B$54:$B$256,C17,[1]تیر!$P$54:$P$256,B17)</f>
        <v>2</v>
      </c>
      <c r="M17" s="1" t="s">
        <v>20</v>
      </c>
      <c r="N17" s="51">
        <f>SUMIFS([1]تیر!$AR$54:$AR$256,[1]تیر!$C$54:$C$256,"قطعه تعمیری",[1]تیر!$B$54:$B$256,C17,[1]تیر!$P$54:$P$256,B17)</f>
        <v>1500000</v>
      </c>
    </row>
    <row r="18" spans="1:14" ht="28.7" customHeight="1" x14ac:dyDescent="0.25">
      <c r="A18" s="26">
        <v>15</v>
      </c>
      <c r="B18" s="134" t="s">
        <v>390</v>
      </c>
      <c r="C18" s="48" t="s">
        <v>389</v>
      </c>
      <c r="D18" s="48" t="s">
        <v>29</v>
      </c>
      <c r="E18" s="1">
        <v>1</v>
      </c>
      <c r="F18" s="48" t="s">
        <v>23</v>
      </c>
      <c r="G18" s="57" t="s">
        <v>18</v>
      </c>
      <c r="H18" s="49"/>
      <c r="I18" s="49"/>
      <c r="J18" s="6" t="s">
        <v>379</v>
      </c>
      <c r="K18" s="6" t="s">
        <v>379</v>
      </c>
      <c r="L18" s="42">
        <f>SUMIFS([1]تیر!$AF$54:$AF$256,[1]تیر!$C$54:$C$256,"قطعه تعمیری",[1]تیر!$B$54:$B$256,C18,[1]تیر!$P$54:$P$256,B18)</f>
        <v>2</v>
      </c>
      <c r="M18" s="1" t="s">
        <v>20</v>
      </c>
      <c r="N18" s="51">
        <f>SUMIFS([1]تیر!$AR$54:$AR$256,[1]تیر!$C$54:$C$256,"قطعه تعمیری",[1]تیر!$B$54:$B$256,C18,[1]تیر!$P$54:$P$256,B18)</f>
        <v>1500000</v>
      </c>
    </row>
    <row r="19" spans="1:14" ht="28.7" customHeight="1" x14ac:dyDescent="0.25">
      <c r="A19" s="26">
        <v>16</v>
      </c>
      <c r="B19" s="59" t="s">
        <v>13</v>
      </c>
      <c r="C19" s="21" t="s">
        <v>43</v>
      </c>
      <c r="D19" s="48" t="s">
        <v>347</v>
      </c>
      <c r="E19" s="4">
        <v>10</v>
      </c>
      <c r="F19" s="48" t="s">
        <v>23</v>
      </c>
      <c r="G19" s="57" t="s">
        <v>18</v>
      </c>
      <c r="H19" s="49"/>
      <c r="I19" s="49"/>
      <c r="J19" s="6" t="s">
        <v>296</v>
      </c>
      <c r="K19" s="6" t="s">
        <v>380</v>
      </c>
      <c r="L19" s="42">
        <f>SUMIFS([1]تیر!$AF$54:$AF$256,[1]تیر!$C$54:$C$256,"قطعه تعمیری",[1]تیر!$B$54:$B$256,C19,[1]تیر!$P$54:$P$256,B19)</f>
        <v>40</v>
      </c>
      <c r="M19" s="1" t="s">
        <v>20</v>
      </c>
      <c r="N19" s="51">
        <f>SUMIFS([1]تیر!$AR$54:$AR$256,[1]تیر!$C$54:$C$256,"قطعه تعمیری",[1]تیر!$B$54:$B$256,C19,[1]تیر!$P$54:$P$256,B19)</f>
        <v>30000000</v>
      </c>
    </row>
    <row r="20" spans="1:14" ht="28.7" customHeight="1" x14ac:dyDescent="0.25">
      <c r="A20" s="26">
        <v>17</v>
      </c>
      <c r="B20" s="59" t="s">
        <v>13</v>
      </c>
      <c r="C20" s="21" t="s">
        <v>391</v>
      </c>
      <c r="D20" s="48" t="s">
        <v>29</v>
      </c>
      <c r="E20" s="48">
        <v>10</v>
      </c>
      <c r="F20" s="48" t="s">
        <v>23</v>
      </c>
      <c r="G20" s="57" t="s">
        <v>18</v>
      </c>
      <c r="H20" s="1"/>
      <c r="I20" s="3"/>
      <c r="J20" s="6" t="s">
        <v>380</v>
      </c>
      <c r="K20" s="6" t="s">
        <v>380</v>
      </c>
      <c r="L20" s="42">
        <f>SUMIFS([1]تیر!$AF$54:$AF$256,[1]تیر!$C$54:$C$256,"قطعه تعمیری",[1]تیر!$B$54:$B$256,C20,[1]تیر!$P$54:$P$256,B20)</f>
        <v>6</v>
      </c>
      <c r="M20" s="1" t="s">
        <v>20</v>
      </c>
      <c r="N20" s="51">
        <f>SUMIFS([1]تیر!$AR$54:$AR$256,[1]تیر!$C$54:$C$256,"قطعه تعمیری",[1]تیر!$B$54:$B$256,C20,[1]تیر!$P$54:$P$256,B20)</f>
        <v>4500000</v>
      </c>
    </row>
    <row r="21" spans="1:14" ht="28.7" customHeight="1" x14ac:dyDescent="0.25">
      <c r="A21" s="26">
        <v>18</v>
      </c>
      <c r="B21" s="59" t="s">
        <v>348</v>
      </c>
      <c r="C21" s="21" t="s">
        <v>311</v>
      </c>
      <c r="D21" s="48" t="s">
        <v>341</v>
      </c>
      <c r="E21" s="48">
        <v>1</v>
      </c>
      <c r="F21" s="48" t="s">
        <v>23</v>
      </c>
      <c r="G21" s="57" t="s">
        <v>18</v>
      </c>
      <c r="H21" s="1"/>
      <c r="I21" s="3"/>
      <c r="J21" s="6" t="s">
        <v>296</v>
      </c>
      <c r="K21" s="6" t="s">
        <v>381</v>
      </c>
      <c r="L21" s="42">
        <f>SUMIFS([1]تیر!$AF$54:$AF$256,[1]تیر!$C$54:$C$256,"قطعه تعمیری",[1]تیر!$B$54:$B$256,C21,[1]تیر!$P$54:$P$256,B21)</f>
        <v>3</v>
      </c>
      <c r="M21" s="1" t="s">
        <v>20</v>
      </c>
      <c r="N21" s="51">
        <f>SUMIFS([1]تیر!$AR$54:$AR$256,[1]تیر!$C$54:$C$256,"قطعه تعمیری",[1]تیر!$B$54:$B$256,C21,[1]تیر!$P$54:$P$256,B21)</f>
        <v>2250000</v>
      </c>
    </row>
    <row r="22" spans="1:14" ht="28.7" customHeight="1" x14ac:dyDescent="0.25">
      <c r="A22" s="26">
        <v>19</v>
      </c>
      <c r="B22" s="59" t="s">
        <v>85</v>
      </c>
      <c r="C22" s="21" t="s">
        <v>28</v>
      </c>
      <c r="D22" s="48" t="s">
        <v>347</v>
      </c>
      <c r="E22" s="1">
        <v>1</v>
      </c>
      <c r="F22" s="48" t="s">
        <v>23</v>
      </c>
      <c r="G22" s="57" t="s">
        <v>18</v>
      </c>
      <c r="H22" s="1">
        <v>15749</v>
      </c>
      <c r="I22" s="3">
        <v>2508</v>
      </c>
      <c r="J22" s="6" t="s">
        <v>376</v>
      </c>
      <c r="K22" s="6" t="s">
        <v>380</v>
      </c>
      <c r="L22" s="42">
        <f>SUMIFS([1]تیر!$AF$54:$AF$256,[1]تیر!$C$54:$C$256,"قطعه تعمیری",[1]تیر!$B$54:$B$256,C22,[1]تیر!$P$54:$P$256,B22)</f>
        <v>6</v>
      </c>
      <c r="M22" s="1" t="s">
        <v>20</v>
      </c>
      <c r="N22" s="51">
        <f>SUMIFS([1]تیر!$AR$54:$AR$256,[1]تیر!$C$54:$C$256,"قطعه تعمیری",[1]تیر!$B$54:$B$256,C22,[1]تیر!$P$54:$P$256,B22)</f>
        <v>4500000</v>
      </c>
    </row>
    <row r="23" spans="1:14" ht="28.7" customHeight="1" x14ac:dyDescent="0.25">
      <c r="A23" s="26">
        <v>20</v>
      </c>
      <c r="B23" s="59" t="s">
        <v>68</v>
      </c>
      <c r="C23" s="21" t="s">
        <v>174</v>
      </c>
      <c r="D23" s="48" t="s">
        <v>347</v>
      </c>
      <c r="E23" s="4">
        <v>1</v>
      </c>
      <c r="F23" s="48" t="s">
        <v>23</v>
      </c>
      <c r="G23" s="57" t="s">
        <v>18</v>
      </c>
      <c r="H23" s="49">
        <v>16807</v>
      </c>
      <c r="I23" s="49">
        <v>2508</v>
      </c>
      <c r="J23" s="6" t="s">
        <v>380</v>
      </c>
      <c r="K23" s="6" t="s">
        <v>381</v>
      </c>
      <c r="L23" s="42">
        <f>SUMIFS([1]تیر!$AF$54:$AF$256,[1]تیر!$C$54:$C$256,"قطعه تعمیری",[1]تیر!$B$54:$B$256,C23,[1]تیر!$P$54:$P$256,B23)</f>
        <v>4</v>
      </c>
      <c r="M23" s="1" t="s">
        <v>20</v>
      </c>
      <c r="N23" s="51">
        <f>SUMIFS([1]تیر!$AR$54:$AR$256,[1]تیر!$C$54:$C$256,"قطعه تعمیری",[1]تیر!$B$54:$B$256,C23,[1]تیر!$P$54:$P$256,B23)</f>
        <v>3000000</v>
      </c>
    </row>
    <row r="24" spans="1:14" ht="28.7" customHeight="1" x14ac:dyDescent="0.25">
      <c r="A24" s="26">
        <v>21</v>
      </c>
      <c r="B24" s="59" t="s">
        <v>39</v>
      </c>
      <c r="C24" s="21" t="s">
        <v>22</v>
      </c>
      <c r="D24" s="48" t="s">
        <v>347</v>
      </c>
      <c r="E24" s="1">
        <v>8</v>
      </c>
      <c r="F24" s="4" t="s">
        <v>23</v>
      </c>
      <c r="G24" s="57" t="s">
        <v>18</v>
      </c>
      <c r="H24" s="49"/>
      <c r="I24" s="49"/>
      <c r="J24" s="6" t="s">
        <v>387</v>
      </c>
      <c r="K24" s="6" t="s">
        <v>387</v>
      </c>
      <c r="L24" s="42">
        <f>SUMIFS([1]تیر!$AF$54:$AF$256,[1]تیر!$C$54:$C$256,"قطعه تعمیری",[1]تیر!$B$54:$B$256,C24,[1]تیر!$P$54:$P$256,B24)</f>
        <v>2</v>
      </c>
      <c r="M24" s="1" t="s">
        <v>20</v>
      </c>
      <c r="N24" s="51">
        <f>SUMIFS([1]تیر!$AR$54:$AR$256,[1]تیر!$C$54:$C$256,"قطعه تعمیری",[1]تیر!$B$54:$B$256,C24,[1]تیر!$P$54:$P$256,B24)</f>
        <v>1500000</v>
      </c>
    </row>
    <row r="25" spans="1:14" ht="28.7" customHeight="1" x14ac:dyDescent="0.25">
      <c r="A25" s="26">
        <v>22</v>
      </c>
      <c r="B25" s="59" t="s">
        <v>393</v>
      </c>
      <c r="C25" s="21" t="s">
        <v>392</v>
      </c>
      <c r="D25" s="48" t="s">
        <v>347</v>
      </c>
      <c r="E25" s="4">
        <v>1</v>
      </c>
      <c r="F25" s="4" t="s">
        <v>23</v>
      </c>
      <c r="G25" s="57" t="s">
        <v>18</v>
      </c>
      <c r="H25" s="49">
        <v>16510</v>
      </c>
      <c r="I25" s="49"/>
      <c r="J25" s="6" t="s">
        <v>387</v>
      </c>
      <c r="K25" s="6" t="s">
        <v>387</v>
      </c>
      <c r="L25" s="42">
        <f>SUMIFS([1]تیر!$AF$54:$AF$256,[1]تیر!$C$54:$C$256,"قطعه تعمیری",[1]تیر!$B$54:$B$256,C25,[1]تیر!$P$54:$P$256,B25)</f>
        <v>0.5</v>
      </c>
      <c r="M25" s="1" t="s">
        <v>20</v>
      </c>
      <c r="N25" s="51">
        <f>SUMIFS([1]تیر!$AR$54:$AR$256,[1]تیر!$C$54:$C$256,"قطعه تعمیری",[1]تیر!$B$54:$B$256,C25,[1]تیر!$P$54:$P$256,B25)</f>
        <v>375000</v>
      </c>
    </row>
    <row r="26" spans="1:14" ht="28.7" customHeight="1" thickBot="1" x14ac:dyDescent="0.3">
      <c r="A26" s="26">
        <v>23</v>
      </c>
      <c r="B26" s="146" t="s">
        <v>394</v>
      </c>
      <c r="C26" s="175" t="s">
        <v>27</v>
      </c>
      <c r="D26" s="48" t="s">
        <v>341</v>
      </c>
      <c r="E26" s="176">
        <v>1</v>
      </c>
      <c r="F26" s="4" t="s">
        <v>23</v>
      </c>
      <c r="G26" s="57" t="s">
        <v>18</v>
      </c>
      <c r="H26" s="148"/>
      <c r="I26" s="196"/>
      <c r="J26" s="6" t="s">
        <v>381</v>
      </c>
      <c r="K26" s="6" t="s">
        <v>381</v>
      </c>
      <c r="L26" s="42">
        <f>SUMIFS([1]تیر!$AF$54:$AF$256,[1]تیر!$C$54:$C$256,"قطعه تعمیری",[1]تیر!$B$54:$B$256,C26,[1]تیر!$P$54:$P$256,B26)</f>
        <v>1</v>
      </c>
      <c r="M26" s="1" t="s">
        <v>20</v>
      </c>
      <c r="N26" s="51">
        <f>SUMIFS([1]تیر!$AR$54:$AR$256,[1]تیر!$C$54:$C$256,"قطعه تعمیری",[1]تیر!$B$54:$B$256,C26,[1]تیر!$P$54:$P$256,B26)</f>
        <v>750000</v>
      </c>
    </row>
    <row r="27" spans="1:14" ht="21" customHeight="1" x14ac:dyDescent="0.25">
      <c r="A27" s="31"/>
      <c r="B27" s="251" t="s">
        <v>30</v>
      </c>
      <c r="C27" s="128" t="s">
        <v>184</v>
      </c>
      <c r="D27" s="83" t="s">
        <v>14</v>
      </c>
      <c r="E27" s="93">
        <f>SUMIFS(E4:E26,F4:F26,D27,M4:M26,"تحویل")</f>
        <v>3</v>
      </c>
      <c r="F27" s="125"/>
      <c r="G27" s="83"/>
      <c r="H27" s="9"/>
      <c r="I27" s="251" t="s">
        <v>115</v>
      </c>
      <c r="J27" s="9" t="s">
        <v>14</v>
      </c>
      <c r="K27" s="93">
        <f>SUMIFS(E4:E26,F4:F26,J27)</f>
        <v>112</v>
      </c>
      <c r="L27" s="207">
        <f>SUMIFS(L4:L26,F4:F26,J27)</f>
        <v>107.5</v>
      </c>
      <c r="M27" s="112"/>
      <c r="N27" s="178">
        <f>SUMIFS(N4:N26,F4:F26,J27)</f>
        <v>115125000</v>
      </c>
    </row>
    <row r="28" spans="1:14" ht="21" customHeight="1" x14ac:dyDescent="0.25">
      <c r="A28" s="180"/>
      <c r="B28" s="246"/>
      <c r="C28" s="131" t="s">
        <v>184</v>
      </c>
      <c r="D28" s="61" t="s">
        <v>23</v>
      </c>
      <c r="E28" s="102">
        <f>SUMIFS(E4:E26,F4:F26,D28,M4:M26,"تحویل")</f>
        <v>55</v>
      </c>
      <c r="F28" s="60"/>
      <c r="G28" s="61"/>
      <c r="H28" s="60"/>
      <c r="I28" s="246"/>
      <c r="J28" s="60" t="s">
        <v>23</v>
      </c>
      <c r="K28" s="60">
        <f>SUMIFS(E5:E26,F5:F26,J28)</f>
        <v>55</v>
      </c>
      <c r="L28" s="206">
        <f>SUMIFS(L5:L27,F5:F27,J28)</f>
        <v>100</v>
      </c>
      <c r="M28" s="118"/>
      <c r="N28" s="182">
        <f>SUMIFS(N5:N27,F5:F27,J28)</f>
        <v>75000000</v>
      </c>
    </row>
    <row r="29" spans="1:14" ht="29.25" customHeight="1" thickBot="1" x14ac:dyDescent="0.3">
      <c r="A29" s="198"/>
      <c r="B29" s="203" t="s">
        <v>115</v>
      </c>
      <c r="C29" s="199"/>
      <c r="D29" s="200"/>
      <c r="E29" s="199">
        <f>E27+E28</f>
        <v>58</v>
      </c>
      <c r="F29" s="199"/>
      <c r="G29" s="199"/>
      <c r="H29" s="199"/>
      <c r="I29" s="199"/>
      <c r="J29" s="199"/>
      <c r="K29" s="199">
        <f>K27+K28</f>
        <v>167</v>
      </c>
      <c r="L29" s="203">
        <f>L27+L28</f>
        <v>207.5</v>
      </c>
      <c r="M29" s="201"/>
      <c r="N29" s="202">
        <f>N27+N28</f>
        <v>190125000</v>
      </c>
    </row>
    <row r="31" spans="1:14" x14ac:dyDescent="0.25">
      <c r="N31" s="95"/>
    </row>
  </sheetData>
  <mergeCells count="3">
    <mergeCell ref="A1:K2"/>
    <mergeCell ref="B27:B28"/>
    <mergeCell ref="I27:I28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L7 L15 N7 L13:N13 L14:N14" formula="1"/>
    <ignoredError sqref="K28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7796-E1D0-48FE-AC3A-C37AD1175FE6}">
  <sheetPr>
    <pageSetUpPr fitToPage="1"/>
  </sheetPr>
  <dimension ref="A1:N31"/>
  <sheetViews>
    <sheetView rightToLeft="1" view="pageLayout" zoomScaleNormal="100" workbookViewId="0">
      <selection activeCell="B4" sqref="B4:K4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16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134" t="s">
        <v>52</v>
      </c>
      <c r="C4" s="48" t="s">
        <v>373</v>
      </c>
      <c r="D4" s="48" t="s">
        <v>395</v>
      </c>
      <c r="E4" s="48">
        <v>1</v>
      </c>
      <c r="F4" s="48" t="s">
        <v>14</v>
      </c>
      <c r="G4" s="57" t="s">
        <v>396</v>
      </c>
      <c r="H4" s="49" t="s">
        <v>374</v>
      </c>
      <c r="I4" s="49"/>
      <c r="J4" s="36" t="s">
        <v>397</v>
      </c>
      <c r="K4" s="36"/>
      <c r="L4" s="42">
        <f>SUMIFS([1]تیر!$AF$257:$AF$458,[1]تیر!$C$257:$C$458,"قطعه نو",[1]تیر!$B$257:$B$458,C4,[1]تیر!$P$257:$P$458,"*")</f>
        <v>19</v>
      </c>
      <c r="M4" s="76" t="s">
        <v>398</v>
      </c>
      <c r="N4" s="51">
        <f>SUMIFS([1]تیر!$AR$257:$AR$458,[1]تیر!$C$257:$C$458,"قطعه نو",[1]تیر!$B$257:$B$458,C4,[1]تیر!$P$257:$P$458,B4)</f>
        <v>14250000</v>
      </c>
    </row>
    <row r="5" spans="1:14" ht="28.7" customHeight="1" x14ac:dyDescent="0.25">
      <c r="A5" s="26">
        <v>2</v>
      </c>
      <c r="B5" s="29" t="s">
        <v>41</v>
      </c>
      <c r="C5" s="4" t="s">
        <v>58</v>
      </c>
      <c r="D5" s="48" t="s">
        <v>15</v>
      </c>
      <c r="E5" s="48">
        <v>4</v>
      </c>
      <c r="F5" s="48" t="s">
        <v>14</v>
      </c>
      <c r="G5" s="57" t="s">
        <v>375</v>
      </c>
      <c r="H5" s="49"/>
      <c r="I5" s="49"/>
      <c r="J5" s="6" t="s">
        <v>349</v>
      </c>
      <c r="K5" s="36"/>
      <c r="L5" s="42">
        <f>SUMIFS([1]تیر!$AF$257:$AF$458,[1]تیر!$C$257:$C$458,"قطعه نو",[1]تیر!$B$257:$B$458,C5,[1]تیر!$P$257:$P$458,"*")-3</f>
        <v>39</v>
      </c>
      <c r="M5" s="76" t="s">
        <v>398</v>
      </c>
      <c r="N5" s="51">
        <f>SUMIFS([1]تیر!$AR$257:$AR$458,[1]تیر!$C$257:$C$458,"قطعه نو",[1]تیر!$B$257:$B$458,C5,[1]تیر!$P$257:$P$458,B5)</f>
        <v>1500000</v>
      </c>
    </row>
    <row r="6" spans="1:14" ht="28.7" customHeight="1" x14ac:dyDescent="0.25">
      <c r="A6" s="26">
        <v>3</v>
      </c>
      <c r="B6" s="29" t="s">
        <v>400</v>
      </c>
      <c r="C6" s="48" t="s">
        <v>399</v>
      </c>
      <c r="D6" s="48" t="s">
        <v>401</v>
      </c>
      <c r="E6" s="48">
        <v>1</v>
      </c>
      <c r="F6" s="48" t="s">
        <v>14</v>
      </c>
      <c r="G6" s="57" t="s">
        <v>396</v>
      </c>
      <c r="H6" s="49"/>
      <c r="I6" s="49"/>
      <c r="J6" s="36" t="s">
        <v>397</v>
      </c>
      <c r="K6" s="36" t="s">
        <v>397</v>
      </c>
      <c r="L6" s="42">
        <f>SUMIFS([1]تیر!$AF$257:$AF$458,[1]تیر!$C$257:$C$458,"قطعه نو",[1]تیر!$B$257:$B$458,C6,[1]تیر!$P$257:$P$458,"*")</f>
        <v>2</v>
      </c>
      <c r="M6" s="1" t="s">
        <v>20</v>
      </c>
      <c r="N6" s="51">
        <f>SUMIFS([1]تیر!$AR$257:$AR$458,[1]تیر!$C$257:$C$458,"قطعه نو",[1]تیر!$B$257:$B$458,C6,[1]تیر!$P$257:$P$458,B6)</f>
        <v>1500000</v>
      </c>
    </row>
    <row r="7" spans="1:14" ht="28.7" customHeight="1" x14ac:dyDescent="0.25">
      <c r="A7" s="26">
        <v>4</v>
      </c>
      <c r="B7" s="29" t="s">
        <v>89</v>
      </c>
      <c r="C7" s="4" t="s">
        <v>272</v>
      </c>
      <c r="D7" s="48" t="s">
        <v>32</v>
      </c>
      <c r="E7" s="48">
        <v>3</v>
      </c>
      <c r="F7" s="48" t="s">
        <v>14</v>
      </c>
      <c r="G7" s="57" t="s">
        <v>403</v>
      </c>
      <c r="H7" s="49">
        <v>16813</v>
      </c>
      <c r="I7" s="49"/>
      <c r="J7" s="6" t="s">
        <v>402</v>
      </c>
      <c r="K7" s="6" t="s">
        <v>404</v>
      </c>
      <c r="L7" s="42">
        <f>SUMIFS([1]تیر!$AF$257:$AF$458,[1]تیر!$C$257:$C$458,"قطعه نو",[1]تیر!$B$257:$B$458,C7,[1]تیر!$P$257:$P$458,"*")+3</f>
        <v>6</v>
      </c>
      <c r="M7" s="1" t="s">
        <v>398</v>
      </c>
      <c r="N7" s="51">
        <f>SUMIFS([1]تیر!$AR$257:$AR$458,[1]تیر!$C$257:$C$458,"قطعه نو",[1]تیر!$B$257:$B$458,C7,[1]تیر!$P$257:$P$458,B7)</f>
        <v>2250000</v>
      </c>
    </row>
    <row r="8" spans="1:14" ht="28.7" customHeight="1" x14ac:dyDescent="0.25">
      <c r="A8" s="26">
        <v>5</v>
      </c>
      <c r="B8" s="59" t="s">
        <v>394</v>
      </c>
      <c r="C8" s="21" t="s">
        <v>405</v>
      </c>
      <c r="D8" s="48" t="s">
        <v>32</v>
      </c>
      <c r="E8" s="48">
        <v>1</v>
      </c>
      <c r="F8" s="48" t="s">
        <v>14</v>
      </c>
      <c r="G8" s="57" t="s">
        <v>403</v>
      </c>
      <c r="H8" s="2"/>
      <c r="I8" s="49"/>
      <c r="J8" s="6" t="s">
        <v>406</v>
      </c>
      <c r="K8" s="36"/>
      <c r="L8" s="42">
        <f>SUMIFS([1]تیر!$AF$257:$AF$458,[1]تیر!$C$257:$C$458,"قطعه نو",[1]تیر!$B$257:$B$458,C8,[1]تیر!$P$257:$P$458,"*")</f>
        <v>29.5</v>
      </c>
      <c r="M8" s="1" t="s">
        <v>398</v>
      </c>
      <c r="N8" s="51">
        <f>SUMIFS([1]تیر!$AR$257:$AR$458,[1]تیر!$C$257:$C$458,"قطعه نو",[1]تیر!$B$257:$B$458,C8,[1]تیر!$P$257:$P$458,B8)</f>
        <v>1500000</v>
      </c>
    </row>
    <row r="9" spans="1:14" ht="28.7" customHeight="1" x14ac:dyDescent="0.25">
      <c r="A9" s="26">
        <v>6</v>
      </c>
      <c r="B9" s="29" t="s">
        <v>394</v>
      </c>
      <c r="C9" s="47" t="s">
        <v>407</v>
      </c>
      <c r="D9" s="48" t="s">
        <v>29</v>
      </c>
      <c r="E9" s="48">
        <v>1</v>
      </c>
      <c r="F9" s="48" t="s">
        <v>14</v>
      </c>
      <c r="G9" s="57"/>
      <c r="H9" s="49"/>
      <c r="I9" s="49"/>
      <c r="J9" s="6" t="s">
        <v>406</v>
      </c>
      <c r="K9" s="36"/>
      <c r="L9" s="42">
        <f>SUMIFS([1]تیر!$AF$257:$AF$458,[1]تیر!$C$257:$C$458,"قطعه نو",[1]تیر!$B$257:$B$458,C9,[1]تیر!$P$257:$P$458,"*")-5</f>
        <v>52</v>
      </c>
      <c r="M9" s="1" t="s">
        <v>398</v>
      </c>
      <c r="N9" s="51">
        <f>SUMIFS([1]تیر!$AR$257:$AR$458,[1]تیر!$C$257:$C$458,"قطعه نو",[1]تیر!$B$257:$B$458,C9,[1]تیر!$P$257:$P$458,B9)</f>
        <v>42750000</v>
      </c>
    </row>
    <row r="10" spans="1:14" ht="28.7" customHeight="1" x14ac:dyDescent="0.25">
      <c r="A10" s="26">
        <v>7</v>
      </c>
      <c r="B10" s="59" t="s">
        <v>85</v>
      </c>
      <c r="C10" s="21" t="s">
        <v>27</v>
      </c>
      <c r="D10" s="48" t="s">
        <v>17</v>
      </c>
      <c r="E10" s="48">
        <v>1</v>
      </c>
      <c r="F10" s="48" t="s">
        <v>14</v>
      </c>
      <c r="G10" s="57" t="s">
        <v>403</v>
      </c>
      <c r="H10" s="2">
        <v>16811</v>
      </c>
      <c r="I10" s="49">
        <v>6408</v>
      </c>
      <c r="J10" s="6" t="s">
        <v>406</v>
      </c>
      <c r="K10" s="6" t="s">
        <v>404</v>
      </c>
      <c r="L10" s="42">
        <f>SUMIFS([1]تیر!$AF$257:$AF$458,[1]تیر!$C$257:$C$458,"قطعه نو",[1]تیر!$B$257:$B$458,C10,[1]تیر!$P$257:$P$458,"*")</f>
        <v>20.5</v>
      </c>
      <c r="M10" s="1" t="s">
        <v>20</v>
      </c>
      <c r="N10" s="51">
        <f>SUMIFS([1]تیر!$AR$257:$AR$458,[1]تیر!$C$257:$C$458,"قطعه نو",[1]تیر!$B$257:$B$458,C10,[1]تیر!$P$257:$P$458,B10)</f>
        <v>5625000</v>
      </c>
    </row>
    <row r="11" spans="1:14" ht="28.7" customHeight="1" x14ac:dyDescent="0.25">
      <c r="A11" s="26">
        <v>8</v>
      </c>
      <c r="B11" s="29" t="s">
        <v>342</v>
      </c>
      <c r="C11" s="48" t="s">
        <v>299</v>
      </c>
      <c r="D11" s="48" t="s">
        <v>17</v>
      </c>
      <c r="E11" s="48">
        <v>1</v>
      </c>
      <c r="F11" s="48" t="s">
        <v>14</v>
      </c>
      <c r="G11" s="57" t="s">
        <v>21</v>
      </c>
      <c r="H11" s="47"/>
      <c r="I11" s="2"/>
      <c r="J11" s="36" t="s">
        <v>296</v>
      </c>
      <c r="K11" s="6" t="s">
        <v>402</v>
      </c>
      <c r="L11" s="42">
        <f>SUMIFS([1]تیر!$AF$257:$AF$458,[1]تیر!$C$257:$C$458,"قطعه نو",[1]تیر!$B$257:$B$458,C11,[1]تیر!$P$257:$P$458,"*")+5</f>
        <v>5</v>
      </c>
      <c r="M11" s="1" t="s">
        <v>20</v>
      </c>
      <c r="N11" s="51">
        <f>SUMIFS([1]تیر!$AR$257:$AR$458,[1]تیر!$C$257:$C$458,"قطعه نو",[1]تیر!$B$257:$B$458,C11,[1]تیر!$P$257:$P$458,B11)+6886365</f>
        <v>6886365</v>
      </c>
    </row>
    <row r="12" spans="1:14" ht="28.7" customHeight="1" x14ac:dyDescent="0.25">
      <c r="A12" s="26">
        <v>9</v>
      </c>
      <c r="B12" s="29" t="s">
        <v>52</v>
      </c>
      <c r="C12" s="4" t="s">
        <v>409</v>
      </c>
      <c r="D12" s="48" t="s">
        <v>32</v>
      </c>
      <c r="E12" s="48">
        <v>1</v>
      </c>
      <c r="F12" s="48" t="s">
        <v>23</v>
      </c>
      <c r="G12" s="57" t="s">
        <v>18</v>
      </c>
      <c r="H12" s="2"/>
      <c r="I12" s="49"/>
      <c r="J12" s="6" t="s">
        <v>406</v>
      </c>
      <c r="K12" s="36" t="s">
        <v>404</v>
      </c>
      <c r="L12" s="42">
        <f>SUMIFS([1]تیر!$AF$257:$AF$458,[1]تیر!$C$257:$C$458,"قطعه تعمیری",[1]تیر!$B$257:$B$458,C12,[1]تیر!$P$257:$P$458,"*")</f>
        <v>22</v>
      </c>
      <c r="M12" s="1" t="s">
        <v>20</v>
      </c>
      <c r="N12" s="51">
        <f>SUMIFS([1]تیر!$AR$257:$AR$458,[1]تیر!$C$257:$C$458,"قطعه تعمیری",[1]تیر!$B$257:$B$458,C12,[1]تیر!$P$257:$P$458,"*")</f>
        <v>16500000</v>
      </c>
    </row>
    <row r="13" spans="1:14" ht="28.7" customHeight="1" x14ac:dyDescent="0.25">
      <c r="A13" s="26">
        <v>10</v>
      </c>
      <c r="B13" s="134" t="s">
        <v>383</v>
      </c>
      <c r="C13" s="48" t="s">
        <v>382</v>
      </c>
      <c r="D13" s="48" t="s">
        <v>32</v>
      </c>
      <c r="E13" s="48">
        <v>1</v>
      </c>
      <c r="F13" s="48" t="s">
        <v>23</v>
      </c>
      <c r="G13" s="57" t="s">
        <v>384</v>
      </c>
      <c r="H13" s="49"/>
      <c r="I13" s="49"/>
      <c r="J13" s="6" t="s">
        <v>385</v>
      </c>
      <c r="K13" s="36" t="s">
        <v>397</v>
      </c>
      <c r="L13" s="42">
        <f>SUMIFS([1]تیر!$AF$257:$AF$458,[1]تیر!$C$257:$C$458,"قطعه تعمیری",[1]تیر!$B$257:$B$458,C13,[1]تیر!$P$257:$P$458,"*")</f>
        <v>1.5</v>
      </c>
      <c r="M13" s="1" t="s">
        <v>20</v>
      </c>
      <c r="N13" s="51">
        <f>SUMIFS([1]تیر!$AR$257:$AR$458,[1]تیر!$C$257:$C$458,"قطعه تعمیری",[1]تیر!$B$257:$B$458,C13,[1]تیر!$P$257:$P$458,"*")</f>
        <v>1125000</v>
      </c>
    </row>
    <row r="14" spans="1:14" ht="28.7" customHeight="1" x14ac:dyDescent="0.25">
      <c r="A14" s="26">
        <v>11</v>
      </c>
      <c r="B14" s="134" t="s">
        <v>13</v>
      </c>
      <c r="C14" s="48" t="s">
        <v>410</v>
      </c>
      <c r="D14" s="48" t="s">
        <v>32</v>
      </c>
      <c r="E14" s="48">
        <v>2</v>
      </c>
      <c r="F14" s="48" t="s">
        <v>23</v>
      </c>
      <c r="G14" s="57" t="s">
        <v>18</v>
      </c>
      <c r="H14" s="49">
        <v>16750</v>
      </c>
      <c r="I14" s="49">
        <v>3001</v>
      </c>
      <c r="J14" s="6" t="s">
        <v>408</v>
      </c>
      <c r="K14" s="6" t="s">
        <v>408</v>
      </c>
      <c r="L14" s="42">
        <f>SUMIFS([1]تیر!$AF$257:$AF$458,[1]تیر!$C$257:$C$458,"قطعه تعمیری",[1]تیر!$B$257:$B$458,C14,[1]تیر!$P$257:$P$458,"*")</f>
        <v>2</v>
      </c>
      <c r="M14" s="1" t="s">
        <v>20</v>
      </c>
      <c r="N14" s="51">
        <f>SUMIFS([1]تیر!$AR$257:$AR$458,[1]تیر!$C$257:$C$458,"قطعه تعمیری",[1]تیر!$B$257:$B$458,C14,[1]تیر!$P$257:$P$458,"*")</f>
        <v>1500000</v>
      </c>
    </row>
    <row r="15" spans="1:14" ht="28.7" customHeight="1" x14ac:dyDescent="0.25">
      <c r="A15" s="26">
        <v>12</v>
      </c>
      <c r="B15" s="59" t="s">
        <v>411</v>
      </c>
      <c r="C15" s="21" t="s">
        <v>56</v>
      </c>
      <c r="D15" s="48" t="s">
        <v>32</v>
      </c>
      <c r="E15" s="48">
        <v>1</v>
      </c>
      <c r="F15" s="48" t="s">
        <v>23</v>
      </c>
      <c r="G15" s="57" t="s">
        <v>18</v>
      </c>
      <c r="H15" s="49"/>
      <c r="I15" s="49"/>
      <c r="J15" s="36" t="s">
        <v>397</v>
      </c>
      <c r="K15" s="6"/>
      <c r="L15" s="42">
        <f>SUMIFS([1]تیر!$AF$257:$AF$458,[1]تیر!$C$257:$C$458,"قطعه تعمیری",[1]تیر!$B$257:$B$458,C15,[1]تیر!$P$257:$P$458,"*")</f>
        <v>36.333333333333329</v>
      </c>
      <c r="M15" s="1" t="s">
        <v>398</v>
      </c>
      <c r="N15" s="51">
        <f>SUMIFS([1]تیر!$AR$257:$AR$458,[1]تیر!$C$257:$C$458,"قطعه تعمیری",[1]تیر!$B$257:$B$458,C15,[1]تیر!$P$257:$P$458,"*")</f>
        <v>27250000</v>
      </c>
    </row>
    <row r="16" spans="1:14" ht="28.7" customHeight="1" x14ac:dyDescent="0.25">
      <c r="A16" s="26">
        <v>13</v>
      </c>
      <c r="B16" s="134" t="s">
        <v>65</v>
      </c>
      <c r="C16" s="4" t="s">
        <v>48</v>
      </c>
      <c r="D16" s="48" t="s">
        <v>32</v>
      </c>
      <c r="E16" s="48">
        <v>20</v>
      </c>
      <c r="F16" s="48" t="s">
        <v>23</v>
      </c>
      <c r="G16" s="57" t="s">
        <v>18</v>
      </c>
      <c r="H16" s="49"/>
      <c r="I16" s="49"/>
      <c r="J16" s="36" t="s">
        <v>397</v>
      </c>
      <c r="K16" s="35"/>
      <c r="L16" s="42">
        <f>SUMIFS([1]تیر!$AF$257:$AF$458,[1]تیر!$C$257:$C$458,"قطعه تعمیری",[1]تیر!$B$257:$B$458,C16,[1]تیر!$P$257:$P$458,"*")</f>
        <v>135</v>
      </c>
      <c r="M16" s="1" t="s">
        <v>398</v>
      </c>
      <c r="N16" s="51">
        <f>SUMIFS([1]تیر!$AR$257:$AR$458,[1]تیر!$C$257:$C$458,"قطعه تعمیری",[1]تیر!$B$257:$B$458,C16,[1]تیر!$P$257:$P$458,"*")</f>
        <v>101250000</v>
      </c>
    </row>
    <row r="17" spans="1:14" ht="28.7" customHeight="1" x14ac:dyDescent="0.25">
      <c r="A17" s="26">
        <v>14</v>
      </c>
      <c r="B17" s="59" t="s">
        <v>85</v>
      </c>
      <c r="C17" s="21" t="s">
        <v>272</v>
      </c>
      <c r="D17" s="48" t="s">
        <v>32</v>
      </c>
      <c r="E17" s="48">
        <v>1</v>
      </c>
      <c r="F17" s="48" t="s">
        <v>23</v>
      </c>
      <c r="G17" s="57" t="s">
        <v>18</v>
      </c>
      <c r="H17" s="49">
        <v>16814</v>
      </c>
      <c r="I17" s="49"/>
      <c r="J17" s="36" t="s">
        <v>397</v>
      </c>
      <c r="K17" s="36" t="s">
        <v>412</v>
      </c>
      <c r="L17" s="42">
        <f>SUMIFS([1]تیر!$AF$257:$AF$458,[1]تیر!$C$257:$C$458,"قطعه تعمیری",[1]تیر!$B$257:$B$458,C17,[1]تیر!$P$257:$P$458,B17)</f>
        <v>3</v>
      </c>
      <c r="M17" s="1" t="s">
        <v>20</v>
      </c>
      <c r="N17" s="51">
        <f>SUMIFS([1]تیر!$AR$257:$AR$458,[1]تیر!$C$257:$C$458,"قطعه تعمیری",[1]تیر!$B$257:$B$458,C17,[1]تیر!$P$257:$P$458,B17)</f>
        <v>2250000</v>
      </c>
    </row>
    <row r="18" spans="1:14" ht="28.7" customHeight="1" x14ac:dyDescent="0.25">
      <c r="A18" s="26">
        <v>15</v>
      </c>
      <c r="B18" s="134" t="s">
        <v>44</v>
      </c>
      <c r="C18" s="21" t="s">
        <v>272</v>
      </c>
      <c r="D18" s="48" t="s">
        <v>32</v>
      </c>
      <c r="E18" s="48">
        <v>3</v>
      </c>
      <c r="F18" s="48" t="s">
        <v>23</v>
      </c>
      <c r="G18" s="57" t="s">
        <v>18</v>
      </c>
      <c r="H18" s="49">
        <v>16813</v>
      </c>
      <c r="I18" s="49"/>
      <c r="J18" s="36" t="s">
        <v>397</v>
      </c>
      <c r="K18" s="36" t="s">
        <v>397</v>
      </c>
      <c r="L18" s="42">
        <f>SUMIFS([1]تیر!$AF$257:$AF$458,[1]تیر!$C$257:$C$458,"قطعه تعمیری",[1]تیر!$B$257:$B$458,C18,[1]تیر!$P$257:$P$458,B18)</f>
        <v>1</v>
      </c>
      <c r="M18" s="1" t="s">
        <v>20</v>
      </c>
      <c r="N18" s="51">
        <f>SUMIFS([1]تیر!$AR$257:$AR$458,[1]تیر!$C$257:$C$458,"قطعه تعمیری",[1]تیر!$B$257:$B$458,C18,[1]تیر!$P$257:$P$458,B18)</f>
        <v>750000</v>
      </c>
    </row>
    <row r="19" spans="1:14" ht="28.7" customHeight="1" x14ac:dyDescent="0.25">
      <c r="A19" s="26">
        <v>16</v>
      </c>
      <c r="B19" s="59" t="s">
        <v>85</v>
      </c>
      <c r="C19" s="21" t="s">
        <v>413</v>
      </c>
      <c r="D19" s="48" t="s">
        <v>32</v>
      </c>
      <c r="E19" s="4">
        <v>1</v>
      </c>
      <c r="F19" s="48" t="s">
        <v>23</v>
      </c>
      <c r="G19" s="57" t="s">
        <v>18</v>
      </c>
      <c r="H19" s="49">
        <v>16864</v>
      </c>
      <c r="I19" s="49"/>
      <c r="J19" s="36" t="s">
        <v>404</v>
      </c>
      <c r="K19" s="36"/>
      <c r="L19" s="42">
        <f>SUMIFS([1]تیر!$AF$257:$AF$458,[1]تیر!$C$257:$C$458,"قطعه تعمیری",[1]تیر!$B$257:$B$458,C19,[1]تیر!$P$257:$P$458,B19)</f>
        <v>2</v>
      </c>
      <c r="M19" s="1" t="s">
        <v>398</v>
      </c>
      <c r="N19" s="51">
        <f>SUMIFS([1]تیر!$AR$257:$AR$458,[1]تیر!$C$257:$C$458,"قطعه تعمیری",[1]تیر!$B$257:$B$458,C19,[1]تیر!$P$257:$P$458,"*")</f>
        <v>1500000</v>
      </c>
    </row>
    <row r="20" spans="1:14" ht="28.7" customHeight="1" x14ac:dyDescent="0.25">
      <c r="A20" s="26">
        <v>17</v>
      </c>
      <c r="B20" s="59" t="s">
        <v>39</v>
      </c>
      <c r="C20" s="21" t="s">
        <v>22</v>
      </c>
      <c r="D20" s="48" t="s">
        <v>414</v>
      </c>
      <c r="E20" s="48">
        <v>8</v>
      </c>
      <c r="F20" s="48" t="s">
        <v>23</v>
      </c>
      <c r="G20" s="57" t="s">
        <v>18</v>
      </c>
      <c r="H20" s="1"/>
      <c r="I20" s="3"/>
      <c r="J20" s="36" t="s">
        <v>406</v>
      </c>
      <c r="K20" s="36" t="s">
        <v>406</v>
      </c>
      <c r="L20" s="42">
        <f>SUMIFS([1]تیر!$AF$257:$AF$458,[1]تیر!$C$257:$C$458,"قطعه تعمیری",[1]تیر!$B$257:$B$458,C20,[1]تیر!$P$257:$P$458,B20)</f>
        <v>2</v>
      </c>
      <c r="M20" s="1" t="s">
        <v>20</v>
      </c>
      <c r="N20" s="51">
        <f>SUMIFS([1]تیر!$AR$257:$AR$458,[1]تیر!$C$257:$C$458,"قطعه تعمیری",[1]تیر!$B$257:$B$458,C20,[1]تیر!$P$257:$P$458,"*")</f>
        <v>1500000</v>
      </c>
    </row>
    <row r="21" spans="1:14" ht="28.7" customHeight="1" x14ac:dyDescent="0.25">
      <c r="A21" s="26">
        <v>18</v>
      </c>
      <c r="B21" s="59" t="s">
        <v>16</v>
      </c>
      <c r="C21" s="21" t="s">
        <v>45</v>
      </c>
      <c r="D21" s="48" t="s">
        <v>17</v>
      </c>
      <c r="E21" s="48">
        <v>1</v>
      </c>
      <c r="F21" s="48" t="s">
        <v>23</v>
      </c>
      <c r="G21" s="57" t="s">
        <v>78</v>
      </c>
      <c r="H21" s="1"/>
      <c r="I21" s="3"/>
      <c r="J21" s="36" t="s">
        <v>404</v>
      </c>
      <c r="K21" s="36" t="s">
        <v>404</v>
      </c>
      <c r="L21" s="42">
        <f>SUMIFS([1]تیر!$AF$257:$AF$458,[1]تیر!$C$257:$C$458,"قطعه تعمیری",[1]تیر!$B$257:$B$458,C21,[1]تیر!$P$257:$P$458,B21)</f>
        <v>1</v>
      </c>
      <c r="M21" s="1" t="s">
        <v>20</v>
      </c>
      <c r="N21" s="51">
        <f>SUMIFS([1]تیر!$AR$257:$AR$458,[1]تیر!$C$257:$C$458,"قطعه تعمیری",[1]تیر!$B$257:$B$458,C21,[1]تیر!$P$257:$P$458,"*")</f>
        <v>750000</v>
      </c>
    </row>
    <row r="22" spans="1:14" ht="28.7" customHeight="1" x14ac:dyDescent="0.25">
      <c r="A22" s="26">
        <v>19</v>
      </c>
      <c r="B22" s="59" t="s">
        <v>89</v>
      </c>
      <c r="C22" s="21" t="s">
        <v>46</v>
      </c>
      <c r="D22" s="48" t="s">
        <v>287</v>
      </c>
      <c r="E22" s="1">
        <v>1</v>
      </c>
      <c r="F22" s="48" t="s">
        <v>23</v>
      </c>
      <c r="G22" s="57" t="s">
        <v>78</v>
      </c>
      <c r="H22" s="1"/>
      <c r="I22" s="3"/>
      <c r="J22" s="36" t="s">
        <v>406</v>
      </c>
      <c r="K22" s="36" t="s">
        <v>406</v>
      </c>
      <c r="L22" s="42">
        <f>SUMIFS([1]تیر!$AF$257:$AF$458,[1]تیر!$C$257:$C$458,"قطعه تعمیری",[1]تیر!$B$257:$B$458,C22,[1]تیر!$P$257:$P$458,B22)</f>
        <v>2</v>
      </c>
      <c r="M22" s="1" t="s">
        <v>20</v>
      </c>
      <c r="N22" s="51">
        <f>SUMIFS([1]تیر!$AR$257:$AR$458,[1]تیر!$C$257:$C$458,"قطعه تعمیری",[1]تیر!$B$257:$B$458,C22,[1]تیر!$P$257:$P$458,B22)</f>
        <v>1500000</v>
      </c>
    </row>
    <row r="23" spans="1:14" ht="28.7" customHeight="1" x14ac:dyDescent="0.25">
      <c r="A23" s="26">
        <v>20</v>
      </c>
      <c r="B23" s="59" t="s">
        <v>85</v>
      </c>
      <c r="C23" s="21" t="s">
        <v>46</v>
      </c>
      <c r="D23" s="48" t="s">
        <v>287</v>
      </c>
      <c r="E23" s="4">
        <v>3</v>
      </c>
      <c r="F23" s="48" t="s">
        <v>23</v>
      </c>
      <c r="G23" s="57" t="s">
        <v>415</v>
      </c>
      <c r="H23" s="49"/>
      <c r="I23" s="49"/>
      <c r="J23" s="36" t="s">
        <v>404</v>
      </c>
      <c r="K23" s="36" t="s">
        <v>404</v>
      </c>
      <c r="L23" s="42">
        <f>SUMIFS([1]تیر!$AF$257:$AF$458,[1]تیر!$C$257:$C$458,"قطعه تعمیری",[1]تیر!$B$257:$B$458,C23,[1]تیر!$P$257:$P$458,B23)</f>
        <v>3</v>
      </c>
      <c r="M23" s="1" t="s">
        <v>20</v>
      </c>
      <c r="N23" s="51">
        <f>SUMIFS([1]تیر!$AR$257:$AR$458,[1]تیر!$C$257:$C$458,"قطعه تعمیری",[1]تیر!$B$257:$B$458,C23,[1]تیر!$P$257:$P$458,"*")</f>
        <v>3750000</v>
      </c>
    </row>
    <row r="24" spans="1:14" ht="28.7" customHeight="1" x14ac:dyDescent="0.25">
      <c r="A24" s="26">
        <v>21</v>
      </c>
      <c r="B24" s="59" t="s">
        <v>85</v>
      </c>
      <c r="C24" s="21" t="s">
        <v>371</v>
      </c>
      <c r="D24" s="48" t="s">
        <v>15</v>
      </c>
      <c r="E24" s="1">
        <v>1</v>
      </c>
      <c r="F24" s="4" t="s">
        <v>23</v>
      </c>
      <c r="G24" s="57" t="s">
        <v>18</v>
      </c>
      <c r="H24" s="49">
        <v>15999</v>
      </c>
      <c r="I24" s="49"/>
      <c r="J24" s="36" t="s">
        <v>416</v>
      </c>
      <c r="K24" s="36" t="s">
        <v>416</v>
      </c>
      <c r="L24" s="42">
        <f>SUMIFS([1]تیر!$AF$257:$AF$458,[1]تیر!$C$257:$C$458,"قطعه تعمیری",[1]تیر!$B$257:$B$458,C24,[1]تیر!$P$257:$P$458,B24)</f>
        <v>1</v>
      </c>
      <c r="M24" s="1" t="s">
        <v>20</v>
      </c>
      <c r="N24" s="51">
        <f>SUMIFS([1]تیر!$AR$257:$AR$458,[1]تیر!$C$257:$C$458,"قطعه تعمیری",[1]تیر!$B$257:$B$458,C24,[1]تیر!$P$257:$P$458,"*")</f>
        <v>750000</v>
      </c>
    </row>
    <row r="25" spans="1:14" ht="28.7" customHeight="1" x14ac:dyDescent="0.25">
      <c r="A25" s="26">
        <v>22</v>
      </c>
      <c r="B25" s="59" t="s">
        <v>85</v>
      </c>
      <c r="C25" s="21" t="s">
        <v>183</v>
      </c>
      <c r="D25" s="48" t="s">
        <v>17</v>
      </c>
      <c r="E25" s="4">
        <v>1</v>
      </c>
      <c r="F25" s="4" t="s">
        <v>23</v>
      </c>
      <c r="G25" s="57" t="s">
        <v>18</v>
      </c>
      <c r="H25" s="49">
        <v>16809</v>
      </c>
      <c r="I25" s="49"/>
      <c r="J25" s="6" t="s">
        <v>417</v>
      </c>
      <c r="K25" s="6" t="s">
        <v>417</v>
      </c>
      <c r="L25" s="42">
        <f>SUMIFS([1]تیر!$AF$257:$AF$458,[1]تیر!$C$257:$C$458,"قطعه تعمیری",[1]تیر!$B$257:$B$458,C25,[1]تیر!$P$257:$P$458,B25)</f>
        <v>2</v>
      </c>
      <c r="M25" s="1" t="s">
        <v>20</v>
      </c>
      <c r="N25" s="51">
        <f>SUMIFS([1]تیر!$AR$257:$AR$458,[1]تیر!$C$257:$C$458,"قطعه تعمیری",[1]تیر!$B$257:$B$458,C25,[1]تیر!$P$257:$P$458,"*")</f>
        <v>1500000</v>
      </c>
    </row>
    <row r="26" spans="1:14" ht="28.7" customHeight="1" thickBot="1" x14ac:dyDescent="0.3">
      <c r="A26" s="26">
        <v>23</v>
      </c>
      <c r="B26" s="146" t="s">
        <v>418</v>
      </c>
      <c r="C26" s="175" t="s">
        <v>27</v>
      </c>
      <c r="D26" s="48" t="s">
        <v>17</v>
      </c>
      <c r="E26" s="176">
        <v>1</v>
      </c>
      <c r="F26" s="4" t="s">
        <v>23</v>
      </c>
      <c r="G26" s="57" t="s">
        <v>18</v>
      </c>
      <c r="H26" s="148">
        <v>16810</v>
      </c>
      <c r="I26" s="196"/>
      <c r="J26" s="6" t="s">
        <v>417</v>
      </c>
      <c r="K26" s="6" t="s">
        <v>402</v>
      </c>
      <c r="L26" s="42">
        <f>SUMIFS([1]تیر!$AF$257:$AF$458,[1]تیر!$C$257:$C$458,"قطعه تعمیری",[1]تیر!$B$257:$B$458,C26,[1]تیر!$P$257:$P$458,"*")</f>
        <v>5</v>
      </c>
      <c r="M26" s="1" t="s">
        <v>20</v>
      </c>
      <c r="N26" s="51">
        <f>SUMIFS([1]تیر!$AR$257:$AR$458,[1]تیر!$C$257:$C$458,"قطعه تعمیری",[1]تیر!$B$257:$B$458,C26,[1]تیر!$P$257:$P$458,"*")</f>
        <v>3750000</v>
      </c>
    </row>
    <row r="27" spans="1:14" ht="21" customHeight="1" x14ac:dyDescent="0.25">
      <c r="A27" s="31"/>
      <c r="B27" s="251" t="s">
        <v>30</v>
      </c>
      <c r="C27" s="128" t="s">
        <v>184</v>
      </c>
      <c r="D27" s="83" t="s">
        <v>14</v>
      </c>
      <c r="E27" s="93">
        <f>SUMIFS(E4:E26,F4:F26,D27,M4:M26,"تحویل")</f>
        <v>3</v>
      </c>
      <c r="F27" s="125"/>
      <c r="G27" s="83"/>
      <c r="H27" s="9"/>
      <c r="I27" s="251" t="s">
        <v>115</v>
      </c>
      <c r="J27" s="9" t="s">
        <v>14</v>
      </c>
      <c r="K27" s="93">
        <f>SUMIFS(E4:E26,F4:F26,J27)</f>
        <v>13</v>
      </c>
      <c r="L27" s="209">
        <f>SUMIFS(L4:L26,F4:F26,J27)</f>
        <v>173</v>
      </c>
      <c r="M27" s="112"/>
      <c r="N27" s="178">
        <f>SUMIFS(N4:N26,F4:F26,J27)</f>
        <v>76261365</v>
      </c>
    </row>
    <row r="28" spans="1:14" ht="21" customHeight="1" x14ac:dyDescent="0.25">
      <c r="A28" s="180"/>
      <c r="B28" s="246"/>
      <c r="C28" s="131" t="s">
        <v>184</v>
      </c>
      <c r="D28" s="61" t="s">
        <v>23</v>
      </c>
      <c r="E28" s="102">
        <f>SUMIFS(E4:E26,F4:F26,D28,M4:M26,"تحویل")</f>
        <v>24</v>
      </c>
      <c r="F28" s="60"/>
      <c r="G28" s="61"/>
      <c r="H28" s="60"/>
      <c r="I28" s="246"/>
      <c r="J28" s="60" t="s">
        <v>23</v>
      </c>
      <c r="K28" s="60">
        <f>SUMIFS(E5:E26,F5:F26,J28)</f>
        <v>46</v>
      </c>
      <c r="L28" s="208">
        <f>SUMIFS(L5:L27,F5:F27,J28)</f>
        <v>218.83333333333331</v>
      </c>
      <c r="M28" s="118"/>
      <c r="N28" s="182">
        <f>SUMIFS(N5:N27,F5:F27,J28)</f>
        <v>165625000</v>
      </c>
    </row>
    <row r="29" spans="1:14" ht="29.25" customHeight="1" thickBot="1" x14ac:dyDescent="0.3">
      <c r="A29" s="198"/>
      <c r="B29" s="203" t="s">
        <v>115</v>
      </c>
      <c r="C29" s="199"/>
      <c r="D29" s="200"/>
      <c r="E29" s="199">
        <f>E27+E28</f>
        <v>27</v>
      </c>
      <c r="F29" s="199"/>
      <c r="G29" s="199"/>
      <c r="H29" s="199"/>
      <c r="I29" s="199"/>
      <c r="J29" s="199"/>
      <c r="K29" s="199">
        <f>K27+K28</f>
        <v>59</v>
      </c>
      <c r="L29" s="203">
        <f>L27+L28</f>
        <v>391.83333333333331</v>
      </c>
      <c r="M29" s="201"/>
      <c r="N29" s="202">
        <f>N27+N28</f>
        <v>241886365</v>
      </c>
    </row>
    <row r="31" spans="1:14" x14ac:dyDescent="0.25">
      <c r="N31" s="95"/>
    </row>
  </sheetData>
  <mergeCells count="3">
    <mergeCell ref="A1:K2"/>
    <mergeCell ref="B27:B28"/>
    <mergeCell ref="I27:I28"/>
  </mergeCells>
  <phoneticPr fontId="6" type="noConversion"/>
  <printOptions horizontalCentered="1" verticalCentered="1"/>
  <pageMargins left="0" right="0" top="0" bottom="0" header="0" footer="0"/>
  <pageSetup scale="95" fitToHeight="0" orientation="landscape" r:id="rId1"/>
  <ignoredErrors>
    <ignoredError sqref="M9 L5:L9 N22" formula="1"/>
    <ignoredError sqref="K28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B203-CDAD-42D6-A280-93DFDAC9EE99}">
  <sheetPr>
    <pageSetUpPr fitToPage="1"/>
  </sheetPr>
  <dimension ref="A1:N31"/>
  <sheetViews>
    <sheetView rightToLeft="1" view="pageLayout" zoomScaleNormal="100" workbookViewId="0">
      <selection activeCell="B22" sqref="B22:I22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17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29" t="s">
        <v>394</v>
      </c>
      <c r="C4" s="47" t="s">
        <v>407</v>
      </c>
      <c r="D4" s="48" t="s">
        <v>29</v>
      </c>
      <c r="E4" s="48">
        <v>1</v>
      </c>
      <c r="F4" s="48" t="s">
        <v>14</v>
      </c>
      <c r="G4" s="57"/>
      <c r="H4" s="49"/>
      <c r="I4" s="49"/>
      <c r="J4" s="6" t="s">
        <v>406</v>
      </c>
      <c r="K4" s="36"/>
      <c r="L4" s="42">
        <f>SUMIFS([1]تیر!$AF$459:$AF$633,[1]تیر!$C$459:$C$633,"قطعه نو",[1]تیر!$B$459:$B$633,C4,[1]تیر!$P$459:$P$633,"*")</f>
        <v>21.166666666666668</v>
      </c>
      <c r="M4" s="76" t="s">
        <v>398</v>
      </c>
      <c r="N4" s="51">
        <f>SUMIFS([1]تیر!$AR$459:$AR$633,[1]تیر!$C$459:$C$633,"قطعه نو",[1]تیر!$B$459:$B$633,C4,[1]تیر!$P$459:$P$633,B4)</f>
        <v>15875000</v>
      </c>
    </row>
    <row r="5" spans="1:14" ht="28.7" customHeight="1" x14ac:dyDescent="0.25">
      <c r="A5" s="26">
        <v>2</v>
      </c>
      <c r="B5" s="29" t="s">
        <v>41</v>
      </c>
      <c r="C5" s="4" t="s">
        <v>58</v>
      </c>
      <c r="D5" s="48" t="s">
        <v>15</v>
      </c>
      <c r="E5" s="48">
        <v>4</v>
      </c>
      <c r="F5" s="48" t="s">
        <v>14</v>
      </c>
      <c r="G5" s="57" t="s">
        <v>375</v>
      </c>
      <c r="H5" s="49"/>
      <c r="I5" s="49"/>
      <c r="J5" s="6" t="s">
        <v>349</v>
      </c>
      <c r="K5" s="36"/>
      <c r="L5" s="42">
        <f>SUMIFS([1]تیر!$AF$459:$AF$633,[1]تیر!$C$459:$C$633,"قطعه نو",[1]تیر!$B$459:$B$633,C5,[1]تیر!$P$459:$P$633,"*")</f>
        <v>6</v>
      </c>
      <c r="M5" s="76" t="s">
        <v>398</v>
      </c>
      <c r="N5" s="51">
        <f>SUMIFS([1]تیر!$AR$459:$AR$633,[1]تیر!$C$459:$C$633,"قطعه نو",[1]تیر!$B$459:$B$633,C5,[1]تیر!$P$459:$P$633,B5)</f>
        <v>1500000</v>
      </c>
    </row>
    <row r="6" spans="1:14" ht="28.7" customHeight="1" x14ac:dyDescent="0.25">
      <c r="A6" s="26">
        <v>3</v>
      </c>
      <c r="B6" s="59" t="s">
        <v>420</v>
      </c>
      <c r="C6" s="21" t="s">
        <v>27</v>
      </c>
      <c r="D6" s="48" t="s">
        <v>17</v>
      </c>
      <c r="E6" s="48">
        <v>1</v>
      </c>
      <c r="F6" s="48" t="s">
        <v>14</v>
      </c>
      <c r="G6" s="57" t="s">
        <v>403</v>
      </c>
      <c r="H6" s="2">
        <v>16823</v>
      </c>
      <c r="I6" s="49">
        <v>6408</v>
      </c>
      <c r="J6" s="6" t="s">
        <v>421</v>
      </c>
      <c r="K6" s="6" t="s">
        <v>421</v>
      </c>
      <c r="L6" s="42">
        <f>SUMIFS([1]تیر!$AF$459:$AF$633,[1]تیر!$C$459:$C$633,"قطعه نو",[1]تیر!$B$459:$B$633,C6,[1]تیر!$P$459:$P$633,$B$6)</f>
        <v>1</v>
      </c>
      <c r="M6" s="1" t="s">
        <v>20</v>
      </c>
      <c r="N6" s="51">
        <f>SUMIFS([1]تیر!$AR$459:$AR$633,[1]تیر!$C$459:$C$633,"قطعه نو",[1]تیر!$B$459:$B$633,C6,[1]تیر!$P$459:$P$633,B6)</f>
        <v>750000</v>
      </c>
    </row>
    <row r="7" spans="1:14" ht="28.7" customHeight="1" x14ac:dyDescent="0.25">
      <c r="A7" s="26">
        <v>4</v>
      </c>
      <c r="B7" s="29" t="s">
        <v>342</v>
      </c>
      <c r="C7" s="48" t="s">
        <v>299</v>
      </c>
      <c r="D7" s="48" t="s">
        <v>17</v>
      </c>
      <c r="E7" s="48">
        <v>1</v>
      </c>
      <c r="F7" s="48" t="s">
        <v>14</v>
      </c>
      <c r="G7" s="57" t="s">
        <v>21</v>
      </c>
      <c r="H7" s="47"/>
      <c r="I7" s="2"/>
      <c r="J7" s="36" t="s">
        <v>296</v>
      </c>
      <c r="K7" s="6"/>
      <c r="L7" s="42">
        <f>SUMIFS([1]تیر!$AF$459:$AF$633,[1]تیر!$C$459:$C$633,"قطعه نو",[1]تیر!$B$459:$B$633,C7,[1]تیر!$P$459:$P$633,"*")</f>
        <v>5.5</v>
      </c>
      <c r="M7" s="1" t="s">
        <v>398</v>
      </c>
      <c r="N7" s="51">
        <f>SUMIFS([1]تیر!$AR$459:$AR$633,[1]تیر!$C$459:$C$633,"قطعه نو",[1]تیر!$B$459:$B$633,C7,[1]تیر!$P$459:$P$633,"*")</f>
        <v>8250000</v>
      </c>
    </row>
    <row r="8" spans="1:14" ht="28.7" customHeight="1" x14ac:dyDescent="0.25">
      <c r="A8" s="26">
        <v>5</v>
      </c>
      <c r="B8" s="59" t="s">
        <v>55</v>
      </c>
      <c r="C8" s="21" t="s">
        <v>56</v>
      </c>
      <c r="D8" s="48" t="s">
        <v>32</v>
      </c>
      <c r="E8" s="48">
        <v>1</v>
      </c>
      <c r="F8" s="48" t="s">
        <v>14</v>
      </c>
      <c r="G8" s="57" t="s">
        <v>21</v>
      </c>
      <c r="H8" s="2"/>
      <c r="I8" s="49"/>
      <c r="J8" s="36" t="s">
        <v>419</v>
      </c>
      <c r="K8" s="36" t="s">
        <v>419</v>
      </c>
      <c r="L8" s="42">
        <f>SUMIFS([1]تیر!$AF$459:$AF$633,[1]تیر!$C$459:$C$633,"قطعه نو",[1]تیر!$B$459:$B$633,C8,[1]تیر!$P$459:$P$633,"*")</f>
        <v>2</v>
      </c>
      <c r="M8" s="1" t="s">
        <v>20</v>
      </c>
      <c r="N8" s="51">
        <f>SUMIFS([1]تیر!$AR$459:$AR$633,[1]تیر!$C$459:$C$633,"قطعه نو",[1]تیر!$B$459:$B$633,C8,[1]تیر!$P$459:$P$633,B8)</f>
        <v>1500000</v>
      </c>
    </row>
    <row r="9" spans="1:14" ht="28.7" customHeight="1" x14ac:dyDescent="0.25">
      <c r="A9" s="26">
        <v>6</v>
      </c>
      <c r="B9" s="29" t="s">
        <v>89</v>
      </c>
      <c r="C9" s="21" t="s">
        <v>27</v>
      </c>
      <c r="D9" s="48" t="s">
        <v>17</v>
      </c>
      <c r="E9" s="48">
        <v>1</v>
      </c>
      <c r="F9" s="48" t="s">
        <v>14</v>
      </c>
      <c r="G9" s="57" t="s">
        <v>403</v>
      </c>
      <c r="H9" s="2">
        <v>16823</v>
      </c>
      <c r="I9" s="49">
        <v>6408</v>
      </c>
      <c r="J9" s="6" t="s">
        <v>421</v>
      </c>
      <c r="K9" s="6" t="s">
        <v>421</v>
      </c>
      <c r="L9" s="42">
        <f>SUMIFS([1]تیر!$AF$459:$AF$633,[1]تیر!$C$459:$C$633,"قطعه نو",[1]تیر!$B$459:$B$633,C9,[1]تیر!$P$459:$P$633,B9)</f>
        <v>7.5</v>
      </c>
      <c r="M9" s="1" t="s">
        <v>20</v>
      </c>
      <c r="N9" s="51">
        <f>SUMIFS([1]تیر!$AR$459:$AR$633,[1]تیر!$C$459:$C$633,"قطعه نو",[1]تیر!$B$459:$B$633,C9,[1]تیر!$P$459:$P$633,B9)</f>
        <v>5625000</v>
      </c>
    </row>
    <row r="10" spans="1:14" ht="28.7" customHeight="1" x14ac:dyDescent="0.25">
      <c r="A10" s="26">
        <v>7</v>
      </c>
      <c r="B10" s="59" t="s">
        <v>422</v>
      </c>
      <c r="C10" s="21" t="s">
        <v>27</v>
      </c>
      <c r="D10" s="48" t="s">
        <v>17</v>
      </c>
      <c r="E10" s="48">
        <v>1</v>
      </c>
      <c r="F10" s="48" t="s">
        <v>14</v>
      </c>
      <c r="G10" s="57" t="s">
        <v>403</v>
      </c>
      <c r="H10" s="2">
        <v>16835</v>
      </c>
      <c r="I10" s="49">
        <v>6403</v>
      </c>
      <c r="J10" s="6" t="s">
        <v>421</v>
      </c>
      <c r="K10" s="6" t="s">
        <v>421</v>
      </c>
      <c r="L10" s="42">
        <f>SUMIFS([1]تیر!$AF$459:$AF$633,[1]تیر!$C$459:$C$633,"قطعه نو",[1]تیر!$B$459:$B$633,C10,[1]تیر!$P$459:$P$633,B10)</f>
        <v>2</v>
      </c>
      <c r="M10" s="1" t="s">
        <v>20</v>
      </c>
      <c r="N10" s="51">
        <f>SUMIFS([1]تیر!$AR$459:$AR$633,[1]تیر!$C$459:$C$633,"قطعه نو",[1]تیر!$B$459:$B$633,C10,[1]تیر!$P$459:$P$633,B10)</f>
        <v>1500000</v>
      </c>
    </row>
    <row r="11" spans="1:14" ht="28.7" customHeight="1" x14ac:dyDescent="0.25">
      <c r="A11" s="26">
        <v>8</v>
      </c>
      <c r="B11" s="29" t="s">
        <v>423</v>
      </c>
      <c r="C11" s="21" t="s">
        <v>27</v>
      </c>
      <c r="D11" s="48" t="s">
        <v>17</v>
      </c>
      <c r="E11" s="48">
        <v>1</v>
      </c>
      <c r="F11" s="48" t="s">
        <v>14</v>
      </c>
      <c r="G11" s="57" t="s">
        <v>403</v>
      </c>
      <c r="H11" s="2">
        <v>16824</v>
      </c>
      <c r="I11" s="49"/>
      <c r="J11" s="6" t="s">
        <v>421</v>
      </c>
      <c r="K11" s="6" t="s">
        <v>421</v>
      </c>
      <c r="L11" s="42">
        <f>SUMIFS([1]تیر!$AF$459:$AF$633,[1]تیر!$C$459:$C$633,"قطعه نو",[1]تیر!$B$459:$B$633,C11,[1]تیر!$P$459:$P$633,B11)</f>
        <v>1.5</v>
      </c>
      <c r="M11" s="1" t="s">
        <v>20</v>
      </c>
      <c r="N11" s="51">
        <f>SUMIFS([1]تیر!$AR$459:$AR$633,[1]تیر!$C$459:$C$633,"قطعه نو",[1]تیر!$B$459:$B$633,C11,[1]تیر!$P$459:$P$633,B11)</f>
        <v>1125000</v>
      </c>
    </row>
    <row r="12" spans="1:14" ht="28.7" customHeight="1" x14ac:dyDescent="0.25">
      <c r="A12" s="26">
        <v>9</v>
      </c>
      <c r="B12" s="29" t="s">
        <v>394</v>
      </c>
      <c r="C12" s="4" t="s">
        <v>31</v>
      </c>
      <c r="D12" s="48" t="s">
        <v>32</v>
      </c>
      <c r="E12" s="48">
        <v>1</v>
      </c>
      <c r="F12" s="48" t="s">
        <v>23</v>
      </c>
      <c r="G12" s="57" t="s">
        <v>424</v>
      </c>
      <c r="H12" s="2"/>
      <c r="I12" s="49"/>
      <c r="J12" s="6" t="s">
        <v>425</v>
      </c>
      <c r="K12" s="6" t="s">
        <v>421</v>
      </c>
      <c r="L12" s="42">
        <f>SUMIFS([1]تیر!$AF$459:$AF$633,[1]تیر!$C$459:$C$633,"قطعه تعمیری",[1]تیر!$B$459:$B$633,C12,[1]تیر!$P$459:$P$633,"*")</f>
        <v>11</v>
      </c>
      <c r="M12" s="1" t="s">
        <v>20</v>
      </c>
      <c r="N12" s="51">
        <f>SUMIFS([1]تیر!$AR$459:$AR$633,[1]تیر!$C$459:$C$633,"قطعه تعمیری",[1]تیر!$B$459:$B$633,C12,[1]تیر!$P$459:$P$633,"*")</f>
        <v>8250000</v>
      </c>
    </row>
    <row r="13" spans="1:14" ht="28.7" customHeight="1" x14ac:dyDescent="0.25">
      <c r="A13" s="26">
        <v>10</v>
      </c>
      <c r="B13" s="134" t="s">
        <v>426</v>
      </c>
      <c r="C13" s="48" t="s">
        <v>222</v>
      </c>
      <c r="D13" s="48" t="s">
        <v>273</v>
      </c>
      <c r="E13" s="48">
        <v>1</v>
      </c>
      <c r="F13" s="48" t="s">
        <v>23</v>
      </c>
      <c r="G13" s="57" t="s">
        <v>18</v>
      </c>
      <c r="H13" s="49">
        <v>16816</v>
      </c>
      <c r="I13" s="49"/>
      <c r="J13" s="6" t="s">
        <v>427</v>
      </c>
      <c r="K13" s="6" t="s">
        <v>419</v>
      </c>
      <c r="L13" s="42">
        <f>SUMIFS([1]تیر!$AF$459:$AF$633,[1]تیر!$C$459:$C$633,"قطعه تعمیری",[1]تیر!$B$459:$B$633,C13,[1]تیر!$P$459:$P$633,B13)</f>
        <v>5.5</v>
      </c>
      <c r="M13" s="1" t="s">
        <v>20</v>
      </c>
      <c r="N13" s="51">
        <f>SUMIFS([1]تیر!$AR$459:$AR$633,[1]تیر!$C$459:$C$633,"قطعه تعمیری",[1]تیر!$B$459:$B$633,C13,[1]تیر!$P$459:$P$633,B13)</f>
        <v>4125000</v>
      </c>
    </row>
    <row r="14" spans="1:14" ht="28.7" customHeight="1" x14ac:dyDescent="0.25">
      <c r="A14" s="26">
        <v>11</v>
      </c>
      <c r="B14" s="134" t="s">
        <v>429</v>
      </c>
      <c r="C14" s="48" t="s">
        <v>428</v>
      </c>
      <c r="D14" s="48" t="s">
        <v>32</v>
      </c>
      <c r="E14" s="48">
        <v>1</v>
      </c>
      <c r="F14" s="48" t="s">
        <v>23</v>
      </c>
      <c r="G14" s="57" t="s">
        <v>18</v>
      </c>
      <c r="H14" s="49">
        <v>16822</v>
      </c>
      <c r="I14" s="49"/>
      <c r="J14" s="6" t="s">
        <v>425</v>
      </c>
      <c r="K14" s="6"/>
      <c r="L14" s="42">
        <f>SUMIFS([1]تیر!$AF$459:$AF$633,[1]تیر!$C$459:$C$633,"قطعه تعمیری",[1]تیر!$B$459:$B$633,C14,[1]تیر!$P$459:$P$633,B14)</f>
        <v>2</v>
      </c>
      <c r="M14" s="1" t="s">
        <v>398</v>
      </c>
      <c r="N14" s="51">
        <f>SUMIFS([1]تیر!$AR$459:$AR$633,[1]تیر!$C$459:$C$633,"قطعه تعمیری",[1]تیر!$B$459:$B$633,C14,[1]تیر!$P$459:$P$633,B14)</f>
        <v>1500000</v>
      </c>
    </row>
    <row r="15" spans="1:14" ht="28.7" customHeight="1" x14ac:dyDescent="0.25">
      <c r="A15" s="26">
        <v>12</v>
      </c>
      <c r="B15" s="59" t="s">
        <v>13</v>
      </c>
      <c r="C15" s="21" t="s">
        <v>430</v>
      </c>
      <c r="D15" s="48" t="s">
        <v>32</v>
      </c>
      <c r="E15" s="48">
        <v>1</v>
      </c>
      <c r="F15" s="48" t="s">
        <v>23</v>
      </c>
      <c r="G15" s="57" t="s">
        <v>18</v>
      </c>
      <c r="H15" s="49">
        <v>16960</v>
      </c>
      <c r="I15" s="49">
        <v>3201</v>
      </c>
      <c r="J15" s="6" t="s">
        <v>421</v>
      </c>
      <c r="K15" s="6" t="s">
        <v>421</v>
      </c>
      <c r="L15" s="42">
        <f>SUMIFS([1]تیر!$AF$459:$AF$633,[1]تیر!$C$459:$C$633,"قطعه تعمیری",[1]تیر!$B$459:$B$633,C15,[1]تیر!$P$459:$P$633,B15)</f>
        <v>3</v>
      </c>
      <c r="M15" s="1" t="s">
        <v>20</v>
      </c>
      <c r="N15" s="51">
        <f>SUMIFS([1]تیر!$AR$459:$AR$633,[1]تیر!$C$459:$C$633,"قطعه تعمیری",[1]تیر!$B$459:$B$633,C15,[1]تیر!$P$459:$P$633,B15)</f>
        <v>2250000</v>
      </c>
    </row>
    <row r="16" spans="1:14" ht="28.7" customHeight="1" x14ac:dyDescent="0.25">
      <c r="A16" s="26">
        <v>13</v>
      </c>
      <c r="B16" s="134" t="s">
        <v>411</v>
      </c>
      <c r="C16" s="4" t="s">
        <v>56</v>
      </c>
      <c r="D16" s="48" t="s">
        <v>32</v>
      </c>
      <c r="E16" s="48">
        <v>1</v>
      </c>
      <c r="F16" s="48" t="s">
        <v>23</v>
      </c>
      <c r="G16" s="57" t="s">
        <v>18</v>
      </c>
      <c r="H16" s="49"/>
      <c r="I16" s="49"/>
      <c r="J16" s="6" t="s">
        <v>427</v>
      </c>
      <c r="K16" s="6" t="s">
        <v>427</v>
      </c>
      <c r="L16" s="42">
        <f>SUMIFS([1]تیر!$AF$459:$AF$633,[1]تیر!$C$459:$C$633,"قطعه تعمیری",[1]تیر!$B$459:$B$633,C16,[1]تیر!$P$459:$P$633,B16)</f>
        <v>2.5</v>
      </c>
      <c r="M16" s="1" t="s">
        <v>20</v>
      </c>
      <c r="N16" s="51">
        <f>SUMIFS([1]تیر!$AR$459:$AR$633,[1]تیر!$C$459:$C$633,"قطعه تعمیری",[1]تیر!$B$459:$B$633,C16,[1]تیر!$P$459:$P$633,B16)</f>
        <v>1875000</v>
      </c>
    </row>
    <row r="17" spans="1:14" ht="28.7" customHeight="1" x14ac:dyDescent="0.25">
      <c r="A17" s="26">
        <v>14</v>
      </c>
      <c r="B17" s="212" t="s">
        <v>85</v>
      </c>
      <c r="C17" s="213" t="s">
        <v>56</v>
      </c>
      <c r="D17" s="214" t="s">
        <v>32</v>
      </c>
      <c r="E17" s="214">
        <v>1</v>
      </c>
      <c r="F17" s="214" t="s">
        <v>23</v>
      </c>
      <c r="G17" s="215" t="s">
        <v>432</v>
      </c>
      <c r="H17" s="216">
        <v>16893</v>
      </c>
      <c r="I17" s="216"/>
      <c r="J17" s="217" t="s">
        <v>427</v>
      </c>
      <c r="K17" s="217" t="s">
        <v>419</v>
      </c>
      <c r="L17" s="218">
        <f>SUMIFS([1]تیر!$AF$459:$AF$633,[1]تیر!$C$459:$C$633,"قطعه تعمیری",[1]تیر!$B$459:$B$633,C17,[1]تیر!$P$459:$P$633,B17)</f>
        <v>4</v>
      </c>
      <c r="M17" s="219" t="s">
        <v>433</v>
      </c>
      <c r="N17" s="220">
        <f>SUMIFS([1]تیر!$AR$459:$AR$633,[1]تیر!$C$459:$C$633,"قطعه تعمیری",[1]تیر!$B$459:$B$633,C17,[1]تیر!$P$459:$P$633,B17)</f>
        <v>3000000</v>
      </c>
    </row>
    <row r="18" spans="1:14" ht="28.7" customHeight="1" x14ac:dyDescent="0.25">
      <c r="A18" s="26">
        <v>15</v>
      </c>
      <c r="B18" s="134" t="s">
        <v>431</v>
      </c>
      <c r="C18" s="4" t="s">
        <v>56</v>
      </c>
      <c r="D18" s="48" t="s">
        <v>32</v>
      </c>
      <c r="E18" s="48">
        <v>1</v>
      </c>
      <c r="F18" s="48" t="s">
        <v>23</v>
      </c>
      <c r="G18" s="57" t="s">
        <v>18</v>
      </c>
      <c r="H18" s="49">
        <v>16834</v>
      </c>
      <c r="I18" s="49">
        <v>2062</v>
      </c>
      <c r="J18" s="6" t="s">
        <v>419</v>
      </c>
      <c r="K18" s="6" t="s">
        <v>425</v>
      </c>
      <c r="L18" s="42">
        <f>SUMIFS([1]تیر!$AF$459:$AF$633,[1]تیر!$C$459:$C$633,"قطعه تعمیری",[1]تیر!$B$459:$B$633,C18,[1]تیر!$P$459:$P$633,B18)</f>
        <v>4</v>
      </c>
      <c r="M18" s="1" t="s">
        <v>20</v>
      </c>
      <c r="N18" s="51">
        <f>SUMIFS([1]تیر!$AR$459:$AR$633,[1]تیر!$C$459:$C$633,"قطعه تعمیری",[1]تیر!$B$459:$B$633,C18,[1]تیر!$P$459:$P$633,B18)</f>
        <v>3000000</v>
      </c>
    </row>
    <row r="19" spans="1:14" ht="28.7" customHeight="1" x14ac:dyDescent="0.25">
      <c r="A19" s="26">
        <v>16</v>
      </c>
      <c r="B19" s="59" t="s">
        <v>434</v>
      </c>
      <c r="C19" s="21" t="s">
        <v>48</v>
      </c>
      <c r="D19" s="48" t="s">
        <v>273</v>
      </c>
      <c r="E19" s="4">
        <v>1</v>
      </c>
      <c r="F19" s="48" t="s">
        <v>23</v>
      </c>
      <c r="G19" s="57" t="s">
        <v>18</v>
      </c>
      <c r="H19" s="49"/>
      <c r="I19" s="49"/>
      <c r="J19" s="36" t="s">
        <v>421</v>
      </c>
      <c r="K19" s="36"/>
      <c r="L19" s="42">
        <f>SUMIFS([1]تیر!$AF$459:$AF$633,[1]تیر!$C$459:$C$633,"قطعه تعمیری",[1]تیر!$B$459:$B$633,C19,[1]تیر!$P$459:$P$633,B19)</f>
        <v>1</v>
      </c>
      <c r="M19" s="1" t="s">
        <v>398</v>
      </c>
      <c r="N19" s="51">
        <f>SUMIFS([1]تیر!$AR$459:$AR$633,[1]تیر!$C$459:$C$633,"قطعه تعمیری",[1]تیر!$B$459:$B$633,C19,[1]تیر!$P$459:$P$633,B19)</f>
        <v>750000</v>
      </c>
    </row>
    <row r="20" spans="1:14" ht="28.7" customHeight="1" x14ac:dyDescent="0.25">
      <c r="A20" s="26">
        <v>17</v>
      </c>
      <c r="B20" s="59" t="s">
        <v>435</v>
      </c>
      <c r="C20" s="21" t="s">
        <v>48</v>
      </c>
      <c r="D20" s="48" t="s">
        <v>273</v>
      </c>
      <c r="E20" s="4">
        <v>8</v>
      </c>
      <c r="F20" s="48" t="s">
        <v>23</v>
      </c>
      <c r="G20" s="57" t="s">
        <v>18</v>
      </c>
      <c r="H20" s="49"/>
      <c r="I20" s="49"/>
      <c r="J20" s="36" t="s">
        <v>427</v>
      </c>
      <c r="K20" s="36" t="s">
        <v>436</v>
      </c>
      <c r="L20" s="42">
        <f>SUMIFS([1]تیر!$AF$459:$AF$633,[1]تیر!$C$459:$C$633,"قطعه تعمیری",[1]تیر!$B$459:$B$633,C20,[1]تیر!$P$459:$P$633,"*")</f>
        <v>39</v>
      </c>
      <c r="M20" s="1" t="s">
        <v>20</v>
      </c>
      <c r="N20" s="51">
        <f>SUMIFS([1]تیر!$AR$459:$AR$633,[1]تیر!$C$459:$C$633,"قطعه تعمیری",[1]تیر!$B$459:$B$633,C20,[1]تیر!$P$459:$P$633,"*")</f>
        <v>29250000</v>
      </c>
    </row>
    <row r="21" spans="1:14" ht="28.7" customHeight="1" x14ac:dyDescent="0.25">
      <c r="A21" s="26">
        <v>18</v>
      </c>
      <c r="B21" s="59" t="s">
        <v>64</v>
      </c>
      <c r="C21" s="21" t="s">
        <v>49</v>
      </c>
      <c r="D21" s="48" t="s">
        <v>17</v>
      </c>
      <c r="E21" s="48">
        <v>1</v>
      </c>
      <c r="F21" s="48" t="s">
        <v>23</v>
      </c>
      <c r="G21" s="57" t="s">
        <v>437</v>
      </c>
      <c r="H21" s="1">
        <v>16820</v>
      </c>
      <c r="I21" s="3">
        <v>2905</v>
      </c>
      <c r="J21" s="36" t="s">
        <v>421</v>
      </c>
      <c r="K21" s="36" t="s">
        <v>421</v>
      </c>
      <c r="L21" s="42">
        <f>SUMIFS([1]تیر!$AF$459:$AF$633,[1]تیر!$C$459:$C$633,"قطعه تعمیری",[1]تیر!$B$459:$B$633,C21,[1]تیر!$P$459:$P$633,B21)</f>
        <v>11</v>
      </c>
      <c r="M21" s="1" t="s">
        <v>20</v>
      </c>
      <c r="N21" s="51">
        <f>SUMIFS([1]تیر!$AR$459:$AR$633,[1]تیر!$C$459:$C$633,"قطعه تعمیری",[1]تیر!$B$459:$B$633,C21,[1]تیر!$P$459:$P$633,B21)</f>
        <v>8250000</v>
      </c>
    </row>
    <row r="22" spans="1:14" ht="28.7" customHeight="1" x14ac:dyDescent="0.25">
      <c r="A22" s="26">
        <v>19</v>
      </c>
      <c r="B22" s="59" t="s">
        <v>39</v>
      </c>
      <c r="C22" s="21" t="s">
        <v>22</v>
      </c>
      <c r="D22" s="48" t="s">
        <v>32</v>
      </c>
      <c r="E22" s="1">
        <v>16</v>
      </c>
      <c r="F22" s="48" t="s">
        <v>23</v>
      </c>
      <c r="G22" s="57" t="s">
        <v>18</v>
      </c>
      <c r="H22" s="1"/>
      <c r="I22" s="3"/>
      <c r="J22" s="36" t="s">
        <v>421</v>
      </c>
      <c r="K22" s="36" t="s">
        <v>438</v>
      </c>
      <c r="L22" s="42">
        <f>SUMIFS([1]تیر!$AF$459:$AF$633,[1]تیر!$C$459:$C$633,"قطعه تعمیری",[1]تیر!$B$459:$B$633,C22,[1]تیر!$P$459:$P$633,B22)</f>
        <v>6.5</v>
      </c>
      <c r="M22" s="1" t="s">
        <v>20</v>
      </c>
      <c r="N22" s="51">
        <f>SUMIFS([1]تیر!$AR$459:$AR$633,[1]تیر!$C$459:$C$633,"قطعه تعمیری",[1]تیر!$B$459:$B$633,C22,[1]تیر!$P$459:$P$633,B22)</f>
        <v>4875000</v>
      </c>
    </row>
    <row r="23" spans="1:14" ht="28.7" customHeight="1" x14ac:dyDescent="0.25">
      <c r="A23" s="26">
        <v>20</v>
      </c>
      <c r="B23" s="59" t="s">
        <v>440</v>
      </c>
      <c r="C23" s="21" t="s">
        <v>439</v>
      </c>
      <c r="D23" s="48" t="s">
        <v>17</v>
      </c>
      <c r="E23" s="4">
        <v>50</v>
      </c>
      <c r="F23" s="48" t="s">
        <v>23</v>
      </c>
      <c r="G23" s="57" t="s">
        <v>18</v>
      </c>
      <c r="H23" s="49"/>
      <c r="I23" s="49"/>
      <c r="J23" s="36" t="s">
        <v>427</v>
      </c>
      <c r="K23" s="36" t="s">
        <v>427</v>
      </c>
      <c r="L23" s="42">
        <f>SUMIFS([1]تیر!$AF$459:$AF$633,[1]تیر!$C$459:$C$633,"قطعه تعمیری",[1]تیر!$B$459:$B$633,C23,[1]تیر!$P$459:$P$633,B23)</f>
        <v>2</v>
      </c>
      <c r="M23" s="1" t="s">
        <v>20</v>
      </c>
      <c r="N23" s="51">
        <f>SUMIFS([1]تیر!$AR$459:$AR$633,[1]تیر!$C$459:$C$633,"قطعه تعمیری",[1]تیر!$B$459:$B$633,C23,[1]تیر!$P$459:$P$633,B23)</f>
        <v>1500000</v>
      </c>
    </row>
    <row r="24" spans="1:14" ht="28.7" customHeight="1" x14ac:dyDescent="0.25">
      <c r="A24" s="26">
        <v>21</v>
      </c>
      <c r="B24" s="59" t="s">
        <v>348</v>
      </c>
      <c r="C24" s="21" t="s">
        <v>441</v>
      </c>
      <c r="D24" s="48" t="s">
        <v>442</v>
      </c>
      <c r="E24" s="1">
        <v>4</v>
      </c>
      <c r="F24" s="4" t="s">
        <v>23</v>
      </c>
      <c r="G24" s="57" t="s">
        <v>384</v>
      </c>
      <c r="H24" s="49"/>
      <c r="I24" s="49"/>
      <c r="J24" s="36" t="s">
        <v>419</v>
      </c>
      <c r="K24" s="36" t="s">
        <v>425</v>
      </c>
      <c r="L24" s="42">
        <f>SUMIFS([1]تیر!$AF$459:$AF$633,[1]تیر!$C$459:$C$633,"قطعه تعمیری",[1]تیر!$B$459:$B$633,C24,[1]تیر!$P$459:$P$633,B24)</f>
        <v>12</v>
      </c>
      <c r="M24" s="1" t="s">
        <v>20</v>
      </c>
      <c r="N24" s="51">
        <f>SUMIFS([1]تیر!$AR$459:$AR$633,[1]تیر!$C$459:$C$633,"قطعه تعمیری",[1]تیر!$B$459:$B$633,C24,[1]تیر!$P$459:$P$633,B24)</f>
        <v>9000000</v>
      </c>
    </row>
    <row r="25" spans="1:14" ht="28.7" customHeight="1" x14ac:dyDescent="0.25">
      <c r="A25" s="26">
        <v>22</v>
      </c>
      <c r="B25" s="59" t="s">
        <v>89</v>
      </c>
      <c r="C25" s="21" t="s">
        <v>27</v>
      </c>
      <c r="D25" s="48" t="s">
        <v>17</v>
      </c>
      <c r="E25" s="4">
        <v>1</v>
      </c>
      <c r="F25" s="4" t="s">
        <v>23</v>
      </c>
      <c r="G25" s="57" t="s">
        <v>18</v>
      </c>
      <c r="H25" s="49"/>
      <c r="I25" s="49"/>
      <c r="J25" s="36" t="s">
        <v>421</v>
      </c>
      <c r="K25" s="36" t="s">
        <v>421</v>
      </c>
      <c r="L25" s="42">
        <f>SUMIFS([1]تیر!$AF$459:$AF$633,[1]تیر!$C$459:$C$633,"قطعه تعمیری",[1]تیر!$B$459:$B$633,C25,[1]تیر!$P$459:$P$633,B25)</f>
        <v>2</v>
      </c>
      <c r="M25" s="1" t="s">
        <v>20</v>
      </c>
      <c r="N25" s="51">
        <f>SUMIFS([1]تیر!$AR$459:$AR$633,[1]تیر!$C$459:$C$633,"قطعه تعمیری",[1]تیر!$B$459:$B$633,C25,[1]تیر!$P$459:$P$633,B25)</f>
        <v>1500000</v>
      </c>
    </row>
    <row r="26" spans="1:14" ht="28.7" customHeight="1" thickBot="1" x14ac:dyDescent="0.3">
      <c r="A26" s="26">
        <v>23</v>
      </c>
      <c r="B26" s="146" t="s">
        <v>443</v>
      </c>
      <c r="C26" s="21" t="s">
        <v>27</v>
      </c>
      <c r="D26" s="48" t="s">
        <v>17</v>
      </c>
      <c r="E26" s="4">
        <v>1</v>
      </c>
      <c r="F26" s="4" t="s">
        <v>23</v>
      </c>
      <c r="G26" s="57" t="s">
        <v>18</v>
      </c>
      <c r="H26" s="148"/>
      <c r="I26" s="196"/>
      <c r="J26" s="36" t="s">
        <v>438</v>
      </c>
      <c r="K26" s="36" t="s">
        <v>444</v>
      </c>
      <c r="L26" s="42">
        <f>SUMIFS([1]تیر!$AF$459:$AF$633,[1]تیر!$C$459:$C$633,"قطعه تعمیری",[1]تیر!$B$459:$B$633,C26,[1]تیر!$P$459:$P$633,B26)</f>
        <v>12.5</v>
      </c>
      <c r="M26" s="1" t="s">
        <v>20</v>
      </c>
      <c r="N26" s="51">
        <f>SUMIFS([1]تیر!$AR$459:$AR$633,[1]تیر!$C$459:$C$633,"قطعه تعمیری",[1]تیر!$B$459:$B$633,C26,[1]تیر!$P$459:$P$633,B26)</f>
        <v>9375000</v>
      </c>
    </row>
    <row r="27" spans="1:14" ht="21" customHeight="1" x14ac:dyDescent="0.25">
      <c r="A27" s="31"/>
      <c r="B27" s="251" t="s">
        <v>445</v>
      </c>
      <c r="C27" s="128" t="s">
        <v>184</v>
      </c>
      <c r="D27" s="83" t="s">
        <v>14</v>
      </c>
      <c r="E27" s="93">
        <f>SUMIFS(E4:E26,F4:F26,D27,M4:M26,"تحویل")</f>
        <v>5</v>
      </c>
      <c r="F27" s="125"/>
      <c r="G27" s="83"/>
      <c r="H27" s="9"/>
      <c r="I27" s="251" t="s">
        <v>115</v>
      </c>
      <c r="J27" s="9" t="s">
        <v>14</v>
      </c>
      <c r="K27" s="93">
        <f>SUMIFS(E4:E26,F4:F26,J27)</f>
        <v>11</v>
      </c>
      <c r="L27" s="211">
        <f>SUMIFS(L4:L26,F4:F26,J27)</f>
        <v>46.666666666666671</v>
      </c>
      <c r="M27" s="112"/>
      <c r="N27" s="178">
        <f>SUMIFS(N4:N26,F4:F26,J27)</f>
        <v>36125000</v>
      </c>
    </row>
    <row r="28" spans="1:14" ht="21" customHeight="1" x14ac:dyDescent="0.25">
      <c r="A28" s="180"/>
      <c r="B28" s="246"/>
      <c r="C28" s="131" t="s">
        <v>184</v>
      </c>
      <c r="D28" s="61" t="s">
        <v>23</v>
      </c>
      <c r="E28" s="102">
        <f>SUMIFS(E4:E26,F4:F26,D28,M4:M26,"تحویل")</f>
        <v>86</v>
      </c>
      <c r="F28" s="60"/>
      <c r="G28" s="61"/>
      <c r="H28" s="60"/>
      <c r="I28" s="246"/>
      <c r="J28" s="60" t="s">
        <v>23</v>
      </c>
      <c r="K28" s="60">
        <f>SUMIFS(E5:E26,F5:F26,J28)</f>
        <v>89</v>
      </c>
      <c r="L28" s="210">
        <f>SUMIFS(L5:L27,F5:F27,J28)</f>
        <v>118</v>
      </c>
      <c r="M28" s="118"/>
      <c r="N28" s="182">
        <f>SUMIFS(N5:N27,F5:F27,J28)</f>
        <v>88500000</v>
      </c>
    </row>
    <row r="29" spans="1:14" ht="29.25" customHeight="1" thickBot="1" x14ac:dyDescent="0.3">
      <c r="A29" s="198"/>
      <c r="B29" s="203" t="s">
        <v>115</v>
      </c>
      <c r="C29" s="199"/>
      <c r="D29" s="200"/>
      <c r="E29" s="199">
        <f>E27+E28</f>
        <v>91</v>
      </c>
      <c r="F29" s="199"/>
      <c r="G29" s="199"/>
      <c r="H29" s="199"/>
      <c r="I29" s="199"/>
      <c r="J29" s="199"/>
      <c r="K29" s="199">
        <f>K27+K28</f>
        <v>100</v>
      </c>
      <c r="L29" s="203">
        <f>L27+L28</f>
        <v>164.66666666666669</v>
      </c>
      <c r="M29" s="201"/>
      <c r="N29" s="202">
        <f>N27+N28</f>
        <v>124625000</v>
      </c>
    </row>
    <row r="31" spans="1:14" x14ac:dyDescent="0.25">
      <c r="N31" s="95"/>
    </row>
  </sheetData>
  <mergeCells count="3">
    <mergeCell ref="A1:K2"/>
    <mergeCell ref="B27:B28"/>
    <mergeCell ref="I27:I28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L6 N7 L20 N20" formula="1"/>
    <ignoredError sqref="K28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03E2-2904-41AB-B04A-0566740D0FC9}">
  <sheetPr>
    <pageSetUpPr fitToPage="1"/>
  </sheetPr>
  <dimension ref="A1:N24"/>
  <sheetViews>
    <sheetView rightToLeft="1" view="pageLayout" topLeftCell="A7" zoomScaleNormal="100" workbookViewId="0">
      <selection activeCell="C17" sqref="C17:G17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18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29" t="s">
        <v>342</v>
      </c>
      <c r="C4" s="48" t="s">
        <v>299</v>
      </c>
      <c r="D4" s="48" t="s">
        <v>17</v>
      </c>
      <c r="E4" s="48">
        <v>1</v>
      </c>
      <c r="F4" s="48" t="s">
        <v>14</v>
      </c>
      <c r="G4" s="57" t="s">
        <v>21</v>
      </c>
      <c r="H4" s="47"/>
      <c r="I4" s="2"/>
      <c r="J4" s="36" t="s">
        <v>296</v>
      </c>
      <c r="K4" s="36"/>
      <c r="L4" s="42">
        <f>SUMIFS([1]تیر!$AF$633:$AF$800,[1]تیر!$C$633:$C$800,"قطعه نو",[1]تیر!$B$633:$B$800,C4,[1]تیر!$P$633:$P$800,"*")+1</f>
        <v>16.5</v>
      </c>
      <c r="M4" s="1" t="s">
        <v>398</v>
      </c>
      <c r="N4" s="51">
        <f>SUMIFS([1]تیر!$AR$633:$AR$800,[1]تیر!$C$633:$C$800,"قطعه نو",[1]تیر!$B$633:$B$800,C4,[1]تیر!$P$633:$P$800,B4)+(L4*750000)</f>
        <v>12375000</v>
      </c>
    </row>
    <row r="5" spans="1:14" ht="28.7" customHeight="1" x14ac:dyDescent="0.25">
      <c r="A5" s="26">
        <v>2</v>
      </c>
      <c r="B5" s="59" t="s">
        <v>448</v>
      </c>
      <c r="C5" s="21" t="s">
        <v>56</v>
      </c>
      <c r="D5" s="48" t="s">
        <v>32</v>
      </c>
      <c r="E5" s="48">
        <v>5</v>
      </c>
      <c r="F5" s="48" t="s">
        <v>14</v>
      </c>
      <c r="G5" s="57" t="s">
        <v>21</v>
      </c>
      <c r="H5" s="49"/>
      <c r="I5" s="49"/>
      <c r="J5" s="6" t="s">
        <v>447</v>
      </c>
      <c r="K5" s="36"/>
      <c r="L5" s="42">
        <f>SUMIFS([1]تیر!$AF$633:$AF$800,[1]تیر!$C$633:$C$800,"قطعه نو",[1]تیر!$B$633:$B$800,C5,[1]تیر!$P$633:$P$800,"*")</f>
        <v>4</v>
      </c>
      <c r="M5" s="1" t="s">
        <v>398</v>
      </c>
      <c r="N5" s="51">
        <f>SUMIFS([1]تیر!$AR$633:$AR$800,[1]تیر!$C$633:$C$800,"قطعه نو",[1]تیر!$B$633:$B$800,C5,[1]تیر!$P$633:$P$800,B5)</f>
        <v>3000000</v>
      </c>
    </row>
    <row r="6" spans="1:14" ht="28.7" customHeight="1" x14ac:dyDescent="0.25">
      <c r="A6" s="26">
        <v>3</v>
      </c>
      <c r="B6" s="59" t="s">
        <v>239</v>
      </c>
      <c r="C6" s="21" t="s">
        <v>446</v>
      </c>
      <c r="D6" s="48" t="s">
        <v>273</v>
      </c>
      <c r="E6" s="48">
        <v>7</v>
      </c>
      <c r="F6" s="48" t="s">
        <v>14</v>
      </c>
      <c r="G6" s="57" t="s">
        <v>21</v>
      </c>
      <c r="H6" s="2"/>
      <c r="I6" s="49"/>
      <c r="J6" s="6" t="s">
        <v>447</v>
      </c>
      <c r="K6" s="6"/>
      <c r="L6" s="42">
        <f>SUMIFS([1]تیر!$AF$633:$AF$800,[1]تیر!$C$633:$C$800,"قطعه نو",[1]تیر!$B$633:$B$800,C6,[1]تیر!$P$633:$P$800,"*")+7.5</f>
        <v>46.5</v>
      </c>
      <c r="M6" s="1" t="s">
        <v>398</v>
      </c>
      <c r="N6" s="51">
        <f>SUMIFS([1]تیر!$AR$633:$AR$800,[1]تیر!$C$633:$C$800,"قطعه نو",[1]تیر!$B$633:$B$800,C6,[1]تیر!$P$633:$P$800,B6)+(L6*750000)</f>
        <v>34875000</v>
      </c>
    </row>
    <row r="7" spans="1:14" ht="28.7" customHeight="1" x14ac:dyDescent="0.25">
      <c r="A7" s="26">
        <v>4</v>
      </c>
      <c r="B7" s="134" t="s">
        <v>52</v>
      </c>
      <c r="C7" s="48" t="s">
        <v>373</v>
      </c>
      <c r="D7" s="48" t="s">
        <v>32</v>
      </c>
      <c r="E7" s="48">
        <v>1</v>
      </c>
      <c r="F7" s="48" t="s">
        <v>14</v>
      </c>
      <c r="G7" s="57" t="s">
        <v>21</v>
      </c>
      <c r="H7" s="49" t="s">
        <v>374</v>
      </c>
      <c r="I7" s="49"/>
      <c r="J7" s="36" t="s">
        <v>397</v>
      </c>
      <c r="K7" s="36"/>
      <c r="L7" s="42">
        <f>SUMIFS([1]تیر!$AF$633:$AF$800,[1]تیر!$C$633:$C$800,"قطعه نو",[1]تیر!$B$633:$B$800,C7,[1]تیر!$P$633:$P$800,"*")</f>
        <v>2</v>
      </c>
      <c r="M7" s="1" t="s">
        <v>398</v>
      </c>
      <c r="N7" s="51">
        <f>SUMIFS([1]تیر!$AR$633:$AR$800,[1]تیر!$C$633:$C$800,"قطعه نو",[1]تیر!$B$633:$B$800,C7,[1]تیر!$P$633:$P$800,B7)+(L7*750000)</f>
        <v>1500000</v>
      </c>
    </row>
    <row r="8" spans="1:14" ht="28.7" customHeight="1" x14ac:dyDescent="0.25">
      <c r="A8" s="26">
        <v>5</v>
      </c>
      <c r="B8" s="59" t="s">
        <v>235</v>
      </c>
      <c r="C8" s="21" t="s">
        <v>88</v>
      </c>
      <c r="D8" s="48" t="s">
        <v>273</v>
      </c>
      <c r="E8" s="48">
        <v>1</v>
      </c>
      <c r="F8" s="48" t="s">
        <v>14</v>
      </c>
      <c r="G8" s="57" t="s">
        <v>21</v>
      </c>
      <c r="H8" s="2"/>
      <c r="I8" s="49"/>
      <c r="J8" s="36" t="s">
        <v>451</v>
      </c>
      <c r="K8" s="36" t="s">
        <v>451</v>
      </c>
      <c r="L8" s="42">
        <f>SUMIFS([1]تیر!$AF$633:$AF$800,[1]تیر!$C$633:$C$800,"قطعه نو",[1]تیر!$B$633:$B$800,C8,[1]تیر!$P$633:$P$800,"*")</f>
        <v>3</v>
      </c>
      <c r="M8" s="1" t="s">
        <v>20</v>
      </c>
      <c r="N8" s="51">
        <f>SUMIFS([1]تیر!$AR$633:$AR$800,[1]تیر!$C$633:$C$800,"قطعه نو",[1]تیر!$B$633:$B$800,C8,[1]تیر!$P$633:$P$800,B8)+(2*750000)</f>
        <v>2250000</v>
      </c>
    </row>
    <row r="9" spans="1:14" ht="28.7" customHeight="1" x14ac:dyDescent="0.25">
      <c r="A9" s="26">
        <v>6</v>
      </c>
      <c r="B9" s="29" t="s">
        <v>400</v>
      </c>
      <c r="C9" s="21" t="s">
        <v>452</v>
      </c>
      <c r="D9" s="48" t="s">
        <v>17</v>
      </c>
      <c r="E9" s="48">
        <v>2</v>
      </c>
      <c r="F9" s="48" t="s">
        <v>14</v>
      </c>
      <c r="G9" s="57" t="s">
        <v>21</v>
      </c>
      <c r="H9" s="2"/>
      <c r="I9" s="49"/>
      <c r="J9" s="6" t="s">
        <v>449</v>
      </c>
      <c r="K9" s="6" t="s">
        <v>449</v>
      </c>
      <c r="L9" s="42">
        <f>SUMIFS([1]تیر!$AF$633:$AF$800,[1]تیر!$C$633:$C$800,"قطعه نو",[1]تیر!$B$633:$B$800,C9,[1]تیر!$P$633:$P$800,"*")</f>
        <v>4</v>
      </c>
      <c r="M9" s="1" t="s">
        <v>20</v>
      </c>
      <c r="N9" s="51">
        <f>SUMIFS([1]تیر!$AR$633:$AR$800,[1]تیر!$C$633:$C$800,"قطعه نو",[1]تیر!$B$633:$B$800,C9,[1]تیر!$P$633:$P$800,B9)</f>
        <v>3000000</v>
      </c>
    </row>
    <row r="10" spans="1:14" ht="28.7" customHeight="1" x14ac:dyDescent="0.25">
      <c r="A10" s="26">
        <v>7</v>
      </c>
      <c r="B10" s="59" t="s">
        <v>220</v>
      </c>
      <c r="C10" s="21" t="s">
        <v>405</v>
      </c>
      <c r="D10" s="48" t="s">
        <v>414</v>
      </c>
      <c r="E10" s="48">
        <v>1</v>
      </c>
      <c r="F10" s="48" t="s">
        <v>14</v>
      </c>
      <c r="G10" s="57" t="s">
        <v>21</v>
      </c>
      <c r="H10" s="2"/>
      <c r="I10" s="49"/>
      <c r="J10" s="6" t="s">
        <v>453</v>
      </c>
      <c r="K10" s="6"/>
      <c r="L10" s="42">
        <f>SUMIFS([1]تیر!$AF$633:$AF$800,[1]تیر!$C$633:$C$800,"قطعه نو",[1]تیر!$B$633:$B$800,C10,[1]تیر!$P$633:$P$800,"*")</f>
        <v>2</v>
      </c>
      <c r="M10" s="1" t="s">
        <v>398</v>
      </c>
      <c r="N10" s="51">
        <f>SUMIFS([1]تیر!$AR$633:$AR$800,[1]تیر!$C$633:$C$800,"قطعه نو",[1]تیر!$B$633:$B$800,C10,[1]تیر!$P$633:$P$800,B10)</f>
        <v>3000000</v>
      </c>
    </row>
    <row r="11" spans="1:14" ht="28.7" customHeight="1" x14ac:dyDescent="0.25">
      <c r="A11" s="26">
        <v>8</v>
      </c>
      <c r="B11" s="29" t="s">
        <v>235</v>
      </c>
      <c r="C11" s="21" t="s">
        <v>446</v>
      </c>
      <c r="D11" s="48" t="s">
        <v>273</v>
      </c>
      <c r="E11" s="48">
        <v>2</v>
      </c>
      <c r="F11" s="48" t="s">
        <v>23</v>
      </c>
      <c r="G11" s="57" t="s">
        <v>18</v>
      </c>
      <c r="H11" s="2">
        <v>16837</v>
      </c>
      <c r="I11" s="49"/>
      <c r="J11" s="6" t="s">
        <v>449</v>
      </c>
      <c r="K11" s="6" t="s">
        <v>450</v>
      </c>
      <c r="L11" s="42">
        <f>SUMIFS([1]تیر!$AF$633:$AF$800,[1]تیر!$C$633:$C$800,"قطعه تعمیری",[1]تیر!$B$633:$B$800,C11,[1]تیر!$P$633:$P$800,"*")+8</f>
        <v>30.5</v>
      </c>
      <c r="M11" s="1" t="s">
        <v>20</v>
      </c>
      <c r="N11" s="51">
        <f>SUMIFS([1]تیر!$AR$633:$AR$800,[1]تیر!$C$633:$C$800,"قطعه نو",[1]تیر!$B$633:$B$800,C11,[1]تیر!$P$633:$P$800,B11)+(L12*750000)</f>
        <v>10500000</v>
      </c>
    </row>
    <row r="12" spans="1:14" ht="28.7" customHeight="1" x14ac:dyDescent="0.25">
      <c r="A12" s="26">
        <v>9</v>
      </c>
      <c r="B12" s="29" t="s">
        <v>454</v>
      </c>
      <c r="C12" s="4" t="s">
        <v>56</v>
      </c>
      <c r="D12" s="48" t="s">
        <v>32</v>
      </c>
      <c r="E12" s="48">
        <v>8</v>
      </c>
      <c r="F12" s="48" t="s">
        <v>23</v>
      </c>
      <c r="G12" s="57" t="s">
        <v>18</v>
      </c>
      <c r="H12" s="2"/>
      <c r="I12" s="49"/>
      <c r="J12" s="6" t="s">
        <v>449</v>
      </c>
      <c r="K12" s="6"/>
      <c r="L12" s="42">
        <f>SUMIFS([1]تیر!$AF$633:$AF$800,[1]تیر!$C$633:$C$800,"قطعه تعمیری",[1]تیر!$B$633:$B$800,C12,[1]تیر!$P$633:$P$800,B12)+4</f>
        <v>14</v>
      </c>
      <c r="M12" s="1" t="s">
        <v>398</v>
      </c>
      <c r="N12" s="51">
        <f>SUMIFS([1]تیر!$AR$633:$AR$800,[1]تیر!$C$633:$C$800,"قطعه تعمیری",[1]تیر!$B$633:$B$800,C12,[1]تیر!$P$633:$P$800,B12)</f>
        <v>7500000</v>
      </c>
    </row>
    <row r="13" spans="1:14" ht="28.7" customHeight="1" x14ac:dyDescent="0.25">
      <c r="A13" s="26">
        <v>10</v>
      </c>
      <c r="B13" s="134" t="s">
        <v>302</v>
      </c>
      <c r="C13" s="48" t="s">
        <v>48</v>
      </c>
      <c r="D13" s="48" t="s">
        <v>273</v>
      </c>
      <c r="E13" s="48">
        <v>1</v>
      </c>
      <c r="F13" s="48" t="s">
        <v>23</v>
      </c>
      <c r="G13" s="57" t="s">
        <v>18</v>
      </c>
      <c r="H13" s="49"/>
      <c r="I13" s="49"/>
      <c r="J13" s="6" t="s">
        <v>453</v>
      </c>
      <c r="K13" s="6" t="s">
        <v>450</v>
      </c>
      <c r="L13" s="42">
        <f>SUMIFS([1]تیر!$AF$633:$AF$800,[1]تیر!$C$633:$C$800,"قطعه تعمیری",[1]تیر!$B$633:$B$800,C13,[1]تیر!$P$633:$P$800,"*")+2</f>
        <v>7.75</v>
      </c>
      <c r="M13" s="1" t="s">
        <v>20</v>
      </c>
      <c r="N13" s="51">
        <f>SUMIFS([1]تیر!$AR$633:$AR$800,[1]تیر!$C$633:$C$800,"قطعه تعمیری",[1]تیر!$B$633:$B$800,C13,[1]تیر!$P$633:$P$800,B13)+(L13*750000)</f>
        <v>5812500</v>
      </c>
    </row>
    <row r="14" spans="1:14" ht="28.7" customHeight="1" x14ac:dyDescent="0.25">
      <c r="A14" s="26">
        <v>11</v>
      </c>
      <c r="B14" s="134" t="s">
        <v>235</v>
      </c>
      <c r="C14" s="48" t="s">
        <v>88</v>
      </c>
      <c r="D14" s="48" t="s">
        <v>273</v>
      </c>
      <c r="E14" s="48">
        <v>1</v>
      </c>
      <c r="F14" s="48" t="s">
        <v>23</v>
      </c>
      <c r="G14" s="57" t="s">
        <v>18</v>
      </c>
      <c r="H14" s="49"/>
      <c r="I14" s="49"/>
      <c r="J14" s="6" t="s">
        <v>451</v>
      </c>
      <c r="K14" s="6" t="s">
        <v>450</v>
      </c>
      <c r="L14" s="42">
        <f>SUMIFS([1]تیر!$AF$633:$AF$800,[1]تیر!$C$633:$C$800,"قطعه تعمیری",[1]تیر!$B$633:$B$800,C14,[1]تیر!$P$633:$P$800,"*")</f>
        <v>11</v>
      </c>
      <c r="M14" s="1" t="s">
        <v>20</v>
      </c>
      <c r="N14" s="51">
        <f>SUMIFS([1]تیر!$AR$633:$AR$800,[1]تیر!$C$633:$C$800,"قطعه تعمیری",[1]تیر!$B$633:$B$800,C14,[1]تیر!$P$633:$P$800,B14)</f>
        <v>8250000</v>
      </c>
    </row>
    <row r="15" spans="1:14" ht="28.7" customHeight="1" x14ac:dyDescent="0.25">
      <c r="A15" s="26">
        <v>12</v>
      </c>
      <c r="B15" s="59" t="s">
        <v>13</v>
      </c>
      <c r="C15" s="21" t="s">
        <v>391</v>
      </c>
      <c r="D15" s="48" t="s">
        <v>29</v>
      </c>
      <c r="E15" s="48">
        <v>5</v>
      </c>
      <c r="F15" s="48" t="s">
        <v>23</v>
      </c>
      <c r="G15" s="57" t="s">
        <v>18</v>
      </c>
      <c r="H15" s="49"/>
      <c r="I15" s="49"/>
      <c r="J15" s="6" t="s">
        <v>449</v>
      </c>
      <c r="K15" s="6" t="s">
        <v>453</v>
      </c>
      <c r="L15" s="42">
        <f>SUMIFS([1]تیر!$AF$633:$AF$800,[1]تیر!$C$633:$C$800,"قطعه تعمیری",[1]تیر!$B$633:$B$800,C15,[1]تیر!$P$633:$P$800,"*")</f>
        <v>6</v>
      </c>
      <c r="M15" s="1" t="s">
        <v>20</v>
      </c>
      <c r="N15" s="51">
        <f>SUMIFS([1]تیر!$AR$633:$AR$800,[1]تیر!$C$633:$C$800,"قطعه تعمیری",[1]تیر!$B$633:$B$800,C15,[1]تیر!$P$633:$P$800,B15)</f>
        <v>4500000</v>
      </c>
    </row>
    <row r="16" spans="1:14" ht="28.7" customHeight="1" x14ac:dyDescent="0.25">
      <c r="A16" s="26">
        <v>13</v>
      </c>
      <c r="B16" s="59" t="s">
        <v>39</v>
      </c>
      <c r="C16" s="21" t="s">
        <v>22</v>
      </c>
      <c r="D16" s="48" t="s">
        <v>32</v>
      </c>
      <c r="E16" s="1">
        <v>8</v>
      </c>
      <c r="F16" s="48" t="s">
        <v>23</v>
      </c>
      <c r="G16" s="57" t="s">
        <v>18</v>
      </c>
      <c r="H16" s="1"/>
      <c r="I16" s="3"/>
      <c r="J16" s="6" t="s">
        <v>449</v>
      </c>
      <c r="K16" s="6" t="s">
        <v>453</v>
      </c>
      <c r="L16" s="42">
        <f>SUMIFS([1]تیر!$AF$633:$AF$800,[1]تیر!$C$633:$C$800,"قطعه تعمیری",[1]تیر!$B$633:$B$800,C16,[1]تیر!$P$633:$P$800,"*")+1</f>
        <v>2</v>
      </c>
      <c r="M16" s="1" t="s">
        <v>20</v>
      </c>
      <c r="N16" s="51">
        <f>SUMIFS([1]تیر!$AR$633:$AR$800,[1]تیر!$C$633:$C$800,"قطعه تعمیری",[1]تیر!$B$633:$B$800,C16,[1]تیر!$P$633:$P$800,B16)</f>
        <v>750000</v>
      </c>
    </row>
    <row r="17" spans="1:14" ht="28.7" customHeight="1" x14ac:dyDescent="0.25">
      <c r="A17" s="26">
        <v>14</v>
      </c>
      <c r="B17" s="225" t="s">
        <v>455</v>
      </c>
      <c r="C17" s="226" t="s">
        <v>27</v>
      </c>
      <c r="D17" s="227" t="s">
        <v>17</v>
      </c>
      <c r="E17" s="227">
        <v>8</v>
      </c>
      <c r="F17" s="227" t="s">
        <v>23</v>
      </c>
      <c r="G17" s="228" t="s">
        <v>18</v>
      </c>
      <c r="H17" s="229"/>
      <c r="I17" s="229"/>
      <c r="J17" s="6" t="s">
        <v>449</v>
      </c>
      <c r="K17" s="230" t="s">
        <v>450</v>
      </c>
      <c r="L17" s="42">
        <f>SUMIFS([1]تیر!$AF$633:$AF$800,[1]تیر!$C$633:$C$800,"قطعه تعمیری",[1]تیر!$B$633:$B$800,C17,[1]تیر!$P$633:$P$800,"*")+6</f>
        <v>22.75</v>
      </c>
      <c r="M17" s="231" t="s">
        <v>20</v>
      </c>
      <c r="N17" s="51">
        <f>SUMIFS([1]تیر!$AR$633:$AR$800,[1]تیر!$C$633:$C$800,"قطعه تعمیری",[1]تیر!$B$633:$B$800,C17,[1]تیر!$P$633:$P$800,B17)</f>
        <v>9937500</v>
      </c>
    </row>
    <row r="18" spans="1:14" ht="28.7" customHeight="1" x14ac:dyDescent="0.25">
      <c r="A18" s="26">
        <v>15</v>
      </c>
      <c r="B18" s="134" t="s">
        <v>457</v>
      </c>
      <c r="C18" s="4" t="s">
        <v>456</v>
      </c>
      <c r="D18" s="227" t="s">
        <v>17</v>
      </c>
      <c r="E18" s="48">
        <v>1</v>
      </c>
      <c r="F18" s="227" t="s">
        <v>23</v>
      </c>
      <c r="G18" s="228" t="s">
        <v>18</v>
      </c>
      <c r="H18" s="49">
        <v>16825</v>
      </c>
      <c r="I18" s="49"/>
      <c r="J18" s="230" t="s">
        <v>450</v>
      </c>
      <c r="K18" s="230" t="s">
        <v>450</v>
      </c>
      <c r="L18" s="42">
        <f>SUMIFS([1]تیر!$AF$633:$AF$800,[1]تیر!$C$633:$C$800,"قطعه تعمیری",[1]تیر!$B$633:$B$800,C18,[1]تیر!$P$633:$P$800,"*")+1</f>
        <v>1</v>
      </c>
      <c r="M18" s="231" t="s">
        <v>20</v>
      </c>
      <c r="N18" s="51">
        <f>SUMIFS([1]مرداد!$AR$1:$AR$28,[1]مرداد!$C$1:$C$28,"قطعه تعمیری",[1]مرداد!$B$1:$B$28,C18,[1]مرداد!$P$1:$P$28,B18)</f>
        <v>375000</v>
      </c>
    </row>
    <row r="19" spans="1:14" ht="28.7" customHeight="1" thickBot="1" x14ac:dyDescent="0.3">
      <c r="A19" s="26">
        <v>16</v>
      </c>
      <c r="B19" s="59" t="s">
        <v>458</v>
      </c>
      <c r="C19" s="21" t="s">
        <v>356</v>
      </c>
      <c r="D19" s="48" t="s">
        <v>29</v>
      </c>
      <c r="E19" s="4">
        <v>1</v>
      </c>
      <c r="F19" s="48" t="s">
        <v>23</v>
      </c>
      <c r="G19" s="57" t="s">
        <v>18</v>
      </c>
      <c r="H19" s="49"/>
      <c r="I19" s="49"/>
      <c r="J19" s="230" t="s">
        <v>450</v>
      </c>
      <c r="K19" s="230" t="s">
        <v>450</v>
      </c>
      <c r="L19" s="42">
        <f>SUMIFS([1]تیر!$AF$633:$AF$800,[1]تیر!$C$633:$C$800,"قطعه تعمیری",[1]تیر!$B$633:$B$800,C19,[1]تیر!$P$633:$P$800,"*")+5</f>
        <v>5</v>
      </c>
      <c r="M19" s="1"/>
      <c r="N19" s="51">
        <f>SUMIFS([1]مرداد!$AR$1:$AR$28,[1]مرداد!$C$1:$C$28,"قطعه تعمیری",[1]مرداد!$B$1:$B$28,C19,[1]مرداد!$P$1:$P$28,B19)+3500000</f>
        <v>3500000</v>
      </c>
    </row>
    <row r="20" spans="1:14" ht="21" customHeight="1" x14ac:dyDescent="0.25">
      <c r="A20" s="31"/>
      <c r="B20" s="251" t="s">
        <v>445</v>
      </c>
      <c r="C20" s="128" t="s">
        <v>184</v>
      </c>
      <c r="D20" s="83" t="s">
        <v>14</v>
      </c>
      <c r="E20" s="93">
        <f>SUMIFS(E4:E19,F4:F19,D20,M4:M19,"تحویل")</f>
        <v>3</v>
      </c>
      <c r="F20" s="125"/>
      <c r="G20" s="83"/>
      <c r="H20" s="9"/>
      <c r="I20" s="251" t="s">
        <v>115</v>
      </c>
      <c r="J20" s="9" t="s">
        <v>14</v>
      </c>
      <c r="K20" s="93">
        <f>SUMIFS(E4:E19,F4:F19,J20)</f>
        <v>18</v>
      </c>
      <c r="L20" s="222">
        <f>SUMIFS(L4:L19,F4:F19,J20)</f>
        <v>78</v>
      </c>
      <c r="M20" s="112"/>
      <c r="N20" s="178">
        <f>SUMIFS(N4:N19,F4:F19,J20)</f>
        <v>60000000</v>
      </c>
    </row>
    <row r="21" spans="1:14" ht="21" customHeight="1" x14ac:dyDescent="0.25">
      <c r="A21" s="180"/>
      <c r="B21" s="246"/>
      <c r="C21" s="131" t="s">
        <v>184</v>
      </c>
      <c r="D21" s="61" t="s">
        <v>23</v>
      </c>
      <c r="E21" s="102">
        <f>SUMIFS(E4:E19,F4:F19,D21,M4:M19,"تحویل")</f>
        <v>26</v>
      </c>
      <c r="F21" s="60"/>
      <c r="G21" s="61"/>
      <c r="H21" s="60"/>
      <c r="I21" s="246"/>
      <c r="J21" s="60" t="s">
        <v>23</v>
      </c>
      <c r="K21" s="60">
        <f>SUMIFS(E5:E19,F5:F19,J21)</f>
        <v>35</v>
      </c>
      <c r="L21" s="221">
        <f>SUMIFS(L5:L20,F5:F20,J21)</f>
        <v>100</v>
      </c>
      <c r="M21" s="118"/>
      <c r="N21" s="182">
        <f>SUMIFS(N5:N20,F5:F20,J21)</f>
        <v>51125000</v>
      </c>
    </row>
    <row r="22" spans="1:14" ht="29.25" customHeight="1" thickBot="1" x14ac:dyDescent="0.3">
      <c r="A22" s="198"/>
      <c r="B22" s="203" t="s">
        <v>115</v>
      </c>
      <c r="C22" s="199"/>
      <c r="D22" s="200"/>
      <c r="E22" s="199">
        <f>E20+E21</f>
        <v>29</v>
      </c>
      <c r="F22" s="199"/>
      <c r="G22" s="199"/>
      <c r="H22" s="199"/>
      <c r="I22" s="199"/>
      <c r="J22" s="199"/>
      <c r="K22" s="199">
        <f>K20+K21</f>
        <v>53</v>
      </c>
      <c r="L22" s="203">
        <f>L20+L21</f>
        <v>178</v>
      </c>
      <c r="M22" s="201"/>
      <c r="N22" s="202">
        <f>N20+N21</f>
        <v>111125000</v>
      </c>
    </row>
    <row r="24" spans="1:14" x14ac:dyDescent="0.25">
      <c r="N24" s="95"/>
    </row>
  </sheetData>
  <mergeCells count="3">
    <mergeCell ref="A1:K2"/>
    <mergeCell ref="B20:B21"/>
    <mergeCell ref="I20:I21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L6 L17:L18 N18 N13 N5" formula="1"/>
    <ignoredError sqref="K21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9500-BCE4-4019-BD09-E7F4053F22E2}">
  <sheetPr>
    <pageSetUpPr fitToPage="1"/>
  </sheetPr>
  <dimension ref="A1:N33"/>
  <sheetViews>
    <sheetView rightToLeft="1" view="pageLayout" topLeftCell="A19" zoomScaleNormal="100" workbookViewId="0">
      <selection activeCell="B23" sqref="B23:H23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19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29" t="s">
        <v>342</v>
      </c>
      <c r="C4" s="48" t="s">
        <v>299</v>
      </c>
      <c r="D4" s="48" t="s">
        <v>17</v>
      </c>
      <c r="E4" s="48">
        <v>1</v>
      </c>
      <c r="F4" s="48" t="s">
        <v>14</v>
      </c>
      <c r="G4" s="57" t="s">
        <v>21</v>
      </c>
      <c r="H4" s="47"/>
      <c r="I4" s="2"/>
      <c r="J4" s="36" t="s">
        <v>296</v>
      </c>
      <c r="K4" s="36"/>
      <c r="L4" s="42">
        <f>SUMIFS([1]مرداد!$AF$30:$AF$218,[1]مرداد!$C$30:$C$218,"قطعه نو",[1]مرداد!$B$30:$B$218,C4,[1]مرداد!$P$30:$P$218,"*")</f>
        <v>1</v>
      </c>
      <c r="M4" s="1" t="s">
        <v>398</v>
      </c>
      <c r="N4" s="51">
        <f>SUMIFS([1]مرداد!$AR$30:$AR$218,[1]مرداد!$C$30:$C$218,"قطعه نو",[1]مرداد!$B$30:$B$218,C4,[1]مرداد!$P$30:$P$218,B4)</f>
        <v>750000</v>
      </c>
    </row>
    <row r="5" spans="1:14" ht="28.7" customHeight="1" x14ac:dyDescent="0.25">
      <c r="A5" s="26">
        <v>2</v>
      </c>
      <c r="B5" s="59" t="s">
        <v>448</v>
      </c>
      <c r="C5" s="21" t="s">
        <v>56</v>
      </c>
      <c r="D5" s="48" t="s">
        <v>32</v>
      </c>
      <c r="E5" s="48">
        <v>5</v>
      </c>
      <c r="F5" s="48" t="s">
        <v>14</v>
      </c>
      <c r="G5" s="57" t="s">
        <v>21</v>
      </c>
      <c r="H5" s="49"/>
      <c r="I5" s="49"/>
      <c r="J5" s="6" t="s">
        <v>447</v>
      </c>
      <c r="K5" s="36"/>
      <c r="L5" s="42">
        <f>SUMIFS([1]مرداد!$AF$30:$AF$218,[1]مرداد!$C$30:$C$218,"قطعه نو",[1]مرداد!$B$30:$B$218,C5,[1]مرداد!$P$30:$P$218,"*")</f>
        <v>4</v>
      </c>
      <c r="M5" s="1" t="s">
        <v>398</v>
      </c>
      <c r="N5" s="51">
        <f>SUMIFS([1]مرداد!$AR$30:$AR$218,[1]مرداد!$C$30:$C$218,"قطعه نو",[1]مرداد!$B$30:$B$218,C5,[1]مرداد!$P$30:$P$218,"*")</f>
        <v>3000000</v>
      </c>
    </row>
    <row r="6" spans="1:14" ht="28.7" customHeight="1" x14ac:dyDescent="0.25">
      <c r="A6" s="26">
        <v>3</v>
      </c>
      <c r="B6" s="59" t="s">
        <v>459</v>
      </c>
      <c r="C6" s="21" t="s">
        <v>446</v>
      </c>
      <c r="D6" s="48" t="s">
        <v>273</v>
      </c>
      <c r="E6" s="48">
        <v>2</v>
      </c>
      <c r="F6" s="48" t="s">
        <v>14</v>
      </c>
      <c r="G6" s="57" t="s">
        <v>21</v>
      </c>
      <c r="H6" s="2">
        <v>17202</v>
      </c>
      <c r="I6" s="49"/>
      <c r="J6" s="6" t="s">
        <v>447</v>
      </c>
      <c r="K6" s="6" t="s">
        <v>460</v>
      </c>
      <c r="L6" s="42">
        <f>SUMIFS([1]مرداد!$AF$30:$AF$218,[1]مرداد!$C$30:$C$218,"قطعه نو",[1]مرداد!$B$30:$B$218,C6,[1]مرداد!$P$30:$P$218,"*")</f>
        <v>3</v>
      </c>
      <c r="M6" s="1" t="s">
        <v>20</v>
      </c>
      <c r="N6" s="51">
        <f>SUMIFS([1]مرداد!$AR$30:$AR$218,[1]مرداد!$C$30:$C$218,"قطعه نو",[1]مرداد!$B$30:$B$218,C6,[1]مرداد!$P$30:$P$218,"*")</f>
        <v>2250000</v>
      </c>
    </row>
    <row r="7" spans="1:14" ht="28.7" customHeight="1" x14ac:dyDescent="0.25">
      <c r="A7" s="26">
        <v>4</v>
      </c>
      <c r="B7" s="134" t="s">
        <v>52</v>
      </c>
      <c r="C7" s="48" t="s">
        <v>373</v>
      </c>
      <c r="D7" s="48" t="s">
        <v>32</v>
      </c>
      <c r="E7" s="48">
        <v>1</v>
      </c>
      <c r="F7" s="48" t="s">
        <v>14</v>
      </c>
      <c r="G7" s="57" t="s">
        <v>21</v>
      </c>
      <c r="H7" s="49" t="s">
        <v>374</v>
      </c>
      <c r="I7" s="49"/>
      <c r="J7" s="36" t="s">
        <v>397</v>
      </c>
      <c r="K7" s="36"/>
      <c r="L7" s="42">
        <f>SUMIFS([1]مرداد!$AF$30:$AF$218,[1]مرداد!$C$30:$C$218,"قطعه نو",[1]مرداد!$B$30:$B$218,C7,[1]مرداد!$P$30:$P$218,"*")</f>
        <v>0</v>
      </c>
      <c r="M7" s="1" t="s">
        <v>398</v>
      </c>
      <c r="N7" s="51">
        <f>SUMIFS([1]مرداد!$AR$30:$AR$218,[1]مرداد!$C$30:$C$218,"قطعه نو",[1]مرداد!$B$30:$B$218,C7,[1]مرداد!$P$30:$P$218,"*")</f>
        <v>0</v>
      </c>
    </row>
    <row r="8" spans="1:14" ht="28.7" customHeight="1" x14ac:dyDescent="0.25">
      <c r="A8" s="26">
        <v>5</v>
      </c>
      <c r="B8" s="59" t="s">
        <v>220</v>
      </c>
      <c r="C8" s="21" t="s">
        <v>405</v>
      </c>
      <c r="D8" s="48" t="s">
        <v>414</v>
      </c>
      <c r="E8" s="48">
        <v>1</v>
      </c>
      <c r="F8" s="48" t="s">
        <v>14</v>
      </c>
      <c r="G8" s="57" t="s">
        <v>21</v>
      </c>
      <c r="H8" s="2"/>
      <c r="I8" s="49"/>
      <c r="J8" s="6" t="s">
        <v>453</v>
      </c>
      <c r="K8" s="36"/>
      <c r="L8" s="42">
        <f>SUMIFS([1]مرداد!$AF$30:$AF$218,[1]مرداد!$C$30:$C$218,"قطعه نو",[1]مرداد!$B$30:$B$218,C8,[1]مرداد!$P$30:$P$218,"*")</f>
        <v>7</v>
      </c>
      <c r="M8" s="1" t="s">
        <v>398</v>
      </c>
      <c r="N8" s="51">
        <f>SUMIFS([1]مرداد!$AR$30:$AR$218,[1]مرداد!$C$30:$C$218,"قطعه نو",[1]مرداد!$B$30:$B$218,C8,[1]مرداد!$P$30:$P$218,"*")</f>
        <v>10125000</v>
      </c>
    </row>
    <row r="9" spans="1:14" ht="28.7" customHeight="1" x14ac:dyDescent="0.25">
      <c r="A9" s="26">
        <v>6</v>
      </c>
      <c r="B9" s="29" t="s">
        <v>77</v>
      </c>
      <c r="C9" s="21" t="s">
        <v>31</v>
      </c>
      <c r="D9" s="48" t="s">
        <v>32</v>
      </c>
      <c r="E9" s="48">
        <v>1</v>
      </c>
      <c r="F9" s="48" t="s">
        <v>14</v>
      </c>
      <c r="G9" s="57" t="s">
        <v>21</v>
      </c>
      <c r="H9" s="2">
        <v>16833</v>
      </c>
      <c r="I9" s="49"/>
      <c r="J9" s="6" t="s">
        <v>461</v>
      </c>
      <c r="K9" s="6" t="s">
        <v>461</v>
      </c>
      <c r="L9" s="42">
        <f>SUMIFS([1]مرداد!$AF$30:$AF$218,[1]مرداد!$C$30:$C$218,"قطعه نو",[1]مرداد!$B$30:$B$218,C9,[1]مرداد!$P$30:$P$218,"*")</f>
        <v>4</v>
      </c>
      <c r="M9" s="1" t="s">
        <v>20</v>
      </c>
      <c r="N9" s="51">
        <f>SUMIFS([1]مرداد!$AR$30:$AR$218,[1]مرداد!$C$30:$C$218,"قطعه نو",[1]مرداد!$B$30:$B$218,C9,[1]مرداد!$P$30:$P$218,"*")</f>
        <v>3000000</v>
      </c>
    </row>
    <row r="10" spans="1:14" ht="28.7" customHeight="1" x14ac:dyDescent="0.25">
      <c r="A10" s="26">
        <v>7</v>
      </c>
      <c r="B10" s="59" t="s">
        <v>55</v>
      </c>
      <c r="C10" s="21" t="s">
        <v>58</v>
      </c>
      <c r="D10" s="48" t="s">
        <v>17</v>
      </c>
      <c r="E10" s="48">
        <v>2</v>
      </c>
      <c r="F10" s="48" t="s">
        <v>14</v>
      </c>
      <c r="G10" s="57" t="s">
        <v>21</v>
      </c>
      <c r="H10" s="2">
        <v>16847</v>
      </c>
      <c r="I10" s="49">
        <v>2054</v>
      </c>
      <c r="J10" s="6" t="s">
        <v>460</v>
      </c>
      <c r="K10" s="6"/>
      <c r="L10" s="42">
        <f>SUMIFS([1]مرداد!$AF$30:$AF$218,[1]مرداد!$C$30:$C$218,"قطعه نو",[1]مرداد!$B$30:$B$218,C10,[1]مرداد!$P$30:$P$218,"*")</f>
        <v>0</v>
      </c>
      <c r="M10" s="1" t="s">
        <v>398</v>
      </c>
      <c r="N10" s="51">
        <f>SUMIFS([1]مرداد!$AR$30:$AR$218,[1]مرداد!$C$30:$C$218,"قطعه نو",[1]مرداد!$B$30:$B$218,C10,[1]مرداد!$P$30:$P$218,"*")</f>
        <v>0</v>
      </c>
    </row>
    <row r="11" spans="1:14" ht="28.7" customHeight="1" x14ac:dyDescent="0.25">
      <c r="A11" s="26">
        <v>8</v>
      </c>
      <c r="B11" s="29" t="s">
        <v>44</v>
      </c>
      <c r="C11" s="21" t="s">
        <v>463</v>
      </c>
      <c r="D11" s="48" t="s">
        <v>32</v>
      </c>
      <c r="E11" s="48">
        <v>10</v>
      </c>
      <c r="F11" s="48" t="s">
        <v>14</v>
      </c>
      <c r="G11" s="57" t="s">
        <v>21</v>
      </c>
      <c r="H11" s="2">
        <v>17017</v>
      </c>
      <c r="I11" s="49"/>
      <c r="J11" s="6" t="s">
        <v>464</v>
      </c>
      <c r="K11" s="6" t="s">
        <v>465</v>
      </c>
      <c r="L11" s="42">
        <f>SUMIFS([1]مرداد!$AF$30:$AF$218,[1]مرداد!$C$30:$C$218,"قطعه نو",[1]مرداد!$B$30:$B$218,C11,[1]مرداد!$P$30:$P$218,"*")</f>
        <v>4</v>
      </c>
      <c r="M11" s="1" t="s">
        <v>20</v>
      </c>
      <c r="N11" s="51">
        <f>SUMIFS([1]مرداد!$AR$30:$AR$218,[1]مرداد!$C$30:$C$218,"قطعه نو",[1]مرداد!$B$30:$B$218,C11,[1]مرداد!$P$30:$P$218,"*")</f>
        <v>3000000</v>
      </c>
    </row>
    <row r="12" spans="1:14" ht="28.7" customHeight="1" x14ac:dyDescent="0.25">
      <c r="A12" s="26">
        <v>9</v>
      </c>
      <c r="B12" s="29" t="s">
        <v>467</v>
      </c>
      <c r="C12" s="4" t="s">
        <v>466</v>
      </c>
      <c r="D12" s="48" t="s">
        <v>32</v>
      </c>
      <c r="E12" s="48">
        <v>21</v>
      </c>
      <c r="F12" s="48" t="s">
        <v>14</v>
      </c>
      <c r="G12" s="57" t="s">
        <v>21</v>
      </c>
      <c r="H12" s="2"/>
      <c r="I12" s="49"/>
      <c r="J12" s="6" t="s">
        <v>464</v>
      </c>
      <c r="K12" s="6"/>
      <c r="L12" s="42">
        <f>SUMIFS([1]مرداد!$AF$30:$AF$218,[1]مرداد!$C$30:$C$218,"قطعه نو",[1]مرداد!$B$30:$B$218,C12,[1]مرداد!$P$30:$P$218,"*")</f>
        <v>29</v>
      </c>
      <c r="M12" s="1" t="s">
        <v>398</v>
      </c>
      <c r="N12" s="51">
        <f>SUMIFS([1]مرداد!$AR$30:$AR$218,[1]مرداد!$C$30:$C$218,"قطعه نو",[1]مرداد!$B$30:$B$218,C12,[1]مرداد!$P$30:$P$218,"*")</f>
        <v>21750000</v>
      </c>
    </row>
    <row r="13" spans="1:14" ht="28.7" customHeight="1" x14ac:dyDescent="0.25">
      <c r="A13" s="26">
        <v>10</v>
      </c>
      <c r="B13" s="134" t="s">
        <v>469</v>
      </c>
      <c r="C13" s="48" t="s">
        <v>468</v>
      </c>
      <c r="D13" s="48" t="s">
        <v>470</v>
      </c>
      <c r="E13" s="48">
        <v>1</v>
      </c>
      <c r="F13" s="48" t="s">
        <v>14</v>
      </c>
      <c r="G13" s="57" t="s">
        <v>21</v>
      </c>
      <c r="H13" s="49"/>
      <c r="I13" s="49"/>
      <c r="J13" s="6" t="s">
        <v>471</v>
      </c>
      <c r="K13" s="6" t="s">
        <v>461</v>
      </c>
      <c r="L13" s="42">
        <f>SUMIFS([1]مرداد!$AF$30:$AF$218,[1]مرداد!$C$30:$C$218,"قطعه نو",[1]مرداد!$B$30:$B$218,C13,[1]مرداد!$P$30:$P$218,"*")</f>
        <v>9</v>
      </c>
      <c r="M13" s="1" t="s">
        <v>20</v>
      </c>
      <c r="N13" s="51">
        <f>SUMIFS([1]مرداد!$AR$30:$AR$218,[1]مرداد!$C$30:$C$218,"قطعه نو",[1]مرداد!$B$30:$B$218,C13,[1]مرداد!$P$30:$P$218,"*")</f>
        <v>6750000</v>
      </c>
    </row>
    <row r="14" spans="1:14" ht="28.7" customHeight="1" x14ac:dyDescent="0.25">
      <c r="A14" s="26">
        <v>11</v>
      </c>
      <c r="B14" s="134" t="s">
        <v>472</v>
      </c>
      <c r="C14" s="48" t="s">
        <v>446</v>
      </c>
      <c r="D14" s="48" t="s">
        <v>273</v>
      </c>
      <c r="E14" s="48">
        <v>2</v>
      </c>
      <c r="F14" s="48" t="s">
        <v>23</v>
      </c>
      <c r="G14" s="57" t="s">
        <v>60</v>
      </c>
      <c r="H14" s="2"/>
      <c r="I14" s="49"/>
      <c r="J14" s="6" t="s">
        <v>464</v>
      </c>
      <c r="K14" s="6"/>
      <c r="L14" s="42">
        <f>SUMIFS([1]مرداد!$AF$30:$AF$218,[1]مرداد!$C$30:$C$218,"قطعه تعمیری",[1]مرداد!$B$30:$B$218,C14,[1]مرداد!$P$30:$P$218,"*")</f>
        <v>15.5</v>
      </c>
      <c r="M14" s="1" t="s">
        <v>398</v>
      </c>
      <c r="N14" s="51">
        <f>SUMIFS([1]مرداد!$AR$30:$AR$218,[1]مرداد!$C$30:$C$218,"قطعه تعمیری",[1]مرداد!$B$30:$B$218,C14,[1]مرداد!$P$30:$P$218,"*")</f>
        <v>11625000</v>
      </c>
    </row>
    <row r="15" spans="1:14" ht="28.7" customHeight="1" x14ac:dyDescent="0.25">
      <c r="A15" s="26">
        <v>12</v>
      </c>
      <c r="B15" s="134" t="s">
        <v>473</v>
      </c>
      <c r="C15" s="48" t="s">
        <v>222</v>
      </c>
      <c r="D15" s="48" t="s">
        <v>273</v>
      </c>
      <c r="E15" s="48">
        <v>1</v>
      </c>
      <c r="F15" s="48" t="s">
        <v>23</v>
      </c>
      <c r="G15" s="57" t="s">
        <v>60</v>
      </c>
      <c r="H15" s="49">
        <v>16829</v>
      </c>
      <c r="I15" s="49"/>
      <c r="J15" s="6" t="s">
        <v>474</v>
      </c>
      <c r="K15" s="6" t="s">
        <v>474</v>
      </c>
      <c r="L15" s="42">
        <f>SUMIFS([1]مرداد!$AF$30:$AF$218,[1]مرداد!$C$30:$C$218,"قطعه تعمیری",[1]مرداد!$B$30:$B$218,C15,[1]مرداد!$P$30:$P$218,"*")</f>
        <v>1</v>
      </c>
      <c r="M15" s="1" t="s">
        <v>20</v>
      </c>
      <c r="N15" s="51">
        <f>SUMIFS([1]مرداد!$AR$30:$AR$218,[1]مرداد!$C$30:$C$218,"قطعه تعمیری",[1]مرداد!$B$30:$B$218,C15,[1]مرداد!$P$30:$P$218,"*")</f>
        <v>750000</v>
      </c>
    </row>
    <row r="16" spans="1:14" ht="28.7" customHeight="1" x14ac:dyDescent="0.25">
      <c r="A16" s="26">
        <v>13</v>
      </c>
      <c r="B16" s="134" t="s">
        <v>476</v>
      </c>
      <c r="C16" s="48" t="s">
        <v>475</v>
      </c>
      <c r="D16" s="48" t="s">
        <v>54</v>
      </c>
      <c r="E16" s="48">
        <v>1</v>
      </c>
      <c r="F16" s="48" t="s">
        <v>23</v>
      </c>
      <c r="G16" s="57" t="s">
        <v>60</v>
      </c>
      <c r="H16" s="49"/>
      <c r="I16" s="49"/>
      <c r="J16" s="6" t="s">
        <v>461</v>
      </c>
      <c r="K16" s="6" t="s">
        <v>461</v>
      </c>
      <c r="L16" s="42">
        <f>SUMIFS([1]مرداد!$AF$30:$AF$218,[1]مرداد!$C$30:$C$218,"قطعه تعمیری",[1]مرداد!$B$30:$B$218,C16,[1]مرداد!$P$30:$P$218,"*")</f>
        <v>1</v>
      </c>
      <c r="M16" s="1" t="s">
        <v>20</v>
      </c>
      <c r="N16" s="51">
        <f>SUMIFS([1]مرداد!$AR$30:$AR$218,[1]مرداد!$C$30:$C$218,"قطعه تعمیری",[1]مرداد!$B$30:$B$218,C16,[1]مرداد!$P$30:$P$218,"*")</f>
        <v>750000</v>
      </c>
    </row>
    <row r="17" spans="1:14" ht="28.7" customHeight="1" x14ac:dyDescent="0.25">
      <c r="A17" s="26">
        <v>14</v>
      </c>
      <c r="B17" s="134" t="s">
        <v>16</v>
      </c>
      <c r="C17" s="48" t="s">
        <v>150</v>
      </c>
      <c r="D17" s="48" t="s">
        <v>32</v>
      </c>
      <c r="E17" s="48">
        <v>1</v>
      </c>
      <c r="F17" s="48" t="s">
        <v>23</v>
      </c>
      <c r="G17" s="57" t="s">
        <v>477</v>
      </c>
      <c r="H17" s="49">
        <v>16845</v>
      </c>
      <c r="I17" s="49"/>
      <c r="J17" s="6" t="s">
        <v>471</v>
      </c>
      <c r="K17" s="6" t="s">
        <v>460</v>
      </c>
      <c r="L17" s="42">
        <f>SUMIFS([1]مرداد!$AF$30:$AF$218,[1]مرداد!$C$30:$C$218,"قطعه تعمیری",[1]مرداد!$B$30:$B$218,C17,[1]مرداد!$P$30:$P$218,"*")</f>
        <v>5</v>
      </c>
      <c r="M17" s="1" t="s">
        <v>20</v>
      </c>
      <c r="N17" s="51">
        <f>SUMIFS([1]مرداد!$AR$30:$AR$218,[1]مرداد!$C$30:$C$218,"قطعه تعمیری",[1]مرداد!$B$30:$B$218,C17,[1]مرداد!$P$30:$P$218,"*")</f>
        <v>3750000</v>
      </c>
    </row>
    <row r="18" spans="1:14" ht="28.7" customHeight="1" x14ac:dyDescent="0.25">
      <c r="A18" s="26">
        <v>15</v>
      </c>
      <c r="B18" s="134" t="s">
        <v>33</v>
      </c>
      <c r="C18" s="48" t="s">
        <v>462</v>
      </c>
      <c r="D18" s="48" t="s">
        <v>17</v>
      </c>
      <c r="E18" s="48">
        <v>1</v>
      </c>
      <c r="F18" s="48" t="s">
        <v>23</v>
      </c>
      <c r="G18" s="57" t="s">
        <v>478</v>
      </c>
      <c r="H18" s="49">
        <v>16847</v>
      </c>
      <c r="I18" s="49">
        <v>2054</v>
      </c>
      <c r="J18" s="6" t="s">
        <v>460</v>
      </c>
      <c r="K18" s="6" t="s">
        <v>461</v>
      </c>
      <c r="L18" s="42">
        <f>SUMIFS([1]مرداد!$AF$30:$AF$218,[1]مرداد!$C$30:$C$218,"قطعه تعمیری",[1]مرداد!$B$30:$B$218,C18,[1]مرداد!$P$30:$P$218,"*")</f>
        <v>3</v>
      </c>
      <c r="M18" s="1" t="s">
        <v>20</v>
      </c>
      <c r="N18" s="51">
        <f>SUMIFS([1]مرداد!$AR$30:$AR$218,[1]مرداد!$C$30:$C$218,"قطعه تعمیری",[1]مرداد!$B$30:$B$218,C18,[1]مرداد!$P$30:$P$218,"*")</f>
        <v>2250000</v>
      </c>
    </row>
    <row r="19" spans="1:14" ht="28.7" customHeight="1" x14ac:dyDescent="0.25">
      <c r="A19" s="26">
        <v>16</v>
      </c>
      <c r="B19" s="134" t="s">
        <v>85</v>
      </c>
      <c r="C19" s="48" t="s">
        <v>56</v>
      </c>
      <c r="D19" s="48" t="s">
        <v>17</v>
      </c>
      <c r="E19" s="48">
        <v>1</v>
      </c>
      <c r="F19" s="48" t="s">
        <v>23</v>
      </c>
      <c r="G19" s="57" t="s">
        <v>479</v>
      </c>
      <c r="H19" s="49">
        <v>16832</v>
      </c>
      <c r="I19" s="49">
        <v>2063</v>
      </c>
      <c r="J19" s="6" t="s">
        <v>471</v>
      </c>
      <c r="K19" s="6"/>
      <c r="L19" s="42">
        <f>SUMIFS([1]مرداد!$AF$30:$AF$218,[1]مرداد!$C$30:$C$218,"قطعه تعمیری",[1]مرداد!$B$30:$B$218,C19,[1]مرداد!$P$30:$P$218,"*")</f>
        <v>5</v>
      </c>
      <c r="M19" s="1" t="s">
        <v>398</v>
      </c>
      <c r="N19" s="51">
        <f>SUMIFS([1]مرداد!$AR$30:$AR$218,[1]مرداد!$C$30:$C$218,"قطعه تعمیری",[1]مرداد!$B$30:$B$218,C19,[1]مرداد!$P$30:$P$218,"*")</f>
        <v>3750000</v>
      </c>
    </row>
    <row r="20" spans="1:14" ht="28.7" customHeight="1" x14ac:dyDescent="0.25">
      <c r="A20" s="26">
        <v>17</v>
      </c>
      <c r="B20" s="134" t="s">
        <v>480</v>
      </c>
      <c r="C20" s="48" t="s">
        <v>48</v>
      </c>
      <c r="D20" s="48" t="s">
        <v>273</v>
      </c>
      <c r="E20" s="48">
        <v>1</v>
      </c>
      <c r="F20" s="48" t="s">
        <v>23</v>
      </c>
      <c r="G20" s="57" t="s">
        <v>18</v>
      </c>
      <c r="H20" s="49"/>
      <c r="I20" s="49"/>
      <c r="J20" s="6" t="s">
        <v>464</v>
      </c>
      <c r="K20" s="6"/>
      <c r="L20" s="42">
        <f>SUMIFS([1]مرداد!$AF$30:$AF$218,[1]مرداد!$C$30:$C$218,"قطعه تعمیری",[1]مرداد!$B$30:$B$218,C20,[1]مرداد!$P$30:$P$218,"*")</f>
        <v>26</v>
      </c>
      <c r="M20" s="1" t="s">
        <v>398</v>
      </c>
      <c r="N20" s="51">
        <f>SUMIFS([1]مرداد!$AR$30:$AR$218,[1]مرداد!$C$30:$C$218,"قطعه تعمیری",[1]مرداد!$B$30:$B$218,C20,[1]مرداد!$P$30:$P$218,"*")</f>
        <v>19500000</v>
      </c>
    </row>
    <row r="21" spans="1:14" ht="28.7" customHeight="1" x14ac:dyDescent="0.25">
      <c r="A21" s="26">
        <v>18</v>
      </c>
      <c r="B21" s="134" t="s">
        <v>89</v>
      </c>
      <c r="C21" s="48" t="s">
        <v>43</v>
      </c>
      <c r="D21" s="48" t="s">
        <v>32</v>
      </c>
      <c r="E21" s="48">
        <v>2</v>
      </c>
      <c r="F21" s="48" t="s">
        <v>23</v>
      </c>
      <c r="G21" s="57" t="s">
        <v>481</v>
      </c>
      <c r="H21" s="49"/>
      <c r="I21" s="49"/>
      <c r="J21" s="6" t="s">
        <v>474</v>
      </c>
      <c r="K21" s="6" t="s">
        <v>471</v>
      </c>
      <c r="L21" s="42">
        <f>SUMIFS([1]مرداد!$AF$30:$AF$218,[1]مرداد!$C$30:$C$218,"قطعه تعمیری",[1]مرداد!$B$30:$B$218,C21,[1]مرداد!$P$30:$P$218,"*")</f>
        <v>3</v>
      </c>
      <c r="M21" s="1" t="s">
        <v>20</v>
      </c>
      <c r="N21" s="51">
        <f>SUMIFS([1]مرداد!$AR$30:$AR$218,[1]مرداد!$C$30:$C$218,"قطعه تعمیری",[1]مرداد!$B$30:$B$218,C21,[1]مرداد!$P$30:$P$218,"*")</f>
        <v>2250000</v>
      </c>
    </row>
    <row r="22" spans="1:14" ht="28.7" customHeight="1" x14ac:dyDescent="0.25">
      <c r="A22" s="26">
        <v>19</v>
      </c>
      <c r="B22" s="134" t="s">
        <v>89</v>
      </c>
      <c r="C22" s="48" t="s">
        <v>482</v>
      </c>
      <c r="D22" s="48" t="s">
        <v>32</v>
      </c>
      <c r="E22" s="48">
        <v>1</v>
      </c>
      <c r="F22" s="48" t="s">
        <v>23</v>
      </c>
      <c r="G22" s="57" t="s">
        <v>481</v>
      </c>
      <c r="H22" s="49"/>
      <c r="I22" s="49"/>
      <c r="J22" s="6" t="s">
        <v>465</v>
      </c>
      <c r="K22" s="6" t="s">
        <v>471</v>
      </c>
      <c r="L22" s="42">
        <f>SUMIFS([1]مرداد!$AF$30:$AF$218,[1]مرداد!$C$30:$C$218,"قطعه تعمیری",[1]مرداد!$B$30:$B$218,C22,[1]مرداد!$P$30:$P$218,"*")</f>
        <v>6.5</v>
      </c>
      <c r="M22" s="1" t="s">
        <v>20</v>
      </c>
      <c r="N22" s="51">
        <f>SUMIFS([1]مرداد!$AR$30:$AR$218,[1]مرداد!$C$30:$C$218,"قطعه تعمیری",[1]مرداد!$B$30:$B$218,C22,[1]مرداد!$P$30:$P$218,"*")</f>
        <v>4875000</v>
      </c>
    </row>
    <row r="23" spans="1:14" ht="28.7" customHeight="1" x14ac:dyDescent="0.25">
      <c r="A23" s="26">
        <v>20</v>
      </c>
      <c r="B23" s="59" t="s">
        <v>39</v>
      </c>
      <c r="C23" s="21" t="s">
        <v>22</v>
      </c>
      <c r="D23" s="48" t="s">
        <v>32</v>
      </c>
      <c r="E23" s="1">
        <v>8</v>
      </c>
      <c r="F23" s="48" t="s">
        <v>23</v>
      </c>
      <c r="G23" s="57" t="s">
        <v>18</v>
      </c>
      <c r="H23" s="1"/>
      <c r="I23" s="3"/>
      <c r="J23" s="6" t="s">
        <v>465</v>
      </c>
      <c r="K23" s="6" t="s">
        <v>471</v>
      </c>
      <c r="L23" s="42">
        <f>SUMIFS([1]مرداد!$AF$30:$AF$218,[1]مرداد!$C$30:$C$218,"قطعه تعمیری",[1]مرداد!$B$30:$B$218,C23,[1]مرداد!$P$30:$P$218,"*")</f>
        <v>4</v>
      </c>
      <c r="M23" s="1" t="s">
        <v>20</v>
      </c>
      <c r="N23" s="51">
        <f>SUMIFS([1]مرداد!$AR$30:$AR$218,[1]مرداد!$C$30:$C$218,"قطعه تعمیری",[1]مرداد!$B$30:$B$218,C23,[1]مرداد!$P$30:$P$218,"*")</f>
        <v>3000000</v>
      </c>
    </row>
    <row r="24" spans="1:14" ht="28.7" customHeight="1" x14ac:dyDescent="0.25">
      <c r="A24" s="26">
        <v>21</v>
      </c>
      <c r="B24" s="59" t="s">
        <v>484</v>
      </c>
      <c r="C24" s="21" t="s">
        <v>483</v>
      </c>
      <c r="D24" s="48" t="s">
        <v>32</v>
      </c>
      <c r="E24" s="48">
        <v>1</v>
      </c>
      <c r="F24" s="48" t="s">
        <v>23</v>
      </c>
      <c r="G24" s="57" t="s">
        <v>18</v>
      </c>
      <c r="H24" s="49"/>
      <c r="I24" s="49"/>
      <c r="J24" s="6" t="s">
        <v>464</v>
      </c>
      <c r="K24" s="6" t="s">
        <v>464</v>
      </c>
      <c r="L24" s="42">
        <f>SUMIFS([1]مرداد!$AF$30:$AF$218,[1]مرداد!$C$30:$C$218,"قطعه تعمیری",[1]مرداد!$B$30:$B$218,C24,[1]مرداد!$P$30:$P$218,"*")</f>
        <v>0.5</v>
      </c>
      <c r="M24" s="1" t="s">
        <v>20</v>
      </c>
      <c r="N24" s="51">
        <f>SUMIFS([1]مرداد!$AR$30:$AR$218,[1]مرداد!$C$30:$C$218,"قطعه تعمیری",[1]مرداد!$B$30:$B$218,C24,[1]مرداد!$P$30:$P$218,"*")</f>
        <v>375000</v>
      </c>
    </row>
    <row r="25" spans="1:14" ht="28.7" customHeight="1" x14ac:dyDescent="0.25">
      <c r="A25" s="26">
        <v>22</v>
      </c>
      <c r="B25" s="59" t="s">
        <v>485</v>
      </c>
      <c r="C25" s="21" t="s">
        <v>27</v>
      </c>
      <c r="D25" s="48" t="s">
        <v>17</v>
      </c>
      <c r="E25" s="1">
        <v>8</v>
      </c>
      <c r="F25" s="48" t="s">
        <v>23</v>
      </c>
      <c r="G25" s="57" t="s">
        <v>18</v>
      </c>
      <c r="H25" s="1">
        <v>17101</v>
      </c>
      <c r="I25" s="3"/>
      <c r="J25" s="6" t="s">
        <v>450</v>
      </c>
      <c r="K25" s="6"/>
      <c r="L25" s="42">
        <f>SUMIFS([1]مرداد!$AF$30:$AF$218,[1]مرداد!$C$30:$C$218,"قطعه تعمیری",[1]مرداد!$B$30:$B$218,C25,[1]مرداد!$P$30:$P$218,B25)</f>
        <v>14</v>
      </c>
      <c r="M25" s="1" t="s">
        <v>398</v>
      </c>
      <c r="N25" s="51">
        <f>SUMIFS([1]مرداد!$AR$30:$AR$218,[1]مرداد!$C$30:$C$218,"قطعه تعمیری",[1]مرداد!$B$30:$B$218,C25,[1]مرداد!$P$30:$P$218,B25)</f>
        <v>15375000</v>
      </c>
    </row>
    <row r="26" spans="1:14" ht="28.7" customHeight="1" x14ac:dyDescent="0.25">
      <c r="A26" s="26">
        <v>23</v>
      </c>
      <c r="B26" s="225" t="s">
        <v>85</v>
      </c>
      <c r="C26" s="21" t="s">
        <v>27</v>
      </c>
      <c r="D26" s="48" t="s">
        <v>17</v>
      </c>
      <c r="E26" s="1">
        <v>8</v>
      </c>
      <c r="F26" s="48" t="s">
        <v>23</v>
      </c>
      <c r="G26" s="57" t="s">
        <v>18</v>
      </c>
      <c r="H26" s="229">
        <v>16849</v>
      </c>
      <c r="I26" s="229"/>
      <c r="J26" s="6" t="s">
        <v>464</v>
      </c>
      <c r="K26" s="230"/>
      <c r="L26" s="42">
        <f>SUMIFS([1]مرداد!$AF$30:$AF$218,[1]مرداد!$C$30:$C$218,"قطعه تعمیری",[1]مرداد!$B$30:$B$218,C26,[1]مرداد!$P$30:$P$218,B26)</f>
        <v>4</v>
      </c>
      <c r="M26" s="231"/>
      <c r="N26" s="51">
        <f>SUMIFS([1]مرداد!$AR$30:$AR$218,[1]مرداد!$C$30:$C$218,"قطعه تعمیری",[1]مرداد!$B$30:$B$218,C26,[1]مرداد!$P$30:$P$218,B26)</f>
        <v>3000000</v>
      </c>
    </row>
    <row r="27" spans="1:14" ht="28.7" customHeight="1" x14ac:dyDescent="0.25">
      <c r="A27" s="26">
        <v>24</v>
      </c>
      <c r="B27" s="225" t="s">
        <v>89</v>
      </c>
      <c r="C27" s="21" t="s">
        <v>27</v>
      </c>
      <c r="D27" s="48" t="s">
        <v>17</v>
      </c>
      <c r="E27" s="1">
        <v>8</v>
      </c>
      <c r="F27" s="48" t="s">
        <v>23</v>
      </c>
      <c r="G27" s="57" t="s">
        <v>18</v>
      </c>
      <c r="H27" s="49">
        <v>16844</v>
      </c>
      <c r="I27" s="49"/>
      <c r="J27" s="6" t="s">
        <v>464</v>
      </c>
      <c r="K27" s="230"/>
      <c r="L27" s="42">
        <f>SUMIFS([1]مرداد!$AF$30:$AF$218,[1]مرداد!$C$30:$C$218,"قطعه تعمیری",[1]مرداد!$B$30:$B$218,C27,[1]مرداد!$P$30:$P$218,"*")-L25</f>
        <v>23</v>
      </c>
      <c r="M27" s="231"/>
      <c r="N27" s="51">
        <f>SUMIFS([1]مرداد!$AR$30:$AR$218,[1]مرداد!$C$30:$C$218,"قطعه تعمیری",[1]مرداد!$B$30:$B$218,C27,[1]مرداد!$P$30:$P$218,"*")-N25</f>
        <v>17250000</v>
      </c>
    </row>
    <row r="28" spans="1:14" ht="28.7" customHeight="1" thickBot="1" x14ac:dyDescent="0.3">
      <c r="A28" s="26">
        <v>25</v>
      </c>
      <c r="B28" s="59"/>
      <c r="C28" s="21"/>
      <c r="D28" s="48"/>
      <c r="E28" s="4"/>
      <c r="F28" s="48"/>
      <c r="G28" s="57"/>
      <c r="H28" s="49"/>
      <c r="I28" s="49"/>
      <c r="J28" s="230"/>
      <c r="K28" s="230"/>
      <c r="L28" s="42">
        <f>SUMIFS([1]مرداد!$AF$30:$AF$218,[1]مرداد!$C$30:$C$218,"قطعه تعمیری",[1]مرداد!$B$30:$B$218,C28,[1]مرداد!$P$30:$P$218,B28)</f>
        <v>0</v>
      </c>
      <c r="M28" s="1"/>
      <c r="N28" s="51">
        <f>SUMIFS([1]مرداد!$AR$30:$AR$218,[1]مرداد!$C$30:$C$218,"قطعه تعمیری",[1]مرداد!$B$30:$B$218,C28,[1]مرداد!$P$30:$P$218,B28)</f>
        <v>0</v>
      </c>
    </row>
    <row r="29" spans="1:14" ht="21" customHeight="1" x14ac:dyDescent="0.25">
      <c r="A29" s="31"/>
      <c r="B29" s="251" t="s">
        <v>445</v>
      </c>
      <c r="C29" s="128" t="s">
        <v>184</v>
      </c>
      <c r="D29" s="83" t="s">
        <v>14</v>
      </c>
      <c r="E29" s="93">
        <f>SUMIFS(E4:E28,F4:F28,D29,M4:M28,"تحویل")</f>
        <v>14</v>
      </c>
      <c r="F29" s="125"/>
      <c r="G29" s="83"/>
      <c r="H29" s="9"/>
      <c r="I29" s="251" t="s">
        <v>115</v>
      </c>
      <c r="J29" s="9" t="s">
        <v>14</v>
      </c>
      <c r="K29" s="93">
        <f>SUMIFS(E4:E28,F4:F28,J29)</f>
        <v>45</v>
      </c>
      <c r="L29" s="224">
        <f>SUMIFS(L4:L28,F4:F28,J29)</f>
        <v>61</v>
      </c>
      <c r="M29" s="112"/>
      <c r="N29" s="178">
        <f>SUMIFS(N4:N28,F4:F28,J29)</f>
        <v>50625000</v>
      </c>
    </row>
    <row r="30" spans="1:14" ht="21" customHeight="1" x14ac:dyDescent="0.25">
      <c r="A30" s="180"/>
      <c r="B30" s="246"/>
      <c r="C30" s="131" t="s">
        <v>184</v>
      </c>
      <c r="D30" s="61" t="s">
        <v>23</v>
      </c>
      <c r="E30" s="102">
        <f>SUMIFS(E4:E28,F4:F28,D30,M4:M28,"تحویل")</f>
        <v>16</v>
      </c>
      <c r="F30" s="60"/>
      <c r="G30" s="61"/>
      <c r="H30" s="60"/>
      <c r="I30" s="246"/>
      <c r="J30" s="60" t="s">
        <v>23</v>
      </c>
      <c r="K30" s="60">
        <f>SUMIFS(E5:E28,F5:F28,J30)</f>
        <v>44</v>
      </c>
      <c r="L30" s="223">
        <f>SUMIFS(L5:L29,F5:F29,J30)</f>
        <v>111.5</v>
      </c>
      <c r="M30" s="118"/>
      <c r="N30" s="182">
        <f>SUMIFS(N5:N29,F5:F29,J30)</f>
        <v>88500000</v>
      </c>
    </row>
    <row r="31" spans="1:14" ht="29.25" customHeight="1" thickBot="1" x14ac:dyDescent="0.3">
      <c r="A31" s="198"/>
      <c r="B31" s="203" t="s">
        <v>115</v>
      </c>
      <c r="C31" s="199"/>
      <c r="D31" s="200"/>
      <c r="E31" s="199">
        <f>E29+E30</f>
        <v>30</v>
      </c>
      <c r="F31" s="199"/>
      <c r="G31" s="199"/>
      <c r="H31" s="199"/>
      <c r="I31" s="199"/>
      <c r="J31" s="199"/>
      <c r="K31" s="199">
        <f>K29+K30</f>
        <v>89</v>
      </c>
      <c r="L31" s="203">
        <f>L29+L30</f>
        <v>172.5</v>
      </c>
      <c r="M31" s="201"/>
      <c r="N31" s="202">
        <f>N29+N30</f>
        <v>139125000</v>
      </c>
    </row>
    <row r="33" spans="14:14" x14ac:dyDescent="0.25">
      <c r="N33" s="95"/>
    </row>
  </sheetData>
  <mergeCells count="3">
    <mergeCell ref="A1:K2"/>
    <mergeCell ref="B29:B30"/>
    <mergeCell ref="I29:I30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K30" formulaRange="1"/>
    <ignoredError sqref="M5:N5 N14 L27 N27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4B28-A09D-41E1-983E-B4874D802108}">
  <sheetPr>
    <pageSetUpPr fitToPage="1"/>
  </sheetPr>
  <dimension ref="A1:N21"/>
  <sheetViews>
    <sheetView rightToLeft="1" view="pageLayout" topLeftCell="A2" zoomScaleNormal="100" workbookViewId="0">
      <selection activeCell="C13" sqref="C13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20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29" t="s">
        <v>85</v>
      </c>
      <c r="C4" s="48" t="s">
        <v>31</v>
      </c>
      <c r="D4" s="48" t="s">
        <v>488</v>
      </c>
      <c r="E4" s="48">
        <v>4</v>
      </c>
      <c r="F4" s="48" t="s">
        <v>14</v>
      </c>
      <c r="G4" s="57" t="s">
        <v>21</v>
      </c>
      <c r="H4" s="47">
        <v>17201</v>
      </c>
      <c r="I4" s="2"/>
      <c r="J4" s="36" t="s">
        <v>489</v>
      </c>
      <c r="K4" s="36" t="s">
        <v>490</v>
      </c>
      <c r="L4" s="42">
        <f>SUMIFS([1]مرداد!$AF$219:$AF$309,[1]مرداد!$C$219:$C$309,"قطعه نو",[1]مرداد!$B$219:$B$309,C4,[1]مرداد!$P$219:$P$309,"*")</f>
        <v>7</v>
      </c>
      <c r="M4" s="1" t="s">
        <v>20</v>
      </c>
      <c r="N4" s="51">
        <f>SUMIFS([1]مرداد!$AR$219:$AR$309,[1]مرداد!$C$219:$C$309,"قطعه نو",[1]مرداد!$B$219:$B$309,C4,[1]مرداد!$P$219:$P$309,"*")</f>
        <v>5250000</v>
      </c>
    </row>
    <row r="5" spans="1:14" ht="28.7" customHeight="1" x14ac:dyDescent="0.25">
      <c r="A5" s="26">
        <v>2</v>
      </c>
      <c r="B5" s="59" t="s">
        <v>491</v>
      </c>
      <c r="C5" s="21" t="s">
        <v>486</v>
      </c>
      <c r="D5" s="48" t="s">
        <v>492</v>
      </c>
      <c r="E5" s="48">
        <v>1</v>
      </c>
      <c r="F5" s="48" t="s">
        <v>14</v>
      </c>
      <c r="G5" s="57" t="s">
        <v>21</v>
      </c>
      <c r="H5" s="49"/>
      <c r="I5" s="49"/>
      <c r="J5" s="6" t="s">
        <v>493</v>
      </c>
      <c r="K5" s="6" t="s">
        <v>493</v>
      </c>
      <c r="L5" s="42">
        <f>SUMIFS([1]مرداد!$AF$219:$AF$309,[1]مرداد!$C$219:$C$309,"قطعه نو",[1]مرداد!$B$219:$B$309,C5,[1]مرداد!$P$219:$P$309,"*")</f>
        <v>1</v>
      </c>
      <c r="M5" s="1" t="s">
        <v>20</v>
      </c>
      <c r="N5" s="51">
        <f>SUMIFS([1]مرداد!$AR$219:$AR$309,[1]مرداد!$C$219:$C$309,"قطعه نو",[1]مرداد!$B$219:$B$309,C5,[1]مرداد!$P$219:$P$309,"*")</f>
        <v>750000</v>
      </c>
    </row>
    <row r="6" spans="1:14" ht="28.7" customHeight="1" x14ac:dyDescent="0.25">
      <c r="A6" s="26">
        <v>3</v>
      </c>
      <c r="B6" s="29" t="s">
        <v>467</v>
      </c>
      <c r="C6" s="4" t="s">
        <v>466</v>
      </c>
      <c r="D6" s="48" t="s">
        <v>32</v>
      </c>
      <c r="E6" s="48">
        <v>21</v>
      </c>
      <c r="F6" s="48" t="s">
        <v>14</v>
      </c>
      <c r="G6" s="57" t="s">
        <v>21</v>
      </c>
      <c r="H6" s="2"/>
      <c r="I6" s="49"/>
      <c r="J6" s="6" t="s">
        <v>464</v>
      </c>
      <c r="K6" s="6"/>
      <c r="L6" s="42">
        <f>SUMIFS([1]مرداد!$AF$219:$AF$309,[1]مرداد!$C$219:$C$309,"قطعه نو",[1]مرداد!$B$219:$B$309,C6,[1]مرداد!$P$219:$P$309,"*")</f>
        <v>16</v>
      </c>
      <c r="M6" s="1" t="s">
        <v>37</v>
      </c>
      <c r="N6" s="51">
        <f>SUMIFS([1]مرداد!$AR$219:$AR$309,[1]مرداد!$C$219:$C$309,"قطعه نو",[1]مرداد!$B$219:$B$309,C6,[1]مرداد!$P$219:$P$309,"*")</f>
        <v>12000000</v>
      </c>
    </row>
    <row r="7" spans="1:14" ht="28.7" customHeight="1" x14ac:dyDescent="0.25">
      <c r="A7" s="26">
        <v>4</v>
      </c>
      <c r="B7" s="134" t="s">
        <v>52</v>
      </c>
      <c r="C7" s="48" t="s">
        <v>487</v>
      </c>
      <c r="D7" s="48" t="s">
        <v>32</v>
      </c>
      <c r="E7" s="48">
        <v>1</v>
      </c>
      <c r="F7" s="48" t="s">
        <v>14</v>
      </c>
      <c r="G7" s="57" t="s">
        <v>21</v>
      </c>
      <c r="H7" s="49" t="s">
        <v>374</v>
      </c>
      <c r="I7" s="49"/>
      <c r="J7" s="36" t="s">
        <v>397</v>
      </c>
      <c r="K7" s="36"/>
      <c r="L7" s="42">
        <f>SUMIFS([1]مرداد!$AF$219:$AF$309,[1]مرداد!$C$219:$C$309,"قطعه نو",[1]مرداد!$B$219:$B$309,C7,[1]مرداد!$P$219:$P$309,"*")</f>
        <v>6.5</v>
      </c>
      <c r="M7" s="1" t="s">
        <v>37</v>
      </c>
      <c r="N7" s="51">
        <f>SUMIFS([1]مرداد!$AR$219:$AR$309,[1]مرداد!$C$219:$C$309,"قطعه نو",[1]مرداد!$B$219:$B$309,C7,[1]مرداد!$P$219:$P$309,"*")</f>
        <v>4875000</v>
      </c>
    </row>
    <row r="8" spans="1:14" ht="28.7" customHeight="1" x14ac:dyDescent="0.25">
      <c r="A8" s="26">
        <v>5</v>
      </c>
      <c r="B8" s="59" t="s">
        <v>480</v>
      </c>
      <c r="C8" s="21" t="s">
        <v>48</v>
      </c>
      <c r="D8" s="48" t="s">
        <v>273</v>
      </c>
      <c r="E8" s="48">
        <v>5</v>
      </c>
      <c r="F8" s="48" t="s">
        <v>23</v>
      </c>
      <c r="G8" s="57" t="s">
        <v>18</v>
      </c>
      <c r="H8" s="2"/>
      <c r="I8" s="49"/>
      <c r="J8" s="6" t="s">
        <v>489</v>
      </c>
      <c r="K8" s="36"/>
      <c r="L8" s="42">
        <f>SUMIFS([1]مرداد!$AF$219:$AF$309,[1]مرداد!$C$219:$C$309,"قطعه تعمیری",[1]مرداد!$B$219:$B$309,C8,[1]مرداد!$P$219:$P$309,"*")</f>
        <v>15</v>
      </c>
      <c r="M8" s="1" t="s">
        <v>37</v>
      </c>
      <c r="N8" s="51">
        <f>SUMIFS([1]مرداد!$AR$219:$AR$309,[1]مرداد!$C$219:$C$309,"قطعه تعمیری",[1]مرداد!$B$219:$B$309,C8,[1]مرداد!$P$219:$P$309,"*")</f>
        <v>11250000</v>
      </c>
    </row>
    <row r="9" spans="1:14" ht="28.7" customHeight="1" x14ac:dyDescent="0.25">
      <c r="A9" s="26">
        <v>6</v>
      </c>
      <c r="B9" s="29" t="s">
        <v>332</v>
      </c>
      <c r="C9" s="21" t="s">
        <v>24</v>
      </c>
      <c r="D9" s="48" t="s">
        <v>492</v>
      </c>
      <c r="E9" s="48">
        <v>1</v>
      </c>
      <c r="F9" s="48" t="s">
        <v>23</v>
      </c>
      <c r="G9" s="57" t="s">
        <v>494</v>
      </c>
      <c r="H9" s="2"/>
      <c r="I9" s="49"/>
      <c r="J9" s="6" t="s">
        <v>489</v>
      </c>
      <c r="K9" s="6" t="s">
        <v>493</v>
      </c>
      <c r="L9" s="42">
        <f>SUMIFS([1]مرداد!$AF$219:$AF$309,[1]مرداد!$C$219:$C$309,"قطعه تعمیری",[1]مرداد!$B$219:$B$309,C9,[1]مرداد!$P$219:$P$309,"*")</f>
        <v>4</v>
      </c>
      <c r="M9" s="1" t="s">
        <v>20</v>
      </c>
      <c r="N9" s="51">
        <f>SUMIFS([1]مرداد!$AR$219:$AR$309,[1]مرداد!$C$219:$C$309,"قطعه تعمیری",[1]مرداد!$B$219:$B$309,C9,[1]مرداد!$P$219:$P$309,"*")</f>
        <v>3000000</v>
      </c>
    </row>
    <row r="10" spans="1:14" ht="28.7" customHeight="1" x14ac:dyDescent="0.25">
      <c r="A10" s="26">
        <v>7</v>
      </c>
      <c r="B10" s="59" t="s">
        <v>85</v>
      </c>
      <c r="C10" s="21" t="s">
        <v>486</v>
      </c>
      <c r="D10" s="48" t="s">
        <v>492</v>
      </c>
      <c r="E10" s="48">
        <v>1</v>
      </c>
      <c r="F10" s="48" t="s">
        <v>23</v>
      </c>
      <c r="G10" s="57" t="s">
        <v>18</v>
      </c>
      <c r="H10" s="2"/>
      <c r="I10" s="49"/>
      <c r="J10" s="6" t="s">
        <v>493</v>
      </c>
      <c r="K10" s="6" t="s">
        <v>493</v>
      </c>
      <c r="L10" s="42">
        <f>SUMIFS([1]مرداد!$AF$219:$AF$309,[1]مرداد!$C$219:$C$309,"قطعه تعمیری",[1]مرداد!$B$219:$B$309,C10,[1]مرداد!$P$219:$P$309,"*")</f>
        <v>4</v>
      </c>
      <c r="M10" s="1" t="s">
        <v>20</v>
      </c>
      <c r="N10" s="51">
        <f>SUMIFS([1]مرداد!$AR$219:$AR$309,[1]مرداد!$C$219:$C$309,"قطعه تعمیری",[1]مرداد!$B$219:$B$309,C10,[1]مرداد!$P$219:$P$309,"*")</f>
        <v>3000000</v>
      </c>
    </row>
    <row r="11" spans="1:14" ht="28.7" customHeight="1" x14ac:dyDescent="0.25">
      <c r="A11" s="26">
        <v>8</v>
      </c>
      <c r="B11" s="29" t="s">
        <v>495</v>
      </c>
      <c r="C11" s="21" t="s">
        <v>56</v>
      </c>
      <c r="D11" s="48" t="s">
        <v>488</v>
      </c>
      <c r="E11" s="48">
        <v>1</v>
      </c>
      <c r="F11" s="48" t="s">
        <v>23</v>
      </c>
      <c r="G11" s="57" t="s">
        <v>18</v>
      </c>
      <c r="H11" s="2"/>
      <c r="I11" s="49"/>
      <c r="J11" s="6" t="s">
        <v>450</v>
      </c>
      <c r="K11" s="6" t="s">
        <v>493</v>
      </c>
      <c r="L11" s="42">
        <f>SUMIFS([1]مرداد!$AF$219:$AF$309,[1]مرداد!$C$219:$C$309,"قطعه تعمیری",[1]مرداد!$B$219:$B$309,C11,[1]مرداد!$P$219:$P$309,"*")</f>
        <v>4.5</v>
      </c>
      <c r="M11" s="1" t="s">
        <v>20</v>
      </c>
      <c r="N11" s="51">
        <f>SUMIFS([1]مرداد!$AR$219:$AR$309,[1]مرداد!$C$219:$C$309,"قطعه تعمیری",[1]مرداد!$B$219:$B$309,C11,[1]مرداد!$P$219:$P$309,"*")</f>
        <v>3375000</v>
      </c>
    </row>
    <row r="12" spans="1:14" ht="28.7" customHeight="1" x14ac:dyDescent="0.25">
      <c r="A12" s="26">
        <v>9</v>
      </c>
      <c r="B12" s="29" t="s">
        <v>85</v>
      </c>
      <c r="C12" s="4" t="s">
        <v>48</v>
      </c>
      <c r="D12" s="48" t="s">
        <v>273</v>
      </c>
      <c r="E12" s="48">
        <v>5</v>
      </c>
      <c r="F12" s="48" t="s">
        <v>23</v>
      </c>
      <c r="G12" s="57" t="s">
        <v>18</v>
      </c>
      <c r="H12" s="2"/>
      <c r="I12" s="49"/>
      <c r="J12" s="6" t="s">
        <v>489</v>
      </c>
      <c r="K12" s="6"/>
      <c r="L12" s="42">
        <f>SUMIFS([1]مرداد!$AF$219:$AF$309,[1]مرداد!$C$219:$C$309,"قطعه تعمیری",[1]مرداد!$B$219:$B$309,C12,[1]مرداد!$P$219:$P$309,"*")</f>
        <v>15</v>
      </c>
      <c r="M12" s="1" t="s">
        <v>37</v>
      </c>
      <c r="N12" s="51">
        <f>SUMIFS([1]مرداد!$AR$219:$AR$309,[1]مرداد!$C$219:$C$309,"قطعه تعمیری",[1]مرداد!$B$219:$B$309,C12,[1]مرداد!$P$219:$P$309,"*")</f>
        <v>11250000</v>
      </c>
    </row>
    <row r="13" spans="1:14" ht="28.7" customHeight="1" x14ac:dyDescent="0.25">
      <c r="A13" s="26">
        <v>10</v>
      </c>
      <c r="B13" s="134" t="s">
        <v>348</v>
      </c>
      <c r="C13" s="48" t="s">
        <v>496</v>
      </c>
      <c r="D13" s="48" t="s">
        <v>497</v>
      </c>
      <c r="E13" s="48">
        <v>1</v>
      </c>
      <c r="F13" s="48" t="s">
        <v>23</v>
      </c>
      <c r="G13" s="57" t="s">
        <v>384</v>
      </c>
      <c r="H13" s="49"/>
      <c r="I13" s="49"/>
      <c r="J13" s="6" t="s">
        <v>498</v>
      </c>
      <c r="K13" s="6" t="s">
        <v>498</v>
      </c>
      <c r="L13" s="42">
        <f>SUMIFS([1]مرداد!$AF$219:$AF$309,[1]مرداد!$C$219:$C$309,"قطعه نو",[1]مرداد!$B$219:$B$309,C13,[1]مرداد!$P$219:$P$309,"*")</f>
        <v>0</v>
      </c>
      <c r="M13" s="1" t="s">
        <v>20</v>
      </c>
      <c r="N13" s="51">
        <f>SUMIFS([1]مرداد!$AR$219:$AR$309,[1]مرداد!$C$219:$C$309,"قطعه تعمیری",[1]مرداد!$B$219:$B$309,C13,[1]مرداد!$P$219:$P$309,"*")</f>
        <v>375000</v>
      </c>
    </row>
    <row r="14" spans="1:14" ht="28.7" customHeight="1" x14ac:dyDescent="0.25">
      <c r="A14" s="26">
        <v>11</v>
      </c>
      <c r="B14" s="134"/>
      <c r="C14" s="48"/>
      <c r="D14" s="48"/>
      <c r="E14" s="48"/>
      <c r="F14" s="48"/>
      <c r="G14" s="57"/>
      <c r="H14" s="2"/>
      <c r="I14" s="49"/>
      <c r="J14" s="6"/>
      <c r="K14" s="6"/>
      <c r="L14" s="42">
        <f>SUMIFS([1]مرداد!$AF$219:$AF$309,[1]مرداد!$C$219:$C$309,"قطعه نو",[1]مرداد!$B$219:$B$309,C14,[1]مرداد!$P$219:$P$309,"*")</f>
        <v>0</v>
      </c>
      <c r="M14" s="1"/>
      <c r="N14" s="51">
        <f>SUMIFS([1]مرداد!$AR$219:$AR$309,[1]مرداد!$C$219:$C$309,"قطعه تعمیری",[1]مرداد!$B$219:$B$309,C14,[1]مرداد!$P$219:$P$309,"*")</f>
        <v>0</v>
      </c>
    </row>
    <row r="15" spans="1:14" ht="28.7" customHeight="1" x14ac:dyDescent="0.25">
      <c r="A15" s="26">
        <v>12</v>
      </c>
      <c r="B15" s="134"/>
      <c r="C15" s="48"/>
      <c r="D15" s="48"/>
      <c r="E15" s="48"/>
      <c r="F15" s="48"/>
      <c r="G15" s="57"/>
      <c r="H15" s="49"/>
      <c r="I15" s="49"/>
      <c r="J15" s="6"/>
      <c r="K15" s="6"/>
      <c r="L15" s="42">
        <f>SUMIFS([1]مرداد!$AF$219:$AF$309,[1]مرداد!$C$219:$C$309,"قطعه نو",[1]مرداد!$B$219:$B$309,C15,[1]مرداد!$P$219:$P$309,"*")</f>
        <v>0</v>
      </c>
      <c r="M15" s="1"/>
      <c r="N15" s="51">
        <f>SUMIFS([1]مرداد!$AR$219:$AR$309,[1]مرداد!$C$219:$C$309,"قطعه تعمیری",[1]مرداد!$B$219:$B$309,C15,[1]مرداد!$P$219:$P$309,"*")</f>
        <v>0</v>
      </c>
    </row>
    <row r="16" spans="1:14" ht="28.7" customHeight="1" thickBot="1" x14ac:dyDescent="0.3">
      <c r="A16" s="26">
        <v>13</v>
      </c>
      <c r="B16" s="134"/>
      <c r="C16" s="48"/>
      <c r="D16" s="48"/>
      <c r="E16" s="48"/>
      <c r="F16" s="48"/>
      <c r="G16" s="57"/>
      <c r="H16" s="49"/>
      <c r="I16" s="49"/>
      <c r="J16" s="6"/>
      <c r="K16" s="6"/>
      <c r="L16" s="42">
        <f>SUMIFS([1]مرداد!$AF$219:$AF$309,[1]مرداد!$C$219:$C$309,"قطعه نو",[1]مرداد!$B$219:$B$309,C16,[1]مرداد!$P$219:$P$309,"*")</f>
        <v>0</v>
      </c>
      <c r="M16" s="1"/>
      <c r="N16" s="51">
        <f>SUMIFS([1]مرداد!$AR$219:$AR$309,[1]مرداد!$C$219:$C$309,"قطعه تعمیری",[1]مرداد!$B$219:$B$309,C16,[1]مرداد!$P$219:$P$309,"*")</f>
        <v>0</v>
      </c>
    </row>
    <row r="17" spans="1:14" ht="21" customHeight="1" x14ac:dyDescent="0.25">
      <c r="A17" s="31"/>
      <c r="B17" s="251" t="s">
        <v>445</v>
      </c>
      <c r="C17" s="128" t="s">
        <v>184</v>
      </c>
      <c r="D17" s="83" t="s">
        <v>14</v>
      </c>
      <c r="E17" s="93">
        <f>SUMIFS(E4:E16,F4:F16,D17,M4:M16,"تحویل")</f>
        <v>5</v>
      </c>
      <c r="F17" s="125"/>
      <c r="G17" s="83"/>
      <c r="H17" s="9"/>
      <c r="I17" s="251" t="s">
        <v>115</v>
      </c>
      <c r="J17" s="9" t="s">
        <v>14</v>
      </c>
      <c r="K17" s="93">
        <f>SUMIFS(E4:E16,F4:F16,J17)</f>
        <v>27</v>
      </c>
      <c r="L17" s="233">
        <f>SUMIFS(L4:L16,F4:F16,J17)</f>
        <v>30.5</v>
      </c>
      <c r="M17" s="112"/>
      <c r="N17" s="178">
        <f>SUMIFS(N4:N16,F4:F16,J17)</f>
        <v>22875000</v>
      </c>
    </row>
    <row r="18" spans="1:14" ht="21" customHeight="1" x14ac:dyDescent="0.25">
      <c r="A18" s="180"/>
      <c r="B18" s="246"/>
      <c r="C18" s="131" t="s">
        <v>184</v>
      </c>
      <c r="D18" s="61" t="s">
        <v>23</v>
      </c>
      <c r="E18" s="102">
        <f>SUMIFS(E4:E16,F4:F16,D18,M4:M16,"تحویل")</f>
        <v>4</v>
      </c>
      <c r="F18" s="60"/>
      <c r="G18" s="61"/>
      <c r="H18" s="60"/>
      <c r="I18" s="246"/>
      <c r="J18" s="60" t="s">
        <v>23</v>
      </c>
      <c r="K18" s="60">
        <f>SUMIFS(E5:E16,F5:F16,J18)</f>
        <v>14</v>
      </c>
      <c r="L18" s="232">
        <f>SUMIFS(L5:L17,F5:F17,J18)</f>
        <v>42.5</v>
      </c>
      <c r="M18" s="118"/>
      <c r="N18" s="182">
        <f>SUMIFS(N5:N17,F5:F17,J18)</f>
        <v>32250000</v>
      </c>
    </row>
    <row r="19" spans="1:14" ht="29.25" customHeight="1" thickBot="1" x14ac:dyDescent="0.3">
      <c r="A19" s="198"/>
      <c r="B19" s="203" t="s">
        <v>115</v>
      </c>
      <c r="C19" s="199"/>
      <c r="D19" s="200"/>
      <c r="E19" s="199">
        <f>E17+E18</f>
        <v>9</v>
      </c>
      <c r="F19" s="199"/>
      <c r="G19" s="199"/>
      <c r="H19" s="199"/>
      <c r="I19" s="199"/>
      <c r="J19" s="199"/>
      <c r="K19" s="199">
        <f>K17+K18</f>
        <v>41</v>
      </c>
      <c r="L19" s="203">
        <f>L17+L18</f>
        <v>73</v>
      </c>
      <c r="M19" s="201"/>
      <c r="N19" s="202">
        <f>N17+N18</f>
        <v>55125000</v>
      </c>
    </row>
    <row r="21" spans="1:14" x14ac:dyDescent="0.25">
      <c r="N21" s="95"/>
    </row>
  </sheetData>
  <mergeCells count="3">
    <mergeCell ref="A1:K2"/>
    <mergeCell ref="B17:B18"/>
    <mergeCell ref="I17:I18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K18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33CA-E186-4D10-BE13-9B036E8D2BC8}">
  <sheetPr>
    <pageSetUpPr fitToPage="1"/>
  </sheetPr>
  <dimension ref="A1:N31"/>
  <sheetViews>
    <sheetView rightToLeft="1" view="pageLayout" topLeftCell="A22" zoomScaleNormal="100" workbookViewId="0">
      <selection activeCell="B17" sqref="B17:J17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21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134" t="s">
        <v>52</v>
      </c>
      <c r="C4" s="48" t="s">
        <v>487</v>
      </c>
      <c r="D4" s="48" t="s">
        <v>32</v>
      </c>
      <c r="E4" s="48">
        <v>1</v>
      </c>
      <c r="F4" s="48" t="s">
        <v>14</v>
      </c>
      <c r="G4" s="57" t="s">
        <v>21</v>
      </c>
      <c r="H4" s="49" t="s">
        <v>374</v>
      </c>
      <c r="I4" s="2"/>
      <c r="J4" s="36" t="s">
        <v>397</v>
      </c>
      <c r="K4" s="36"/>
      <c r="L4" s="42">
        <f>SUMIFS([1]مرداد!$AF$289:$AF$422,[1]مرداد!$C$289:$C$422,"قطعه نو",[1]مرداد!$B$289:$B$422,C4,[1]مرداد!$P$289:$P$422,"*")</f>
        <v>10.5</v>
      </c>
      <c r="M4" s="1" t="s">
        <v>37</v>
      </c>
      <c r="N4" s="51">
        <f>SUMIFS([1]مرداد!$AR$289:$AR$422,[1]مرداد!$C$289:$C$422,"قطعه نو",[1]مرداد!$B$289:$B$422,C4,[1]مرداد!$P$289:$P$422,"*")</f>
        <v>7875000</v>
      </c>
    </row>
    <row r="5" spans="1:14" ht="28.7" customHeight="1" x14ac:dyDescent="0.25">
      <c r="A5" s="26">
        <v>2</v>
      </c>
      <c r="B5" s="59" t="s">
        <v>501</v>
      </c>
      <c r="C5" s="21" t="s">
        <v>482</v>
      </c>
      <c r="D5" s="48" t="s">
        <v>32</v>
      </c>
      <c r="E5" s="48">
        <v>1</v>
      </c>
      <c r="F5" s="48" t="s">
        <v>14</v>
      </c>
      <c r="G5" s="57" t="s">
        <v>21</v>
      </c>
      <c r="H5" s="49"/>
      <c r="I5" s="49"/>
      <c r="J5" s="6" t="s">
        <v>502</v>
      </c>
      <c r="K5" s="6"/>
      <c r="L5" s="42">
        <f>SUMIFS([1]مرداد!$AF$289:$AF$422,[1]مرداد!$C$289:$C$422,"قطعه نو",[1]مرداد!$B$289:$B$422,C5,[1]مرداد!$P$289:$P$422,"*")</f>
        <v>12</v>
      </c>
      <c r="M5" s="1" t="s">
        <v>37</v>
      </c>
      <c r="N5" s="51">
        <f>SUMIFS([1]مرداد!$AR$289:$AR$422,[1]مرداد!$C$289:$C$422,"قطعه نو",[1]مرداد!$B$289:$B$422,C5,[1]مرداد!$P$289:$P$422,"*")</f>
        <v>9000000</v>
      </c>
    </row>
    <row r="6" spans="1:14" ht="28.7" customHeight="1" x14ac:dyDescent="0.25">
      <c r="A6" s="26">
        <v>3</v>
      </c>
      <c r="B6" s="29" t="s">
        <v>467</v>
      </c>
      <c r="C6" s="4" t="s">
        <v>466</v>
      </c>
      <c r="D6" s="48" t="s">
        <v>32</v>
      </c>
      <c r="E6" s="48">
        <v>21</v>
      </c>
      <c r="F6" s="48" t="s">
        <v>14</v>
      </c>
      <c r="G6" s="57" t="s">
        <v>21</v>
      </c>
      <c r="H6" s="2"/>
      <c r="I6" s="49"/>
      <c r="J6" s="6" t="s">
        <v>464</v>
      </c>
      <c r="K6" s="6"/>
      <c r="L6" s="42">
        <f>SUMIFS([1]مرداد!$AF$289:$AF$422,[1]مرداد!$C$289:$C$422,"قطعه نو",[1]مرداد!$B$289:$B$422,C6,[1]مرداد!$P$289:$P$422,"*")</f>
        <v>29.5</v>
      </c>
      <c r="M6" s="1" t="s">
        <v>37</v>
      </c>
      <c r="N6" s="51">
        <f>SUMIFS([1]مرداد!$AR$289:$AR$422,[1]مرداد!$C$289:$C$422,"قطعه نو",[1]مرداد!$B$289:$B$422,C6,[1]مرداد!$P$289:$P$422,"*")</f>
        <v>24000000</v>
      </c>
    </row>
    <row r="7" spans="1:14" ht="28.7" customHeight="1" x14ac:dyDescent="0.25">
      <c r="A7" s="26">
        <v>4</v>
      </c>
      <c r="B7" s="134" t="s">
        <v>459</v>
      </c>
      <c r="C7" s="48" t="s">
        <v>499</v>
      </c>
      <c r="D7" s="48" t="s">
        <v>32</v>
      </c>
      <c r="E7" s="48">
        <v>1</v>
      </c>
      <c r="F7" s="48" t="s">
        <v>14</v>
      </c>
      <c r="G7" s="57" t="s">
        <v>21</v>
      </c>
      <c r="H7" s="49">
        <v>17202</v>
      </c>
      <c r="I7" s="49"/>
      <c r="J7" s="6" t="s">
        <v>502</v>
      </c>
      <c r="K7" s="6" t="s">
        <v>503</v>
      </c>
      <c r="L7" s="42">
        <f>SUMIFS([1]مرداد!$AF$289:$AF$422,[1]مرداد!$C$289:$C$422,"قطعه نو",[1]مرداد!$B$289:$B$422,C7,[1]مرداد!$P$289:$P$422,"*")</f>
        <v>3</v>
      </c>
      <c r="M7" s="1" t="s">
        <v>20</v>
      </c>
      <c r="N7" s="51">
        <f>SUMIFS([1]مرداد!$AR$289:$AR$422,[1]مرداد!$C$289:$C$422,"قطعه نو",[1]مرداد!$B$289:$B$422,C7,[1]مرداد!$P$289:$P$422,"*")</f>
        <v>2250000</v>
      </c>
    </row>
    <row r="8" spans="1:14" ht="28.7" customHeight="1" x14ac:dyDescent="0.25">
      <c r="A8" s="26">
        <v>5</v>
      </c>
      <c r="B8" s="59" t="s">
        <v>89</v>
      </c>
      <c r="C8" s="21" t="s">
        <v>24</v>
      </c>
      <c r="D8" s="48" t="s">
        <v>32</v>
      </c>
      <c r="E8" s="48">
        <v>1</v>
      </c>
      <c r="F8" s="48" t="s">
        <v>14</v>
      </c>
      <c r="G8" s="57" t="s">
        <v>504</v>
      </c>
      <c r="H8" s="2"/>
      <c r="I8" s="49"/>
      <c r="J8" s="6" t="s">
        <v>503</v>
      </c>
      <c r="K8" s="36"/>
      <c r="L8" s="42">
        <f>SUMIFS([1]مرداد!$AF$289:$AF$422,[1]مرداد!$C$289:$C$422,"قطعه نو",[1]مرداد!$B$289:$B$422,C8,[1]مرداد!$P$289:$P$422,"*")</f>
        <v>2</v>
      </c>
      <c r="M8" s="1" t="s">
        <v>37</v>
      </c>
      <c r="N8" s="51">
        <f>SUMIFS([1]مرداد!$AR$289:$AR$422,[1]مرداد!$C$289:$C$422,"قطعه نو",[1]مرداد!$B$289:$B$422,C8,[1]مرداد!$P$289:$P$422,"*")</f>
        <v>1500000</v>
      </c>
    </row>
    <row r="9" spans="1:14" ht="28.7" customHeight="1" x14ac:dyDescent="0.25">
      <c r="A9" s="26">
        <v>6</v>
      </c>
      <c r="B9" s="29" t="s">
        <v>505</v>
      </c>
      <c r="C9" s="21" t="s">
        <v>500</v>
      </c>
      <c r="D9" s="48" t="s">
        <v>195</v>
      </c>
      <c r="E9" s="48">
        <v>1</v>
      </c>
      <c r="F9" s="48" t="s">
        <v>14</v>
      </c>
      <c r="G9" s="57" t="s">
        <v>396</v>
      </c>
      <c r="H9" s="2"/>
      <c r="I9" s="49"/>
      <c r="J9" s="6" t="s">
        <v>502</v>
      </c>
      <c r="K9" s="6"/>
      <c r="L9" s="42">
        <f>SUMIFS([1]مرداد!$AF$289:$AF$422,[1]مرداد!$C$289:$C$422,"قطعه نو",[1]مرداد!$B$289:$B$422,C9,[1]مرداد!$P$289:$P$422,"*")</f>
        <v>26.333333333333336</v>
      </c>
      <c r="M9" s="1" t="s">
        <v>37</v>
      </c>
      <c r="N9" s="51">
        <f>SUMIFS([1]مرداد!$AR$289:$AR$422,[1]مرداد!$C$289:$C$422,"قطعه نو",[1]مرداد!$B$289:$B$422,C9,[1]مرداد!$P$289:$P$422,"*")</f>
        <v>19750000</v>
      </c>
    </row>
    <row r="10" spans="1:14" ht="28.7" customHeight="1" x14ac:dyDescent="0.25">
      <c r="A10" s="26">
        <v>7</v>
      </c>
      <c r="B10" s="59" t="s">
        <v>506</v>
      </c>
      <c r="C10" s="21" t="s">
        <v>507</v>
      </c>
      <c r="D10" s="48" t="s">
        <v>32</v>
      </c>
      <c r="E10" s="48">
        <v>25</v>
      </c>
      <c r="F10" s="48" t="s">
        <v>14</v>
      </c>
      <c r="G10" s="57" t="s">
        <v>21</v>
      </c>
      <c r="H10" s="2"/>
      <c r="I10" s="49"/>
      <c r="J10" s="6" t="s">
        <v>508</v>
      </c>
      <c r="K10" s="6"/>
      <c r="L10" s="42">
        <f>SUMIFS([1]مرداد!$AF$289:$AF$422,[1]مرداد!$C$289:$C$422,"قطعه نو",[1]مرداد!$B$289:$B$422,C10,[1]مرداد!$P$289:$P$422,"*")</f>
        <v>3</v>
      </c>
      <c r="M10" s="1" t="s">
        <v>37</v>
      </c>
      <c r="N10" s="51">
        <f>SUMIFS([1]مرداد!$AR$289:$AR$422,[1]مرداد!$C$289:$C$422,"قطعه نو",[1]مرداد!$B$289:$B$422,C10,[1]مرداد!$P$289:$P$422,"*")</f>
        <v>2250000</v>
      </c>
    </row>
    <row r="11" spans="1:14" ht="28.7" customHeight="1" x14ac:dyDescent="0.25">
      <c r="A11" s="26">
        <v>8</v>
      </c>
      <c r="B11" s="29" t="s">
        <v>302</v>
      </c>
      <c r="C11" s="21" t="s">
        <v>350</v>
      </c>
      <c r="D11" s="48" t="s">
        <v>351</v>
      </c>
      <c r="E11" s="48">
        <v>100</v>
      </c>
      <c r="F11" s="48" t="s">
        <v>14</v>
      </c>
      <c r="G11" s="57" t="s">
        <v>21</v>
      </c>
      <c r="H11" s="2"/>
      <c r="I11" s="49"/>
      <c r="J11" s="6" t="s">
        <v>359</v>
      </c>
      <c r="K11" s="6"/>
      <c r="L11" s="42">
        <f>SUMIFS([1]مرداد!$AF$289:$AF$422,[1]مرداد!$C$289:$C$422,"قطعه نو",[1]مرداد!$B$289:$B$422,C11,[1]مرداد!$P$289:$P$422,"*")</f>
        <v>6</v>
      </c>
      <c r="M11" s="1" t="s">
        <v>37</v>
      </c>
      <c r="N11" s="51">
        <f>SUMIFS([1]مرداد!$AR$289:$AR$422,[1]مرداد!$C$289:$C$422,"قطعه نو",[1]مرداد!$B$289:$B$422,C11,[1]مرداد!$P$289:$P$422,"*")</f>
        <v>4500000</v>
      </c>
    </row>
    <row r="12" spans="1:14" ht="28.7" customHeight="1" x14ac:dyDescent="0.25">
      <c r="A12" s="26">
        <v>9</v>
      </c>
      <c r="B12" s="59" t="s">
        <v>55</v>
      </c>
      <c r="C12" s="21" t="s">
        <v>58</v>
      </c>
      <c r="D12" s="48" t="s">
        <v>32</v>
      </c>
      <c r="E12" s="48">
        <v>2</v>
      </c>
      <c r="F12" s="48" t="s">
        <v>14</v>
      </c>
      <c r="G12" s="57" t="s">
        <v>21</v>
      </c>
      <c r="H12" s="2"/>
      <c r="I12" s="49"/>
      <c r="J12" s="6" t="s">
        <v>460</v>
      </c>
      <c r="K12" s="6"/>
      <c r="L12" s="42">
        <f>SUMIFS([1]مرداد!$AF$289:$AF$422,[1]مرداد!$C$289:$C$422,"قطعه نو",[1]مرداد!$B$289:$B$422,C12,[1]مرداد!$P$289:$P$422,"*")</f>
        <v>4</v>
      </c>
      <c r="M12" s="1" t="s">
        <v>37</v>
      </c>
      <c r="N12" s="51">
        <f>SUMIFS([1]مرداد!$AR$289:$AR$422,[1]مرداد!$C$289:$C$422,"قطعه نو",[1]مرداد!$B$289:$B$422,C12,[1]مرداد!$P$289:$P$422,"*")</f>
        <v>3000000</v>
      </c>
    </row>
    <row r="13" spans="1:14" ht="28.7" customHeight="1" x14ac:dyDescent="0.25">
      <c r="A13" s="26">
        <v>10</v>
      </c>
      <c r="B13" s="134" t="s">
        <v>190</v>
      </c>
      <c r="C13" s="48" t="s">
        <v>189</v>
      </c>
      <c r="D13" s="48" t="s">
        <v>32</v>
      </c>
      <c r="E13" s="48">
        <v>30000</v>
      </c>
      <c r="F13" s="48" t="s">
        <v>14</v>
      </c>
      <c r="G13" s="57" t="s">
        <v>21</v>
      </c>
      <c r="H13" s="49"/>
      <c r="I13" s="49"/>
      <c r="J13" s="6" t="s">
        <v>321</v>
      </c>
      <c r="K13" s="6"/>
      <c r="L13" s="42">
        <f>SUMIFS([1]مرداد!$AF$289:$AF$422,[1]مرداد!$C$289:$C$422,"قطعه نو",[1]مرداد!$B$289:$B$422,C13,[1]مرداد!$P$289:$P$422,"*")</f>
        <v>13</v>
      </c>
      <c r="M13" s="1" t="s">
        <v>37</v>
      </c>
      <c r="N13" s="51">
        <f>SUMIFS([1]مرداد!$AR$289:$AR$422,[1]مرداد!$C$289:$C$422,"قطعه نو",[1]مرداد!$B$289:$B$422,C13,[1]مرداد!$P$289:$P$422,"*")</f>
        <v>9750000</v>
      </c>
    </row>
    <row r="14" spans="1:14" ht="28.7" customHeight="1" x14ac:dyDescent="0.25">
      <c r="A14" s="26">
        <v>11</v>
      </c>
      <c r="B14" s="134" t="s">
        <v>509</v>
      </c>
      <c r="C14" s="48" t="s">
        <v>468</v>
      </c>
      <c r="D14" s="48" t="s">
        <v>17</v>
      </c>
      <c r="E14" s="48">
        <v>2</v>
      </c>
      <c r="F14" s="48" t="s">
        <v>14</v>
      </c>
      <c r="G14" s="57" t="s">
        <v>21</v>
      </c>
      <c r="H14" s="2"/>
      <c r="I14" s="49"/>
      <c r="J14" s="36" t="s">
        <v>296</v>
      </c>
      <c r="K14" s="6"/>
      <c r="L14" s="42">
        <f>SUMIFS([1]مرداد!$AF$289:$AF$422,[1]مرداد!$C$289:$C$422,"قطعه نو",[1]مرداد!$B$289:$B$422,C14,[1]مرداد!$P$289:$P$422,"*")</f>
        <v>6.5</v>
      </c>
      <c r="M14" s="1" t="s">
        <v>37</v>
      </c>
      <c r="N14" s="51">
        <f>SUMIFS([1]مرداد!$AR$289:$AR$422,[1]مرداد!$C$289:$C$422,"قطعه نو",[1]مرداد!$B$289:$B$422,C14,[1]مرداد!$P$289:$P$422,"*")</f>
        <v>9750000</v>
      </c>
    </row>
    <row r="15" spans="1:14" ht="28.7" customHeight="1" x14ac:dyDescent="0.25">
      <c r="A15" s="26">
        <v>12</v>
      </c>
      <c r="B15" s="134" t="s">
        <v>89</v>
      </c>
      <c r="C15" s="48" t="s">
        <v>27</v>
      </c>
      <c r="D15" s="48" t="s">
        <v>17</v>
      </c>
      <c r="E15" s="48">
        <v>1</v>
      </c>
      <c r="F15" s="48" t="s">
        <v>14</v>
      </c>
      <c r="G15" s="57" t="s">
        <v>21</v>
      </c>
      <c r="H15" s="49">
        <v>16850</v>
      </c>
      <c r="I15" s="49"/>
      <c r="J15" s="6" t="s">
        <v>508</v>
      </c>
      <c r="K15" s="6" t="s">
        <v>510</v>
      </c>
      <c r="L15" s="42">
        <f>SUMIFS([1]مرداد!$AF$289:$AF$422,[1]مرداد!$C$289:$C$422,"قطعه نو",[1]مرداد!$B$289:$B$422,C15,[1]مرداد!$P$289:$P$422,"*")</f>
        <v>2</v>
      </c>
      <c r="M15" s="1" t="s">
        <v>20</v>
      </c>
      <c r="N15" s="51">
        <f>SUMIFS([1]مرداد!$AR$289:$AR$422,[1]مرداد!$C$289:$C$422,"قطعه نو",[1]مرداد!$B$289:$B$422,C15,[1]مرداد!$P$289:$P$422,"*")</f>
        <v>1500000</v>
      </c>
    </row>
    <row r="16" spans="1:14" ht="28.7" customHeight="1" x14ac:dyDescent="0.25">
      <c r="A16" s="26">
        <v>13</v>
      </c>
      <c r="B16" s="134" t="s">
        <v>77</v>
      </c>
      <c r="C16" s="48" t="s">
        <v>31</v>
      </c>
      <c r="D16" s="48" t="s">
        <v>32</v>
      </c>
      <c r="E16" s="48">
        <v>1</v>
      </c>
      <c r="F16" s="48" t="s">
        <v>23</v>
      </c>
      <c r="G16" s="57" t="s">
        <v>18</v>
      </c>
      <c r="H16" s="49">
        <v>17208</v>
      </c>
      <c r="I16" s="49"/>
      <c r="J16" s="6" t="s">
        <v>503</v>
      </c>
      <c r="K16" s="6" t="s">
        <v>503</v>
      </c>
      <c r="L16" s="42">
        <f>SUMIFS([1]مرداد!$AF$289:$AF$422,[1]مرداد!$C$289:$C$422,"قطعه تعمیری",[1]مرداد!$B$289:$B$422,C16,[1]مرداد!$P$289:$P$422,"*")</f>
        <v>2</v>
      </c>
      <c r="M16" s="1" t="s">
        <v>20</v>
      </c>
      <c r="N16" s="51">
        <f>SUMIFS([1]مرداد!$AR$289:$AR$422,[1]مرداد!$C$289:$C$422,"قطعه تعمیری",[1]مرداد!$B$289:$B$422,C16,[1]مرداد!$P$289:$P$422,"*")</f>
        <v>1500000</v>
      </c>
    </row>
    <row r="17" spans="1:14" ht="28.7" customHeight="1" x14ac:dyDescent="0.25">
      <c r="A17" s="26">
        <v>14</v>
      </c>
      <c r="B17" s="134" t="s">
        <v>220</v>
      </c>
      <c r="C17" s="48" t="s">
        <v>487</v>
      </c>
      <c r="D17" s="48" t="s">
        <v>32</v>
      </c>
      <c r="E17" s="48">
        <v>1</v>
      </c>
      <c r="F17" s="48" t="s">
        <v>23</v>
      </c>
      <c r="G17" s="57" t="s">
        <v>18</v>
      </c>
      <c r="H17" s="49">
        <v>16438</v>
      </c>
      <c r="I17" s="49"/>
      <c r="J17" s="6" t="s">
        <v>503</v>
      </c>
      <c r="K17" s="6"/>
      <c r="L17" s="42">
        <f>SUMIFS([1]مرداد!$AF$289:$AF$422,[1]مرداد!$C$289:$C$422,"قطعه تعمیری",[1]مرداد!$B$289:$B$422,C17,[1]مرداد!$P$289:$P$422,"*")</f>
        <v>15.5</v>
      </c>
      <c r="M17" s="1" t="s">
        <v>37</v>
      </c>
      <c r="N17" s="51">
        <f>SUMIFS([1]مرداد!$AR$289:$AR$422,[1]مرداد!$C$289:$C$422,"قطعه تعمیری",[1]مرداد!$B$289:$B$422,C17,[1]مرداد!$P$289:$P$422,"*")</f>
        <v>16500000</v>
      </c>
    </row>
    <row r="18" spans="1:14" ht="28.7" customHeight="1" x14ac:dyDescent="0.25">
      <c r="A18" s="26">
        <v>15</v>
      </c>
      <c r="B18" s="134" t="s">
        <v>476</v>
      </c>
      <c r="C18" s="48" t="s">
        <v>475</v>
      </c>
      <c r="D18" s="48" t="s">
        <v>54</v>
      </c>
      <c r="E18" s="48">
        <v>1</v>
      </c>
      <c r="F18" s="48" t="s">
        <v>23</v>
      </c>
      <c r="G18" s="57" t="s">
        <v>18</v>
      </c>
      <c r="H18" s="49"/>
      <c r="I18" s="49"/>
      <c r="J18" s="6" t="s">
        <v>461</v>
      </c>
      <c r="K18" s="6" t="s">
        <v>503</v>
      </c>
      <c r="L18" s="42">
        <f>SUMIFS([1]مرداد!$AF$285:$AF$422,[1]مرداد!$C$285:$C$422,"قطعه تعمیری",[1]مرداد!$B$285:$B$422,C18,[1]مرداد!$P$285:$P$422,"*")</f>
        <v>1</v>
      </c>
      <c r="M18" s="1" t="s">
        <v>20</v>
      </c>
      <c r="N18" s="51">
        <f>SUMIFS([1]مرداد!$AR$285:$AR$422,[1]مرداد!$C$285:$C$422,"قطعه تعمیری",[1]مرداد!$B$285:$B$422,C18,[1]مرداد!$P$285:$P$422,"*")</f>
        <v>750000</v>
      </c>
    </row>
    <row r="19" spans="1:14" ht="28.7" customHeight="1" x14ac:dyDescent="0.25">
      <c r="A19" s="26">
        <v>16</v>
      </c>
      <c r="B19" s="134" t="s">
        <v>85</v>
      </c>
      <c r="C19" s="48" t="s">
        <v>48</v>
      </c>
      <c r="D19" s="48" t="s">
        <v>273</v>
      </c>
      <c r="E19" s="48">
        <v>1</v>
      </c>
      <c r="F19" s="48" t="s">
        <v>23</v>
      </c>
      <c r="G19" s="57" t="s">
        <v>18</v>
      </c>
      <c r="H19" s="49"/>
      <c r="I19" s="49"/>
      <c r="J19" s="6" t="s">
        <v>511</v>
      </c>
      <c r="K19" s="6" t="s">
        <v>511</v>
      </c>
      <c r="L19" s="42">
        <f>SUMIFS([1]مرداد!$AF$289:$AF$422,[1]مرداد!$C$289:$C$422,"قطعه تعمیری",[1]مرداد!$B$289:$B$422,C19,[1]مرداد!$P$289:$P$422,"*")</f>
        <v>7.5</v>
      </c>
      <c r="M19" s="1" t="s">
        <v>20</v>
      </c>
      <c r="N19" s="51">
        <f>SUMIFS([1]مرداد!$AR$289:$AR$422,[1]مرداد!$C$289:$C$422,"قطعه تعمیری",[1]مرداد!$B$289:$B$422,C19,[1]مرداد!$P$289:$P$422,"*")</f>
        <v>5625000</v>
      </c>
    </row>
    <row r="20" spans="1:14" ht="28.7" customHeight="1" x14ac:dyDescent="0.25">
      <c r="A20" s="26">
        <v>17</v>
      </c>
      <c r="B20" s="134" t="s">
        <v>64</v>
      </c>
      <c r="C20" s="48" t="s">
        <v>49</v>
      </c>
      <c r="D20" s="48" t="s">
        <v>17</v>
      </c>
      <c r="E20" s="48">
        <v>1</v>
      </c>
      <c r="F20" s="48" t="s">
        <v>23</v>
      </c>
      <c r="G20" s="57" t="s">
        <v>437</v>
      </c>
      <c r="H20" s="49">
        <v>17203</v>
      </c>
      <c r="I20" s="49">
        <v>2904</v>
      </c>
      <c r="J20" s="6" t="s">
        <v>502</v>
      </c>
      <c r="K20" s="6" t="s">
        <v>503</v>
      </c>
      <c r="L20" s="42">
        <f>SUMIFS([1]مرداد!$AF$289:$AF$422,[1]مرداد!$C$289:$C$422,"قطعه تعمیری",[1]مرداد!$B$289:$B$422,C20,[1]مرداد!$P$289:$P$422,"*")</f>
        <v>8.5</v>
      </c>
      <c r="M20" s="1" t="s">
        <v>20</v>
      </c>
      <c r="N20" s="51">
        <f>SUMIFS([1]مرداد!$AR$289:$AR$422,[1]مرداد!$C$289:$C$422,"قطعه تعمیری",[1]مرداد!$B$289:$B$422,C20,[1]مرداد!$P$289:$P$422,"*")</f>
        <v>6375000</v>
      </c>
    </row>
    <row r="21" spans="1:14" ht="28.7" customHeight="1" x14ac:dyDescent="0.25">
      <c r="A21" s="26">
        <v>18</v>
      </c>
      <c r="B21" s="134" t="s">
        <v>13</v>
      </c>
      <c r="C21" s="48" t="s">
        <v>391</v>
      </c>
      <c r="D21" s="48" t="s">
        <v>195</v>
      </c>
      <c r="E21" s="48">
        <v>10</v>
      </c>
      <c r="F21" s="48" t="s">
        <v>23</v>
      </c>
      <c r="G21" s="57" t="s">
        <v>18</v>
      </c>
      <c r="H21" s="49"/>
      <c r="I21" s="49"/>
      <c r="J21" s="6" t="s">
        <v>511</v>
      </c>
      <c r="K21" s="6" t="s">
        <v>511</v>
      </c>
      <c r="L21" s="42">
        <f>SUMIFS([1]مرداد!$AF$289:$AF$422,[1]مرداد!$C$289:$C$422,"قطعه تعمیری",[1]مرداد!$B$289:$B$422,C21,[1]مرداد!$P$289:$P$422,"*")</f>
        <v>1</v>
      </c>
      <c r="M21" s="1" t="s">
        <v>20</v>
      </c>
      <c r="N21" s="51">
        <f>SUMIFS([1]مرداد!$AR$289:$AR$422,[1]مرداد!$C$289:$C$422,"قطعه تعمیری",[1]مرداد!$B$289:$B$422,C21,[1]مرداد!$P$289:$P$422,"*")</f>
        <v>750000</v>
      </c>
    </row>
    <row r="22" spans="1:14" ht="28.7" customHeight="1" x14ac:dyDescent="0.25">
      <c r="A22" s="26">
        <v>19</v>
      </c>
      <c r="B22" s="134" t="s">
        <v>513</v>
      </c>
      <c r="C22" s="48" t="s">
        <v>512</v>
      </c>
      <c r="D22" s="48" t="s">
        <v>32</v>
      </c>
      <c r="E22" s="48">
        <v>1</v>
      </c>
      <c r="F22" s="48" t="s">
        <v>23</v>
      </c>
      <c r="G22" s="57" t="s">
        <v>18</v>
      </c>
      <c r="H22" s="49">
        <v>17204</v>
      </c>
      <c r="I22" s="49"/>
      <c r="J22" s="6" t="s">
        <v>503</v>
      </c>
      <c r="K22" s="6" t="s">
        <v>503</v>
      </c>
      <c r="L22" s="42">
        <f>SUMIFS([1]مرداد!$AF$289:$AF$422,[1]مرداد!$C$289:$C$422,"قطعه تعمیری",[1]مرداد!$B$289:$B$422,C22,[1]مرداد!$P$289:$P$422,"*")</f>
        <v>2.6666666666666665</v>
      </c>
      <c r="M22" s="1" t="s">
        <v>20</v>
      </c>
      <c r="N22" s="51">
        <f>SUMIFS([1]مرداد!$AR$289:$AR$422,[1]مرداد!$C$289:$C$422,"قطعه تعمیری",[1]مرداد!$B$289:$B$422,C22,[1]مرداد!$P$289:$P$422,"*")</f>
        <v>2000000</v>
      </c>
    </row>
    <row r="23" spans="1:14" ht="28.7" customHeight="1" x14ac:dyDescent="0.25">
      <c r="A23" s="26">
        <v>20</v>
      </c>
      <c r="B23" s="134" t="s">
        <v>514</v>
      </c>
      <c r="C23" s="48" t="s">
        <v>496</v>
      </c>
      <c r="D23" s="57" t="s">
        <v>515</v>
      </c>
      <c r="E23" s="48">
        <v>1</v>
      </c>
      <c r="F23" s="48" t="s">
        <v>23</v>
      </c>
      <c r="G23" s="57" t="s">
        <v>384</v>
      </c>
      <c r="H23" s="49"/>
      <c r="I23" s="49"/>
      <c r="J23" s="6" t="s">
        <v>503</v>
      </c>
      <c r="K23" s="6" t="s">
        <v>503</v>
      </c>
      <c r="L23" s="42">
        <f>SUMIFS([1]مرداد!$AF$289:$AF$422,[1]مرداد!$C$289:$C$422,"قطعه تعمیری",[1]مرداد!$B$289:$B$422,C23,[1]مرداد!$P$289:$P$422,"*")</f>
        <v>2.5</v>
      </c>
      <c r="M23" s="1" t="s">
        <v>20</v>
      </c>
      <c r="N23" s="51">
        <f>SUMIFS([1]مرداد!$AR$289:$AR$422,[1]مرداد!$C$289:$C$422,"قطعه تعمیری",[1]مرداد!$B$289:$B$422,C23,[1]مرداد!$P$289:$P$422,"*")</f>
        <v>1875000</v>
      </c>
    </row>
    <row r="24" spans="1:14" ht="28.7" customHeight="1" x14ac:dyDescent="0.25">
      <c r="A24" s="26">
        <v>21</v>
      </c>
      <c r="B24" s="134" t="s">
        <v>516</v>
      </c>
      <c r="C24" s="48" t="s">
        <v>499</v>
      </c>
      <c r="D24" s="48" t="s">
        <v>32</v>
      </c>
      <c r="E24" s="48">
        <v>2</v>
      </c>
      <c r="F24" s="48" t="s">
        <v>23</v>
      </c>
      <c r="G24" s="57" t="s">
        <v>18</v>
      </c>
      <c r="H24" s="49">
        <v>17209</v>
      </c>
      <c r="I24" s="49"/>
      <c r="J24" s="6" t="s">
        <v>511</v>
      </c>
      <c r="K24" s="6"/>
      <c r="L24" s="42">
        <f>SUMIFS([1]مرداد!$AF$289:$AF$422,[1]مرداد!$C$289:$C$422,"قطعه تعمیری",[1]مرداد!$B$289:$B$422,C24,[1]مرداد!$P$289:$P$422,"*")</f>
        <v>8</v>
      </c>
      <c r="M24" s="1" t="s">
        <v>37</v>
      </c>
      <c r="N24" s="51">
        <f>SUMIFS([1]مرداد!$AR$289:$AR$422,[1]مرداد!$C$289:$C$422,"قطعه تعمیری",[1]مرداد!$B$289:$B$422,C24,[1]مرداد!$P$289:$P$422,"*")</f>
        <v>6000000</v>
      </c>
    </row>
    <row r="25" spans="1:14" ht="28.7" customHeight="1" x14ac:dyDescent="0.25">
      <c r="A25" s="26">
        <v>22</v>
      </c>
      <c r="B25" s="134" t="s">
        <v>85</v>
      </c>
      <c r="C25" s="48" t="s">
        <v>161</v>
      </c>
      <c r="D25" s="48" t="s">
        <v>32</v>
      </c>
      <c r="E25" s="48">
        <v>1</v>
      </c>
      <c r="F25" s="48" t="s">
        <v>23</v>
      </c>
      <c r="G25" s="57" t="s">
        <v>18</v>
      </c>
      <c r="H25" s="49">
        <v>17212</v>
      </c>
      <c r="I25" s="49"/>
      <c r="J25" s="6" t="s">
        <v>508</v>
      </c>
      <c r="K25" s="6" t="s">
        <v>508</v>
      </c>
      <c r="L25" s="42">
        <f>SUMIFS([1]مرداد!$AF$289:$AF$422,[1]مرداد!$C$289:$C$422,"قطعه تعمیری",[1]مرداد!$B$289:$B$422,C25,[1]مرداد!$P$289:$P$422,"*")</f>
        <v>1</v>
      </c>
      <c r="M25" s="1" t="s">
        <v>20</v>
      </c>
      <c r="N25" s="51">
        <f>SUMIFS([1]مرداد!$AR$289:$AR$422,[1]مرداد!$C$289:$C$422,"قطعه تعمیری",[1]مرداد!$B$289:$B$422,C25,[1]مرداد!$P$289:$P$422,"*")</f>
        <v>750000</v>
      </c>
    </row>
    <row r="26" spans="1:14" ht="28.7" customHeight="1" thickBot="1" x14ac:dyDescent="0.3">
      <c r="A26" s="26">
        <v>23</v>
      </c>
      <c r="B26" s="134" t="s">
        <v>85</v>
      </c>
      <c r="C26" s="48" t="s">
        <v>27</v>
      </c>
      <c r="D26" s="48" t="s">
        <v>17</v>
      </c>
      <c r="E26" s="48">
        <v>1</v>
      </c>
      <c r="F26" s="48" t="s">
        <v>23</v>
      </c>
      <c r="G26" s="57" t="s">
        <v>18</v>
      </c>
      <c r="H26" s="49">
        <v>17207</v>
      </c>
      <c r="I26" s="49">
        <v>6406</v>
      </c>
      <c r="J26" s="6" t="s">
        <v>503</v>
      </c>
      <c r="K26" s="6" t="s">
        <v>517</v>
      </c>
      <c r="L26" s="42">
        <f>SUMIFS([1]مرداد!$AF$289:$AF$422,[1]مرداد!$C$289:$C$422,"قطعه تعمیری",[1]مرداد!$B$289:$B$422,C26,[1]مرداد!$P$289:$P$422,"*")</f>
        <v>6.5</v>
      </c>
      <c r="M26" s="1" t="s">
        <v>20</v>
      </c>
      <c r="N26" s="51">
        <f>SUMIFS([1]مرداد!$AR$289:$AR$422,[1]مرداد!$C$289:$C$422,"قطعه تعمیری",[1]مرداد!$B$289:$B$422,C26,[1]مرداد!$P$289:$P$422,"*")</f>
        <v>4875000</v>
      </c>
    </row>
    <row r="27" spans="1:14" ht="21" customHeight="1" x14ac:dyDescent="0.25">
      <c r="A27" s="31"/>
      <c r="B27" s="251" t="s">
        <v>445</v>
      </c>
      <c r="C27" s="128" t="s">
        <v>184</v>
      </c>
      <c r="D27" s="83" t="s">
        <v>14</v>
      </c>
      <c r="E27" s="93">
        <f>SUMIFS(E4:E26,F4:F26,D27,M4:M26,"تحویل")</f>
        <v>2</v>
      </c>
      <c r="F27" s="125"/>
      <c r="G27" s="83"/>
      <c r="H27" s="9"/>
      <c r="I27" s="251" t="s">
        <v>115</v>
      </c>
      <c r="J27" s="9" t="s">
        <v>14</v>
      </c>
      <c r="K27" s="93">
        <f>SUMIFS(E4:E26,F4:F26,J27)</f>
        <v>30156</v>
      </c>
      <c r="L27" s="233">
        <f>SUMIFS(L4:L26,F4:F26,J27)</f>
        <v>117.83333333333334</v>
      </c>
      <c r="M27" s="112"/>
      <c r="N27" s="178">
        <f>SUMIFS(N4:N26,F4:F26,J27)</f>
        <v>95125000</v>
      </c>
    </row>
    <row r="28" spans="1:14" ht="21" customHeight="1" x14ac:dyDescent="0.25">
      <c r="A28" s="180"/>
      <c r="B28" s="246"/>
      <c r="C28" s="131" t="s">
        <v>184</v>
      </c>
      <c r="D28" s="61" t="s">
        <v>23</v>
      </c>
      <c r="E28" s="102">
        <f>SUMIFS(E4:E26,F4:F26,D28,M4:M26,"تحویل")</f>
        <v>18</v>
      </c>
      <c r="F28" s="60"/>
      <c r="G28" s="61"/>
      <c r="H28" s="60"/>
      <c r="I28" s="246"/>
      <c r="J28" s="60" t="s">
        <v>23</v>
      </c>
      <c r="K28" s="60">
        <f>SUMIFS(E5:E26,F5:F26,J28)</f>
        <v>21</v>
      </c>
      <c r="L28" s="232">
        <f>SUMIFS(L5:L27,F5:F27,J28)</f>
        <v>56.166666666666664</v>
      </c>
      <c r="M28" s="118"/>
      <c r="N28" s="182">
        <f>SUMIFS(N5:N27,F5:F27,J28)</f>
        <v>47000000</v>
      </c>
    </row>
    <row r="29" spans="1:14" ht="29.25" customHeight="1" thickBot="1" x14ac:dyDescent="0.3">
      <c r="A29" s="198"/>
      <c r="B29" s="203" t="s">
        <v>115</v>
      </c>
      <c r="C29" s="199"/>
      <c r="D29" s="200"/>
      <c r="E29" s="199">
        <f>E27+E28</f>
        <v>20</v>
      </c>
      <c r="F29" s="199"/>
      <c r="G29" s="199"/>
      <c r="H29" s="199"/>
      <c r="I29" s="199"/>
      <c r="J29" s="199"/>
      <c r="K29" s="199">
        <f>K27+K28</f>
        <v>30177</v>
      </c>
      <c r="L29" s="203">
        <f>L27+L28</f>
        <v>174</v>
      </c>
      <c r="M29" s="201"/>
      <c r="N29" s="202">
        <f>N27+N28</f>
        <v>142125000</v>
      </c>
    </row>
    <row r="31" spans="1:14" x14ac:dyDescent="0.25">
      <c r="N31" s="95"/>
    </row>
  </sheetData>
  <mergeCells count="3">
    <mergeCell ref="A1:K2"/>
    <mergeCell ref="B27:B28"/>
    <mergeCell ref="I27:I28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K28" formulaRange="1"/>
    <ignoredError sqref="L18 N18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2F77-F958-4CF9-89A2-33BD7FEA8A79}">
  <sheetPr>
    <pageSetUpPr fitToPage="1"/>
  </sheetPr>
  <dimension ref="A1:N32"/>
  <sheetViews>
    <sheetView rightToLeft="1" view="pageLayout" zoomScaleNormal="100" workbookViewId="0">
      <selection activeCell="B11" sqref="B11:J11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22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59" t="s">
        <v>501</v>
      </c>
      <c r="C4" s="21" t="s">
        <v>482</v>
      </c>
      <c r="D4" s="48" t="s">
        <v>32</v>
      </c>
      <c r="E4" s="48">
        <v>1</v>
      </c>
      <c r="F4" s="48" t="s">
        <v>14</v>
      </c>
      <c r="G4" s="57" t="s">
        <v>21</v>
      </c>
      <c r="H4" s="49"/>
      <c r="I4" s="49"/>
      <c r="J4" s="6" t="s">
        <v>502</v>
      </c>
      <c r="K4" s="36"/>
      <c r="L4" s="42">
        <f>SUMIFS([1]مرداد!$AF$422:$AF$800,[1]مرداد!$C$422:$C$800,"قطعه نو",[1]مرداد!$B$422:$B$800,C4,[1]مرداد!$P$422:$P$800,"*")</f>
        <v>14</v>
      </c>
      <c r="M4" s="1" t="s">
        <v>37</v>
      </c>
      <c r="N4" s="51">
        <f>SUMIFS([1]مرداد!$AR$422:$AR$800,[1]مرداد!$C$422:$C$800,"قطعه نو",[1]مرداد!$B$422:$B$800,C4,[1]مرداد!$P$422:$P$800,"*")</f>
        <v>10500000</v>
      </c>
    </row>
    <row r="5" spans="1:14" ht="28.7" customHeight="1" x14ac:dyDescent="0.25">
      <c r="A5" s="26">
        <v>2</v>
      </c>
      <c r="B5" s="59" t="s">
        <v>506</v>
      </c>
      <c r="C5" s="21" t="s">
        <v>518</v>
      </c>
      <c r="D5" s="48" t="s">
        <v>32</v>
      </c>
      <c r="E5" s="48">
        <v>220</v>
      </c>
      <c r="F5" s="48" t="s">
        <v>14</v>
      </c>
      <c r="G5" s="57" t="s">
        <v>21</v>
      </c>
      <c r="H5" s="49"/>
      <c r="I5" s="49"/>
      <c r="J5" s="6" t="s">
        <v>519</v>
      </c>
      <c r="K5" s="6" t="s">
        <v>520</v>
      </c>
      <c r="L5" s="42">
        <f>SUMIFS([1]مرداد!$AF$422:$AF$800,[1]مرداد!$C$422:$C$800,"قطعه نو",[1]مرداد!$B$422:$B$800,C5,[1]مرداد!$P$422:$P$800,"*")</f>
        <v>38</v>
      </c>
      <c r="M5" s="1" t="s">
        <v>20</v>
      </c>
      <c r="N5" s="51">
        <f>SUMIFS([1]مرداد!$AR$422:$AR$800,[1]مرداد!$C$422:$C$800,"قطعه نو",[1]مرداد!$B$422:$B$800,C5,[1]مرداد!$P$422:$P$800,"*")</f>
        <v>28500000</v>
      </c>
    </row>
    <row r="6" spans="1:14" ht="28.7" customHeight="1" x14ac:dyDescent="0.25">
      <c r="A6" s="26">
        <v>3</v>
      </c>
      <c r="B6" s="134" t="s">
        <v>190</v>
      </c>
      <c r="C6" s="48" t="s">
        <v>189</v>
      </c>
      <c r="D6" s="48" t="s">
        <v>32</v>
      </c>
      <c r="E6" s="48">
        <v>30000</v>
      </c>
      <c r="F6" s="48" t="s">
        <v>14</v>
      </c>
      <c r="G6" s="57" t="s">
        <v>21</v>
      </c>
      <c r="H6" s="49"/>
      <c r="I6" s="49"/>
      <c r="J6" s="6" t="s">
        <v>321</v>
      </c>
      <c r="K6" s="6" t="s">
        <v>520</v>
      </c>
      <c r="L6" s="42">
        <f>SUMIFS([1]مرداد!$AF$422:$AF$800,[1]مرداد!$C$422:$C$800,"قطعه نو",[1]مرداد!$B$422:$B$800,C6,[1]مرداد!$P$422:$P$800,"*")</f>
        <v>32.166666666666671</v>
      </c>
      <c r="M6" s="1" t="s">
        <v>20</v>
      </c>
      <c r="N6" s="51">
        <f>SUMIFS([1]مرداد!$AR$422:$AR$800,[1]مرداد!$C$422:$C$800,"قطعه نو",[1]مرداد!$B$422:$B$800,C6,[1]مرداد!$P$422:$P$800,"*")</f>
        <v>24125000</v>
      </c>
    </row>
    <row r="7" spans="1:14" ht="28.7" customHeight="1" x14ac:dyDescent="0.25">
      <c r="A7" s="26">
        <v>4</v>
      </c>
      <c r="B7" s="29" t="s">
        <v>505</v>
      </c>
      <c r="C7" s="21" t="s">
        <v>500</v>
      </c>
      <c r="D7" s="48" t="s">
        <v>195</v>
      </c>
      <c r="E7" s="48">
        <v>1</v>
      </c>
      <c r="F7" s="48" t="s">
        <v>14</v>
      </c>
      <c r="G7" s="57" t="s">
        <v>396</v>
      </c>
      <c r="H7" s="2"/>
      <c r="I7" s="49"/>
      <c r="J7" s="6" t="s">
        <v>502</v>
      </c>
      <c r="K7" s="6" t="s">
        <v>521</v>
      </c>
      <c r="L7" s="42">
        <f>SUMIFS([1]مرداد!$AF$422:$AF$800,[1]مرداد!$C$422:$C$800,"قطعه نو",[1]مرداد!$B$422:$B$800,C7,[1]مرداد!$P$422:$P$800,"*")</f>
        <v>2</v>
      </c>
      <c r="M7" s="1" t="s">
        <v>20</v>
      </c>
      <c r="N7" s="51">
        <f>SUMIFS([1]مرداد!$AR$422:$AR$800,[1]مرداد!$C$422:$C$800,"قطعه نو",[1]مرداد!$B$422:$B$800,C7,[1]مرداد!$P$422:$P$800,"*")</f>
        <v>1500000</v>
      </c>
    </row>
    <row r="8" spans="1:14" ht="28.7" customHeight="1" x14ac:dyDescent="0.25">
      <c r="A8" s="26">
        <v>5</v>
      </c>
      <c r="B8" s="59" t="s">
        <v>506</v>
      </c>
      <c r="C8" s="21" t="s">
        <v>507</v>
      </c>
      <c r="D8" s="48" t="s">
        <v>32</v>
      </c>
      <c r="E8" s="48">
        <v>25</v>
      </c>
      <c r="F8" s="48" t="s">
        <v>14</v>
      </c>
      <c r="G8" s="57" t="s">
        <v>21</v>
      </c>
      <c r="H8" s="2"/>
      <c r="I8" s="49"/>
      <c r="J8" s="6" t="s">
        <v>508</v>
      </c>
      <c r="K8" s="36" t="s">
        <v>522</v>
      </c>
      <c r="L8" s="42">
        <f>SUMIFS([1]مرداد!$AF$422:$AF$800,[1]مرداد!$C$422:$C$800,"قطعه نو",[1]مرداد!$B$422:$B$800,C8,[1]مرداد!$P$422:$P$800,"*")</f>
        <v>10</v>
      </c>
      <c r="M8" s="1" t="s">
        <v>20</v>
      </c>
      <c r="N8" s="51">
        <f>SUMIFS([1]مرداد!$AR$422:$AR$800,[1]مرداد!$C$422:$C$800,"قطعه نو",[1]مرداد!$B$422:$B$800,C8,[1]مرداد!$P$422:$P$800,"*")</f>
        <v>7500000</v>
      </c>
    </row>
    <row r="9" spans="1:14" ht="28.7" customHeight="1" x14ac:dyDescent="0.25">
      <c r="A9" s="26">
        <v>6</v>
      </c>
      <c r="B9" s="29" t="s">
        <v>302</v>
      </c>
      <c r="C9" s="21" t="s">
        <v>350</v>
      </c>
      <c r="D9" s="48" t="s">
        <v>351</v>
      </c>
      <c r="E9" s="48">
        <v>100</v>
      </c>
      <c r="F9" s="48" t="s">
        <v>14</v>
      </c>
      <c r="G9" s="57" t="s">
        <v>21</v>
      </c>
      <c r="H9" s="2"/>
      <c r="I9" s="49"/>
      <c r="J9" s="6" t="s">
        <v>359</v>
      </c>
      <c r="K9" s="6"/>
      <c r="L9" s="42">
        <f>SUMIFS([1]مرداد!$AF$422:$AF$800,[1]مرداد!$C$422:$C$800,"قطعه نو",[1]مرداد!$B$422:$B$800,C9,[1]مرداد!$P$422:$P$800,"*")</f>
        <v>54</v>
      </c>
      <c r="M9" s="1" t="s">
        <v>37</v>
      </c>
      <c r="N9" s="51">
        <f>SUMIFS([1]مرداد!$AR$422:$AR$800,[1]مرداد!$C$422:$C$800,"قطعه نو",[1]مرداد!$B$422:$B$800,C9,[1]مرداد!$P$422:$P$800,"*")</f>
        <v>40500000</v>
      </c>
    </row>
    <row r="10" spans="1:14" ht="28.7" customHeight="1" x14ac:dyDescent="0.25">
      <c r="A10" s="26">
        <v>7</v>
      </c>
      <c r="B10" s="59" t="s">
        <v>55</v>
      </c>
      <c r="C10" s="21" t="s">
        <v>58</v>
      </c>
      <c r="D10" s="48" t="s">
        <v>32</v>
      </c>
      <c r="E10" s="48">
        <v>2</v>
      </c>
      <c r="F10" s="48" t="s">
        <v>14</v>
      </c>
      <c r="G10" s="57" t="s">
        <v>21</v>
      </c>
      <c r="H10" s="2"/>
      <c r="I10" s="49"/>
      <c r="J10" s="6" t="s">
        <v>460</v>
      </c>
      <c r="K10" s="6"/>
      <c r="L10" s="42">
        <f>SUMIFS([1]مرداد!$AF$422:$AF$800,[1]مرداد!$C$422:$C$800,"قطعه نو",[1]مرداد!$B$422:$B$800,C10,[1]مرداد!$P$422:$P$800,"*")</f>
        <v>46</v>
      </c>
      <c r="M10" s="1" t="s">
        <v>37</v>
      </c>
      <c r="N10" s="51">
        <f>SUMIFS([1]مرداد!$AR$422:$AR$800,[1]مرداد!$C$422:$C$800,"قطعه نو",[1]مرداد!$B$422:$B$800,C10,[1]مرداد!$P$422:$P$800,"*")</f>
        <v>34500000</v>
      </c>
    </row>
    <row r="11" spans="1:14" ht="28.7" customHeight="1" x14ac:dyDescent="0.25">
      <c r="A11" s="26">
        <v>8</v>
      </c>
      <c r="B11" s="29" t="s">
        <v>342</v>
      </c>
      <c r="C11" s="48" t="s">
        <v>299</v>
      </c>
      <c r="D11" s="48" t="s">
        <v>17</v>
      </c>
      <c r="E11" s="48">
        <v>1</v>
      </c>
      <c r="F11" s="48" t="s">
        <v>14</v>
      </c>
      <c r="G11" s="57" t="s">
        <v>21</v>
      </c>
      <c r="H11" s="47"/>
      <c r="I11" s="2"/>
      <c r="J11" s="36" t="s">
        <v>296</v>
      </c>
      <c r="K11" s="6"/>
      <c r="L11" s="42">
        <f>SUMIFS([1]مرداد!$AF$422:$AF$800,[1]مرداد!$C$422:$C$800,"قطعه نو",[1]مرداد!$B$422:$B$800,C11,[1]مرداد!$P$422:$P$800,"*")</f>
        <v>29.333333333333336</v>
      </c>
      <c r="M11" s="1" t="s">
        <v>37</v>
      </c>
      <c r="N11" s="51">
        <f>SUMIFS([1]مرداد!$AR$422:$AR$800,[1]مرداد!$C$422:$C$800,"قطعه نو",[1]مرداد!$B$422:$B$800,C11,[1]مرداد!$P$422:$P$800,"*")</f>
        <v>44000000</v>
      </c>
    </row>
    <row r="12" spans="1:14" ht="28.7" customHeight="1" x14ac:dyDescent="0.25">
      <c r="A12" s="26">
        <v>9</v>
      </c>
      <c r="B12" s="59" t="s">
        <v>544</v>
      </c>
      <c r="C12" s="21" t="s">
        <v>405</v>
      </c>
      <c r="D12" s="48" t="s">
        <v>32</v>
      </c>
      <c r="E12" s="48">
        <v>1</v>
      </c>
      <c r="F12" s="48" t="s">
        <v>14</v>
      </c>
      <c r="G12" s="57" t="s">
        <v>21</v>
      </c>
      <c r="H12" s="2"/>
      <c r="I12" s="49"/>
      <c r="J12" s="6" t="s">
        <v>521</v>
      </c>
      <c r="K12" s="6"/>
      <c r="L12" s="42">
        <f>SUMIFS([1]مرداد!$AF$422:$AF$800,[1]مرداد!$C$422:$C$800,"قطعه نو",[1]مرداد!$B$422:$B$800,C12,[1]مرداد!$P$422:$P$800,"*")</f>
        <v>4.5</v>
      </c>
      <c r="M12" s="1" t="s">
        <v>37</v>
      </c>
      <c r="N12" s="51">
        <f>SUMIFS([1]مرداد!$AR$422:$AR$800,[1]مرداد!$C$422:$C$800,"قطعه نو",[1]مرداد!$B$422:$B$800,C12,[1]مرداد!$P$422:$P$800,"*")</f>
        <v>6750000</v>
      </c>
    </row>
    <row r="13" spans="1:14" ht="28.7" customHeight="1" x14ac:dyDescent="0.25">
      <c r="A13" s="26">
        <v>10</v>
      </c>
      <c r="B13" s="59" t="s">
        <v>506</v>
      </c>
      <c r="C13" s="21" t="s">
        <v>507</v>
      </c>
      <c r="D13" s="48" t="s">
        <v>32</v>
      </c>
      <c r="E13" s="48">
        <v>25</v>
      </c>
      <c r="F13" s="48" t="s">
        <v>14</v>
      </c>
      <c r="G13" s="57" t="s">
        <v>21</v>
      </c>
      <c r="H13" s="2"/>
      <c r="I13" s="49"/>
      <c r="J13" s="6" t="s">
        <v>508</v>
      </c>
      <c r="K13" s="6" t="s">
        <v>521</v>
      </c>
      <c r="L13" s="42">
        <f>SUMIFS([1]مرداد!$AF$422:$AF$800,[1]مرداد!$C$422:$C$800,"قطعه نو",[1]مرداد!$B$422:$B$800,C13,[1]مرداد!$P$422:$P$800,"*")</f>
        <v>10</v>
      </c>
      <c r="M13" s="1" t="s">
        <v>20</v>
      </c>
      <c r="N13" s="51">
        <f>SUMIFS([1]مرداد!$AR$422:$AR$800,[1]مرداد!$C$422:$C$800,"قطعه نو",[1]مرداد!$B$422:$B$800,C13,[1]مرداد!$P$422:$P$800,"*")</f>
        <v>7500000</v>
      </c>
    </row>
    <row r="14" spans="1:14" ht="28.7" customHeight="1" x14ac:dyDescent="0.25">
      <c r="A14" s="26">
        <v>11</v>
      </c>
      <c r="B14" s="134" t="s">
        <v>89</v>
      </c>
      <c r="C14" s="48" t="s">
        <v>533</v>
      </c>
      <c r="D14" s="48" t="s">
        <v>32</v>
      </c>
      <c r="E14" s="48">
        <v>4</v>
      </c>
      <c r="F14" s="48" t="s">
        <v>14</v>
      </c>
      <c r="G14" s="57" t="s">
        <v>21</v>
      </c>
      <c r="H14" s="49"/>
      <c r="I14" s="49"/>
      <c r="J14" s="6" t="s">
        <v>521</v>
      </c>
      <c r="K14" s="6"/>
      <c r="L14" s="42">
        <f>SUMIFS([1]مرداد!$AF$422:$AF$800,[1]مرداد!$C$422:$C$800,"قطعه نو",[1]مرداد!$B$422:$B$800,C14,[1]مرداد!$P$422:$P$800,"*")</f>
        <v>20</v>
      </c>
      <c r="M14" s="1" t="s">
        <v>37</v>
      </c>
      <c r="N14" s="51">
        <f>SUMIFS([1]مرداد!$AR$422:$AR$800,[1]مرداد!$C$422:$C$800,"قطعه نو",[1]مرداد!$B$422:$B$800,C14,[1]مرداد!$P$422:$P$800,"*")</f>
        <v>15000000</v>
      </c>
    </row>
    <row r="15" spans="1:14" ht="28.7" customHeight="1" x14ac:dyDescent="0.25">
      <c r="A15" s="26">
        <v>12</v>
      </c>
      <c r="B15" s="134" t="s">
        <v>89</v>
      </c>
      <c r="C15" s="48" t="s">
        <v>27</v>
      </c>
      <c r="D15" s="48" t="s">
        <v>17</v>
      </c>
      <c r="E15" s="48">
        <v>1</v>
      </c>
      <c r="F15" s="48" t="s">
        <v>14</v>
      </c>
      <c r="G15" s="57" t="s">
        <v>21</v>
      </c>
      <c r="H15" s="49"/>
      <c r="I15" s="49"/>
      <c r="J15" s="6" t="s">
        <v>519</v>
      </c>
      <c r="K15" s="6" t="s">
        <v>519</v>
      </c>
      <c r="L15" s="42">
        <f>SUMIFS([1]مرداد!$AF$422:$AF$800,[1]مرداد!$C$422:$C$800,"قطعه نو",[1]مرداد!$B$422:$B$800,C15,[1]مرداد!$P$422:$P$800,"*")</f>
        <v>3</v>
      </c>
      <c r="M15" s="1" t="s">
        <v>20</v>
      </c>
      <c r="N15" s="51">
        <f>SUMIFS([1]مرداد!$AR$422:$AR$800,[1]مرداد!$C$422:$C$800,"قطعه نو",[1]مرداد!$B$422:$B$800,C15,[1]مرداد!$P$422:$P$800,"*")</f>
        <v>2250000</v>
      </c>
    </row>
    <row r="16" spans="1:14" ht="28.7" customHeight="1" x14ac:dyDescent="0.25">
      <c r="A16" s="26">
        <v>13</v>
      </c>
      <c r="B16" s="134" t="s">
        <v>13</v>
      </c>
      <c r="C16" s="48" t="s">
        <v>24</v>
      </c>
      <c r="D16" s="48" t="s">
        <v>17</v>
      </c>
      <c r="E16" s="48">
        <v>1</v>
      </c>
      <c r="F16" s="48" t="s">
        <v>23</v>
      </c>
      <c r="G16" s="57" t="s">
        <v>18</v>
      </c>
      <c r="H16" s="49"/>
      <c r="I16" s="49"/>
      <c r="J16" s="6" t="s">
        <v>519</v>
      </c>
      <c r="K16" s="6" t="s">
        <v>545</v>
      </c>
      <c r="L16" s="42">
        <f>SUMIFS([1]مرداد!$AF$422:$AF$800,[1]مرداد!$C$422:$C$800,"قطعه تعمیری",[1]مرداد!$B$422:$B$800,C16,[1]مرداد!$P$422:$P$800,"*")</f>
        <v>6.5</v>
      </c>
      <c r="M16" s="1" t="s">
        <v>20</v>
      </c>
      <c r="N16" s="51">
        <f>SUMIFS([1]مرداد!$AR$422:$AR$598,[1]مرداد!$C$422:$C$598,"قطعه تعمیری",[1]مرداد!$B$422:$B$598,C16,[1]مرداد!$P$422:$P$598,"*")</f>
        <v>4875000</v>
      </c>
    </row>
    <row r="17" spans="1:14" ht="28.7" customHeight="1" x14ac:dyDescent="0.25">
      <c r="A17" s="26">
        <v>14</v>
      </c>
      <c r="B17" s="134" t="s">
        <v>220</v>
      </c>
      <c r="C17" s="48" t="s">
        <v>487</v>
      </c>
      <c r="D17" s="48" t="s">
        <v>32</v>
      </c>
      <c r="E17" s="48">
        <v>1</v>
      </c>
      <c r="F17" s="48" t="s">
        <v>23</v>
      </c>
      <c r="G17" s="57" t="s">
        <v>18</v>
      </c>
      <c r="H17" s="49">
        <v>16438</v>
      </c>
      <c r="I17" s="49"/>
      <c r="J17" s="6" t="s">
        <v>503</v>
      </c>
      <c r="K17" s="6"/>
      <c r="L17" s="42">
        <f>SUMIFS([1]مرداد!$AF$422:$AF$800,[1]مرداد!$C$422:$C$800,"قطعه تعمیری",[1]مرداد!$B$422:$B$800,C17,[1]مرداد!$P$422:$P$800,"*")</f>
        <v>21</v>
      </c>
      <c r="M17" s="1" t="s">
        <v>37</v>
      </c>
      <c r="N17" s="51">
        <f>SUMIFS([1]مرداد!$AR$422:$AR$598,[1]مرداد!$C$422:$C$598,"قطعه تعمیری",[1]مرداد!$B$422:$B$598,C17,[1]مرداد!$P$422:$P$598,"*")</f>
        <v>27000000</v>
      </c>
    </row>
    <row r="18" spans="1:14" ht="28.7" customHeight="1" x14ac:dyDescent="0.25">
      <c r="A18" s="26">
        <v>15</v>
      </c>
      <c r="B18" s="134" t="s">
        <v>44</v>
      </c>
      <c r="C18" s="48" t="s">
        <v>48</v>
      </c>
      <c r="D18" s="48" t="s">
        <v>273</v>
      </c>
      <c r="E18" s="48">
        <v>1</v>
      </c>
      <c r="F18" s="48" t="s">
        <v>23</v>
      </c>
      <c r="G18" s="57" t="s">
        <v>18</v>
      </c>
      <c r="H18" s="49"/>
      <c r="I18" s="49"/>
      <c r="J18" s="6" t="s">
        <v>519</v>
      </c>
      <c r="K18" s="6" t="s">
        <v>519</v>
      </c>
      <c r="L18" s="42">
        <f>SUMIFS([1]مرداد!$AF$422:$AF$800,[1]مرداد!$C$422:$C$800,"قطعه تعمیری",[1]مرداد!$B$422:$B$800,C18,[1]مرداد!$P$422:$P$800,"*")</f>
        <v>3</v>
      </c>
      <c r="M18" s="1" t="s">
        <v>20</v>
      </c>
      <c r="N18" s="51">
        <f>SUMIFS([1]مرداد!$AR$422:$AR$598,[1]مرداد!$C$422:$C$598,"قطعه تعمیری",[1]مرداد!$B$422:$B$598,C18,[1]مرداد!$P$422:$P$598,"*")</f>
        <v>2250000</v>
      </c>
    </row>
    <row r="19" spans="1:14" ht="28.7" customHeight="1" x14ac:dyDescent="0.25">
      <c r="A19" s="26">
        <v>16</v>
      </c>
      <c r="B19" s="134" t="s">
        <v>13</v>
      </c>
      <c r="C19" s="48" t="s">
        <v>391</v>
      </c>
      <c r="D19" s="48" t="s">
        <v>29</v>
      </c>
      <c r="E19" s="48">
        <v>10</v>
      </c>
      <c r="F19" s="48" t="s">
        <v>23</v>
      </c>
      <c r="G19" s="57" t="s">
        <v>18</v>
      </c>
      <c r="H19" s="49"/>
      <c r="I19" s="49"/>
      <c r="J19" s="6" t="s">
        <v>546</v>
      </c>
      <c r="K19" s="6" t="s">
        <v>546</v>
      </c>
      <c r="L19" s="42">
        <f>SUMIFS([1]مرداد!$AF$422:$AF$800,[1]مرداد!$C$422:$C$800,"قطعه تعمیری",[1]مرداد!$B$422:$B$800,C19,[1]مرداد!$P$422:$P$800,"*")</f>
        <v>3</v>
      </c>
      <c r="M19" s="1" t="s">
        <v>20</v>
      </c>
      <c r="N19" s="51">
        <f>SUMIFS([1]مرداد!$AR$422:$AR$598,[1]مرداد!$C$422:$C$598,"قطعه تعمیری",[1]مرداد!$B$422:$B$598,C19,[1]مرداد!$P$422:$P$598,"*")</f>
        <v>2250000</v>
      </c>
    </row>
    <row r="20" spans="1:14" ht="28.7" customHeight="1" x14ac:dyDescent="0.25">
      <c r="A20" s="26">
        <v>17</v>
      </c>
      <c r="B20" s="134" t="s">
        <v>68</v>
      </c>
      <c r="C20" s="48" t="s">
        <v>28</v>
      </c>
      <c r="D20" s="48" t="s">
        <v>32</v>
      </c>
      <c r="E20" s="48">
        <v>1</v>
      </c>
      <c r="F20" s="48" t="s">
        <v>23</v>
      </c>
      <c r="G20" s="57" t="s">
        <v>18</v>
      </c>
      <c r="H20" s="49">
        <v>16848</v>
      </c>
      <c r="I20" s="49">
        <v>2512</v>
      </c>
      <c r="J20" s="6" t="s">
        <v>519</v>
      </c>
      <c r="K20" s="6" t="s">
        <v>521</v>
      </c>
      <c r="L20" s="42">
        <f>SUMIFS([1]مرداد!$AF$422:$AF$800,[1]مرداد!$C$422:$C$800,"قطعه تعمیری",[1]مرداد!$B$422:$B$800,C20,[1]مرداد!$P$422:$P$800,"*")</f>
        <v>5</v>
      </c>
      <c r="M20" s="1" t="s">
        <v>20</v>
      </c>
      <c r="N20" s="51">
        <f>SUMIFS([1]مرداد!$AR$422:$AR$598,[1]مرداد!$C$422:$C$598,"قطعه تعمیری",[1]مرداد!$B$422:$B$598,C20,[1]مرداد!$P$422:$P$598,"*")</f>
        <v>3750000</v>
      </c>
    </row>
    <row r="21" spans="1:14" ht="28.7" customHeight="1" x14ac:dyDescent="0.25">
      <c r="A21" s="26">
        <v>18</v>
      </c>
      <c r="B21" s="134" t="s">
        <v>85</v>
      </c>
      <c r="C21" s="48" t="s">
        <v>174</v>
      </c>
      <c r="D21" s="48" t="s">
        <v>32</v>
      </c>
      <c r="E21" s="48">
        <v>1</v>
      </c>
      <c r="F21" s="48" t="s">
        <v>23</v>
      </c>
      <c r="G21" s="57" t="s">
        <v>18</v>
      </c>
      <c r="H21" s="49">
        <v>17227</v>
      </c>
      <c r="I21" s="49"/>
      <c r="J21" s="6" t="s">
        <v>521</v>
      </c>
      <c r="K21" s="6" t="s">
        <v>521</v>
      </c>
      <c r="L21" s="42">
        <f>SUMIFS([1]مرداد!$AF$422:$AF$800,[1]مرداد!$C$422:$C$800,"قطعه تعمیری",[1]مرداد!$B$422:$B$800,C21,[1]مرداد!$P$422:$P$800,"*")</f>
        <v>3</v>
      </c>
      <c r="M21" s="1" t="s">
        <v>20</v>
      </c>
      <c r="N21" s="51">
        <f>SUMIFS([1]مرداد!$AR$422:$AR$598,[1]مرداد!$C$422:$C$598,"قطعه تعمیری",[1]مرداد!$B$422:$B$598,C21,[1]مرداد!$P$422:$P$598,"*")</f>
        <v>2250000</v>
      </c>
    </row>
    <row r="22" spans="1:14" ht="28.7" customHeight="1" x14ac:dyDescent="0.25">
      <c r="A22" s="26">
        <v>19</v>
      </c>
      <c r="B22" s="59" t="s">
        <v>39</v>
      </c>
      <c r="C22" s="21" t="s">
        <v>22</v>
      </c>
      <c r="D22" s="48" t="s">
        <v>32</v>
      </c>
      <c r="E22" s="1">
        <v>8</v>
      </c>
      <c r="F22" s="48" t="s">
        <v>23</v>
      </c>
      <c r="G22" s="57" t="s">
        <v>18</v>
      </c>
      <c r="H22" s="1"/>
      <c r="I22" s="49"/>
      <c r="J22" s="6" t="s">
        <v>547</v>
      </c>
      <c r="K22" s="6" t="s">
        <v>547</v>
      </c>
      <c r="L22" s="42">
        <f>SUMIFS([1]مرداد!$AF$422:$AF$800,[1]مرداد!$C$422:$C$800,"قطعه تعمیری",[1]مرداد!$B$422:$B$800,C22,[1]مرداد!$P$422:$P$800,"*")</f>
        <v>1</v>
      </c>
      <c r="M22" s="1" t="s">
        <v>20</v>
      </c>
      <c r="N22" s="51">
        <f>SUMIFS([1]مرداد!$AR$422:$AR$598,[1]مرداد!$C$422:$C$598,"قطعه تعمیری",[1]مرداد!$B$422:$B$598,C22,[1]مرداد!$P$422:$P$598,"*")</f>
        <v>750000</v>
      </c>
    </row>
    <row r="23" spans="1:14" ht="28.7" customHeight="1" x14ac:dyDescent="0.25">
      <c r="A23" s="26">
        <v>20</v>
      </c>
      <c r="B23" s="134" t="s">
        <v>348</v>
      </c>
      <c r="C23" s="48" t="s">
        <v>496</v>
      </c>
      <c r="D23" s="57" t="s">
        <v>548</v>
      </c>
      <c r="E23" s="48">
        <v>1</v>
      </c>
      <c r="F23" s="48" t="s">
        <v>23</v>
      </c>
      <c r="G23" s="57" t="s">
        <v>384</v>
      </c>
      <c r="H23" s="49"/>
      <c r="I23" s="49"/>
      <c r="J23" s="6" t="s">
        <v>549</v>
      </c>
      <c r="K23" s="6" t="s">
        <v>549</v>
      </c>
      <c r="L23" s="42">
        <f>SUMIFS([1]مرداد!$AF$422:$AF$800,[1]مرداد!$C$422:$C$800,"قطعه تعمیری",[1]مرداد!$B$422:$B$800,C23,[1]مرداد!$P$422:$P$800,"*")</f>
        <v>8</v>
      </c>
      <c r="M23" s="1" t="s">
        <v>20</v>
      </c>
      <c r="N23" s="51">
        <f>SUMIFS([1]مرداد!$AR$422:$AR$598,[1]مرداد!$C$422:$C$598,"قطعه تعمیری",[1]مرداد!$B$422:$B$598,C23,[1]مرداد!$P$422:$P$598,"*")</f>
        <v>6000000</v>
      </c>
    </row>
    <row r="24" spans="1:14" ht="28.7" customHeight="1" x14ac:dyDescent="0.25">
      <c r="A24" s="26">
        <v>21</v>
      </c>
      <c r="B24" s="134" t="s">
        <v>42</v>
      </c>
      <c r="C24" s="48" t="s">
        <v>319</v>
      </c>
      <c r="D24" s="48" t="s">
        <v>29</v>
      </c>
      <c r="E24" s="48">
        <v>1</v>
      </c>
      <c r="F24" s="48" t="s">
        <v>23</v>
      </c>
      <c r="G24" s="57" t="s">
        <v>550</v>
      </c>
      <c r="H24" s="49"/>
      <c r="I24" s="49"/>
      <c r="J24" s="6" t="s">
        <v>519</v>
      </c>
      <c r="K24" s="6" t="s">
        <v>545</v>
      </c>
      <c r="L24" s="42">
        <f>SUMIFS([1]مرداد!$AF$422:$AF$800,[1]مرداد!$C$422:$C$800,"قطعه تعمیری",[1]مرداد!$B$422:$B$800,C24,[1]مرداد!$P$422:$P$800,"*")</f>
        <v>5</v>
      </c>
      <c r="M24" s="1" t="s">
        <v>20</v>
      </c>
      <c r="N24" s="51">
        <f>SUMIFS([1]مرداد!$AR$422:$AR$598,[1]مرداد!$C$422:$C$598,"قطعه تعمیری",[1]مرداد!$B$422:$B$598,C24,[1]مرداد!$P$422:$P$598,"*")</f>
        <v>3750000</v>
      </c>
    </row>
    <row r="25" spans="1:14" ht="28.7" customHeight="1" x14ac:dyDescent="0.25">
      <c r="A25" s="26">
        <v>22</v>
      </c>
      <c r="B25" s="134" t="s">
        <v>552</v>
      </c>
      <c r="C25" s="48" t="s">
        <v>551</v>
      </c>
      <c r="D25" s="48" t="s">
        <v>32</v>
      </c>
      <c r="E25" s="48">
        <v>1</v>
      </c>
      <c r="F25" s="48" t="s">
        <v>23</v>
      </c>
      <c r="G25" s="57" t="s">
        <v>18</v>
      </c>
      <c r="H25" s="49"/>
      <c r="I25" s="49"/>
      <c r="J25" s="6" t="s">
        <v>521</v>
      </c>
      <c r="K25" s="6" t="s">
        <v>549</v>
      </c>
      <c r="L25" s="42">
        <f>SUMIFS([1]مرداد!$AF$422:$AF$800,[1]مرداد!$C$422:$C$800,"قطعه تعمیری",[1]مرداد!$B$422:$B$800,C25,[1]مرداد!$P$422:$P$800,"*")</f>
        <v>4</v>
      </c>
      <c r="M25" s="1" t="s">
        <v>20</v>
      </c>
      <c r="N25" s="51">
        <f>SUMIFS([1]مرداد!$AR$422:$AR$598,[1]مرداد!$C$422:$C$598,"قطعه تعمیری",[1]مرداد!$B$422:$B$598,C25,[1]مرداد!$P$422:$P$598,"*")</f>
        <v>3000000</v>
      </c>
    </row>
    <row r="26" spans="1:14" ht="28.7" customHeight="1" x14ac:dyDescent="0.25">
      <c r="A26" s="26">
        <v>23</v>
      </c>
      <c r="B26" s="134" t="s">
        <v>235</v>
      </c>
      <c r="C26" s="48" t="s">
        <v>499</v>
      </c>
      <c r="D26" s="48" t="s">
        <v>32</v>
      </c>
      <c r="E26" s="48">
        <v>2</v>
      </c>
      <c r="F26" s="48" t="s">
        <v>23</v>
      </c>
      <c r="G26" s="57" t="s">
        <v>18</v>
      </c>
      <c r="H26" s="49">
        <v>17226</v>
      </c>
      <c r="I26" s="49"/>
      <c r="J26" s="6" t="s">
        <v>521</v>
      </c>
      <c r="K26" s="6" t="s">
        <v>549</v>
      </c>
      <c r="L26" s="42">
        <f>SUMIFS([1]مرداد!$AF$422:$AF$800,[1]مرداد!$C$422:$C$800,"قطعه تعمیری",[1]مرداد!$B$422:$B$800,C26,[1]مرداد!$P$422:$P$800,"*")</f>
        <v>6</v>
      </c>
      <c r="M26" s="1" t="s">
        <v>20</v>
      </c>
      <c r="N26" s="51">
        <f>SUMIFS([1]مرداد!$AR$422:$AR$598,[1]مرداد!$C$422:$C$598,"قطعه تعمیری",[1]مرداد!$B$422:$B$598,C26,[1]مرداد!$P$422:$P$598,"*")</f>
        <v>4500000</v>
      </c>
    </row>
    <row r="27" spans="1:14" ht="28.7" customHeight="1" thickBot="1" x14ac:dyDescent="0.3">
      <c r="A27" s="26">
        <v>24</v>
      </c>
      <c r="B27" s="134" t="s">
        <v>485</v>
      </c>
      <c r="C27" s="48" t="s">
        <v>27</v>
      </c>
      <c r="D27" s="48" t="s">
        <v>17</v>
      </c>
      <c r="E27" s="48">
        <v>3</v>
      </c>
      <c r="F27" s="48" t="s">
        <v>23</v>
      </c>
      <c r="G27" s="57" t="s">
        <v>18</v>
      </c>
      <c r="H27" s="49">
        <v>17101</v>
      </c>
      <c r="I27" s="49"/>
      <c r="J27" s="6" t="s">
        <v>461</v>
      </c>
      <c r="K27" s="6"/>
      <c r="L27" s="42">
        <f>SUMIFS([1]مرداد!$AF$422:$AF$800,[1]مرداد!$C$422:$C$800,"قطعه تعمیری",[1]مرداد!$B$422:$B$800,C27,[1]مرداد!$P$422:$P$800,"*")</f>
        <v>5</v>
      </c>
      <c r="M27" s="1" t="s">
        <v>37</v>
      </c>
      <c r="N27" s="51">
        <f>SUMIFS([1]مرداد!$AR$422:$AR$598,[1]مرداد!$C$422:$C$598,"قطعه تعمیری",[1]مرداد!$B$422:$B$598,C27,[1]مرداد!$P$422:$P$598,"*")</f>
        <v>3750000</v>
      </c>
    </row>
    <row r="28" spans="1:14" ht="21" customHeight="1" x14ac:dyDescent="0.25">
      <c r="A28" s="31"/>
      <c r="B28" s="251" t="s">
        <v>445</v>
      </c>
      <c r="C28" s="128" t="s">
        <v>184</v>
      </c>
      <c r="D28" s="83" t="s">
        <v>14</v>
      </c>
      <c r="E28" s="93">
        <f>SUMIFS(E4:E27,F4:F27,D28,M4:M27,"تحویل")</f>
        <v>30272</v>
      </c>
      <c r="F28" s="125"/>
      <c r="G28" s="83"/>
      <c r="H28" s="9"/>
      <c r="I28" s="251" t="s">
        <v>115</v>
      </c>
      <c r="J28" s="9" t="s">
        <v>14</v>
      </c>
      <c r="K28" s="93">
        <f>SUMIFS(E4:E27,F4:F27,J28)</f>
        <v>30381</v>
      </c>
      <c r="L28" s="235">
        <f>SUMIFS(L4:L27,F4:F27,J28)</f>
        <v>263</v>
      </c>
      <c r="M28" s="112"/>
      <c r="N28" s="178">
        <f>SUMIFS(N4:N27,F4:F27,J28)</f>
        <v>222625000</v>
      </c>
    </row>
    <row r="29" spans="1:14" ht="21" customHeight="1" x14ac:dyDescent="0.25">
      <c r="A29" s="180"/>
      <c r="B29" s="246"/>
      <c r="C29" s="131" t="s">
        <v>184</v>
      </c>
      <c r="D29" s="61" t="s">
        <v>23</v>
      </c>
      <c r="E29" s="102">
        <f>SUMIFS(E4:E27,F4:F27,D29,M4:M27,"تحویل")</f>
        <v>27</v>
      </c>
      <c r="F29" s="60"/>
      <c r="G29" s="61"/>
      <c r="H29" s="60"/>
      <c r="I29" s="246"/>
      <c r="J29" s="60" t="s">
        <v>23</v>
      </c>
      <c r="K29" s="60">
        <f>SUMIFS(E5:E27,F5:F27,J29)</f>
        <v>31</v>
      </c>
      <c r="L29" s="234">
        <f>SUMIFS(L4:L27,F4:F27,J29)</f>
        <v>70.5</v>
      </c>
      <c r="M29" s="118"/>
      <c r="N29" s="182">
        <f>SUMIFS(N4:N27,F4:F27,J29)</f>
        <v>64125000</v>
      </c>
    </row>
    <row r="30" spans="1:14" ht="29.25" customHeight="1" thickBot="1" x14ac:dyDescent="0.3">
      <c r="A30" s="198"/>
      <c r="B30" s="203" t="s">
        <v>115</v>
      </c>
      <c r="C30" s="199"/>
      <c r="D30" s="200"/>
      <c r="E30" s="199">
        <f>E28+E29</f>
        <v>30299</v>
      </c>
      <c r="F30" s="199"/>
      <c r="G30" s="199"/>
      <c r="H30" s="199"/>
      <c r="I30" s="199"/>
      <c r="J30" s="199"/>
      <c r="K30" s="199">
        <f>K28+K29</f>
        <v>30412</v>
      </c>
      <c r="L30" s="203">
        <f>L28+L29</f>
        <v>333.5</v>
      </c>
      <c r="M30" s="201"/>
      <c r="N30" s="202">
        <f>N28+N29</f>
        <v>286750000</v>
      </c>
    </row>
    <row r="32" spans="1:14" x14ac:dyDescent="0.25">
      <c r="N32" s="95"/>
    </row>
  </sheetData>
  <mergeCells count="3">
    <mergeCell ref="A1:K2"/>
    <mergeCell ref="B28:B29"/>
    <mergeCell ref="I28:I29"/>
  </mergeCells>
  <printOptions horizontalCentered="1" verticalCentered="1"/>
  <pageMargins left="0" right="0" top="0" bottom="0" header="0" footer="0"/>
  <pageSetup scale="95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19B4-22D9-47AE-9C79-71560693E658}">
  <sheetPr>
    <pageSetUpPr fitToPage="1"/>
  </sheetPr>
  <dimension ref="A1:N32"/>
  <sheetViews>
    <sheetView rightToLeft="1" view="pageLayout" topLeftCell="A9" zoomScaleNormal="100" workbookViewId="0">
      <selection activeCell="C19" sqref="C19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23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59" t="s">
        <v>501</v>
      </c>
      <c r="C4" s="21" t="s">
        <v>482</v>
      </c>
      <c r="D4" s="48" t="s">
        <v>32</v>
      </c>
      <c r="E4" s="48">
        <v>1</v>
      </c>
      <c r="F4" s="48" t="s">
        <v>14</v>
      </c>
      <c r="G4" s="57" t="s">
        <v>21</v>
      </c>
      <c r="H4" s="49"/>
      <c r="I4" s="49"/>
      <c r="J4" s="6" t="s">
        <v>502</v>
      </c>
      <c r="K4" s="36"/>
      <c r="L4" s="42">
        <f>SUMIFS([1]شهریور!$AF$2:$AF$105,[1]شهریور!$C$2:$C$105,"قطعه نو",[1]شهریور!$B$2:$B$105,C4,[1]شهریور!$P$2:$P$105,"*")</f>
        <v>4.75</v>
      </c>
      <c r="M4" s="1" t="s">
        <v>37</v>
      </c>
      <c r="N4" s="51">
        <f>SUMIFS([1]شهریور!$AR$2:$AR$105,[1]شهریور!$C$2:$C$105,"قطعه نو",[1]شهریور!$B$2:$B$105,C4,[1]شهریور!$P$2:$P$105,"*")</f>
        <v>3562500</v>
      </c>
    </row>
    <row r="5" spans="1:14" ht="28.7" customHeight="1" x14ac:dyDescent="0.25">
      <c r="A5" s="26">
        <v>2</v>
      </c>
      <c r="B5" s="59" t="s">
        <v>524</v>
      </c>
      <c r="C5" s="21" t="s">
        <v>523</v>
      </c>
      <c r="D5" s="48" t="s">
        <v>32</v>
      </c>
      <c r="E5" s="48">
        <v>4</v>
      </c>
      <c r="F5" s="48" t="s">
        <v>14</v>
      </c>
      <c r="G5" s="57" t="s">
        <v>21</v>
      </c>
      <c r="H5" s="49"/>
      <c r="I5" s="49"/>
      <c r="J5" s="6" t="s">
        <v>525</v>
      </c>
      <c r="K5" s="6" t="s">
        <v>526</v>
      </c>
      <c r="L5" s="42">
        <f>SUMIFS([1]شهریور!$AF$2:$AF$105,[1]شهریور!$C$2:$C$105,"قطعه نو",[1]شهریور!$B$2:$B$105,C5,[1]شهریور!$P$2:$P$105,"*")</f>
        <v>3</v>
      </c>
      <c r="M5" s="1" t="s">
        <v>20</v>
      </c>
      <c r="N5" s="51">
        <f>SUMIFS([1]شهریور!$AR$2:$AR$105,[1]شهریور!$C$2:$C$105,"قطعه نو",[1]شهریور!$B$2:$B$105,C5,[1]شهریور!$P$2:$P$105,"*")</f>
        <v>2250000</v>
      </c>
    </row>
    <row r="6" spans="1:14" ht="28.7" customHeight="1" x14ac:dyDescent="0.25">
      <c r="A6" s="26">
        <v>3</v>
      </c>
      <c r="B6" s="134" t="s">
        <v>16</v>
      </c>
      <c r="C6" s="48" t="s">
        <v>527</v>
      </c>
      <c r="D6" s="48" t="s">
        <v>273</v>
      </c>
      <c r="E6" s="48">
        <v>4</v>
      </c>
      <c r="F6" s="48" t="s">
        <v>14</v>
      </c>
      <c r="G6" s="57" t="s">
        <v>21</v>
      </c>
      <c r="H6" s="49">
        <v>17225</v>
      </c>
      <c r="I6" s="49"/>
      <c r="J6" s="6" t="s">
        <v>528</v>
      </c>
      <c r="K6" s="6" t="s">
        <v>526</v>
      </c>
      <c r="L6" s="42">
        <f>SUMIFS([1]شهریور!$AF$2:$AF$105,[1]شهریور!$C$2:$C$105,"قطعه نو",[1]شهریور!$B$2:$B$105,C6,[1]شهریور!$P$2:$P$105,"*")</f>
        <v>12.5</v>
      </c>
      <c r="M6" s="1" t="s">
        <v>20</v>
      </c>
      <c r="N6" s="51">
        <f>SUMIFS([1]شهریور!$AR$2:$AR$105,[1]شهریور!$C$2:$C$105,"قطعه نو",[1]شهریور!$B$2:$B$105,C6,[1]شهریور!$P$2:$P$105,"*")</f>
        <v>9375000</v>
      </c>
    </row>
    <row r="7" spans="1:14" ht="28.7" customHeight="1" x14ac:dyDescent="0.25">
      <c r="A7" s="26">
        <v>4</v>
      </c>
      <c r="B7" s="29" t="s">
        <v>85</v>
      </c>
      <c r="C7" s="21" t="s">
        <v>529</v>
      </c>
      <c r="D7" s="48" t="s">
        <v>32</v>
      </c>
      <c r="E7" s="48">
        <v>4</v>
      </c>
      <c r="F7" s="48" t="s">
        <v>14</v>
      </c>
      <c r="G7" s="57" t="s">
        <v>21</v>
      </c>
      <c r="H7" s="2">
        <v>17242</v>
      </c>
      <c r="I7" s="49"/>
      <c r="J7" s="6" t="s">
        <v>530</v>
      </c>
      <c r="K7" s="6" t="s">
        <v>526</v>
      </c>
      <c r="L7" s="42">
        <f>SUMIFS([1]شهریور!$AF$2:$AF$105,[1]شهریور!$C$2:$C$105,"قطعه نو",[1]شهریور!$B$2:$B$105,C7,[1]شهریور!$P$2:$P$105,"*")</f>
        <v>17</v>
      </c>
      <c r="M7" s="1" t="s">
        <v>20</v>
      </c>
      <c r="N7" s="51">
        <f>SUMIFS([1]شهریور!$AR$2:$AR$105,[1]شهریور!$C$2:$C$105,"قطعه نو",[1]شهریور!$B$2:$B$105,C7,[1]شهریور!$P$2:$P$105,"*")</f>
        <v>12750000</v>
      </c>
    </row>
    <row r="8" spans="1:14" ht="28.7" customHeight="1" x14ac:dyDescent="0.25">
      <c r="A8" s="26">
        <v>5</v>
      </c>
      <c r="B8" s="59" t="s">
        <v>55</v>
      </c>
      <c r="C8" s="21" t="s">
        <v>58</v>
      </c>
      <c r="D8" s="48" t="s">
        <v>32</v>
      </c>
      <c r="E8" s="48">
        <v>4</v>
      </c>
      <c r="F8" s="48" t="s">
        <v>14</v>
      </c>
      <c r="G8" s="57" t="s">
        <v>21</v>
      </c>
      <c r="H8" s="2"/>
      <c r="I8" s="49"/>
      <c r="J8" s="6" t="s">
        <v>460</v>
      </c>
      <c r="K8" s="36" t="s">
        <v>526</v>
      </c>
      <c r="L8" s="42">
        <f>SUMIFS([1]شهریور!$AF$2:$AF$105,[1]شهریور!$C$2:$C$105,"قطعه نو",[1]شهریور!$B$2:$B$105,C8,[1]شهریور!$P$2:$P$105,"*")</f>
        <v>6</v>
      </c>
      <c r="M8" s="1" t="s">
        <v>20</v>
      </c>
      <c r="N8" s="51">
        <f>SUMIFS([1]شهریور!$AR$2:$AR$105,[1]شهریور!$C$2:$C$105,"قطعه نو",[1]شهریور!$B$2:$B$105,C8,[1]شهریور!$P$2:$P$105,"*")</f>
        <v>4500000</v>
      </c>
    </row>
    <row r="9" spans="1:14" ht="28.7" customHeight="1" x14ac:dyDescent="0.25">
      <c r="A9" s="26">
        <v>6</v>
      </c>
      <c r="B9" s="29" t="s">
        <v>531</v>
      </c>
      <c r="C9" s="21" t="s">
        <v>56</v>
      </c>
      <c r="D9" s="48" t="s">
        <v>32</v>
      </c>
      <c r="E9" s="48">
        <v>1</v>
      </c>
      <c r="F9" s="48" t="s">
        <v>14</v>
      </c>
      <c r="G9" s="57" t="s">
        <v>21</v>
      </c>
      <c r="H9" s="2"/>
      <c r="I9" s="49"/>
      <c r="J9" s="6" t="s">
        <v>532</v>
      </c>
      <c r="K9" s="6" t="s">
        <v>528</v>
      </c>
      <c r="L9" s="42">
        <f>SUMIFS([1]شهریور!$AF$2:$AF$105,[1]شهریور!$C$2:$C$105,"قطعه نو",[1]شهریور!$B$2:$B$105,C9,[1]شهریور!$P$2:$P$105,"*")</f>
        <v>6</v>
      </c>
      <c r="M9" s="1" t="s">
        <v>20</v>
      </c>
      <c r="N9" s="51">
        <f>SUMIFS([1]شهریور!$AR$2:$AR$105,[1]شهریور!$C$2:$C$105,"قطعه نو",[1]شهریور!$B$2:$B$105,C9,[1]شهریور!$P$2:$P$105,"*")</f>
        <v>4500000</v>
      </c>
    </row>
    <row r="10" spans="1:14" ht="28.7" customHeight="1" x14ac:dyDescent="0.25">
      <c r="A10" s="26">
        <v>7</v>
      </c>
      <c r="B10" s="134" t="s">
        <v>467</v>
      </c>
      <c r="C10" s="48" t="s">
        <v>533</v>
      </c>
      <c r="D10" s="48" t="s">
        <v>32</v>
      </c>
      <c r="E10" s="48">
        <v>4</v>
      </c>
      <c r="F10" s="48" t="s">
        <v>14</v>
      </c>
      <c r="G10" s="57" t="s">
        <v>21</v>
      </c>
      <c r="H10" s="49">
        <v>17226</v>
      </c>
      <c r="I10" s="49"/>
      <c r="J10" s="6" t="s">
        <v>532</v>
      </c>
      <c r="K10" s="6" t="s">
        <v>526</v>
      </c>
      <c r="L10" s="42">
        <f>SUMIFS([1]شهریور!$AF$2:$AF$105,[1]شهریور!$C$2:$C$105,"قطعه نو",[1]شهریور!$B$2:$B$105,C10,[1]شهریور!$P$2:$P$105,"*")</f>
        <v>2</v>
      </c>
      <c r="M10" s="1" t="s">
        <v>20</v>
      </c>
      <c r="N10" s="51">
        <f>SUMIFS([1]شهریور!$AR$2:$AR$105,[1]شهریور!$C$2:$C$105,"قطعه نو",[1]شهریور!$B$2:$B$105,C10,[1]شهریور!$P$2:$P$105,"*")</f>
        <v>1500000</v>
      </c>
    </row>
    <row r="11" spans="1:14" ht="28.7" customHeight="1" x14ac:dyDescent="0.25">
      <c r="A11" s="26">
        <v>8</v>
      </c>
      <c r="B11" s="29" t="s">
        <v>85</v>
      </c>
      <c r="C11" s="21" t="s">
        <v>512</v>
      </c>
      <c r="D11" s="48" t="s">
        <v>32</v>
      </c>
      <c r="E11" s="48">
        <v>1</v>
      </c>
      <c r="F11" s="48" t="s">
        <v>14</v>
      </c>
      <c r="G11" s="57" t="s">
        <v>21</v>
      </c>
      <c r="H11" s="2">
        <v>17055</v>
      </c>
      <c r="I11" s="49">
        <v>2512</v>
      </c>
      <c r="J11" s="6" t="s">
        <v>532</v>
      </c>
      <c r="K11" s="6"/>
      <c r="L11" s="42">
        <f>SUMIFS([1]شهریور!$AF$2:$AF$105,[1]شهریور!$C$2:$C$105,"قطعه نو",[1]شهریور!$B$2:$B$105,C11,[1]شهریور!$P$2:$P$105,"*")</f>
        <v>7</v>
      </c>
      <c r="M11" s="1" t="s">
        <v>37</v>
      </c>
      <c r="N11" s="51">
        <f>SUMIFS([1]شهریور!$AR$2:$AR$105,[1]شهریور!$C$2:$C$105,"قطعه نو",[1]شهریور!$B$2:$B$105,C11,[1]شهریور!$P$2:$P$105,"*")</f>
        <v>5250000</v>
      </c>
    </row>
    <row r="12" spans="1:14" ht="28.7" customHeight="1" x14ac:dyDescent="0.25">
      <c r="A12" s="26">
        <v>9</v>
      </c>
      <c r="B12" s="29" t="s">
        <v>302</v>
      </c>
      <c r="C12" s="21" t="s">
        <v>350</v>
      </c>
      <c r="D12" s="48" t="s">
        <v>351</v>
      </c>
      <c r="E12" s="48">
        <v>100</v>
      </c>
      <c r="F12" s="48" t="s">
        <v>14</v>
      </c>
      <c r="G12" s="57" t="s">
        <v>21</v>
      </c>
      <c r="H12" s="2"/>
      <c r="I12" s="49"/>
      <c r="J12" s="6" t="s">
        <v>359</v>
      </c>
      <c r="K12" s="6"/>
      <c r="L12" s="42">
        <f>SUMIFS([1]شهریور!$AF$2:$AF$105,[1]شهریور!$C$2:$C$105,"قطعه نو",[1]شهریور!$B$2:$B$105,C12,[1]شهریور!$P$2:$P$105,"*")</f>
        <v>22</v>
      </c>
      <c r="M12" s="1" t="s">
        <v>37</v>
      </c>
      <c r="N12" s="51">
        <f>SUMIFS([1]شهریور!$AR$2:$AR$105,[1]شهریور!$C$2:$C$105,"قطعه نو",[1]شهریور!$B$2:$B$105,C12,[1]شهریور!$P$2:$P$105,"*")</f>
        <v>16500000</v>
      </c>
    </row>
    <row r="13" spans="1:14" ht="28.7" customHeight="1" x14ac:dyDescent="0.25">
      <c r="A13" s="26">
        <v>10</v>
      </c>
      <c r="B13" s="134" t="s">
        <v>534</v>
      </c>
      <c r="C13" s="48" t="s">
        <v>523</v>
      </c>
      <c r="D13" s="48" t="s">
        <v>15</v>
      </c>
      <c r="E13" s="48">
        <v>2</v>
      </c>
      <c r="F13" s="48" t="s">
        <v>23</v>
      </c>
      <c r="G13" s="57" t="s">
        <v>18</v>
      </c>
      <c r="H13" s="49"/>
      <c r="I13" s="49"/>
      <c r="J13" s="6" t="s">
        <v>530</v>
      </c>
      <c r="K13" s="6" t="s">
        <v>535</v>
      </c>
      <c r="L13" s="42">
        <f>SUMIFS([1]شهریور!$AF$2:$AF$105,[1]شهریور!$C$2:$C$105,"قطعه تعمیری",[1]شهریور!$B$2:$B$105,C13,[1]شهریور!$P$2:$P$105,"*")</f>
        <v>5</v>
      </c>
      <c r="M13" s="1" t="s">
        <v>20</v>
      </c>
      <c r="N13" s="51">
        <f>SUMIFS([1]شهریور!$AR$2:$AR$105,[1]شهریور!$C$2:$C$105,"قطعه تعمیری",[1]شهریور!$B$2:$B$105,C13,[1]شهریور!$P$2:$P$105,"*")</f>
        <v>3750000</v>
      </c>
    </row>
    <row r="14" spans="1:14" ht="28.7" customHeight="1" x14ac:dyDescent="0.25">
      <c r="A14" s="26">
        <v>11</v>
      </c>
      <c r="B14" s="134" t="s">
        <v>33</v>
      </c>
      <c r="C14" s="48" t="s">
        <v>196</v>
      </c>
      <c r="D14" s="48" t="s">
        <v>32</v>
      </c>
      <c r="E14" s="48">
        <v>1</v>
      </c>
      <c r="F14" s="48" t="s">
        <v>23</v>
      </c>
      <c r="G14" s="57" t="s">
        <v>18</v>
      </c>
      <c r="H14" s="2">
        <v>16449</v>
      </c>
      <c r="I14" s="49">
        <v>4302</v>
      </c>
      <c r="J14" s="36" t="s">
        <v>525</v>
      </c>
      <c r="K14" s="6" t="s">
        <v>525</v>
      </c>
      <c r="L14" s="42">
        <f>SUMIFS([1]شهریور!$AF$2:$AF$105,[1]شهریور!$C$2:$C$105,"قطعه تعمیری",[1]شهریور!$B$2:$B$105,C14,[1]شهریور!$P$2:$P$105,"*")</f>
        <v>3</v>
      </c>
      <c r="M14" s="1" t="s">
        <v>20</v>
      </c>
      <c r="N14" s="51">
        <f>SUMIFS([1]شهریور!$AR$2:$AR$105,[1]شهریور!$C$2:$C$105,"قطعه تعمیری",[1]شهریور!$B$2:$B$105,C14,[1]شهریور!$P$2:$P$105,"*")</f>
        <v>2250000</v>
      </c>
    </row>
    <row r="15" spans="1:14" ht="28.7" customHeight="1" x14ac:dyDescent="0.25">
      <c r="A15" s="26">
        <v>12</v>
      </c>
      <c r="B15" s="134" t="s">
        <v>536</v>
      </c>
      <c r="C15" s="48" t="s">
        <v>527</v>
      </c>
      <c r="D15" s="48" t="s">
        <v>32</v>
      </c>
      <c r="E15" s="48">
        <v>4</v>
      </c>
      <c r="F15" s="48" t="s">
        <v>23</v>
      </c>
      <c r="G15" s="57" t="s">
        <v>18</v>
      </c>
      <c r="H15" s="49"/>
      <c r="I15" s="49"/>
      <c r="J15" s="36" t="s">
        <v>525</v>
      </c>
      <c r="K15" s="6" t="s">
        <v>525</v>
      </c>
      <c r="L15" s="42">
        <f>SUMIFS([1]شهریور!$AF$2:$AF$105,[1]شهریور!$C$2:$C$105,"قطعه تعمیری",[1]شهریور!$B$2:$B$105,C15,[1]شهریور!$P$2:$P$105,"*")</f>
        <v>4</v>
      </c>
      <c r="M15" s="1" t="s">
        <v>20</v>
      </c>
      <c r="N15" s="51">
        <f>SUMIFS([1]شهریور!$AR$2:$AR$105,[1]شهریور!$C$2:$C$105,"قطعه تعمیری",[1]شهریور!$B$2:$B$105,C15,[1]شهریور!$P$2:$P$105,"*")</f>
        <v>3000000</v>
      </c>
    </row>
    <row r="16" spans="1:14" ht="28.7" customHeight="1" x14ac:dyDescent="0.25">
      <c r="A16" s="26">
        <v>13</v>
      </c>
      <c r="B16" s="134" t="s">
        <v>64</v>
      </c>
      <c r="C16" s="48" t="s">
        <v>56</v>
      </c>
      <c r="D16" s="48" t="s">
        <v>32</v>
      </c>
      <c r="E16" s="48">
        <v>1</v>
      </c>
      <c r="F16" s="48" t="s">
        <v>23</v>
      </c>
      <c r="G16" s="57" t="s">
        <v>18</v>
      </c>
      <c r="H16" s="49">
        <v>17354</v>
      </c>
      <c r="I16" s="49"/>
      <c r="J16" s="6" t="s">
        <v>532</v>
      </c>
      <c r="K16" s="6" t="s">
        <v>535</v>
      </c>
      <c r="L16" s="42">
        <f>SUMIFS([1]شهریور!$AF$2:$AF$105,[1]شهریور!$C$2:$C$105,"قطعه تعمیری",[1]شهریور!$B$2:$B$105,C16,[1]شهریور!$P$2:$P$105,"*")</f>
        <v>10</v>
      </c>
      <c r="M16" s="1" t="s">
        <v>20</v>
      </c>
      <c r="N16" s="51">
        <f>SUMIFS([1]شهریور!$AR$2:$AR$105,[1]شهریور!$C$2:$C$105,"قطعه تعمیری",[1]شهریور!$B$2:$B$105,C16,[1]شهریور!$P$2:$P$105,"*")</f>
        <v>7500000</v>
      </c>
    </row>
    <row r="17" spans="1:14" ht="28.7" customHeight="1" x14ac:dyDescent="0.25">
      <c r="A17" s="26">
        <v>14</v>
      </c>
      <c r="B17" s="134" t="s">
        <v>85</v>
      </c>
      <c r="C17" s="48" t="s">
        <v>280</v>
      </c>
      <c r="D17" s="48" t="s">
        <v>32</v>
      </c>
      <c r="E17" s="48">
        <v>1</v>
      </c>
      <c r="F17" s="48" t="s">
        <v>23</v>
      </c>
      <c r="G17" s="57" t="s">
        <v>537</v>
      </c>
      <c r="H17" s="49"/>
      <c r="I17" s="49"/>
      <c r="J17" s="6" t="s">
        <v>532</v>
      </c>
      <c r="K17" s="6"/>
      <c r="L17" s="42">
        <f>SUMIFS([1]شهریور!$AF$2:$AF$105,[1]شهریور!$C$2:$C$105,"قطعه تعمیری",[1]شهریور!$B$2:$B$105,C17,[1]شهریور!$P$2:$P$105,"*")</f>
        <v>2</v>
      </c>
      <c r="M17" s="1" t="s">
        <v>37</v>
      </c>
      <c r="N17" s="51">
        <f>SUMIFS([1]شهریور!$AR$2:$AR$105,[1]شهریور!$C$2:$C$105,"قطعه تعمیری",[1]شهریور!$B$2:$B$105,C17,[1]شهریور!$P$2:$P$105,"*")</f>
        <v>1500000</v>
      </c>
    </row>
    <row r="18" spans="1:14" ht="28.7" customHeight="1" x14ac:dyDescent="0.25">
      <c r="A18" s="26">
        <v>15</v>
      </c>
      <c r="B18" s="134" t="s">
        <v>39</v>
      </c>
      <c r="C18" s="48" t="s">
        <v>22</v>
      </c>
      <c r="D18" s="48" t="s">
        <v>32</v>
      </c>
      <c r="E18" s="48">
        <v>8</v>
      </c>
      <c r="F18" s="48" t="s">
        <v>23</v>
      </c>
      <c r="G18" s="57" t="s">
        <v>538</v>
      </c>
      <c r="H18" s="49"/>
      <c r="I18" s="49"/>
      <c r="J18" s="6" t="s">
        <v>530</v>
      </c>
      <c r="K18" s="6" t="s">
        <v>530</v>
      </c>
      <c r="L18" s="42">
        <f>SUMIFS([1]شهریور!$AF$2:$AF$105,[1]شهریور!$C$2:$C$105,"قطعه تعمیری",[1]شهریور!$B$2:$B$105,C18,[1]شهریور!$P$2:$P$105,"*")</f>
        <v>1</v>
      </c>
      <c r="M18" s="1" t="s">
        <v>20</v>
      </c>
      <c r="N18" s="51">
        <f>SUMIFS([1]شهریور!$AR$2:$AR$105,[1]شهریور!$C$2:$C$105,"قطعه تعمیری",[1]شهریور!$B$2:$B$105,C18,[1]شهریور!$P$2:$P$105,"*")</f>
        <v>750000</v>
      </c>
    </row>
    <row r="19" spans="1:14" ht="28.7" customHeight="1" x14ac:dyDescent="0.25">
      <c r="A19" s="26">
        <v>16</v>
      </c>
      <c r="B19" s="134" t="s">
        <v>64</v>
      </c>
      <c r="C19" s="48" t="s">
        <v>323</v>
      </c>
      <c r="D19" s="48" t="s">
        <v>32</v>
      </c>
      <c r="E19" s="48">
        <v>1</v>
      </c>
      <c r="F19" s="48" t="s">
        <v>23</v>
      </c>
      <c r="G19" s="57" t="s">
        <v>539</v>
      </c>
      <c r="H19" s="49"/>
      <c r="I19" s="49"/>
      <c r="J19" s="6" t="s">
        <v>530</v>
      </c>
      <c r="K19" s="6"/>
      <c r="L19" s="42">
        <f>SUMIFS([1]شهریور!$AF$2:$AF$105,[1]شهریور!$C$2:$C$105,"قطعه تعمیری",[1]شهریور!$B$2:$B$105,C19,[1]شهریور!$P$2:$P$105,"*")+4</f>
        <v>15</v>
      </c>
      <c r="M19" s="1" t="s">
        <v>37</v>
      </c>
      <c r="N19" s="51">
        <f>SUMIFS([1]شهریور!$AR$2:$AR$105,[1]شهریور!$C$2:$C$105,"قطعه تعمیری",[1]شهریور!$B$2:$B$105,C19,[1]شهریور!$P$2:$P$105,"*")+3000000</f>
        <v>11250000</v>
      </c>
    </row>
    <row r="20" spans="1:14" ht="28.7" customHeight="1" x14ac:dyDescent="0.25">
      <c r="A20" s="26">
        <v>17</v>
      </c>
      <c r="B20" s="134" t="s">
        <v>485</v>
      </c>
      <c r="C20" s="48" t="s">
        <v>27</v>
      </c>
      <c r="D20" s="48" t="s">
        <v>17</v>
      </c>
      <c r="E20" s="48">
        <v>3</v>
      </c>
      <c r="F20" s="48" t="s">
        <v>23</v>
      </c>
      <c r="G20" s="57" t="s">
        <v>18</v>
      </c>
      <c r="H20" s="49">
        <v>17101</v>
      </c>
      <c r="I20" s="49"/>
      <c r="J20" s="6" t="s">
        <v>461</v>
      </c>
      <c r="K20" s="6" t="s">
        <v>526</v>
      </c>
      <c r="L20" s="42">
        <f>SUMIFS([1]شهریور!$AF$2:$AF$105,[1]شهریور!$C$2:$C$105,"قطعه تعمیری",[1]شهریور!$B$2:$B$105,C20,[1]شهریور!$P$2:$P$105,"*")</f>
        <v>7</v>
      </c>
      <c r="M20" s="1" t="s">
        <v>20</v>
      </c>
      <c r="N20" s="51">
        <f>SUMIFS([1]شهریور!$AR$2:$AR$105,[1]شهریور!$C$2:$C$105,"قطعه تعمیری",[1]شهریور!$B$2:$B$105,C20,[1]شهریور!$P$2:$P$105,"*")</f>
        <v>5250000</v>
      </c>
    </row>
    <row r="21" spans="1:14" ht="28.7" customHeight="1" x14ac:dyDescent="0.25">
      <c r="A21" s="26">
        <v>18</v>
      </c>
      <c r="B21" s="134" t="s">
        <v>85</v>
      </c>
      <c r="C21" s="48" t="s">
        <v>512</v>
      </c>
      <c r="D21" s="48" t="s">
        <v>32</v>
      </c>
      <c r="E21" s="48">
        <v>1</v>
      </c>
      <c r="F21" s="48" t="s">
        <v>23</v>
      </c>
      <c r="G21" s="57" t="s">
        <v>18</v>
      </c>
      <c r="H21" s="49">
        <v>17053</v>
      </c>
      <c r="I21" s="49">
        <v>2508</v>
      </c>
      <c r="J21" s="6" t="s">
        <v>520</v>
      </c>
      <c r="K21" s="6" t="s">
        <v>520</v>
      </c>
      <c r="L21" s="42">
        <f>SUMIFS([1]مرداد!$AF$422:$AF$800,[1]مرداد!$C$422:$C$800,"قطعه تعمیری",[1]مرداد!$B$422:$B$800,C21,[1]مرداد!$P$422:$P$800,"*")</f>
        <v>2</v>
      </c>
      <c r="M21" s="1" t="s">
        <v>20</v>
      </c>
      <c r="N21" s="51">
        <f>SUMIFS([1]مرداد!$AR$289:$AR$422,[1]مرداد!$C$289:$C$422,"قطعه تعمیری",[1]مرداد!$B$289:$B$422,C21,[1]مرداد!$P$289:$P$422,"*")</f>
        <v>2000000</v>
      </c>
    </row>
    <row r="22" spans="1:14" ht="28.7" customHeight="1" x14ac:dyDescent="0.25">
      <c r="A22" s="26">
        <v>19</v>
      </c>
      <c r="B22" s="59" t="s">
        <v>506</v>
      </c>
      <c r="C22" s="21" t="s">
        <v>518</v>
      </c>
      <c r="D22" s="48" t="s">
        <v>32</v>
      </c>
      <c r="E22" s="48">
        <v>220</v>
      </c>
      <c r="F22" s="48" t="s">
        <v>14</v>
      </c>
      <c r="G22" s="57" t="s">
        <v>21</v>
      </c>
      <c r="H22" s="49"/>
      <c r="I22" s="49"/>
      <c r="J22" s="6" t="s">
        <v>519</v>
      </c>
      <c r="K22" s="6" t="s">
        <v>520</v>
      </c>
      <c r="L22" s="42">
        <f>SUMIFS([1]مرداد!$AF$422:$AF$800,[1]مرداد!$C$422:$C$800,"قطعه نو",[1]مرداد!$B$422:$B$800,C22,[1]مرداد!$P$422:$P$800,"*")</f>
        <v>38</v>
      </c>
      <c r="M22" s="1" t="s">
        <v>20</v>
      </c>
      <c r="N22" s="51">
        <f>SUMIFS([1]مرداد!$AR$422:$AR$800,[1]مرداد!$C$422:$C$800,"قطعه نو",[1]مرداد!$B$422:$B$800,C22,[1]مرداد!$P$422:$P$800,"*")</f>
        <v>28500000</v>
      </c>
    </row>
    <row r="23" spans="1:14" ht="28.7" customHeight="1" x14ac:dyDescent="0.25">
      <c r="A23" s="26">
        <v>20</v>
      </c>
      <c r="B23" s="134" t="s">
        <v>541</v>
      </c>
      <c r="C23" s="48" t="s">
        <v>540</v>
      </c>
      <c r="D23" s="48" t="s">
        <v>32</v>
      </c>
      <c r="E23" s="48">
        <v>6</v>
      </c>
      <c r="F23" s="48" t="s">
        <v>14</v>
      </c>
      <c r="G23" s="57" t="s">
        <v>21</v>
      </c>
      <c r="H23" s="49">
        <v>16842</v>
      </c>
      <c r="I23" s="49">
        <v>2012</v>
      </c>
      <c r="J23" s="6" t="s">
        <v>520</v>
      </c>
      <c r="K23" s="6" t="s">
        <v>532</v>
      </c>
      <c r="L23" s="42">
        <f>SUMIFS([1]مرداد!$AF$422:$AF$800,[1]مرداد!$C$422:$C$800,"قطعه نو",[1]مرداد!$B$422:$B$800,C23,[1]مرداد!$P$422:$P$800,"*")</f>
        <v>7</v>
      </c>
      <c r="M23" s="1" t="s">
        <v>20</v>
      </c>
      <c r="N23" s="51">
        <f>SUMIFS([1]مرداد!$AR$422:$AR$800,[1]مرداد!$C$422:$C$800,"قطعه نو",[1]مرداد!$B$422:$B$800,C23,[1]مرداد!$P$422:$P$800,"*")</f>
        <v>5250000</v>
      </c>
    </row>
    <row r="24" spans="1:14" ht="28.7" customHeight="1" x14ac:dyDescent="0.25">
      <c r="A24" s="26">
        <v>21</v>
      </c>
      <c r="B24" s="134" t="s">
        <v>344</v>
      </c>
      <c r="C24" s="48" t="s">
        <v>301</v>
      </c>
      <c r="D24" s="48" t="s">
        <v>29</v>
      </c>
      <c r="E24" s="48">
        <v>1</v>
      </c>
      <c r="F24" s="48" t="s">
        <v>14</v>
      </c>
      <c r="G24" s="57" t="s">
        <v>21</v>
      </c>
      <c r="H24" s="49"/>
      <c r="I24" s="49"/>
      <c r="J24" s="6" t="s">
        <v>520</v>
      </c>
      <c r="K24" s="6" t="s">
        <v>520</v>
      </c>
      <c r="L24" s="42">
        <f>SUMIFS([1]مرداد!$AF$422:$AF$800,[1]مرداد!$C$422:$C$800,"قطعه نو",[1]مرداد!$B$422:$B$800,C24,[1]مرداد!$P$422:$P$800,"*")</f>
        <v>3</v>
      </c>
      <c r="M24" s="1" t="s">
        <v>20</v>
      </c>
      <c r="N24" s="51">
        <f>SUMIFS([1]مرداد!$AR$422:$AR$800,[1]مرداد!$C$422:$C$800,"قطعه نو",[1]مرداد!$B$422:$B$800,C24,[1]مرداد!$P$422:$P$800,"*")</f>
        <v>2250000</v>
      </c>
    </row>
    <row r="25" spans="1:14" ht="28.7" customHeight="1" x14ac:dyDescent="0.25">
      <c r="A25" s="26">
        <v>22</v>
      </c>
      <c r="B25" s="134" t="s">
        <v>467</v>
      </c>
      <c r="C25" s="48" t="s">
        <v>533</v>
      </c>
      <c r="D25" s="48" t="s">
        <v>32</v>
      </c>
      <c r="E25" s="48">
        <v>4</v>
      </c>
      <c r="F25" s="48" t="s">
        <v>14</v>
      </c>
      <c r="G25" s="57" t="s">
        <v>21</v>
      </c>
      <c r="H25" s="49">
        <v>17226</v>
      </c>
      <c r="I25" s="49"/>
      <c r="J25" s="6" t="s">
        <v>520</v>
      </c>
      <c r="K25" s="6"/>
      <c r="L25" s="42">
        <f>SUMIFS([1]مرداد!$AF$422:$AF$800,[1]مرداد!$C$422:$C$800,"قطعه نو",[1]مرداد!$B$422:$B$800,C25,[1]مرداد!$P$422:$P$800,"*")</f>
        <v>20</v>
      </c>
      <c r="M25" s="1" t="s">
        <v>37</v>
      </c>
      <c r="N25" s="51">
        <f>SUMIFS([1]مرداد!$AR$422:$AR$800,[1]مرداد!$C$422:$C$800,"قطعه نو",[1]مرداد!$B$422:$B$800,C25,[1]مرداد!$P$422:$P$800,"*")</f>
        <v>15000000</v>
      </c>
    </row>
    <row r="26" spans="1:14" ht="28.7" customHeight="1" x14ac:dyDescent="0.25">
      <c r="A26" s="26">
        <v>23</v>
      </c>
      <c r="B26" s="134" t="s">
        <v>543</v>
      </c>
      <c r="C26" s="48" t="s">
        <v>542</v>
      </c>
      <c r="D26" s="48" t="s">
        <v>32</v>
      </c>
      <c r="E26" s="48">
        <v>1</v>
      </c>
      <c r="F26" s="48" t="s">
        <v>14</v>
      </c>
      <c r="G26" s="57" t="s">
        <v>21</v>
      </c>
      <c r="H26" s="49"/>
      <c r="I26" s="49"/>
      <c r="J26" s="6" t="s">
        <v>520</v>
      </c>
      <c r="K26" s="6" t="s">
        <v>532</v>
      </c>
      <c r="L26" s="42">
        <f>SUMIFS([1]مرداد!$AF$422:$AF$800,[1]مرداد!$C$422:$C$800,"قطعه نو",[1]مرداد!$B$422:$B$800,C26,[1]مرداد!$P$422:$P$800,"*")</f>
        <v>1</v>
      </c>
      <c r="M26" s="1" t="s">
        <v>20</v>
      </c>
      <c r="N26" s="51">
        <f>SUMIFS([1]مرداد!$AR$422:$AR$800,[1]مرداد!$C$422:$C$800,"قطعه نو",[1]مرداد!$B$422:$B$800,C26,[1]مرداد!$P$422:$P$800,"*")</f>
        <v>750000</v>
      </c>
    </row>
    <row r="27" spans="1:14" ht="28.7" customHeight="1" thickBot="1" x14ac:dyDescent="0.3">
      <c r="A27" s="26">
        <v>24</v>
      </c>
      <c r="B27" s="59" t="s">
        <v>55</v>
      </c>
      <c r="C27" s="21" t="s">
        <v>58</v>
      </c>
      <c r="D27" s="48" t="s">
        <v>32</v>
      </c>
      <c r="E27" s="48">
        <v>4</v>
      </c>
      <c r="F27" s="48" t="s">
        <v>14</v>
      </c>
      <c r="G27" s="57" t="s">
        <v>21</v>
      </c>
      <c r="H27" s="2"/>
      <c r="I27" s="49"/>
      <c r="J27" s="6" t="s">
        <v>460</v>
      </c>
      <c r="K27" s="6" t="s">
        <v>535</v>
      </c>
      <c r="L27" s="42">
        <f>SUMIFS([1]مرداد!$AF$422:$AF$800,[1]مرداد!$C$422:$C$800,"قطعه نو",[1]مرداد!$B$422:$B$800,C27,[1]مرداد!$P$422:$P$800,"*")</f>
        <v>46</v>
      </c>
      <c r="M27" s="1" t="s">
        <v>20</v>
      </c>
      <c r="N27" s="51">
        <f>SUMIFS([1]مرداد!$AR$422:$AR$800,[1]مرداد!$C$422:$C$800,"قطعه نو",[1]مرداد!$B$422:$B$800,C27,[1]مرداد!$P$422:$P$800,"*")</f>
        <v>34500000</v>
      </c>
    </row>
    <row r="28" spans="1:14" ht="21" customHeight="1" x14ac:dyDescent="0.25">
      <c r="A28" s="31"/>
      <c r="B28" s="251" t="s">
        <v>445</v>
      </c>
      <c r="C28" s="128" t="s">
        <v>184</v>
      </c>
      <c r="D28" s="83" t="s">
        <v>14</v>
      </c>
      <c r="E28" s="93">
        <f>SUMIFS(E4:E27,F4:F27,D28,M4:M27,"تحویل")</f>
        <v>253</v>
      </c>
      <c r="F28" s="125"/>
      <c r="G28" s="83"/>
      <c r="H28" s="9"/>
      <c r="I28" s="251" t="s">
        <v>115</v>
      </c>
      <c r="J28" s="9" t="s">
        <v>14</v>
      </c>
      <c r="K28" s="93">
        <f>SUMIFS(E4:E27,F4:F27,J28)</f>
        <v>359</v>
      </c>
      <c r="L28" s="237">
        <f>SUMIFS(L4:L27,F4:F27,J28)</f>
        <v>195.25</v>
      </c>
      <c r="M28" s="112"/>
      <c r="N28" s="178">
        <f>SUMIFS(N4:N27,F4:F27,J28)</f>
        <v>146437500</v>
      </c>
    </row>
    <row r="29" spans="1:14" ht="21" customHeight="1" x14ac:dyDescent="0.25">
      <c r="A29" s="180"/>
      <c r="B29" s="246"/>
      <c r="C29" s="131" t="s">
        <v>184</v>
      </c>
      <c r="D29" s="61" t="s">
        <v>23</v>
      </c>
      <c r="E29" s="102">
        <f>SUMIFS(E4:E27,F4:F27,D29,M4:M27,"تحویل")</f>
        <v>20</v>
      </c>
      <c r="F29" s="60"/>
      <c r="G29" s="61"/>
      <c r="H29" s="60"/>
      <c r="I29" s="246"/>
      <c r="J29" s="60" t="s">
        <v>23</v>
      </c>
      <c r="K29" s="60">
        <f>SUMIFS(E4:E27,F4:F27,J29)</f>
        <v>22</v>
      </c>
      <c r="L29" s="236">
        <f>SUMIFS(L4:L27,F4:F27,J29)</f>
        <v>49</v>
      </c>
      <c r="M29" s="118"/>
      <c r="N29" s="182">
        <f>SUMIFS(N5:N28,F5:F28,J29)</f>
        <v>37250000</v>
      </c>
    </row>
    <row r="30" spans="1:14" ht="29.25" customHeight="1" thickBot="1" x14ac:dyDescent="0.3">
      <c r="A30" s="198"/>
      <c r="B30" s="203" t="s">
        <v>115</v>
      </c>
      <c r="C30" s="199"/>
      <c r="D30" s="200"/>
      <c r="E30" s="199">
        <f>E28+E29</f>
        <v>273</v>
      </c>
      <c r="F30" s="199"/>
      <c r="G30" s="199"/>
      <c r="H30" s="199"/>
      <c r="I30" s="199"/>
      <c r="J30" s="199"/>
      <c r="K30" s="199">
        <f>K28+K29</f>
        <v>381</v>
      </c>
      <c r="L30" s="203">
        <f>L28+L29</f>
        <v>244.25</v>
      </c>
      <c r="M30" s="201"/>
      <c r="N30" s="202">
        <f>N28+N29</f>
        <v>183687500</v>
      </c>
    </row>
    <row r="32" spans="1:14" x14ac:dyDescent="0.25">
      <c r="N32" s="95"/>
    </row>
  </sheetData>
  <mergeCells count="3">
    <mergeCell ref="A1:K2"/>
    <mergeCell ref="B28:B29"/>
    <mergeCell ref="I28:I29"/>
  </mergeCells>
  <printOptions horizontalCentered="1" verticalCentered="1"/>
  <pageMargins left="0" right="0" top="0" bottom="0" header="0" footer="0"/>
  <pageSetup scale="95" fitToHeight="0" orientation="landscape" r:id="rId1"/>
  <ignoredErrors>
    <ignoredError sqref="L21 N21 L19:N19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AFB8-12CB-4BAD-9D79-AFF1EB517BE7}">
  <sheetPr>
    <pageSetUpPr fitToPage="1"/>
  </sheetPr>
  <dimension ref="A1:N18"/>
  <sheetViews>
    <sheetView rightToLeft="1" view="pageLayout" topLeftCell="A7" zoomScaleNormal="100" workbookViewId="0">
      <selection activeCell="C4" sqref="C4:C5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24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59" t="s">
        <v>501</v>
      </c>
      <c r="C4" s="21" t="s">
        <v>482</v>
      </c>
      <c r="D4" s="48" t="s">
        <v>32</v>
      </c>
      <c r="E4" s="48">
        <v>1</v>
      </c>
      <c r="F4" s="48" t="s">
        <v>14</v>
      </c>
      <c r="G4" s="57" t="s">
        <v>21</v>
      </c>
      <c r="H4" s="49"/>
      <c r="I4" s="49"/>
      <c r="J4" s="6" t="s">
        <v>502</v>
      </c>
      <c r="K4" s="36"/>
      <c r="L4" s="42">
        <f>SUMIFS([1]شهریور!$AF$104:$AF$205,[1]شهریور!$C$104:$C$205,"قطعه نو",[1]شهریور!$B$104:$B$205,C4,[1]شهریور!$P$104:$P$205,"*")</f>
        <v>11</v>
      </c>
      <c r="M4" s="1" t="s">
        <v>37</v>
      </c>
      <c r="N4" s="51">
        <f>SUMIFS([1]شهریور!$AR$104:$AR$205,[1]شهریور!$C$104:$C$205,"قطعه نو",[1]شهریور!$B$104:$B$205,C4,[1]شهریور!$P$104:$P$205,"*")</f>
        <v>8250000</v>
      </c>
    </row>
    <row r="5" spans="1:14" ht="28.7" customHeight="1" x14ac:dyDescent="0.25">
      <c r="A5" s="26">
        <v>2</v>
      </c>
      <c r="B5" s="29" t="s">
        <v>85</v>
      </c>
      <c r="C5" s="21" t="s">
        <v>512</v>
      </c>
      <c r="D5" s="48" t="s">
        <v>32</v>
      </c>
      <c r="E5" s="48">
        <v>1</v>
      </c>
      <c r="F5" s="48" t="s">
        <v>14</v>
      </c>
      <c r="G5" s="57" t="s">
        <v>21</v>
      </c>
      <c r="H5" s="2">
        <v>17055</v>
      </c>
      <c r="I5" s="49">
        <v>2512</v>
      </c>
      <c r="J5" s="6" t="s">
        <v>532</v>
      </c>
      <c r="K5" s="6"/>
      <c r="L5" s="42">
        <f>SUMIFS([1]شهریور!$AF$104:$AF$205,[1]شهریور!$C$104:$C$205,"قطعه نو",[1]شهریور!$B$104:$B$205,C5,[1]شهریور!$P$104:$P$205,"*")</f>
        <v>9.5</v>
      </c>
      <c r="M5" s="1" t="s">
        <v>37</v>
      </c>
      <c r="N5" s="51">
        <f>SUMIFS([1]شهریور!$AR$104:$AR$205,[1]شهریور!$C$104:$C$205,"قطعه نو",[1]شهریور!$B$104:$B$205,C5,[1]شهریور!$P$104:$P$205,"*")</f>
        <v>7125000</v>
      </c>
    </row>
    <row r="6" spans="1:14" ht="28.7" customHeight="1" x14ac:dyDescent="0.25">
      <c r="A6" s="26">
        <v>3</v>
      </c>
      <c r="B6" s="134" t="s">
        <v>85</v>
      </c>
      <c r="C6" s="48" t="s">
        <v>280</v>
      </c>
      <c r="D6" s="48" t="s">
        <v>32</v>
      </c>
      <c r="E6" s="48">
        <v>1</v>
      </c>
      <c r="F6" s="48" t="s">
        <v>14</v>
      </c>
      <c r="G6" s="57" t="s">
        <v>537</v>
      </c>
      <c r="H6" s="49"/>
      <c r="I6" s="49"/>
      <c r="J6" s="6" t="s">
        <v>532</v>
      </c>
      <c r="K6" s="6" t="s">
        <v>555</v>
      </c>
      <c r="L6" s="42">
        <f>SUMIFS([1]شهریور!$AF$104:$AF$205,[1]شهریور!$C$104:$C$205,"قطعه نو",[1]شهریور!$B$104:$B$205,C6,[1]شهریور!$P$104:$P$205,"*")</f>
        <v>15.333333333333334</v>
      </c>
      <c r="M6" s="1" t="s">
        <v>20</v>
      </c>
      <c r="N6" s="51">
        <f>SUMIFS([1]شهریور!$AR$104:$AR$205,[1]شهریور!$C$104:$C$205,"قطعه نو",[1]شهریور!$B$104:$B$205,C6,[1]شهریور!$P$104:$P$205,"*")</f>
        <v>11500000</v>
      </c>
    </row>
    <row r="7" spans="1:14" ht="28.7" customHeight="1" x14ac:dyDescent="0.25">
      <c r="A7" s="26">
        <v>4</v>
      </c>
      <c r="B7" s="29" t="s">
        <v>554</v>
      </c>
      <c r="C7" s="21" t="s">
        <v>553</v>
      </c>
      <c r="D7" s="48" t="s">
        <v>273</v>
      </c>
      <c r="E7" s="48">
        <v>1</v>
      </c>
      <c r="F7" s="48" t="s">
        <v>14</v>
      </c>
      <c r="G7" s="57" t="s">
        <v>21</v>
      </c>
      <c r="H7" s="2">
        <v>17219</v>
      </c>
      <c r="I7" s="49"/>
      <c r="J7" s="6" t="s">
        <v>555</v>
      </c>
      <c r="K7" s="6"/>
      <c r="L7" s="42">
        <f>SUMIFS([1]شهریور!$AF$104:$AF$205,[1]شهریور!$C$104:$C$205,"قطعه نو",[1]شهریور!$B$104:$B$205,C7,[1]شهریور!$P$104:$P$205,"*")</f>
        <v>6.5</v>
      </c>
      <c r="M7" s="1" t="s">
        <v>37</v>
      </c>
      <c r="N7" s="51">
        <f>SUMIFS([1]شهریور!$AR$104:$AR$205,[1]شهریور!$C$104:$C$205,"قطعه نو",[1]شهریور!$B$104:$B$205,C7,[1]شهریور!$P$104:$P$205,"*")</f>
        <v>4875000</v>
      </c>
    </row>
    <row r="8" spans="1:14" ht="28.7" customHeight="1" x14ac:dyDescent="0.25">
      <c r="A8" s="26">
        <v>5</v>
      </c>
      <c r="B8" s="59" t="s">
        <v>220</v>
      </c>
      <c r="C8" s="21" t="s">
        <v>405</v>
      </c>
      <c r="D8" s="48" t="s">
        <v>32</v>
      </c>
      <c r="E8" s="48">
        <v>1</v>
      </c>
      <c r="F8" s="48" t="s">
        <v>14</v>
      </c>
      <c r="G8" s="57" t="s">
        <v>21</v>
      </c>
      <c r="H8" s="2"/>
      <c r="I8" s="49"/>
      <c r="J8" s="6" t="s">
        <v>555</v>
      </c>
      <c r="K8" s="36"/>
      <c r="L8" s="42">
        <f>SUMIFS([1]شهریور!$AF$104:$AF$205,[1]شهریور!$C$104:$C$205,"قطعه نو",[1]شهریور!$B$104:$B$205,C8,[1]شهریور!$P$104:$P$205,"*")</f>
        <v>6.5</v>
      </c>
      <c r="M8" s="1" t="s">
        <v>37</v>
      </c>
      <c r="N8" s="51">
        <f>SUMIFS([1]شهریور!$AR$104:$AR$205,[1]شهریور!$C$104:$C$205,"قطعه نو",[1]شهریور!$B$104:$B$205,C8,[1]شهریور!$P$104:$P$205,"*")</f>
        <v>9750000</v>
      </c>
    </row>
    <row r="9" spans="1:14" ht="28.7" customHeight="1" x14ac:dyDescent="0.25">
      <c r="A9" s="26">
        <v>6</v>
      </c>
      <c r="B9" s="29" t="s">
        <v>53</v>
      </c>
      <c r="C9" s="21" t="s">
        <v>556</v>
      </c>
      <c r="D9" s="48" t="s">
        <v>32</v>
      </c>
      <c r="E9" s="48">
        <v>1</v>
      </c>
      <c r="F9" s="48" t="s">
        <v>23</v>
      </c>
      <c r="G9" s="57" t="s">
        <v>18</v>
      </c>
      <c r="H9" s="2"/>
      <c r="I9" s="49"/>
      <c r="J9" s="6" t="s">
        <v>557</v>
      </c>
      <c r="K9" s="6" t="s">
        <v>557</v>
      </c>
      <c r="L9" s="42">
        <f>SUMIFS([1]شهریور!$AF$104:$AF$205,[1]شهریور!$C$104:$C$205,"قطعه تعمیری",[1]شهریور!$B$104:$B$205,C9,[1]شهریور!$P$104:$P$205,"*")</f>
        <v>3</v>
      </c>
      <c r="M9" s="1" t="s">
        <v>20</v>
      </c>
      <c r="N9" s="51">
        <f>SUMIFS([1]شهریور!$AR$104:$AR$205,[1]شهریور!$C$104:$C$205,"قطعه تعمیری",[1]شهریور!$B$104:$B$205,C9,[1]شهریور!$P$104:$P$205,"*")</f>
        <v>2250000</v>
      </c>
    </row>
    <row r="10" spans="1:14" ht="28.7" customHeight="1" x14ac:dyDescent="0.25">
      <c r="A10" s="26">
        <v>7</v>
      </c>
      <c r="B10" s="134" t="s">
        <v>39</v>
      </c>
      <c r="C10" s="48" t="s">
        <v>22</v>
      </c>
      <c r="D10" s="48" t="s">
        <v>558</v>
      </c>
      <c r="E10" s="48">
        <v>6</v>
      </c>
      <c r="F10" s="48" t="s">
        <v>23</v>
      </c>
      <c r="G10" s="57" t="s">
        <v>18</v>
      </c>
      <c r="H10" s="49"/>
      <c r="I10" s="49"/>
      <c r="J10" s="6" t="s">
        <v>557</v>
      </c>
      <c r="K10" s="6" t="s">
        <v>557</v>
      </c>
      <c r="L10" s="42">
        <f>SUMIFS([1]شهریور!$AF$104:$AF$205,[1]شهریور!$C$104:$C$205,"قطعه تعمیری",[1]شهریور!$B$104:$B$205,C10,[1]شهریور!$P$104:$P$205,"*")</f>
        <v>1.5</v>
      </c>
      <c r="M10" s="1" t="s">
        <v>20</v>
      </c>
      <c r="N10" s="51">
        <f>SUMIFS([1]شهریور!$AR$104:$AR$205,[1]شهریور!$C$104:$C$205,"قطعه تعمیری",[1]شهریور!$B$104:$B$205,C10,[1]شهریور!$P$104:$P$205,"*")</f>
        <v>1125000</v>
      </c>
    </row>
    <row r="11" spans="1:14" ht="28.7" customHeight="1" x14ac:dyDescent="0.25">
      <c r="A11" s="26">
        <v>8</v>
      </c>
      <c r="B11" s="29" t="s">
        <v>348</v>
      </c>
      <c r="C11" s="21" t="s">
        <v>496</v>
      </c>
      <c r="D11" s="48" t="s">
        <v>559</v>
      </c>
      <c r="E11" s="48">
        <v>6</v>
      </c>
      <c r="F11" s="57" t="s">
        <v>23</v>
      </c>
      <c r="G11" s="57" t="s">
        <v>560</v>
      </c>
      <c r="H11" s="2"/>
      <c r="I11" s="49"/>
      <c r="J11" s="6" t="s">
        <v>555</v>
      </c>
      <c r="K11" s="6" t="s">
        <v>562</v>
      </c>
      <c r="L11" s="42">
        <f>SUMIFS([1]شهریور!$AF$104:$AF$205,[1]شهریور!$C$104:$C$205,"قطعه تعمیری",[1]شهریور!$B$104:$B$205,C11,[1]شهریور!$P$104:$P$205,"*")</f>
        <v>16</v>
      </c>
      <c r="M11" s="1" t="s">
        <v>20</v>
      </c>
      <c r="N11" s="51">
        <f>SUMIFS([1]شهریور!$AR$104:$AR$205,[1]شهریور!$C$104:$C$205,"قطعه تعمیری",[1]شهریور!$B$104:$B$205,C11,[1]شهریور!$P$104:$P$205,"*")</f>
        <v>12000000</v>
      </c>
    </row>
    <row r="12" spans="1:14" ht="28.7" customHeight="1" x14ac:dyDescent="0.25">
      <c r="A12" s="26">
        <v>9</v>
      </c>
      <c r="B12" s="29" t="s">
        <v>561</v>
      </c>
      <c r="C12" s="21" t="s">
        <v>27</v>
      </c>
      <c r="D12" s="48" t="s">
        <v>17</v>
      </c>
      <c r="E12" s="48">
        <v>1</v>
      </c>
      <c r="F12" s="48" t="s">
        <v>23</v>
      </c>
      <c r="G12" s="57" t="s">
        <v>78</v>
      </c>
      <c r="H12" s="2">
        <v>17218</v>
      </c>
      <c r="I12" s="49"/>
      <c r="J12" s="6" t="s">
        <v>562</v>
      </c>
      <c r="K12" s="6" t="s">
        <v>562</v>
      </c>
      <c r="L12" s="42">
        <f>SUMIFS([1]شهریور!$AF$104:$AF$205,[1]شهریور!$C$104:$C$205,"قطعه تعمیری",[1]شهریور!$B$104:$B$205,C12,[1]شهریور!$P$104:$P$205,"*")</f>
        <v>4</v>
      </c>
      <c r="M12" s="1" t="s">
        <v>20</v>
      </c>
      <c r="N12" s="51">
        <f>SUMIFS([1]شهریور!$AR$104:$AR$205,[1]شهریور!$C$104:$C$205,"قطعه تعمیری",[1]شهریور!$B$104:$B$205,C12,[1]شهریور!$P$104:$P$205,"*")</f>
        <v>3000000</v>
      </c>
    </row>
    <row r="13" spans="1:14" ht="28.7" customHeight="1" thickBot="1" x14ac:dyDescent="0.3">
      <c r="A13" s="26">
        <v>10</v>
      </c>
      <c r="B13" s="134"/>
      <c r="C13" s="48"/>
      <c r="D13" s="48"/>
      <c r="E13" s="48"/>
      <c r="F13" s="48"/>
      <c r="G13" s="57"/>
      <c r="H13" s="49"/>
      <c r="I13" s="49"/>
      <c r="J13" s="6"/>
      <c r="K13" s="6"/>
      <c r="L13" s="42">
        <f>SUMIFS([1]شهریور!$AF$104:$AF$205,[1]شهریور!$C$104:$C$205,"قطعه تعمیری",[1]شهریور!$B$104:$B$205,C13,[1]شهریور!$P$104:$P$205,"*")</f>
        <v>0</v>
      </c>
      <c r="M13" s="1"/>
      <c r="N13" s="51">
        <f>SUMIFS([1]شهریور!$AR$104:$AR$205,[1]شهریور!$C$104:$C$205,"قطعه تعمیری",[1]شهریور!$B$104:$B$205,C13,[1]شهریور!$P$104:$P$205,"*")</f>
        <v>0</v>
      </c>
    </row>
    <row r="14" spans="1:14" ht="21" customHeight="1" x14ac:dyDescent="0.25">
      <c r="A14" s="31"/>
      <c r="B14" s="251" t="s">
        <v>445</v>
      </c>
      <c r="C14" s="128" t="s">
        <v>184</v>
      </c>
      <c r="D14" s="83" t="s">
        <v>14</v>
      </c>
      <c r="E14" s="93">
        <f>SUMIFS(E4:E13,F4:F13,D14,M4:M13,"تحویل")</f>
        <v>1</v>
      </c>
      <c r="F14" s="125"/>
      <c r="G14" s="83"/>
      <c r="H14" s="9"/>
      <c r="I14" s="251" t="s">
        <v>115</v>
      </c>
      <c r="J14" s="9" t="s">
        <v>14</v>
      </c>
      <c r="K14" s="93">
        <f>SUMIFS(E4:E13,F4:F13,J14)</f>
        <v>5</v>
      </c>
      <c r="L14" s="237">
        <f>SUMIFS(L4:L13,F4:F13,J14)</f>
        <v>48.833333333333336</v>
      </c>
      <c r="M14" s="112"/>
      <c r="N14" s="178">
        <f>SUMIFS(N4:N13,F4:F13,J14)</f>
        <v>41500000</v>
      </c>
    </row>
    <row r="15" spans="1:14" ht="21" customHeight="1" x14ac:dyDescent="0.25">
      <c r="A15" s="180"/>
      <c r="B15" s="246"/>
      <c r="C15" s="131" t="s">
        <v>184</v>
      </c>
      <c r="D15" s="61" t="s">
        <v>23</v>
      </c>
      <c r="E15" s="102">
        <f>SUMIFS(E4:E13,F4:F13,D15,M4:M13,"تحویل")</f>
        <v>14</v>
      </c>
      <c r="F15" s="60"/>
      <c r="G15" s="61"/>
      <c r="H15" s="60"/>
      <c r="I15" s="246"/>
      <c r="J15" s="60" t="s">
        <v>23</v>
      </c>
      <c r="K15" s="60">
        <f>SUMIFS(E4:E13,F4:F13,J15)</f>
        <v>14</v>
      </c>
      <c r="L15" s="236">
        <f>SUMIFS(L4:L13,F4:F13,J15)</f>
        <v>24.5</v>
      </c>
      <c r="M15" s="118"/>
      <c r="N15" s="182">
        <f>SUMIFS(N5:N14,F5:F14,J15)</f>
        <v>18375000</v>
      </c>
    </row>
    <row r="16" spans="1:14" ht="29.25" customHeight="1" thickBot="1" x14ac:dyDescent="0.3">
      <c r="A16" s="198"/>
      <c r="B16" s="203" t="s">
        <v>115</v>
      </c>
      <c r="C16" s="199"/>
      <c r="D16" s="200"/>
      <c r="E16" s="199">
        <f>E14+E15</f>
        <v>15</v>
      </c>
      <c r="F16" s="199"/>
      <c r="G16" s="199"/>
      <c r="H16" s="199"/>
      <c r="I16" s="199"/>
      <c r="J16" s="199"/>
      <c r="K16" s="199">
        <f>K14+K15</f>
        <v>19</v>
      </c>
      <c r="L16" s="203">
        <f>L14+L15</f>
        <v>73.333333333333343</v>
      </c>
      <c r="M16" s="201"/>
      <c r="N16" s="202">
        <f>N14+N15</f>
        <v>59875000</v>
      </c>
    </row>
    <row r="18" spans="14:14" x14ac:dyDescent="0.25">
      <c r="N18" s="95"/>
    </row>
  </sheetData>
  <mergeCells count="3">
    <mergeCell ref="A1:K2"/>
    <mergeCell ref="B14:B15"/>
    <mergeCell ref="I14:I15"/>
  </mergeCells>
  <printOptions horizontalCentered="1" verticalCentered="1"/>
  <pageMargins left="0" right="0" top="0" bottom="0" header="0" footer="0"/>
  <pageSetup scale="95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881A-8684-42A1-A013-9CFA3F54C6BC}">
  <sheetPr>
    <pageSetUpPr fitToPage="1"/>
  </sheetPr>
  <dimension ref="A1:N29"/>
  <sheetViews>
    <sheetView rightToLeft="1" tabSelected="1" view="pageLayout" zoomScaleNormal="100" workbookViewId="0">
      <selection activeCell="C3" sqref="C3"/>
    </sheetView>
  </sheetViews>
  <sheetFormatPr defaultRowHeight="15" x14ac:dyDescent="0.25"/>
  <cols>
    <col min="1" max="1" width="5.7109375" customWidth="1"/>
    <col min="2" max="2" width="11.28515625" customWidth="1"/>
    <col min="3" max="3" width="19.28515625" bestFit="1" customWidth="1"/>
    <col min="4" max="4" width="9.5703125" style="63" bestFit="1" customWidth="1"/>
    <col min="5" max="6" width="7.7109375" customWidth="1"/>
    <col min="7" max="7" width="11.7109375" bestFit="1" customWidth="1"/>
    <col min="8" max="8" width="10.5703125" bestFit="1" customWidth="1"/>
    <col min="9" max="9" width="8.7109375" customWidth="1"/>
    <col min="14" max="14" width="13.7109375" customWidth="1"/>
    <col min="15" max="15" width="10.28515625" customWidth="1"/>
  </cols>
  <sheetData>
    <row r="1" spans="1:14" ht="28.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18"/>
      <c r="M1" s="18" t="s">
        <v>35</v>
      </c>
      <c r="N1" s="135">
        <v>1405</v>
      </c>
    </row>
    <row r="2" spans="1:14" ht="28.5" customHeight="1" thickBo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5"/>
      <c r="M2" s="25" t="s">
        <v>34</v>
      </c>
      <c r="N2" s="137">
        <v>25</v>
      </c>
    </row>
    <row r="3" spans="1:14" ht="42.75" customHeight="1" thickBot="1" x14ac:dyDescent="0.3">
      <c r="A3" s="38"/>
      <c r="B3" s="39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  <c r="N3" s="41" t="s">
        <v>40</v>
      </c>
    </row>
    <row r="4" spans="1:14" ht="28.7" customHeight="1" x14ac:dyDescent="0.25">
      <c r="A4" s="37">
        <v>1</v>
      </c>
      <c r="B4" s="59" t="s">
        <v>83</v>
      </c>
      <c r="C4" s="21" t="s">
        <v>563</v>
      </c>
      <c r="D4" s="48" t="s">
        <v>564</v>
      </c>
      <c r="E4" s="48">
        <v>1</v>
      </c>
      <c r="F4" s="48" t="s">
        <v>14</v>
      </c>
      <c r="G4" s="57" t="s">
        <v>21</v>
      </c>
      <c r="H4" s="49">
        <v>2727</v>
      </c>
      <c r="I4" s="49"/>
      <c r="J4" s="6" t="s">
        <v>565</v>
      </c>
      <c r="K4" s="36"/>
      <c r="L4" s="42">
        <f>SUMIFS([1]شهریور!$AF$206:$AF$365,[1]شهریور!$C$206:$C$365,"قطعه نو",[1]شهریور!$B$206:$B$365,C4,[1]شهریور!$P$206:$P$365,"*")</f>
        <v>17</v>
      </c>
      <c r="M4" s="1" t="s">
        <v>37</v>
      </c>
      <c r="N4" s="51">
        <f>SUMIFS([1]شهریور!$AR$206:$AR$365,[1]شهریور!$C$206:$C$365,"قطعه نو",[1]شهریور!$B$206:$B$365,C4,[1]شهریور!$P$206:$P$365,"*")</f>
        <v>19500000</v>
      </c>
    </row>
    <row r="5" spans="1:14" ht="28.7" customHeight="1" x14ac:dyDescent="0.25">
      <c r="A5" s="26">
        <v>2</v>
      </c>
      <c r="B5" s="29" t="s">
        <v>85</v>
      </c>
      <c r="C5" s="21" t="s">
        <v>523</v>
      </c>
      <c r="D5" s="48" t="s">
        <v>15</v>
      </c>
      <c r="E5" s="48">
        <v>4</v>
      </c>
      <c r="F5" s="48" t="s">
        <v>14</v>
      </c>
      <c r="G5" s="57" t="s">
        <v>21</v>
      </c>
      <c r="H5" s="2"/>
      <c r="I5" s="49"/>
      <c r="J5" s="6" t="s">
        <v>565</v>
      </c>
      <c r="K5" s="6"/>
      <c r="L5" s="42">
        <f>SUMIFS([1]شهریور!$AF$206:$AF$365,[1]شهریور!$C$206:$C$365,"قطعه نو",[1]شهریور!$B$206:$B$365,C5,[1]شهریور!$P$206:$P$365,"*")</f>
        <v>3</v>
      </c>
      <c r="M5" s="1" t="s">
        <v>37</v>
      </c>
      <c r="N5" s="51">
        <f>SUMIFS([1]شهریور!$AR$206:$AR$365,[1]شهریور!$C$206:$C$365,"قطعه نو",[1]شهریور!$B$206:$B$365,C5,[1]شهریور!$P$206:$P$365,"*")</f>
        <v>2250000</v>
      </c>
    </row>
    <row r="6" spans="1:14" ht="28.7" customHeight="1" x14ac:dyDescent="0.25">
      <c r="A6" s="26">
        <v>3</v>
      </c>
      <c r="B6" s="134" t="s">
        <v>459</v>
      </c>
      <c r="C6" s="48" t="s">
        <v>527</v>
      </c>
      <c r="D6" s="48" t="s">
        <v>273</v>
      </c>
      <c r="E6" s="48">
        <v>3</v>
      </c>
      <c r="F6" s="48" t="s">
        <v>14</v>
      </c>
      <c r="G6" s="57" t="s">
        <v>21</v>
      </c>
      <c r="H6" s="49"/>
      <c r="I6" s="49"/>
      <c r="J6" s="6" t="s">
        <v>565</v>
      </c>
      <c r="K6" s="6" t="s">
        <v>566</v>
      </c>
      <c r="L6" s="42">
        <f>SUMIFS([1]شهریور!$AF$206:$AF$365,[1]شهریور!$C$206:$C$365,"قطعه نو",[1]شهریور!$B$206:$B$365,C6,[1]شهریور!$P$206:$P$365,"*")</f>
        <v>17</v>
      </c>
      <c r="M6" s="1" t="s">
        <v>20</v>
      </c>
      <c r="N6" s="51">
        <f>SUMIFS([1]شهریور!$AR$206:$AR$365,[1]شهریور!$C$206:$C$365,"قطعه نو",[1]شهریور!$B$206:$B$365,C6,[1]شهریور!$P$206:$P$365,"*")</f>
        <v>12750000</v>
      </c>
    </row>
    <row r="7" spans="1:14" ht="28.7" customHeight="1" x14ac:dyDescent="0.25">
      <c r="A7" s="26">
        <v>4</v>
      </c>
      <c r="B7" s="29" t="s">
        <v>567</v>
      </c>
      <c r="C7" s="48" t="s">
        <v>299</v>
      </c>
      <c r="D7" s="48" t="s">
        <v>17</v>
      </c>
      <c r="E7" s="48">
        <v>1</v>
      </c>
      <c r="F7" s="48" t="s">
        <v>14</v>
      </c>
      <c r="G7" s="57" t="s">
        <v>21</v>
      </c>
      <c r="H7" s="47"/>
      <c r="I7" s="2"/>
      <c r="J7" s="36" t="s">
        <v>296</v>
      </c>
      <c r="K7" s="6"/>
      <c r="L7" s="42">
        <f>SUMIFS([1]شهریور!$AF$206:$AF$365,[1]شهریور!$C$206:$C$365,"قطعه نو",[1]شهریور!$B$206:$B$365,C7,[1]شهریور!$P$206:$P$365,"*")</f>
        <v>15</v>
      </c>
      <c r="M7" s="1" t="s">
        <v>37</v>
      </c>
      <c r="N7" s="51">
        <f>SUMIFS([1]شهریور!$AR$206:$AR$365,[1]شهریور!$C$206:$C$365,"قطعه نو",[1]شهریور!$B$206:$B$365,C7,[1]شهریور!$P$206:$P$365,"*")</f>
        <v>22500000</v>
      </c>
    </row>
    <row r="8" spans="1:14" ht="28.7" customHeight="1" x14ac:dyDescent="0.25">
      <c r="A8" s="26">
        <v>5</v>
      </c>
      <c r="B8" s="59" t="s">
        <v>85</v>
      </c>
      <c r="C8" s="21" t="s">
        <v>137</v>
      </c>
      <c r="D8" s="48" t="s">
        <v>273</v>
      </c>
      <c r="E8" s="48">
        <v>1</v>
      </c>
      <c r="F8" s="48" t="s">
        <v>14</v>
      </c>
      <c r="G8" s="57" t="s">
        <v>21</v>
      </c>
      <c r="H8" s="2">
        <v>3129</v>
      </c>
      <c r="I8" s="49"/>
      <c r="J8" s="6" t="s">
        <v>568</v>
      </c>
      <c r="K8" s="36"/>
      <c r="L8" s="42">
        <f>SUMIFS([1]شهریور!$AF$206:$AF$365,[1]شهریور!$C$206:$C$365,"قطعه نو",[1]شهریور!$B$206:$B$365,C8,[1]شهریور!$P$206:$P$365,"*")</f>
        <v>3</v>
      </c>
      <c r="M8" s="1" t="s">
        <v>37</v>
      </c>
      <c r="N8" s="51">
        <f>SUMIFS([1]شهریور!$AR$206:$AR$365,[1]شهریور!$C$206:$C$365,"قطعه نو",[1]شهریور!$B$206:$B$365,C8,[1]شهریور!$P$206:$P$365,"*")</f>
        <v>2250000</v>
      </c>
    </row>
    <row r="9" spans="1:14" ht="28.7" customHeight="1" x14ac:dyDescent="0.25">
      <c r="A9" s="26">
        <v>6</v>
      </c>
      <c r="B9" s="59" t="s">
        <v>501</v>
      </c>
      <c r="C9" s="21" t="s">
        <v>482</v>
      </c>
      <c r="D9" s="48" t="s">
        <v>32</v>
      </c>
      <c r="E9" s="48">
        <v>1</v>
      </c>
      <c r="F9" s="48" t="s">
        <v>14</v>
      </c>
      <c r="G9" s="57" t="s">
        <v>21</v>
      </c>
      <c r="H9" s="49"/>
      <c r="I9" s="49"/>
      <c r="J9" s="6" t="s">
        <v>502</v>
      </c>
      <c r="K9" s="6" t="s">
        <v>568</v>
      </c>
      <c r="L9" s="42">
        <f>SUMIFS([1]شهریور!$AF$206:$AF$365,[1]شهریور!$C$206:$C$365,"قطعه نو",[1]شهریور!$B$206:$B$365,C9,[1]شهریور!$P$206:$P$365,"*")</f>
        <v>20</v>
      </c>
      <c r="M9" s="1" t="s">
        <v>20</v>
      </c>
      <c r="N9" s="51">
        <f>SUMIFS([1]شهریور!$AR$206:$AR$365,[1]شهریور!$C$206:$C$365,"قطعه نو",[1]شهریور!$B$206:$B$365,C9,[1]شهریور!$P$206:$P$365,"*")</f>
        <v>15000000</v>
      </c>
    </row>
    <row r="10" spans="1:14" ht="28.7" customHeight="1" x14ac:dyDescent="0.25">
      <c r="A10" s="26">
        <v>7</v>
      </c>
      <c r="B10" s="75" t="s">
        <v>85</v>
      </c>
      <c r="C10" s="19" t="s">
        <v>569</v>
      </c>
      <c r="D10" s="48" t="s">
        <v>32</v>
      </c>
      <c r="E10" s="48">
        <v>1</v>
      </c>
      <c r="F10" s="48" t="s">
        <v>14</v>
      </c>
      <c r="G10" s="57" t="s">
        <v>21</v>
      </c>
      <c r="H10" s="49">
        <v>17461</v>
      </c>
      <c r="I10" s="49"/>
      <c r="J10" s="6" t="s">
        <v>502</v>
      </c>
      <c r="K10" s="6" t="s">
        <v>568</v>
      </c>
      <c r="L10" s="42">
        <f>SUMIFS([1]شهریور!$AF$206:$AF$365,[1]شهریور!$C$206:$C$365,"قطعه نو",[1]شهریور!$B$206:$B$365,C10,[1]شهریور!$P$206:$P$365,"*")</f>
        <v>5</v>
      </c>
      <c r="M10" s="1" t="s">
        <v>20</v>
      </c>
      <c r="N10" s="51">
        <f>SUMIFS([1]شهریور!$AR$206:$AR$365,[1]شهریور!$C$206:$C$365,"قطعه نو",[1]شهریور!$B$206:$B$365,C10,[1]شهریور!$P$206:$P$365,"*")</f>
        <v>3750000</v>
      </c>
    </row>
    <row r="11" spans="1:14" ht="28.7" customHeight="1" x14ac:dyDescent="0.25">
      <c r="A11" s="26">
        <v>8</v>
      </c>
      <c r="B11" s="75" t="s">
        <v>68</v>
      </c>
      <c r="C11" s="19" t="s">
        <v>28</v>
      </c>
      <c r="D11" s="48" t="s">
        <v>32</v>
      </c>
      <c r="E11" s="48">
        <v>2</v>
      </c>
      <c r="F11" s="48" t="s">
        <v>14</v>
      </c>
      <c r="G11" s="57" t="s">
        <v>21</v>
      </c>
      <c r="H11" s="49"/>
      <c r="I11" s="49"/>
      <c r="J11" s="6" t="s">
        <v>570</v>
      </c>
      <c r="K11" s="6"/>
      <c r="L11" s="42">
        <f>SUMIFS([1]شهریور!$AF$206:$AF$365,[1]شهریور!$C$206:$C$365,"قطعه نو",[1]شهریور!$B$206:$B$365,C11,[1]شهریور!$P$206:$P$365,"*")</f>
        <v>20</v>
      </c>
      <c r="M11" s="1" t="s">
        <v>37</v>
      </c>
      <c r="N11" s="51">
        <f>SUMIFS([1]شهریور!$AR$206:$AR$365,[1]شهریور!$C$206:$C$365,"قطعه نو",[1]شهریور!$B$206:$B$365,C11,[1]شهریور!$P$206:$P$365,"*")</f>
        <v>15000000</v>
      </c>
    </row>
    <row r="12" spans="1:14" ht="28.7" customHeight="1" x14ac:dyDescent="0.25">
      <c r="A12" s="26">
        <v>9</v>
      </c>
      <c r="B12" s="75" t="s">
        <v>484</v>
      </c>
      <c r="C12" s="19" t="s">
        <v>405</v>
      </c>
      <c r="D12" s="48" t="s">
        <v>414</v>
      </c>
      <c r="E12" s="48">
        <v>1</v>
      </c>
      <c r="F12" s="48" t="s">
        <v>14</v>
      </c>
      <c r="G12" s="57" t="s">
        <v>21</v>
      </c>
      <c r="H12" s="49"/>
      <c r="I12" s="49">
        <v>29385</v>
      </c>
      <c r="J12" s="6" t="s">
        <v>570</v>
      </c>
      <c r="K12" s="6"/>
      <c r="L12" s="42">
        <f>SUMIFS([1]شهریور!$AF$206:$AF$365,[1]شهریور!$C$206:$C$365,"قطعه نو",[1]شهریور!$B$206:$B$365,C12,[1]شهریور!$P$206:$P$365,"*")</f>
        <v>11.5</v>
      </c>
      <c r="M12" s="1" t="s">
        <v>37</v>
      </c>
      <c r="N12" s="51">
        <f>SUMIFS([1]شهریور!$AR$206:$AR$365,[1]شهریور!$C$206:$C$365,"قطعه نو",[1]شهریور!$B$206:$B$365,C12,[1]شهریور!$P$206:$P$365,"*")</f>
        <v>17250000</v>
      </c>
    </row>
    <row r="13" spans="1:14" ht="28.7" customHeight="1" x14ac:dyDescent="0.25">
      <c r="A13" s="26">
        <v>10</v>
      </c>
      <c r="B13" s="75" t="s">
        <v>52</v>
      </c>
      <c r="C13" s="19" t="s">
        <v>571</v>
      </c>
      <c r="D13" s="48" t="s">
        <v>32</v>
      </c>
      <c r="E13" s="48">
        <v>1</v>
      </c>
      <c r="F13" s="48" t="s">
        <v>14</v>
      </c>
      <c r="G13" s="57" t="s">
        <v>21</v>
      </c>
      <c r="H13" s="49"/>
      <c r="I13" s="49"/>
      <c r="J13" s="6" t="s">
        <v>565</v>
      </c>
      <c r="K13" s="6"/>
      <c r="L13" s="42">
        <f>SUMIFS([1]شهریور!$AF$206:$AF$365,[1]شهریور!$C$206:$C$365,"قطعه نو",[1]شهریور!$B$206:$B$365,C13,[1]شهریور!$P$206:$P$365,"*")</f>
        <v>21.5</v>
      </c>
      <c r="M13" s="1" t="s">
        <v>37</v>
      </c>
      <c r="N13" s="51">
        <f>SUMIFS([1]شهریور!$AR$206:$AR$365,[1]شهریور!$C$206:$C$365,"قطعه نو",[1]شهریور!$B$206:$B$365,C13,[1]شهریور!$P$206:$P$365,"*")</f>
        <v>16125000</v>
      </c>
    </row>
    <row r="14" spans="1:14" ht="28.7" customHeight="1" x14ac:dyDescent="0.25">
      <c r="A14" s="26">
        <v>11</v>
      </c>
      <c r="B14" s="75" t="s">
        <v>572</v>
      </c>
      <c r="C14" s="19" t="s">
        <v>27</v>
      </c>
      <c r="D14" s="48" t="s">
        <v>17</v>
      </c>
      <c r="E14" s="48">
        <v>1</v>
      </c>
      <c r="F14" s="48" t="s">
        <v>14</v>
      </c>
      <c r="G14" s="57" t="s">
        <v>21</v>
      </c>
      <c r="H14" s="49">
        <v>17218</v>
      </c>
      <c r="I14" s="49"/>
      <c r="J14" s="6" t="s">
        <v>570</v>
      </c>
      <c r="K14" s="6" t="s">
        <v>570</v>
      </c>
      <c r="L14" s="42">
        <f>SUMIFS([1]شهریور!$AF$206:$AF$365,[1]شهریور!$C$206:$C$365,"قطعه نو",[1]شهریور!$B$206:$B$365,C14,[1]شهریور!$P$206:$P$365,"*")</f>
        <v>3</v>
      </c>
      <c r="M14" s="1" t="s">
        <v>20</v>
      </c>
      <c r="N14" s="51">
        <f>SUMIFS([1]شهریور!$AR$206:$AR$365,[1]شهریور!$C$206:$C$365,"قطعه نو",[1]شهریور!$B$206:$B$365,C14,[1]شهریور!$P$206:$P$365,"*")</f>
        <v>2250000</v>
      </c>
    </row>
    <row r="15" spans="1:14" ht="28.7" customHeight="1" x14ac:dyDescent="0.25">
      <c r="A15" s="26">
        <v>12</v>
      </c>
      <c r="B15" s="75" t="s">
        <v>459</v>
      </c>
      <c r="C15" s="19" t="s">
        <v>527</v>
      </c>
      <c r="D15" s="48" t="s">
        <v>273</v>
      </c>
      <c r="E15" s="48">
        <v>10</v>
      </c>
      <c r="F15" s="48" t="s">
        <v>23</v>
      </c>
      <c r="G15" s="57" t="s">
        <v>18</v>
      </c>
      <c r="H15" s="49"/>
      <c r="I15" s="49"/>
      <c r="J15" s="6" t="s">
        <v>568</v>
      </c>
      <c r="K15" s="6" t="s">
        <v>568</v>
      </c>
      <c r="L15" s="42">
        <f>SUMIFS([1]شهریور!$AF$206:$AF$365,[1]شهریور!$C$206:$C$365,"قطعه تعمیری",[1]شهریور!$B$206:$B$365,C15,[1]شهریور!$P$206:$P$365,"*")</f>
        <v>2</v>
      </c>
      <c r="M15" s="1" t="s">
        <v>20</v>
      </c>
      <c r="N15" s="51">
        <f>SUMIFS([1]شهریور!$AR$206:$AR$365,[1]شهریور!$C$206:$C$365,"قطعه تعمیری",[1]شهریور!$B$206:$B$365,C15,[1]شهریور!$P$206:$P$365,"*")</f>
        <v>1500000</v>
      </c>
    </row>
    <row r="16" spans="1:14" ht="28.7" customHeight="1" x14ac:dyDescent="0.25">
      <c r="A16" s="26">
        <v>13</v>
      </c>
      <c r="B16" s="75" t="s">
        <v>574</v>
      </c>
      <c r="C16" s="19" t="s">
        <v>573</v>
      </c>
      <c r="D16" s="48" t="s">
        <v>470</v>
      </c>
      <c r="E16" s="48">
        <v>2</v>
      </c>
      <c r="F16" s="48" t="s">
        <v>23</v>
      </c>
      <c r="G16" s="57" t="s">
        <v>18</v>
      </c>
      <c r="H16" s="49">
        <v>17451</v>
      </c>
      <c r="I16" s="49"/>
      <c r="J16" s="6" t="s">
        <v>565</v>
      </c>
      <c r="K16" s="6"/>
      <c r="L16" s="42">
        <f>SUMIFS([1]شهریور!$AF$206:$AF$365,[1]شهریور!$C$206:$C$365,"قطعه تعمیری",[1]شهریور!$B$206:$B$365,C16,[1]شهریور!$P$206:$P$365,"*")</f>
        <v>1</v>
      </c>
      <c r="M16" s="1" t="s">
        <v>37</v>
      </c>
      <c r="N16" s="51">
        <f>SUMIFS([1]شهریور!$AR$206:$AR$365,[1]شهریور!$C$206:$C$365,"قطعه تعمیری",[1]شهریور!$B$206:$B$365,C16,[1]شهریور!$P$206:$P$365,"*")</f>
        <v>750000</v>
      </c>
    </row>
    <row r="17" spans="1:14" ht="28.7" customHeight="1" x14ac:dyDescent="0.25">
      <c r="A17" s="26">
        <v>14</v>
      </c>
      <c r="B17" s="75" t="s">
        <v>13</v>
      </c>
      <c r="C17" s="19" t="s">
        <v>410</v>
      </c>
      <c r="D17" s="48" t="s">
        <v>32</v>
      </c>
      <c r="E17" s="48">
        <v>4</v>
      </c>
      <c r="F17" s="48" t="s">
        <v>23</v>
      </c>
      <c r="G17" s="57" t="s">
        <v>18</v>
      </c>
      <c r="H17" s="49">
        <v>17324</v>
      </c>
      <c r="I17" s="49"/>
      <c r="J17" s="6" t="s">
        <v>565</v>
      </c>
      <c r="K17" s="6" t="s">
        <v>565</v>
      </c>
      <c r="L17" s="42">
        <f>SUMIFS([1]شهریور!$AF$206:$AF$365,[1]شهریور!$C$206:$C$365,"قطعه تعمیری",[1]شهریور!$B$206:$B$365,C17,[1]شهریور!$P$206:$P$365,"*")</f>
        <v>3.3333333333333335</v>
      </c>
      <c r="M17" s="1" t="s">
        <v>20</v>
      </c>
      <c r="N17" s="51">
        <f>SUMIFS([1]شهریور!$AR$206:$AR$365,[1]شهریور!$C$206:$C$365,"قطعه تعمیری",[1]شهریور!$B$206:$B$365,C17,[1]شهریور!$P$206:$P$365,"*")</f>
        <v>2500000</v>
      </c>
    </row>
    <row r="18" spans="1:14" ht="28.7" customHeight="1" x14ac:dyDescent="0.25">
      <c r="A18" s="26">
        <v>15</v>
      </c>
      <c r="B18" s="75" t="s">
        <v>53</v>
      </c>
      <c r="C18" s="19" t="s">
        <v>56</v>
      </c>
      <c r="D18" s="48" t="s">
        <v>17</v>
      </c>
      <c r="E18" s="48">
        <v>1</v>
      </c>
      <c r="F18" s="48" t="s">
        <v>23</v>
      </c>
      <c r="G18" s="57" t="s">
        <v>75</v>
      </c>
      <c r="H18" s="49"/>
      <c r="I18" s="49"/>
      <c r="J18" s="6" t="s">
        <v>566</v>
      </c>
      <c r="K18" s="6" t="s">
        <v>566</v>
      </c>
      <c r="L18" s="42">
        <f>SUMIFS([1]شهریور!$AF$206:$AF$365,[1]شهریور!$C$206:$C$365,"قطعه تعمیری",[1]شهریور!$B$206:$B$365,C18,[1]شهریور!$P$206:$P$365,"*")</f>
        <v>3</v>
      </c>
      <c r="M18" s="1" t="s">
        <v>20</v>
      </c>
      <c r="N18" s="51">
        <f>SUMIFS([1]شهریور!$AR$206:$AR$365,[1]شهریور!$C$206:$C$365,"قطعه تعمیری",[1]شهریور!$B$206:$B$365,C18,[1]شهریور!$P$206:$P$365,"*")</f>
        <v>2250000</v>
      </c>
    </row>
    <row r="19" spans="1:14" ht="28.7" customHeight="1" x14ac:dyDescent="0.25">
      <c r="A19" s="26">
        <v>16</v>
      </c>
      <c r="B19" s="75" t="s">
        <v>68</v>
      </c>
      <c r="C19" s="19" t="s">
        <v>272</v>
      </c>
      <c r="D19" s="48" t="s">
        <v>32</v>
      </c>
      <c r="E19" s="48">
        <v>1</v>
      </c>
      <c r="F19" s="48" t="s">
        <v>23</v>
      </c>
      <c r="G19" s="57" t="s">
        <v>575</v>
      </c>
      <c r="H19" s="49"/>
      <c r="I19" s="49"/>
      <c r="J19" s="6" t="s">
        <v>576</v>
      </c>
      <c r="K19" s="6" t="s">
        <v>576</v>
      </c>
      <c r="L19" s="42">
        <f>SUMIFS([1]شهریور!$AF$206:$AF$365,[1]شهریور!$C$206:$C$365,"قطعه تعمیری",[1]شهریور!$B$206:$B$365,C19,[1]شهریور!$P$206:$P$365,"*")</f>
        <v>2</v>
      </c>
      <c r="M19" s="1" t="s">
        <v>20</v>
      </c>
      <c r="N19" s="51">
        <f>SUMIFS([1]شهریور!$AR$206:$AR$365,[1]شهریور!$C$206:$C$365,"قطعه تعمیری",[1]شهریور!$B$206:$B$365,C19,[1]شهریور!$P$206:$P$365,"*")</f>
        <v>1500000</v>
      </c>
    </row>
    <row r="20" spans="1:14" ht="28.7" customHeight="1" x14ac:dyDescent="0.25">
      <c r="A20" s="26">
        <v>17</v>
      </c>
      <c r="B20" s="75" t="s">
        <v>472</v>
      </c>
      <c r="C20" s="19" t="s">
        <v>482</v>
      </c>
      <c r="D20" s="48" t="s">
        <v>32</v>
      </c>
      <c r="E20" s="48">
        <v>1</v>
      </c>
      <c r="F20" s="48" t="s">
        <v>23</v>
      </c>
      <c r="G20" s="57" t="s">
        <v>577</v>
      </c>
      <c r="H20" s="49">
        <v>17455</v>
      </c>
      <c r="I20" s="49" t="s">
        <v>578</v>
      </c>
      <c r="J20" s="6" t="s">
        <v>576</v>
      </c>
      <c r="K20" s="6" t="s">
        <v>576</v>
      </c>
      <c r="L20" s="42">
        <f>SUMIFS([1]شهریور!$AF$206:$AF$365,[1]شهریور!$C$206:$C$365,"قطعه تعمیری",[1]شهریور!$B$206:$B$365,C20,[1]شهریور!$P$206:$P$365,"*")</f>
        <v>2</v>
      </c>
      <c r="M20" s="1" t="s">
        <v>20</v>
      </c>
      <c r="N20" s="51">
        <f>SUMIFS([1]شهریور!$AR$206:$AR$365,[1]شهریور!$C$206:$C$365,"قطعه تعمیری",[1]شهریور!$B$206:$B$365,C20,[1]شهریور!$P$206:$P$365,"*")</f>
        <v>1500000</v>
      </c>
    </row>
    <row r="21" spans="1:14" ht="28.7" customHeight="1" x14ac:dyDescent="0.25">
      <c r="A21" s="26">
        <v>18</v>
      </c>
      <c r="B21" s="134" t="s">
        <v>39</v>
      </c>
      <c r="C21" s="48" t="s">
        <v>22</v>
      </c>
      <c r="D21" s="48" t="s">
        <v>414</v>
      </c>
      <c r="E21" s="48">
        <v>18</v>
      </c>
      <c r="F21" s="48" t="s">
        <v>23</v>
      </c>
      <c r="G21" s="57" t="s">
        <v>579</v>
      </c>
      <c r="H21" s="49"/>
      <c r="I21" s="49"/>
      <c r="J21" s="6" t="s">
        <v>565</v>
      </c>
      <c r="K21" s="6" t="s">
        <v>568</v>
      </c>
      <c r="L21" s="42">
        <f>SUMIFS([1]شهریور!$AF$206:$AF$365,[1]شهریور!$C$206:$C$365,"قطعه تعمیری",[1]شهریور!$B$206:$B$365,C21,[1]شهریور!$P$206:$P$365,"*")</f>
        <v>6</v>
      </c>
      <c r="M21" s="1" t="s">
        <v>20</v>
      </c>
      <c r="N21" s="51">
        <f>SUMIFS([1]شهریور!$AR$206:$AR$365,[1]شهریور!$C$206:$C$365,"قطعه تعمیری",[1]شهریور!$B$206:$B$365,C21,[1]شهریور!$P$206:$P$365,"*")</f>
        <v>4500000</v>
      </c>
    </row>
    <row r="22" spans="1:14" ht="28.7" customHeight="1" x14ac:dyDescent="0.25">
      <c r="A22" s="26">
        <v>19</v>
      </c>
      <c r="B22" s="29" t="s">
        <v>348</v>
      </c>
      <c r="C22" s="21" t="s">
        <v>496</v>
      </c>
      <c r="D22" s="48" t="s">
        <v>580</v>
      </c>
      <c r="E22" s="48">
        <v>1</v>
      </c>
      <c r="F22" s="57" t="s">
        <v>23</v>
      </c>
      <c r="G22" s="57" t="s">
        <v>384</v>
      </c>
      <c r="H22" s="2"/>
      <c r="I22" s="49"/>
      <c r="J22" s="6" t="s">
        <v>570</v>
      </c>
      <c r="K22" s="6" t="s">
        <v>570</v>
      </c>
      <c r="L22" s="42">
        <f>SUMIFS([1]شهریور!$AF$206:$AF$365,[1]شهریور!$C$206:$C$365,"قطعه تعمیری",[1]شهریور!$B$206:$B$365,C22,[1]شهریور!$P$206:$P$365,"*")</f>
        <v>12</v>
      </c>
      <c r="M22" s="1" t="s">
        <v>20</v>
      </c>
      <c r="N22" s="51">
        <f>SUMIFS([1]شهریور!$AR$206:$AR$365,[1]شهریور!$C$206:$C$365,"قطعه تعمیری",[1]شهریور!$B$206:$B$365,C22,[1]شهریور!$P$206:$P$365,"*")</f>
        <v>9000000</v>
      </c>
    </row>
    <row r="23" spans="1:14" ht="28.7" customHeight="1" x14ac:dyDescent="0.25">
      <c r="A23" s="26">
        <v>20</v>
      </c>
      <c r="B23" s="29" t="s">
        <v>85</v>
      </c>
      <c r="C23" s="21" t="s">
        <v>323</v>
      </c>
      <c r="D23" s="48" t="s">
        <v>32</v>
      </c>
      <c r="E23" s="48">
        <v>1</v>
      </c>
      <c r="F23" s="48" t="s">
        <v>23</v>
      </c>
      <c r="G23" s="57" t="s">
        <v>18</v>
      </c>
      <c r="H23" s="2">
        <v>17452</v>
      </c>
      <c r="I23" s="49">
        <v>1208</v>
      </c>
      <c r="J23" s="6" t="s">
        <v>570</v>
      </c>
      <c r="K23" s="6" t="s">
        <v>570</v>
      </c>
      <c r="L23" s="42">
        <f>SUMIFS([1]شهریور!$AF$206:$AF$365,[1]شهریور!$C$206:$C$365,"قطعه تعمیری",[1]شهریور!$B$206:$B$365,C23,[1]شهریور!$P$206:$P$365,"*")</f>
        <v>4</v>
      </c>
      <c r="M23" s="1" t="s">
        <v>20</v>
      </c>
      <c r="N23" s="51">
        <f>SUMIFS([1]شهریور!$AR$206:$AR$365,[1]شهریور!$C$206:$C$365,"قطعه تعمیری",[1]شهریور!$B$206:$B$365,C23,[1]شهریور!$P$206:$P$365,"*")</f>
        <v>3000000</v>
      </c>
    </row>
    <row r="24" spans="1:14" ht="28.7" customHeight="1" thickBot="1" x14ac:dyDescent="0.3">
      <c r="A24" s="26">
        <v>21</v>
      </c>
      <c r="B24" s="134" t="s">
        <v>312</v>
      </c>
      <c r="C24" s="48" t="s">
        <v>27</v>
      </c>
      <c r="D24" s="48" t="s">
        <v>17</v>
      </c>
      <c r="E24" s="48">
        <v>1</v>
      </c>
      <c r="F24" s="48" t="s">
        <v>23</v>
      </c>
      <c r="G24" s="57" t="s">
        <v>18</v>
      </c>
      <c r="H24" s="57">
        <v>17453</v>
      </c>
      <c r="I24" s="49">
        <v>17244</v>
      </c>
      <c r="J24" s="6" t="s">
        <v>570</v>
      </c>
      <c r="K24" s="6" t="s">
        <v>568</v>
      </c>
      <c r="L24" s="42">
        <f>SUMIFS([1]شهریور!$AF$206:$AF$365,[1]شهریور!$C$206:$C$365,"قطعه تعمیری",[1]شهریور!$B$206:$B$365,C24,[1]شهریور!$P$206:$P$365,"*")</f>
        <v>7</v>
      </c>
      <c r="M24" s="1" t="s">
        <v>20</v>
      </c>
      <c r="N24" s="51">
        <f>SUMIFS([1]شهریور!$AR$206:$AR$365,[1]شهریور!$C$206:$C$365,"قطعه تعمیری",[1]شهریور!$B$206:$B$365,C24,[1]شهریور!$P$206:$P$365,"*")</f>
        <v>5250000</v>
      </c>
    </row>
    <row r="25" spans="1:14" ht="21" customHeight="1" x14ac:dyDescent="0.25">
      <c r="A25" s="31"/>
      <c r="B25" s="251" t="s">
        <v>445</v>
      </c>
      <c r="C25" s="128" t="s">
        <v>184</v>
      </c>
      <c r="D25" s="83" t="s">
        <v>14</v>
      </c>
      <c r="E25" s="93">
        <f>SUMIFS(E4:E24,F4:F24,D25,M4:M24,"تحویل")</f>
        <v>6</v>
      </c>
      <c r="F25" s="125"/>
      <c r="G25" s="83"/>
      <c r="H25" s="9"/>
      <c r="I25" s="251" t="s">
        <v>115</v>
      </c>
      <c r="J25" s="9" t="s">
        <v>14</v>
      </c>
      <c r="K25" s="93">
        <f>SUMIFS(E4:E24,F4:F24,J25)</f>
        <v>17</v>
      </c>
      <c r="L25" s="239">
        <f>SUMIFS(L4:L24,F4:F24,J25)</f>
        <v>136</v>
      </c>
      <c r="M25" s="112"/>
      <c r="N25" s="178">
        <f>SUMIFS(N4:N24,F4:F24,J25)</f>
        <v>128625000</v>
      </c>
    </row>
    <row r="26" spans="1:14" ht="21" customHeight="1" x14ac:dyDescent="0.25">
      <c r="A26" s="180"/>
      <c r="B26" s="246"/>
      <c r="C26" s="131" t="s">
        <v>184</v>
      </c>
      <c r="D26" s="61" t="s">
        <v>23</v>
      </c>
      <c r="E26" s="102">
        <f>SUMIFS(E4:E24,F4:F24,D26,M4:M24,"تحویل")</f>
        <v>38</v>
      </c>
      <c r="F26" s="60"/>
      <c r="G26" s="61"/>
      <c r="H26" s="60"/>
      <c r="I26" s="246"/>
      <c r="J26" s="60" t="s">
        <v>23</v>
      </c>
      <c r="K26" s="60">
        <f>SUMIFS(E4:E24,F4:F24,J26)</f>
        <v>40</v>
      </c>
      <c r="L26" s="238">
        <f>SUMIFS(L4:L24,F4:F24,J26)</f>
        <v>42.333333333333336</v>
      </c>
      <c r="M26" s="118"/>
      <c r="N26" s="182">
        <f>SUMIFS(N5:N25,F5:F25,J26)</f>
        <v>31750000</v>
      </c>
    </row>
    <row r="27" spans="1:14" ht="29.25" customHeight="1" thickBot="1" x14ac:dyDescent="0.3">
      <c r="A27" s="198"/>
      <c r="B27" s="203" t="s">
        <v>115</v>
      </c>
      <c r="C27" s="199"/>
      <c r="D27" s="200"/>
      <c r="E27" s="199">
        <f>E25+E26</f>
        <v>44</v>
      </c>
      <c r="F27" s="199"/>
      <c r="G27" s="199"/>
      <c r="H27" s="199"/>
      <c r="I27" s="199"/>
      <c r="J27" s="199"/>
      <c r="K27" s="199">
        <f>K25+K26</f>
        <v>57</v>
      </c>
      <c r="L27" s="203">
        <f>L25+L26</f>
        <v>178.33333333333334</v>
      </c>
      <c r="M27" s="201"/>
      <c r="N27" s="202">
        <f>N25+N26</f>
        <v>160375000</v>
      </c>
    </row>
    <row r="29" spans="1:14" x14ac:dyDescent="0.25">
      <c r="N29" s="95"/>
    </row>
  </sheetData>
  <mergeCells count="3">
    <mergeCell ref="A1:K2"/>
    <mergeCell ref="B25:B26"/>
    <mergeCell ref="I25:I26"/>
  </mergeCells>
  <printOptions horizontalCentered="1" verticalCentered="1"/>
  <pageMargins left="0" right="0" top="0" bottom="0" header="0" footer="0"/>
  <pageSetup scale="9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B1270-45E5-46D4-B234-1A94383410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23</vt:i4>
      </vt:variant>
    </vt:vector>
  </HeadingPairs>
  <TitlesOfParts>
    <vt:vector size="47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 pc</dc:creator>
  <cp:lastModifiedBy>alizadeh pc</cp:lastModifiedBy>
  <cp:lastPrinted>2026-09-07T09:39:45Z</cp:lastPrinted>
  <dcterms:created xsi:type="dcterms:W3CDTF">2025-04-08T09:06:37Z</dcterms:created>
  <dcterms:modified xsi:type="dcterms:W3CDTF">2026-09-12T14:19:13Z</dcterms:modified>
</cp:coreProperties>
</file>