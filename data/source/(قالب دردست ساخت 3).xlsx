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گزارش هفتگی\"/>
    </mc:Choice>
  </mc:AlternateContent>
  <xr:revisionPtr revIDLastSave="0" documentId="13_ncr:1_{48E23DC4-3ECD-4FC3-9B6A-019C04F319A2}" xr6:coauthVersionLast="47" xr6:coauthVersionMax="47" xr10:uidLastSave="{00000000-0000-0000-0000-000000000000}"/>
  <bookViews>
    <workbookView xWindow="-120" yWindow="-120" windowWidth="24240" windowHeight="13020" firstSheet="18" activeTab="24" xr2:uid="{C8647745-6214-4B81-BC3F-EAA22C8BCBFA}"/>
  </bookViews>
  <sheets>
    <sheet name="2" sheetId="51" r:id="rId1"/>
    <sheet name="3" sheetId="54" r:id="rId2"/>
    <sheet name="4" sheetId="55" r:id="rId3"/>
    <sheet name="5" sheetId="56" r:id="rId4"/>
    <sheet name="6" sheetId="57" r:id="rId5"/>
    <sheet name="7" sheetId="58" r:id="rId6"/>
    <sheet name="8" sheetId="59" r:id="rId7"/>
    <sheet name="9" sheetId="60" r:id="rId8"/>
    <sheet name="10" sheetId="61" r:id="rId9"/>
    <sheet name="11" sheetId="62" r:id="rId10"/>
    <sheet name="12" sheetId="63" r:id="rId11"/>
    <sheet name="13" sheetId="64" r:id="rId12"/>
    <sheet name="14" sheetId="65" r:id="rId13"/>
    <sheet name="15" sheetId="66" r:id="rId14"/>
    <sheet name="16" sheetId="67" r:id="rId15"/>
    <sheet name="17" sheetId="68" r:id="rId16"/>
    <sheet name="18" sheetId="69" r:id="rId17"/>
    <sheet name="19" sheetId="70" r:id="rId18"/>
    <sheet name="20" sheetId="71" r:id="rId19"/>
    <sheet name="21" sheetId="72" r:id="rId20"/>
    <sheet name="22" sheetId="73" r:id="rId21"/>
    <sheet name="23" sheetId="74" r:id="rId22"/>
    <sheet name="24" sheetId="75" r:id="rId23"/>
    <sheet name="25" sheetId="76" r:id="rId24"/>
    <sheet name="26" sheetId="77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Titles" localSheetId="14">'16'!$1:$3</definedName>
    <definedName name="_xlnm.Print_Titles" localSheetId="15">'17'!$1:$3</definedName>
    <definedName name="_xlnm.Print_Titles" localSheetId="16">'18'!$1:$3</definedName>
    <definedName name="_xlnm.Print_Titles" localSheetId="17">'19'!$1:$3</definedName>
    <definedName name="_xlnm.Print_Titles" localSheetId="18">'20'!$1:$3</definedName>
    <definedName name="_xlnm.Print_Titles" localSheetId="19">'21'!$1:$3</definedName>
    <definedName name="_xlnm.Print_Titles" localSheetId="20">'22'!$1:$3</definedName>
    <definedName name="_xlnm.Print_Titles" localSheetId="21">'23'!$1:$3</definedName>
    <definedName name="_xlnm.Print_Titles" localSheetId="22">'24'!$1:$3</definedName>
    <definedName name="_xlnm.Print_Titles" localSheetId="23">'25'!$1:$3</definedName>
    <definedName name="_xlnm.Print_Titles" localSheetId="24">'26'!$1:$3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77" l="1"/>
  <c r="K17" i="77" s="1"/>
  <c r="M16" i="77"/>
  <c r="K16" i="77" s="1"/>
  <c r="M15" i="77"/>
  <c r="K15" i="77" s="1"/>
  <c r="M14" i="77"/>
  <c r="K14" i="77" s="1"/>
  <c r="M13" i="77"/>
  <c r="K13" i="77" s="1"/>
  <c r="M12" i="77"/>
  <c r="K12" i="77" s="1"/>
  <c r="M11" i="77"/>
  <c r="K11" i="77" s="1"/>
  <c r="M10" i="77"/>
  <c r="K10" i="77" s="1"/>
  <c r="M9" i="77"/>
  <c r="K9" i="77" s="1"/>
  <c r="M8" i="77"/>
  <c r="K8" i="77" s="1"/>
  <c r="M7" i="77"/>
  <c r="K7" i="77" s="1"/>
  <c r="M6" i="77"/>
  <c r="K6" i="77" s="1"/>
  <c r="M5" i="77"/>
  <c r="K5" i="77" s="1"/>
  <c r="M4" i="77"/>
  <c r="K4" i="77" s="1"/>
  <c r="L4" i="77" a="1"/>
  <c r="L4" i="77" s="1"/>
  <c r="L4" i="76" a="1"/>
  <c r="L4" i="76" s="1"/>
  <c r="M16" i="76" l="1"/>
  <c r="K16" i="76" s="1"/>
  <c r="M15" i="76"/>
  <c r="K15" i="76" s="1"/>
  <c r="M14" i="76"/>
  <c r="K14" i="76" s="1"/>
  <c r="M9" i="76"/>
  <c r="K9" i="76" s="1"/>
  <c r="L4" i="75" a="1"/>
  <c r="L4" i="75" s="1"/>
  <c r="M15" i="75"/>
  <c r="K15" i="75" s="1"/>
  <c r="M16" i="75"/>
  <c r="K16" i="75" s="1"/>
  <c r="J1" i="58" l="1"/>
  <c r="J1" i="57"/>
  <c r="J1" i="56"/>
  <c r="J1" i="55"/>
  <c r="J1" i="54"/>
  <c r="J2" i="51"/>
  <c r="J1" i="51"/>
  <c r="M14" i="75" l="1"/>
  <c r="K14" i="75" s="1"/>
  <c r="M9" i="75" l="1"/>
  <c r="K9" i="75" s="1"/>
  <c r="M8" i="76" l="1"/>
  <c r="K8" i="76" s="1"/>
  <c r="M8" i="75"/>
  <c r="K8" i="75" s="1"/>
  <c r="M13" i="76"/>
  <c r="K13" i="76" s="1"/>
  <c r="M13" i="75"/>
  <c r="K13" i="75" s="1"/>
  <c r="M12" i="76"/>
  <c r="K12" i="76" s="1"/>
  <c r="M12" i="75"/>
  <c r="K12" i="75" s="1"/>
  <c r="M17" i="76"/>
  <c r="K17" i="76" s="1"/>
  <c r="M17" i="75"/>
  <c r="K17" i="75" s="1"/>
  <c r="M11" i="76"/>
  <c r="K11" i="76" s="1"/>
  <c r="M11" i="75"/>
  <c r="K11" i="75" s="1"/>
  <c r="M10" i="76"/>
  <c r="K10" i="76" s="1"/>
  <c r="M10" i="75"/>
  <c r="K10" i="75" s="1"/>
  <c r="M6" i="76" l="1"/>
  <c r="K6" i="76" s="1"/>
  <c r="M6" i="75"/>
  <c r="K6" i="75" s="1"/>
  <c r="M7" i="76"/>
  <c r="K7" i="76" s="1"/>
  <c r="M7" i="75"/>
  <c r="K7" i="75" s="1"/>
  <c r="M4" i="76"/>
  <c r="K4" i="76" s="1"/>
  <c r="M4" i="75"/>
  <c r="K4" i="75" s="1"/>
  <c r="M5" i="76" l="1"/>
  <c r="K5" i="76" s="1"/>
  <c r="M5" i="75"/>
  <c r="K5" i="7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<sst xmlns="http://schemas.openxmlformats.org/spreadsheetml/2006/main" count="1808" uniqueCount="142">
  <si>
    <t>تاریخ شروع</t>
  </si>
  <si>
    <t>پیش بینی تاریخ تحویل1</t>
  </si>
  <si>
    <t>تاریخ تحویل 2</t>
  </si>
  <si>
    <t>علت تاخیر در تحویل بموقع</t>
  </si>
  <si>
    <t>فرایند
 OK</t>
  </si>
  <si>
    <t>فرز</t>
  </si>
  <si>
    <t>Date</t>
  </si>
  <si>
    <t>Weeks</t>
  </si>
  <si>
    <t>تامین متریال</t>
  </si>
  <si>
    <t>شماره فنی</t>
  </si>
  <si>
    <t>CNC، وایر ، تراش ، کروم ، مونتاژ ، سختکاری</t>
  </si>
  <si>
    <t>آخرین وظعیت</t>
  </si>
  <si>
    <t>شمش ریو</t>
  </si>
  <si>
    <t>شمش عقب پژو پایه کوتاه</t>
  </si>
  <si>
    <t>شمش عقب پژو پایه بلند</t>
  </si>
  <si>
    <t>9278/د/04</t>
  </si>
  <si>
    <t>New Project</t>
  </si>
  <si>
    <t>1404/09/10</t>
  </si>
  <si>
    <t>برون سپاری (اصفهان) امینی</t>
  </si>
  <si>
    <t>Baseline</t>
  </si>
  <si>
    <t>Name</t>
  </si>
  <si>
    <r>
      <t xml:space="preserve">فرایند 
</t>
    </r>
    <r>
      <rPr>
        <b/>
        <sz val="9"/>
        <color theme="1"/>
        <rFont val="Bodoni MT"/>
        <family val="1"/>
      </rPr>
      <t>NOT OK</t>
    </r>
  </si>
  <si>
    <t>قالب توری پگاسوز</t>
  </si>
  <si>
    <t>12371/د/04</t>
  </si>
  <si>
    <t>1404/10/23</t>
  </si>
  <si>
    <t>شمشی عقب پیکان</t>
  </si>
  <si>
    <t>دیسکی ریو</t>
  </si>
  <si>
    <t>دیسکی پژو 405</t>
  </si>
  <si>
    <t>1405/02/10</t>
  </si>
  <si>
    <t>1404/11/10
1405/02/10</t>
  </si>
  <si>
    <t>خرابی سنگ</t>
  </si>
  <si>
    <t>قالب اصلاح دسته کفشک مترو K</t>
  </si>
  <si>
    <t>قالب سازی</t>
  </si>
  <si>
    <t>1405/01/29</t>
  </si>
  <si>
    <t>1405/02/05</t>
  </si>
  <si>
    <t>فرز ، سنگ ، وایر ، CNC</t>
  </si>
  <si>
    <t>مونتاژ</t>
  </si>
  <si>
    <t>فرز ، سنگ ، وایر ، CNC، مونتاز</t>
  </si>
  <si>
    <t>تحویل</t>
  </si>
  <si>
    <t>خرابی سنگ
تغییر در فرایند (خرابی قالب کلاچ)</t>
  </si>
  <si>
    <t>قالب پخت دیسکی نیسان اریا</t>
  </si>
  <si>
    <t>1403/03/05</t>
  </si>
  <si>
    <t>عقب F12</t>
  </si>
  <si>
    <t>1405/02/08</t>
  </si>
  <si>
    <t>1405/04/20</t>
  </si>
  <si>
    <t>در خواست متریال</t>
  </si>
  <si>
    <t>فرز ، سنگ ، CNC ، سوراخکاری ، سختکاری(برون سپاری) ، وایر ، کروم(برون سپاری)، مونتاژ</t>
  </si>
  <si>
    <t>BPMN
(OK)</t>
  </si>
  <si>
    <t>BPMN
(NC)</t>
  </si>
  <si>
    <t>Stop</t>
  </si>
  <si>
    <t>سختکاری</t>
  </si>
  <si>
    <t>شمش عقب پراید</t>
  </si>
  <si>
    <t>1404/09/07
1405/03/18</t>
  </si>
  <si>
    <t>شیرازی(پیمانکاری)</t>
  </si>
  <si>
    <t>CNC</t>
  </si>
  <si>
    <t>تست</t>
  </si>
  <si>
    <t>واحد مصرف</t>
  </si>
  <si>
    <t>جهان لنت</t>
  </si>
  <si>
    <t>پرس</t>
  </si>
  <si>
    <t>لودر دیسکی  XGL 50</t>
  </si>
  <si>
    <t>1405/04/08</t>
  </si>
  <si>
    <t>1405/04/10</t>
  </si>
  <si>
    <t>کامیونت هیوندای</t>
  </si>
  <si>
    <t>تولید جهان لنت</t>
  </si>
  <si>
    <t>کشنده ماموت -محور SAF</t>
  </si>
  <si>
    <t>لنت ترمز دیسكی جلو دیما(خم)</t>
  </si>
  <si>
    <t>(جدید)C&amp;C
نیوفیس(جدید)</t>
  </si>
  <si>
    <t>29162
30487</t>
  </si>
  <si>
    <t>1405/05/25</t>
  </si>
  <si>
    <t>پخت کلاچ تیبا چپ(فلش)</t>
  </si>
  <si>
    <t>پخت کلاچ تیبا راست(فلش)</t>
  </si>
  <si>
    <t>تولید جهان ترمز</t>
  </si>
  <si>
    <t>1405/04/18</t>
  </si>
  <si>
    <t>1405/04/17</t>
  </si>
  <si>
    <t>1405/06/01</t>
  </si>
  <si>
    <t>1405/05/20</t>
  </si>
  <si>
    <t>وایر</t>
  </si>
  <si>
    <t>فرز، سختکاری ، CNC</t>
  </si>
  <si>
    <t>شمش جلو نیسان</t>
  </si>
  <si>
    <t>شمش عقب پژو 405 پایه بلند</t>
  </si>
  <si>
    <t xml:space="preserve">CNC ، Wier ، Assemble ، Test </t>
  </si>
  <si>
    <t>فرز ، سختکاری</t>
  </si>
  <si>
    <t>1404/11/10
1405/02/10
1405/05/31</t>
  </si>
  <si>
    <t>Assamble ، سختکاری</t>
  </si>
  <si>
    <t xml:space="preserve">فرز،CNC، سوراخکاری ، Wier </t>
  </si>
  <si>
    <t xml:space="preserve"> سوراخکاری ، وایر ، کروم(برون سپاری)، مونتاژ</t>
  </si>
  <si>
    <t>، وایر ، کروم(برون سپاری)، مونتاژ</t>
  </si>
  <si>
    <t>Wier EMD</t>
  </si>
  <si>
    <t>Assamble ، CNC ،</t>
  </si>
  <si>
    <t>فرز،CNC، سوراخکاری ، Wier سختکاری,</t>
  </si>
  <si>
    <t>1405/05/11</t>
  </si>
  <si>
    <t>1405/06/27</t>
  </si>
  <si>
    <t>Test</t>
  </si>
  <si>
    <t>فرز،CNC، سوراخکاری ، Wier سختکاری,Assamble ، CNC ،</t>
  </si>
  <si>
    <t xml:space="preserve">فرز، سختکاری ، CNC،  سوراخکاری ، وایر </t>
  </si>
  <si>
    <t>Chrome</t>
  </si>
  <si>
    <t xml:space="preserve"> ، کروم(برون سپاری)، مونتاژ</t>
  </si>
  <si>
    <t>، مونتاژ</t>
  </si>
  <si>
    <t>فرز، سختکاری ، CNC، وایر ، کروم(برون سپاری)</t>
  </si>
  <si>
    <t xml:space="preserve">فرز ، سنگ ، CNC ، سوراخکاری ، سختکاری(برون سپاری) ، </t>
  </si>
  <si>
    <t>عدم ارسال به کروم (بموقع) ، تاریخ درخواست 1405/06/01</t>
  </si>
  <si>
    <t>فرایند
(OK)</t>
  </si>
  <si>
    <t>فرایند
(NC)</t>
  </si>
  <si>
    <t>درصد پیشرفت</t>
  </si>
  <si>
    <t>1405/05/20
1405/06/13</t>
  </si>
  <si>
    <t>Assamble ،,wier</t>
  </si>
  <si>
    <t>Assamble</t>
  </si>
  <si>
    <t>CNC ، Wier ، Assemble ، Test ،  کروم</t>
  </si>
  <si>
    <t>CNC، وایر ، تراش ، مونتاژ ، سختکاری</t>
  </si>
  <si>
    <t>CNC، وایر ، تراش ، ، Wier ،، مونتاژ ، سختکاری</t>
  </si>
  <si>
    <t>Wier</t>
  </si>
  <si>
    <t>1405/06/20</t>
  </si>
  <si>
    <t>سنگ زنی</t>
  </si>
  <si>
    <t>کروم (برون سپاری) سنگ،مونتاژ</t>
  </si>
  <si>
    <t>فرز ، سنگ ، CNC ، سوراخکاری ، سختکاری(برون سپاری) ،</t>
  </si>
  <si>
    <t>1405/07/10</t>
  </si>
  <si>
    <t>1405/06/30</t>
  </si>
  <si>
    <t>1405/06/31</t>
  </si>
  <si>
    <t>1405/07/01</t>
  </si>
  <si>
    <t>1405/07/15</t>
  </si>
  <si>
    <t>1405/06/14</t>
  </si>
  <si>
    <t>پخت عقب پژو 405 شمشی پایه کوتاه</t>
  </si>
  <si>
    <t>قالب شمشی عقب پیکان</t>
  </si>
  <si>
    <t>قالب عقب F12</t>
  </si>
  <si>
    <t>قالب مینی بوس آریا</t>
  </si>
  <si>
    <t>قالب پخت SAF</t>
  </si>
  <si>
    <t>برشی نیوفیس C&amp;C</t>
  </si>
  <si>
    <t>پخت کلاچ تیبا چپ</t>
  </si>
  <si>
    <t>پخت کلاچ تیبا راست</t>
  </si>
  <si>
    <t>قالب شمشی عقب ریو</t>
  </si>
  <si>
    <t xml:space="preserve">مقدار ساعات کلی </t>
  </si>
  <si>
    <t>س . کار شده</t>
  </si>
  <si>
    <t>9278/د/05</t>
  </si>
  <si>
    <t>خودرو دیزل آذربایجان</t>
  </si>
  <si>
    <t>فرز، سختکاری ، CNC،  سوراخکاری ، وایر ،Assambly</t>
  </si>
  <si>
    <t>فرز،CNC، سوراخکاری ، Wier ،Assambly</t>
  </si>
  <si>
    <t>تراش</t>
  </si>
  <si>
    <t>دریل</t>
  </si>
  <si>
    <t>سنگ مغناطیسی</t>
  </si>
  <si>
    <t>سختکاری(برون سپاری)</t>
  </si>
  <si>
    <t>کروم (برون سپاری)</t>
  </si>
  <si>
    <t>Base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</si>
</sst>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Red][&gt;1]0%&quot; ⚠&quot;;0%"/>
    <numFmt numFmtId="165" formatCode="[Green][&gt;1]0%&quot; ⚠&quot;;0%"/>
  </numFmts>
  <fonts count="19" x14ac:knownFonts="1">
    <font>
      <sz val="11"/>
      <color theme="1"/>
      <name val="Calibri"/>
      <family val="2"/>
      <scheme val="minor"/>
    </font>
    <font>
      <b/>
      <sz val="8"/>
      <color theme="1"/>
      <name val="B Badr"/>
      <charset val="178"/>
    </font>
    <font>
      <i/>
      <sz val="11"/>
      <color theme="1"/>
      <name val="B Badr"/>
      <charset val="178"/>
    </font>
    <font>
      <sz val="8"/>
      <color theme="1"/>
      <name val="B Badr"/>
      <charset val="178"/>
    </font>
    <font>
      <sz val="20"/>
      <color theme="1"/>
      <name val="Bodoni MT"/>
      <family val="1"/>
    </font>
    <font>
      <sz val="12"/>
      <color theme="1"/>
      <name val="B Nazanin"/>
      <charset val="178"/>
    </font>
    <font>
      <sz val="8"/>
      <color theme="1"/>
      <name val="Bodoni MT"/>
      <family val="1"/>
    </font>
    <font>
      <b/>
      <sz val="12"/>
      <color theme="1"/>
      <name val="Bodoni MT"/>
      <family val="1"/>
    </font>
    <font>
      <sz val="11"/>
      <color theme="1"/>
      <name val="Bodoni MT"/>
      <family val="1"/>
    </font>
    <font>
      <b/>
      <sz val="11"/>
      <color theme="1"/>
      <name val="Bodoni MT"/>
      <family val="1"/>
    </font>
    <font>
      <b/>
      <sz val="13"/>
      <color theme="1"/>
      <name val="Bodoni MT"/>
      <family val="1"/>
    </font>
    <font>
      <b/>
      <sz val="9"/>
      <color theme="1"/>
      <name val="Bodoni MT"/>
      <family val="1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B Badr"/>
      <charset val="178"/>
    </font>
    <font>
      <sz val="10"/>
      <color theme="1"/>
      <name val="Calibri"/>
      <family val="2"/>
      <scheme val="minor"/>
    </font>
    <font>
      <sz val="11"/>
      <color theme="1"/>
      <name val="B Badr"/>
      <charset val="178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darkGrid"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0" borderId="1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0" fillId="0" borderId="1" xfId="0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readingOrder="2"/>
    </xf>
    <xf numFmtId="9" fontId="3" fillId="0" borderId="1" xfId="0" applyNumberFormat="1" applyFont="1" applyFill="1" applyBorder="1" applyAlignment="1">
      <alignment horizontal="center" vertical="center" wrapText="1"/>
    </xf>
    <xf numFmtId="0" fontId="2" fillId="0" borderId="19" xfId="0" applyNumberFormat="1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 wrapText="1" readingOrder="2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readingOrder="2"/>
    </xf>
    <xf numFmtId="9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 readingOrder="2"/>
    </xf>
    <xf numFmtId="0" fontId="11" fillId="2" borderId="16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left" vertical="center" wrapText="1" readingOrder="2"/>
    </xf>
    <xf numFmtId="0" fontId="10" fillId="2" borderId="18" xfId="0" applyFont="1" applyFill="1" applyBorder="1" applyAlignment="1">
      <alignment horizontal="center" vertical="center" wrapText="1"/>
    </xf>
    <xf numFmtId="0" fontId="0" fillId="0" borderId="12" xfId="0" applyBorder="1"/>
    <xf numFmtId="0" fontId="3" fillId="0" borderId="1" xfId="0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 wrapText="1" readingOrder="2"/>
    </xf>
    <xf numFmtId="0" fontId="0" fillId="4" borderId="9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 readingOrder="2"/>
    </xf>
    <xf numFmtId="9" fontId="3" fillId="4" borderId="9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2" fillId="4" borderId="20" xfId="0" applyNumberFormat="1" applyFont="1" applyFill="1" applyBorder="1" applyAlignment="1">
      <alignment horizontal="center" vertical="center" wrapText="1" readingOrder="2"/>
    </xf>
    <xf numFmtId="0" fontId="0" fillId="4" borderId="3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 readingOrder="2"/>
    </xf>
    <xf numFmtId="9" fontId="3" fillId="4" borderId="3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 readingOrder="2"/>
    </xf>
    <xf numFmtId="0" fontId="0" fillId="0" borderId="9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 readingOrder="2"/>
    </xf>
    <xf numFmtId="9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0" xfId="0" applyNumberFormat="1" applyFont="1" applyFill="1" applyBorder="1" applyAlignment="1">
      <alignment horizontal="center" vertical="center" wrapText="1" readingOrder="2"/>
    </xf>
    <xf numFmtId="0" fontId="0" fillId="0" borderId="3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 readingOrder="2"/>
    </xf>
    <xf numFmtId="9" fontId="3" fillId="0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2" borderId="24" xfId="0" applyFont="1" applyFill="1" applyBorder="1" applyAlignment="1">
      <alignment horizontal="center" vertical="center" wrapText="1"/>
    </xf>
    <xf numFmtId="0" fontId="2" fillId="4" borderId="25" xfId="0" applyNumberFormat="1" applyFont="1" applyFill="1" applyBorder="1" applyAlignment="1">
      <alignment horizontal="center" vertical="center" wrapText="1" readingOrder="2"/>
    </xf>
    <xf numFmtId="0" fontId="2" fillId="0" borderId="25" xfId="0" applyNumberFormat="1" applyFont="1" applyFill="1" applyBorder="1" applyAlignment="1">
      <alignment horizontal="center" vertical="center" wrapText="1" readingOrder="2"/>
    </xf>
    <xf numFmtId="0" fontId="9" fillId="2" borderId="2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9" fontId="3" fillId="0" borderId="29" xfId="0" applyNumberFormat="1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top" wrapText="1"/>
    </xf>
    <xf numFmtId="0" fontId="15" fillId="0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top" wrapText="1"/>
    </xf>
    <xf numFmtId="0" fontId="0" fillId="0" borderId="33" xfId="0" applyBorder="1" applyAlignment="1">
      <alignment horizontal="center" vertical="center" wrapText="1"/>
    </xf>
    <xf numFmtId="9" fontId="3" fillId="0" borderId="33" xfId="0" applyNumberFormat="1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34" xfId="0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3" fontId="7" fillId="2" borderId="17" xfId="0" applyNumberFormat="1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&#1601;&#1585;&#1608;&#1585;&#1583;&#1740;&#1606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&#1575;&#1585;&#1583;&#1740;&#1576;&#1607;&#1588;&#1578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&#1582;&#1585;&#1583;&#1575;&#1583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&#1578;&#1740;&#1585;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&#1605;&#1585;&#1583;&#1575;&#1583;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&#1588;&#1607;&#1585;&#1740;&#1608;&#1585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JTK-Files/&#1602;&#1575;&#1604;&#1576;%20&#1587;&#1575;&#1586;&#1740;/1405/140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601;&#1585;&#1608;&#1585;&#1583;&#1740;&#1606;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75;&#1585;&#1583;&#1740;&#1576;&#1607;&#1588;&#1578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82;&#1585;&#1583;&#1575;&#1583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78;&#1740;&#1585;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605;&#1585;&#1583;&#1575;&#1583;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88;&#1607;&#1585;&#1740;&#1608;&#1585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  <sheetName val="1فروردین"/>
    </sheetNames>
    <sheetDataSet>
      <sheetData sheetId="0" refreshError="1">
        <row r="4">
          <cell r="B4" t="str">
            <v>کوره ابزار زنی</v>
          </cell>
          <cell r="C4" t="str">
            <v>قطعه تعمیری</v>
          </cell>
          <cell r="AC4" t="str">
            <v>1405/01/10</v>
          </cell>
        </row>
        <row r="5">
          <cell r="B5" t="str">
            <v>کوره ابزار زنی</v>
          </cell>
          <cell r="C5" t="str">
            <v>قطعه تعمیری</v>
          </cell>
          <cell r="AC5" t="str">
            <v>1405/01/11</v>
          </cell>
        </row>
        <row r="6">
          <cell r="B6" t="str">
            <v>برش توری پگاسوز</v>
          </cell>
          <cell r="C6" t="str">
            <v>قالب تعمیری</v>
          </cell>
          <cell r="AC6" t="str">
            <v>1405/01/11</v>
          </cell>
        </row>
        <row r="7">
          <cell r="B7" t="str">
            <v>دستگاه پشم فلز چینی</v>
          </cell>
          <cell r="C7" t="str">
            <v>قطعه نو</v>
          </cell>
          <cell r="AC7" t="str">
            <v>1405/01/10</v>
          </cell>
        </row>
        <row r="8">
          <cell r="B8" t="str">
            <v>دستگاه پشم فلز چینی</v>
          </cell>
          <cell r="C8" t="str">
            <v>قطعه نو</v>
          </cell>
          <cell r="AC8" t="str">
            <v>1405/01/11</v>
          </cell>
        </row>
        <row r="9">
          <cell r="B9" t="str">
            <v>قالب ولوو سوپر</v>
          </cell>
          <cell r="C9" t="str">
            <v>قالب تعمیری</v>
          </cell>
          <cell r="AC9" t="str">
            <v>1405/01/11</v>
          </cell>
        </row>
        <row r="10">
          <cell r="B10" t="str">
            <v>قالب پخت کلاچ پیکان آرژانتینی</v>
          </cell>
          <cell r="C10" t="str">
            <v>قالب تعمیری</v>
          </cell>
          <cell r="AC10" t="str">
            <v>1405/01/08</v>
          </cell>
        </row>
        <row r="11">
          <cell r="B11" t="str">
            <v>قالب پخت کلاچ پیکان آرژانتینی</v>
          </cell>
          <cell r="C11" t="str">
            <v>قالب تعمیری</v>
          </cell>
          <cell r="AC11" t="str">
            <v>1405/01/08</v>
          </cell>
        </row>
        <row r="12">
          <cell r="B12" t="str">
            <v>قالب پخت کلاچ پیکان آرژانتینی</v>
          </cell>
          <cell r="C12" t="str">
            <v>قالب تعمیری</v>
          </cell>
          <cell r="AC12" t="str">
            <v>1405/01/10</v>
          </cell>
        </row>
        <row r="13">
          <cell r="B13" t="str">
            <v>قالب اکسپرس</v>
          </cell>
          <cell r="C13" t="str">
            <v>قالب تعمیری</v>
          </cell>
          <cell r="AC13" t="str">
            <v>1405/01/10</v>
          </cell>
        </row>
        <row r="14">
          <cell r="B14" t="str">
            <v>قالب پخت کلاچ پیکان آرژانتینی</v>
          </cell>
          <cell r="C14" t="str">
            <v>قالب تعمیری</v>
          </cell>
          <cell r="AC14" t="str">
            <v>1405/01/09</v>
          </cell>
        </row>
        <row r="15">
          <cell r="B15" t="str">
            <v>قالب اکسپرس</v>
          </cell>
          <cell r="C15" t="str">
            <v>قالب تعمیری</v>
          </cell>
          <cell r="AC15" t="str">
            <v>1405/01/11</v>
          </cell>
        </row>
        <row r="16">
          <cell r="B16" t="str">
            <v>کوره ابزار زنی</v>
          </cell>
          <cell r="C16" t="str">
            <v>قطعه تعمیری</v>
          </cell>
          <cell r="AC16" t="str">
            <v>1405/01/11</v>
          </cell>
        </row>
        <row r="17">
          <cell r="B17" t="str">
            <v>دستگاه پشم فلز چینی</v>
          </cell>
          <cell r="C17" t="str">
            <v>قطعه نو</v>
          </cell>
          <cell r="AC17" t="str">
            <v>1405/01/11</v>
          </cell>
        </row>
        <row r="18">
          <cell r="B18" t="str">
            <v>پخت کلاچ پراید</v>
          </cell>
          <cell r="C18" t="str">
            <v>قالب تعمیری</v>
          </cell>
          <cell r="AC18" t="str">
            <v>1405/01/11</v>
          </cell>
        </row>
        <row r="19">
          <cell r="B19" t="str">
            <v>قالب پخت کلاچ پیکان</v>
          </cell>
          <cell r="C19" t="str">
            <v>قالب تعمیری</v>
          </cell>
          <cell r="AC19" t="str">
            <v>1405/01/11</v>
          </cell>
        </row>
        <row r="20">
          <cell r="B20" t="str">
            <v>قالب پخت کلاچ پیکان</v>
          </cell>
          <cell r="C20" t="str">
            <v>قالب تعمیری</v>
          </cell>
          <cell r="AC20" t="str">
            <v>1405/01/08</v>
          </cell>
        </row>
        <row r="21">
          <cell r="B21" t="str">
            <v>پخت کلاچ پراید</v>
          </cell>
          <cell r="C21" t="str">
            <v>قالب تعمیری</v>
          </cell>
          <cell r="AC21" t="str">
            <v>1405/01/08</v>
          </cell>
        </row>
        <row r="22">
          <cell r="B22" t="str">
            <v>پخت کلاچ پراید</v>
          </cell>
          <cell r="C22" t="str">
            <v>قالب تعمیری</v>
          </cell>
          <cell r="AC22" t="str">
            <v>1405/01/08</v>
          </cell>
        </row>
        <row r="23">
          <cell r="B23" t="str">
            <v>قالب اکسپرس</v>
          </cell>
          <cell r="C23" t="str">
            <v>قالب تعمیری</v>
          </cell>
          <cell r="AC23" t="str">
            <v>1405/01/09</v>
          </cell>
        </row>
        <row r="24">
          <cell r="B24" t="str">
            <v>قالب ولوو سوپر</v>
          </cell>
          <cell r="C24" t="str">
            <v>قالب تعمیری</v>
          </cell>
          <cell r="AC24" t="str">
            <v>1405/01/09</v>
          </cell>
        </row>
        <row r="25">
          <cell r="B25" t="str">
            <v>قالب پخت کلاچ پیکان</v>
          </cell>
          <cell r="C25" t="str">
            <v>قالب تعمیری</v>
          </cell>
          <cell r="AC25" t="str">
            <v>1405/01/10</v>
          </cell>
        </row>
        <row r="26">
          <cell r="B26" t="str">
            <v>قالب پخت کلاچ پیکان</v>
          </cell>
          <cell r="C26" t="str">
            <v>قالب تعمیری</v>
          </cell>
          <cell r="AC26" t="str">
            <v>1405/01/10</v>
          </cell>
        </row>
        <row r="27">
          <cell r="B27" t="str">
            <v>شابلون پراید خاردار</v>
          </cell>
          <cell r="C27" t="str">
            <v>قطعه نو</v>
          </cell>
          <cell r="AC27" t="str">
            <v>1405/01/15</v>
          </cell>
        </row>
        <row r="28">
          <cell r="B28" t="str">
            <v>کوره ابزار زنی</v>
          </cell>
          <cell r="C28" t="str">
            <v>قطعه تعمیری</v>
          </cell>
          <cell r="AC28" t="str">
            <v>1405/01/15</v>
          </cell>
        </row>
        <row r="29">
          <cell r="B29" t="str">
            <v>قالب پخت کلاچ پیکان</v>
          </cell>
          <cell r="C29" t="str">
            <v>قالب تعمیری</v>
          </cell>
          <cell r="AC29" t="str">
            <v>1405/01/15</v>
          </cell>
        </row>
        <row r="30">
          <cell r="B30" t="str">
            <v>قالب ولوو سوپر</v>
          </cell>
          <cell r="C30" t="str">
            <v>قالب تعمیری</v>
          </cell>
          <cell r="AC30" t="str">
            <v>1405/01/15</v>
          </cell>
        </row>
        <row r="31">
          <cell r="B31" t="str">
            <v>دستگاه پشم فلز چینی</v>
          </cell>
          <cell r="C31" t="str">
            <v>قطعه نو</v>
          </cell>
          <cell r="AC31" t="str">
            <v>1405/01/15</v>
          </cell>
        </row>
        <row r="32">
          <cell r="B32" t="str">
            <v>برش جمعی عقب ریو</v>
          </cell>
          <cell r="C32" t="str">
            <v>قطعه نو</v>
          </cell>
          <cell r="AC32" t="str">
            <v>1405/01/15</v>
          </cell>
        </row>
        <row r="33">
          <cell r="B33" t="str">
            <v>شابلون پراید بی خار</v>
          </cell>
          <cell r="C33" t="str">
            <v>قطعه نو</v>
          </cell>
          <cell r="AC33" t="str">
            <v>1405/01/15</v>
          </cell>
        </row>
        <row r="34">
          <cell r="B34" t="str">
            <v>قالب ترنست</v>
          </cell>
          <cell r="C34" t="str">
            <v>قالب تعمیری</v>
          </cell>
          <cell r="AC34" t="str">
            <v>1405/01/15</v>
          </cell>
        </row>
        <row r="35">
          <cell r="B35" t="str">
            <v>ویوینگ</v>
          </cell>
          <cell r="C35" t="str">
            <v>قطعه نو</v>
          </cell>
          <cell r="AC35" t="str">
            <v>1405/01/15</v>
          </cell>
        </row>
        <row r="36">
          <cell r="B36" t="str">
            <v>ساب سمباده ای</v>
          </cell>
          <cell r="C36" t="str">
            <v>قطعه تعمیری</v>
          </cell>
          <cell r="AC36" t="str">
            <v>1405/01/15</v>
          </cell>
        </row>
        <row r="37">
          <cell r="B37" t="str">
            <v>دستگاه پشم فلز آلمانی</v>
          </cell>
          <cell r="C37" t="str">
            <v>قطعه نو</v>
          </cell>
          <cell r="AC37" t="str">
            <v>1405/01/15</v>
          </cell>
        </row>
        <row r="38">
          <cell r="B38" t="str">
            <v>دستگاه پشم فلز آلمانی</v>
          </cell>
          <cell r="C38" t="str">
            <v>قطعه نو</v>
          </cell>
          <cell r="AC38" t="str">
            <v>1405/01/15</v>
          </cell>
        </row>
        <row r="39">
          <cell r="B39" t="str">
            <v>قالب پراید خاردار</v>
          </cell>
          <cell r="C39" t="str">
            <v>قالب تعمیری</v>
          </cell>
          <cell r="AC39" t="str">
            <v>1405/01/08</v>
          </cell>
        </row>
        <row r="40">
          <cell r="B40" t="str">
            <v>قالب پخت کلاچ پیکان</v>
          </cell>
          <cell r="C40" t="str">
            <v>قالب تعمیری</v>
          </cell>
          <cell r="AC40" t="str">
            <v>1405/01/09</v>
          </cell>
        </row>
        <row r="41">
          <cell r="B41" t="str">
            <v>قالب پخت کلاچ پیکان</v>
          </cell>
          <cell r="C41" t="str">
            <v>قالب تعمیری</v>
          </cell>
          <cell r="AC41" t="str">
            <v>1405/01/10</v>
          </cell>
        </row>
        <row r="42">
          <cell r="B42" t="str">
            <v>پخت کلاچ پراید</v>
          </cell>
          <cell r="C42" t="str">
            <v>قالب تعمیری</v>
          </cell>
          <cell r="AC42" t="str">
            <v>1405/01/15</v>
          </cell>
        </row>
        <row r="43">
          <cell r="B43" t="str">
            <v>پخت کلاچ پراید</v>
          </cell>
          <cell r="C43" t="str">
            <v>قالب تعمیری</v>
          </cell>
          <cell r="AC43" t="str">
            <v>1405/01/15</v>
          </cell>
        </row>
        <row r="44">
          <cell r="B44" t="str">
            <v>ساب سمباده ای</v>
          </cell>
          <cell r="C44" t="str">
            <v>قطعه تعمیری</v>
          </cell>
          <cell r="AC44" t="str">
            <v>1405/01/15</v>
          </cell>
        </row>
        <row r="45">
          <cell r="B45" t="str">
            <v>قالب پراید خاردار</v>
          </cell>
          <cell r="C45" t="str">
            <v>قالب تعمیری</v>
          </cell>
          <cell r="AC45" t="str">
            <v>1405/01/15</v>
          </cell>
        </row>
        <row r="46">
          <cell r="B46" t="str">
            <v>قالب پخت کلاچ پیکان</v>
          </cell>
          <cell r="C46" t="str">
            <v>قالب تعمیری</v>
          </cell>
          <cell r="AC46" t="str">
            <v>1405/01/15</v>
          </cell>
        </row>
        <row r="47">
          <cell r="B47" t="str">
            <v>کوره ابزار زنی</v>
          </cell>
          <cell r="C47" t="str">
            <v>قطعه تعمیری</v>
          </cell>
          <cell r="AC47" t="str">
            <v>1405/01/11</v>
          </cell>
        </row>
        <row r="48">
          <cell r="B48" t="str">
            <v>دستگاه پشم فلز چینی</v>
          </cell>
          <cell r="C48" t="str">
            <v>قطعه نو</v>
          </cell>
          <cell r="AC48" t="str">
            <v>1405/01/11</v>
          </cell>
        </row>
        <row r="49">
          <cell r="B49" t="str">
            <v>پخت کلاچ پراید</v>
          </cell>
          <cell r="C49" t="str">
            <v>قالب تعمیری</v>
          </cell>
          <cell r="AC49" t="str">
            <v>1405/01/11</v>
          </cell>
        </row>
        <row r="50">
          <cell r="B50" t="str">
            <v>قالب پخت کلاچ پیکان</v>
          </cell>
          <cell r="C50" t="str">
            <v>قالب تعمیری</v>
          </cell>
          <cell r="AC50" t="str">
            <v>1405/01/11</v>
          </cell>
        </row>
        <row r="51">
          <cell r="B51" t="str">
            <v>قالب پخت کلاچ پیکان</v>
          </cell>
          <cell r="C51" t="str">
            <v>قالب تعمیری</v>
          </cell>
          <cell r="AC51" t="str">
            <v>1405/01/08</v>
          </cell>
        </row>
        <row r="52">
          <cell r="B52" t="str">
            <v>پخت کلاچ پراید</v>
          </cell>
          <cell r="C52" t="str">
            <v>قالب تعمیری</v>
          </cell>
          <cell r="AC52" t="str">
            <v>1405/01/08</v>
          </cell>
        </row>
        <row r="53">
          <cell r="B53" t="str">
            <v>پخت کلاچ پراید</v>
          </cell>
          <cell r="C53" t="str">
            <v>قالب تعمیری</v>
          </cell>
          <cell r="AC53" t="str">
            <v>1405/01/08</v>
          </cell>
        </row>
        <row r="54">
          <cell r="B54" t="str">
            <v>قالب اکسپرس</v>
          </cell>
          <cell r="C54" t="str">
            <v>قالب تعمیری</v>
          </cell>
          <cell r="AC54" t="str">
            <v>1405/01/09</v>
          </cell>
        </row>
        <row r="55">
          <cell r="B55" t="str">
            <v>قالب ولوو سوپر</v>
          </cell>
          <cell r="C55" t="str">
            <v>قالب تعمیری</v>
          </cell>
          <cell r="AC55" t="str">
            <v>1405/01/09</v>
          </cell>
        </row>
        <row r="56">
          <cell r="B56" t="str">
            <v>قالب پخت کلاچ پیکان</v>
          </cell>
          <cell r="C56" t="str">
            <v>قالب تعمیری</v>
          </cell>
          <cell r="AC56" t="str">
            <v>1405/01/10</v>
          </cell>
        </row>
        <row r="57">
          <cell r="B57" t="str">
            <v>قالب پخت کلاچ پیکان</v>
          </cell>
          <cell r="C57" t="str">
            <v>قالب تعمیری</v>
          </cell>
          <cell r="AC57" t="str">
            <v>1405/01/10</v>
          </cell>
        </row>
        <row r="58">
          <cell r="B58" t="str">
            <v>شابلون پراید خاردار</v>
          </cell>
          <cell r="C58" t="str">
            <v>قطعه نو</v>
          </cell>
          <cell r="AC58" t="str">
            <v>1405/01/15</v>
          </cell>
        </row>
        <row r="59">
          <cell r="B59" t="str">
            <v>کوره ابزار زنی</v>
          </cell>
          <cell r="C59" t="str">
            <v>قطعه تعمیری</v>
          </cell>
          <cell r="AC59" t="str">
            <v>1405/01/15</v>
          </cell>
        </row>
        <row r="60">
          <cell r="B60" t="str">
            <v>قالب پخت کلاچ پیکان</v>
          </cell>
          <cell r="C60" t="str">
            <v>قالب تعمیری</v>
          </cell>
          <cell r="AC60" t="str">
            <v>1405/01/15</v>
          </cell>
        </row>
        <row r="61">
          <cell r="B61" t="str">
            <v>دستگاه پشم فلز آلمانی</v>
          </cell>
          <cell r="C61" t="str">
            <v>قطعه نو</v>
          </cell>
          <cell r="AC61" t="str">
            <v>1405/01/15</v>
          </cell>
        </row>
        <row r="62">
          <cell r="B62" t="str">
            <v>دستگاه پشم فلز آلمانی</v>
          </cell>
          <cell r="C62" t="str">
            <v>قطعه نو</v>
          </cell>
          <cell r="AC62" t="str">
            <v>1405/01/16</v>
          </cell>
        </row>
        <row r="63">
          <cell r="B63" t="str">
            <v>پخت کلاچ پراید</v>
          </cell>
          <cell r="C63" t="str">
            <v>قالب تعمیری</v>
          </cell>
          <cell r="AC63" t="str">
            <v>1405/01/16</v>
          </cell>
        </row>
        <row r="64">
          <cell r="B64" t="str">
            <v>پخت کلاچ پراید</v>
          </cell>
          <cell r="C64" t="str">
            <v>قالب تعمیری</v>
          </cell>
          <cell r="AC64" t="str">
            <v>1405/01/16</v>
          </cell>
        </row>
        <row r="65">
          <cell r="B65" t="str">
            <v>پخت کلاچ پراید</v>
          </cell>
          <cell r="C65" t="str">
            <v>قالب تعمیری</v>
          </cell>
          <cell r="AC65" t="str">
            <v>1405/01/16</v>
          </cell>
        </row>
        <row r="66">
          <cell r="B66" t="str">
            <v>قالب پخت کلاچ پژو 405</v>
          </cell>
          <cell r="C66" t="str">
            <v>قالب تعمیری</v>
          </cell>
          <cell r="AC66" t="str">
            <v>1405/01/16</v>
          </cell>
        </row>
        <row r="67">
          <cell r="B67" t="str">
            <v>ساب سمباده ای</v>
          </cell>
          <cell r="C67" t="str">
            <v>قطعه تعمیری</v>
          </cell>
          <cell r="AC67" t="str">
            <v>1405/01/16</v>
          </cell>
        </row>
        <row r="68">
          <cell r="B68" t="str">
            <v>قالب پخت کلاچ پیکان</v>
          </cell>
          <cell r="C68" t="str">
            <v>قالب تعمیری</v>
          </cell>
          <cell r="AC68" t="str">
            <v>1405/01/16</v>
          </cell>
        </row>
        <row r="69">
          <cell r="B69" t="str">
            <v>دستگاه پشم فلز آلمانی</v>
          </cell>
          <cell r="C69" t="str">
            <v>قطعه نو</v>
          </cell>
          <cell r="AC69" t="str">
            <v>1405/01/16</v>
          </cell>
        </row>
        <row r="70">
          <cell r="B70" t="str">
            <v>شابلون پراید خاردار</v>
          </cell>
          <cell r="C70" t="str">
            <v>قطعه نو</v>
          </cell>
          <cell r="AC70" t="str">
            <v>1405/01/16</v>
          </cell>
        </row>
        <row r="71">
          <cell r="B71" t="str">
            <v>قالب ترنست</v>
          </cell>
          <cell r="C71" t="str">
            <v>قالب تعمیری</v>
          </cell>
          <cell r="AC71" t="str">
            <v>1405/01/16</v>
          </cell>
        </row>
        <row r="72">
          <cell r="B72" t="str">
            <v>قالب پخت کلاچ پیکان</v>
          </cell>
          <cell r="C72" t="str">
            <v>قالب تعمیری</v>
          </cell>
          <cell r="AC72" t="str">
            <v>1405/01/16</v>
          </cell>
        </row>
        <row r="73">
          <cell r="B73" t="str">
            <v>شابلون پراید خاردار</v>
          </cell>
          <cell r="C73" t="str">
            <v>قطعه نو</v>
          </cell>
          <cell r="AC73" t="str">
            <v>1405/01/16</v>
          </cell>
        </row>
        <row r="74">
          <cell r="B74" t="str">
            <v>قالب ترنست</v>
          </cell>
          <cell r="C74" t="str">
            <v>قالب تعمیری</v>
          </cell>
          <cell r="AC74" t="str">
            <v>1405/01/16</v>
          </cell>
        </row>
        <row r="75">
          <cell r="B75" t="str">
            <v>قالب پخت کلاچ پیکان</v>
          </cell>
          <cell r="C75" t="str">
            <v>قالب تعمیری</v>
          </cell>
          <cell r="AC75" t="str">
            <v>1405/01/16</v>
          </cell>
        </row>
        <row r="76">
          <cell r="B76" t="str">
            <v>قالب ولوو سوپر</v>
          </cell>
          <cell r="C76" t="str">
            <v>قالب تعمیری</v>
          </cell>
          <cell r="AC76" t="str">
            <v>1405/01/16</v>
          </cell>
        </row>
        <row r="77">
          <cell r="B77" t="str">
            <v>دستگاه پشم فلز چینی</v>
          </cell>
          <cell r="C77" t="str">
            <v>قطعه نو</v>
          </cell>
          <cell r="AC77" t="str">
            <v>1405/01/16</v>
          </cell>
        </row>
        <row r="78">
          <cell r="B78" t="str">
            <v>برش جمعی عقب ریو</v>
          </cell>
          <cell r="C78" t="str">
            <v>قطعه نو</v>
          </cell>
          <cell r="AC78" t="str">
            <v>1405/01/16</v>
          </cell>
        </row>
        <row r="79">
          <cell r="B79" t="str">
            <v>قالب ترنست</v>
          </cell>
          <cell r="C79" t="str">
            <v>قالب تعمیری</v>
          </cell>
          <cell r="AC79" t="str">
            <v>1405/01/16</v>
          </cell>
        </row>
        <row r="80">
          <cell r="B80" t="str">
            <v>دستگاه پشم فلز آلمانی</v>
          </cell>
          <cell r="C80" t="str">
            <v>قطعه نو</v>
          </cell>
          <cell r="AC80" t="str">
            <v>1405/01/16</v>
          </cell>
        </row>
        <row r="81">
          <cell r="B81" t="str">
            <v>قالب پراید خاردار</v>
          </cell>
          <cell r="C81" t="str">
            <v>قالب تعمیری</v>
          </cell>
          <cell r="AC81" t="str">
            <v>1405/01/16</v>
          </cell>
        </row>
        <row r="82">
          <cell r="B82" t="str">
            <v>قالب پخت کلاچ پیکان</v>
          </cell>
          <cell r="C82" t="str">
            <v>قالب تعمیری</v>
          </cell>
          <cell r="AC82" t="str">
            <v>1405/01/17</v>
          </cell>
        </row>
        <row r="83">
          <cell r="B83" t="str">
            <v>پخت کلاچ پراید</v>
          </cell>
          <cell r="C83" t="str">
            <v>قالب تعمیری</v>
          </cell>
          <cell r="AC83" t="str">
            <v>1405/01/17</v>
          </cell>
        </row>
        <row r="84">
          <cell r="B84" t="str">
            <v>پخت کلاچ پراید</v>
          </cell>
          <cell r="C84" t="str">
            <v>قالب تعمیری</v>
          </cell>
          <cell r="AC84" t="str">
            <v>1405/01/17</v>
          </cell>
        </row>
        <row r="85">
          <cell r="B85" t="str">
            <v>قالب پخت کلاچ پیکان</v>
          </cell>
          <cell r="C85" t="str">
            <v>قالب تعمیری</v>
          </cell>
          <cell r="AC85" t="str">
            <v>1405/01/17</v>
          </cell>
        </row>
        <row r="86">
          <cell r="B86" t="str">
            <v>قالب پخت کلاچ پیکان</v>
          </cell>
          <cell r="C86" t="str">
            <v>قالب تعمیری</v>
          </cell>
          <cell r="AC86" t="str">
            <v>1405/01/17</v>
          </cell>
        </row>
        <row r="87">
          <cell r="B87" t="str">
            <v>قالب پخت کلاچ پژو 405</v>
          </cell>
          <cell r="C87" t="str">
            <v>قالب تعمیری</v>
          </cell>
          <cell r="AC87" t="str">
            <v>1405/01/17</v>
          </cell>
        </row>
        <row r="88">
          <cell r="B88" t="str">
            <v>قالب پخت کلاچ پژو 405</v>
          </cell>
          <cell r="C88" t="str">
            <v>قالب تعمیری</v>
          </cell>
          <cell r="AC88" t="str">
            <v>1405/01/17</v>
          </cell>
        </row>
        <row r="89">
          <cell r="B89" t="str">
            <v>قالب پخت کلاچ پژو 405</v>
          </cell>
          <cell r="C89" t="str">
            <v>قالب تعمیری</v>
          </cell>
          <cell r="AC89" t="str">
            <v>1405/01/17</v>
          </cell>
        </row>
        <row r="90">
          <cell r="B90" t="str">
            <v>ویوینگ</v>
          </cell>
          <cell r="C90" t="str">
            <v>قطعه تعمیری</v>
          </cell>
          <cell r="AC90" t="str">
            <v>1405/01/17</v>
          </cell>
        </row>
        <row r="91">
          <cell r="B91" t="str">
            <v>قالب پخت کلاچ پژو 405</v>
          </cell>
          <cell r="C91" t="str">
            <v>قالب تعمیری</v>
          </cell>
          <cell r="AC91" t="str">
            <v>1405/01/17</v>
          </cell>
        </row>
        <row r="92">
          <cell r="B92" t="str">
            <v>قالب پخت کلاچ پژو 405</v>
          </cell>
          <cell r="C92" t="str">
            <v>قالب تعمیری</v>
          </cell>
          <cell r="AC92" t="str">
            <v>1405/01/17</v>
          </cell>
        </row>
        <row r="93">
          <cell r="B93" t="str">
            <v>قالب پخت کلاچ پژو 405</v>
          </cell>
          <cell r="C93" t="str">
            <v>قالب تعمیری</v>
          </cell>
          <cell r="AC93" t="str">
            <v>1405/01/17</v>
          </cell>
        </row>
        <row r="94">
          <cell r="B94" t="str">
            <v>ویوینگ</v>
          </cell>
          <cell r="C94" t="str">
            <v>قطعه تعمیری</v>
          </cell>
          <cell r="AC94" t="str">
            <v>1405/01/17</v>
          </cell>
        </row>
        <row r="95">
          <cell r="B95" t="str">
            <v>ضایعات جمع کن پشم فلز آلمانی</v>
          </cell>
          <cell r="C95" t="str">
            <v>دستگاه نو</v>
          </cell>
          <cell r="AC95" t="str">
            <v>1405/01/16</v>
          </cell>
        </row>
        <row r="96">
          <cell r="B96" t="str">
            <v>قالب ولوو سوپر</v>
          </cell>
          <cell r="C96" t="str">
            <v>قالب تعمیری</v>
          </cell>
          <cell r="AC96" t="str">
            <v>1405/01/17</v>
          </cell>
        </row>
        <row r="97">
          <cell r="B97" t="str">
            <v>برش جمعی عقب ریو</v>
          </cell>
          <cell r="C97" t="str">
            <v>قطعه نو</v>
          </cell>
          <cell r="AC97" t="str">
            <v>1405/01/17</v>
          </cell>
        </row>
        <row r="98">
          <cell r="B98" t="str">
            <v>قالب پخت کلاچ پیکان</v>
          </cell>
          <cell r="C98" t="str">
            <v>قالب تعمیری</v>
          </cell>
          <cell r="AC98" t="str">
            <v>1405/01/17</v>
          </cell>
        </row>
        <row r="99">
          <cell r="B99" t="str">
            <v>ساب سمباده ای</v>
          </cell>
          <cell r="C99" t="str">
            <v>قطعه تعمیری</v>
          </cell>
          <cell r="AC99" t="str">
            <v>1405/01/17</v>
          </cell>
        </row>
        <row r="100">
          <cell r="B100" t="str">
            <v>برش جمعی عقب ریو</v>
          </cell>
          <cell r="C100" t="str">
            <v>قطعه نو</v>
          </cell>
          <cell r="AC100" t="str">
            <v>1405/01/17</v>
          </cell>
        </row>
        <row r="101">
          <cell r="B101" t="str">
            <v>ضایعات جمع کن پشم فلز آلمانی</v>
          </cell>
          <cell r="C101" t="str">
            <v>دستگاه نو</v>
          </cell>
          <cell r="AC101" t="str">
            <v>1405/01/17</v>
          </cell>
        </row>
        <row r="102">
          <cell r="B102" t="str">
            <v>قالب پراید خاردار</v>
          </cell>
          <cell r="C102" t="str">
            <v>قالب تعمیری</v>
          </cell>
          <cell r="AC102" t="str">
            <v>1405/01/17</v>
          </cell>
        </row>
        <row r="103">
          <cell r="B103" t="str">
            <v>دستگاه پشم فلز چینی</v>
          </cell>
          <cell r="C103" t="str">
            <v>قطعه نو</v>
          </cell>
          <cell r="AC103" t="str">
            <v>1405/01/17</v>
          </cell>
        </row>
        <row r="104">
          <cell r="B104" t="str">
            <v>ویوینگ</v>
          </cell>
          <cell r="C104" t="str">
            <v>قطعه نو</v>
          </cell>
          <cell r="AC104" t="str">
            <v>1405/01/17</v>
          </cell>
        </row>
        <row r="105">
          <cell r="B105" t="str">
            <v>دستگاه پشم فلز آلمانی</v>
          </cell>
          <cell r="C105" t="str">
            <v>قطعه نو</v>
          </cell>
          <cell r="AC105" t="str">
            <v>1405/01/18</v>
          </cell>
        </row>
        <row r="106">
          <cell r="B106" t="str">
            <v>ابزار زنی</v>
          </cell>
          <cell r="C106" t="str">
            <v>قطعه تعمیری</v>
          </cell>
          <cell r="AC106" t="str">
            <v>1405/01/18</v>
          </cell>
        </row>
        <row r="107">
          <cell r="B107" t="str">
            <v>دستگاه پشم فلز چینی</v>
          </cell>
          <cell r="C107" t="str">
            <v>قطعه نو</v>
          </cell>
          <cell r="AC107" t="str">
            <v>1405/01/18</v>
          </cell>
        </row>
        <row r="108">
          <cell r="B108" t="str">
            <v>قالب ولوو سوپر</v>
          </cell>
          <cell r="C108" t="str">
            <v>قالب تعمیری</v>
          </cell>
          <cell r="AC108" t="str">
            <v>1405/01/18</v>
          </cell>
        </row>
        <row r="109">
          <cell r="B109" t="str">
            <v>برش جمعی عقب ریو</v>
          </cell>
          <cell r="C109" t="str">
            <v>قطعه نو</v>
          </cell>
          <cell r="AC109" t="str">
            <v>1405/01/18</v>
          </cell>
        </row>
        <row r="110">
          <cell r="B110" t="str">
            <v>قالب پخت کلاچ پیکان</v>
          </cell>
          <cell r="C110" t="str">
            <v>قالب تعمیری</v>
          </cell>
          <cell r="AC110" t="str">
            <v>1405/01/18</v>
          </cell>
        </row>
        <row r="111">
          <cell r="B111" t="str">
            <v>ویوینگ</v>
          </cell>
          <cell r="C111" t="str">
            <v>قطعه تعمیری</v>
          </cell>
          <cell r="AC111" t="str">
            <v>1405/01/18</v>
          </cell>
        </row>
        <row r="112">
          <cell r="B112" t="str">
            <v>قالب پخت کلاچ پیکان</v>
          </cell>
          <cell r="C112" t="str">
            <v>قالب تعمیری</v>
          </cell>
          <cell r="AC112" t="str">
            <v>1405/01/18</v>
          </cell>
        </row>
        <row r="113">
          <cell r="B113" t="str">
            <v>دستگاه پشم فلز چینی</v>
          </cell>
          <cell r="C113" t="str">
            <v>قطعه نو</v>
          </cell>
          <cell r="AC113" t="str">
            <v>1405/01/18</v>
          </cell>
        </row>
        <row r="114">
          <cell r="B114" t="str">
            <v>قالب پخت کلاچ پژو 405</v>
          </cell>
          <cell r="C114" t="str">
            <v>قالب تعمیری</v>
          </cell>
          <cell r="AC114" t="str">
            <v>1405/01/18</v>
          </cell>
        </row>
        <row r="115">
          <cell r="B115" t="str">
            <v>ساب سمباده ای</v>
          </cell>
          <cell r="C115" t="str">
            <v>قطعه تعمیری</v>
          </cell>
          <cell r="AC115" t="str">
            <v>1405/01/18</v>
          </cell>
        </row>
        <row r="116">
          <cell r="B116" t="str">
            <v>دستگاه پرس پخت</v>
          </cell>
          <cell r="C116" t="str">
            <v>قطعه نو</v>
          </cell>
          <cell r="AC116" t="str">
            <v>1405/01/18</v>
          </cell>
        </row>
        <row r="117">
          <cell r="B117" t="str">
            <v>ویوینگ</v>
          </cell>
          <cell r="C117" t="str">
            <v>قطعه نو</v>
          </cell>
          <cell r="AC117" t="str">
            <v>1405/01/18</v>
          </cell>
        </row>
        <row r="118">
          <cell r="B118" t="str">
            <v>دستگاه پرس پخت</v>
          </cell>
          <cell r="C118" t="str">
            <v>قطعه نو</v>
          </cell>
          <cell r="AC118" t="str">
            <v>1405/01/18</v>
          </cell>
        </row>
        <row r="119">
          <cell r="B119" t="str">
            <v>دستگاه پرس پخت</v>
          </cell>
          <cell r="C119" t="str">
            <v>قطعه نو</v>
          </cell>
          <cell r="AC119" t="str">
            <v>1405/01/18</v>
          </cell>
        </row>
        <row r="120">
          <cell r="B120" t="str">
            <v>دستگاه پشم فلز چینی</v>
          </cell>
          <cell r="C120" t="str">
            <v>قطعه نو</v>
          </cell>
          <cell r="AC120" t="str">
            <v>1405/01/18</v>
          </cell>
        </row>
        <row r="121">
          <cell r="B121" t="str">
            <v>برش جمعی عقب ریو</v>
          </cell>
          <cell r="C121" t="str">
            <v>قطعه نو</v>
          </cell>
          <cell r="AC121" t="str">
            <v>1405/01/18</v>
          </cell>
        </row>
        <row r="122">
          <cell r="B122" t="str">
            <v>قالب پخت کلاچ پیکان</v>
          </cell>
          <cell r="C122" t="str">
            <v>قالب تعمیری</v>
          </cell>
          <cell r="AC122" t="str">
            <v>1405/01/18</v>
          </cell>
        </row>
        <row r="123">
          <cell r="B123" t="str">
            <v>قالب جلو ریو</v>
          </cell>
          <cell r="C123" t="str">
            <v>قالب تعمیری</v>
          </cell>
          <cell r="AC123" t="str">
            <v>1405/01/18</v>
          </cell>
        </row>
        <row r="124">
          <cell r="B124" t="str">
            <v>دستگاه پشم فلز چینی</v>
          </cell>
          <cell r="C124" t="str">
            <v>قطعه نو</v>
          </cell>
          <cell r="AC124" t="str">
            <v>1405/01/18</v>
          </cell>
        </row>
        <row r="125">
          <cell r="B125" t="str">
            <v>برش جمعی عقب ریو</v>
          </cell>
          <cell r="C125" t="str">
            <v>قطعه نو</v>
          </cell>
          <cell r="AC125" t="str">
            <v>1405/01/18</v>
          </cell>
        </row>
        <row r="126">
          <cell r="B126" t="str">
            <v>قالب پخت کلاچ پیکان</v>
          </cell>
          <cell r="C126" t="str">
            <v>قالب تعمیری</v>
          </cell>
          <cell r="AC126" t="str">
            <v>1405/01/18</v>
          </cell>
        </row>
        <row r="127">
          <cell r="B127" t="str">
            <v>قالب جلو ریو</v>
          </cell>
          <cell r="C127" t="str">
            <v>قالب تعمیری</v>
          </cell>
          <cell r="AC127" t="str">
            <v>1405/01/18</v>
          </cell>
        </row>
        <row r="128">
          <cell r="B128" t="str">
            <v>دستگاه پرس پخت</v>
          </cell>
          <cell r="C128" t="str">
            <v>قطعه نو</v>
          </cell>
          <cell r="AC128" t="str">
            <v>1405/01/18</v>
          </cell>
        </row>
        <row r="129">
          <cell r="B129" t="str">
            <v>ویوینگ</v>
          </cell>
          <cell r="C129" t="str">
            <v>قطعه نو</v>
          </cell>
          <cell r="AC129" t="str">
            <v>1405/01/19</v>
          </cell>
        </row>
        <row r="130">
          <cell r="B130" t="str">
            <v>سری تراش</v>
          </cell>
          <cell r="C130" t="str">
            <v>دستگاه تعمیری</v>
          </cell>
          <cell r="AC130" t="str">
            <v>1405/01/19</v>
          </cell>
        </row>
        <row r="131">
          <cell r="B131" t="str">
            <v>ضایعات جمع کن پشم فلز آلمانی</v>
          </cell>
          <cell r="C131" t="str">
            <v>دستگاه نو</v>
          </cell>
          <cell r="AC131" t="str">
            <v>1405/01/19</v>
          </cell>
        </row>
        <row r="132">
          <cell r="B132" t="str">
            <v>دستگاه پشم فلز چینی</v>
          </cell>
          <cell r="C132" t="str">
            <v>قطعه نو</v>
          </cell>
          <cell r="AC132" t="str">
            <v>1405/01/19</v>
          </cell>
        </row>
        <row r="133">
          <cell r="B133" t="str">
            <v>قالب پخت کلاچ پژو 405</v>
          </cell>
          <cell r="C133" t="str">
            <v>قالب تعمیری</v>
          </cell>
          <cell r="AC133" t="str">
            <v>1405/01/19</v>
          </cell>
        </row>
        <row r="134">
          <cell r="B134" t="str">
            <v>قالب شیم ریو</v>
          </cell>
          <cell r="C134" t="str">
            <v>قالب تعمیری</v>
          </cell>
          <cell r="AC134" t="str">
            <v>1405/01/19</v>
          </cell>
        </row>
        <row r="135">
          <cell r="B135" t="str">
            <v>قالب شیم ریو</v>
          </cell>
          <cell r="C135" t="str">
            <v>قالب تعمیری</v>
          </cell>
          <cell r="AC135" t="str">
            <v>1405/01/19</v>
          </cell>
        </row>
        <row r="136">
          <cell r="B136" t="str">
            <v>قالب 309 سوراخدار</v>
          </cell>
          <cell r="C136" t="str">
            <v>قالب تعمیری</v>
          </cell>
          <cell r="AC136" t="str">
            <v>1405/01/19</v>
          </cell>
        </row>
        <row r="137">
          <cell r="B137" t="str">
            <v>دستگاه پرس پخت کلاچ</v>
          </cell>
          <cell r="C137" t="str">
            <v>قطعه تعمیری</v>
          </cell>
          <cell r="AC137" t="str">
            <v>1405/01/19</v>
          </cell>
        </row>
        <row r="138">
          <cell r="B138" t="str">
            <v>قالب 309 سوراخدار</v>
          </cell>
          <cell r="C138" t="str">
            <v>قالب تعمیری</v>
          </cell>
          <cell r="AC138" t="str">
            <v>1405/01/19</v>
          </cell>
        </row>
        <row r="139">
          <cell r="B139" t="str">
            <v>پخت کلاچ پراید</v>
          </cell>
          <cell r="C139" t="str">
            <v>قالب تعمیری</v>
          </cell>
          <cell r="AC139" t="str">
            <v>1405/01/19</v>
          </cell>
        </row>
        <row r="140">
          <cell r="B140" t="str">
            <v>پخت کلاچ پراید</v>
          </cell>
          <cell r="C140" t="str">
            <v>قالب تعمیری</v>
          </cell>
          <cell r="AC140" t="str">
            <v>1405/01/19</v>
          </cell>
        </row>
        <row r="141">
          <cell r="B141" t="str">
            <v>پخت کلاچ پراید</v>
          </cell>
          <cell r="C141" t="str">
            <v>قالب تعمیری</v>
          </cell>
          <cell r="AC141" t="str">
            <v>1405/01/19</v>
          </cell>
        </row>
        <row r="142">
          <cell r="B142" t="str">
            <v>قالب پخت کلاچ پژو 405</v>
          </cell>
          <cell r="C142" t="str">
            <v>قالب تعمیری</v>
          </cell>
          <cell r="AC142" t="str">
            <v>1405/01/19</v>
          </cell>
        </row>
        <row r="143">
          <cell r="B143" t="str">
            <v>همزن آغشته کاری</v>
          </cell>
          <cell r="C143" t="str">
            <v>قطعه تعمیری</v>
          </cell>
          <cell r="AC143" t="str">
            <v>1405/01/19</v>
          </cell>
        </row>
        <row r="144">
          <cell r="B144" t="str">
            <v>همزن آغشته کاری</v>
          </cell>
          <cell r="C144" t="str">
            <v>قطعه تعمیری</v>
          </cell>
          <cell r="AC144" t="str">
            <v>1405/01/19</v>
          </cell>
        </row>
        <row r="145">
          <cell r="B145" t="str">
            <v>قالب شیم ریو</v>
          </cell>
          <cell r="C145" t="str">
            <v>قالب تعمیری</v>
          </cell>
          <cell r="AC145" t="str">
            <v>1405/01/19</v>
          </cell>
        </row>
        <row r="146">
          <cell r="B146" t="str">
            <v>قالب 309 سوراخدار</v>
          </cell>
          <cell r="C146" t="str">
            <v>قالب تعمیری</v>
          </cell>
          <cell r="AC146" t="str">
            <v>1405/01/19</v>
          </cell>
        </row>
        <row r="147">
          <cell r="B147" t="str">
            <v>پخت کلاچ پراید</v>
          </cell>
          <cell r="C147" t="str">
            <v>قالب تعمیری</v>
          </cell>
          <cell r="AC147" t="str">
            <v>1405/01/19</v>
          </cell>
        </row>
        <row r="148">
          <cell r="B148" t="str">
            <v>دستگاه پشم فلز چینی</v>
          </cell>
          <cell r="C148" t="str">
            <v>قطعه نو</v>
          </cell>
          <cell r="AC148" t="str">
            <v>1405/01/19</v>
          </cell>
        </row>
        <row r="149">
          <cell r="B149" t="str">
            <v>دستگاه پشم فلز چینی</v>
          </cell>
          <cell r="C149" t="str">
            <v>قطعه نو</v>
          </cell>
          <cell r="AC149" t="str">
            <v>1405/01/20</v>
          </cell>
        </row>
        <row r="150">
          <cell r="B150" t="str">
            <v>اصول 5S</v>
          </cell>
          <cell r="C150" t="str">
            <v>نظافت</v>
          </cell>
          <cell r="AC150" t="str">
            <v>1405/01/20</v>
          </cell>
        </row>
        <row r="151">
          <cell r="B151" t="str">
            <v>قالب پخت کلاچ پژو 405</v>
          </cell>
          <cell r="C151" t="str">
            <v>قالب تعمیری</v>
          </cell>
          <cell r="AC151" t="str">
            <v>1405/01/20</v>
          </cell>
        </row>
        <row r="152">
          <cell r="B152" t="str">
            <v>دستگاه پشم فلز آلمانی</v>
          </cell>
          <cell r="C152" t="str">
            <v>قطعه نو</v>
          </cell>
          <cell r="AC152" t="str">
            <v>1405/01/20</v>
          </cell>
        </row>
        <row r="153">
          <cell r="B153" t="str">
            <v>اصول 5S</v>
          </cell>
          <cell r="C153" t="str">
            <v>نظافت</v>
          </cell>
          <cell r="AC153" t="str">
            <v>1405/01/20</v>
          </cell>
        </row>
        <row r="154">
          <cell r="B154" t="str">
            <v>همزن آغشته کاری</v>
          </cell>
          <cell r="C154" t="str">
            <v>قطعه تعمیری</v>
          </cell>
          <cell r="AC154" t="str">
            <v>1405/01/20</v>
          </cell>
        </row>
        <row r="155">
          <cell r="B155" t="str">
            <v>دستگاه پشم فلز آلمانی</v>
          </cell>
          <cell r="C155" t="str">
            <v>قطعه نو</v>
          </cell>
          <cell r="AC155" t="str">
            <v>1405/01/20</v>
          </cell>
        </row>
        <row r="156">
          <cell r="B156" t="str">
            <v>اصول 5S</v>
          </cell>
          <cell r="C156" t="str">
            <v>نظافت</v>
          </cell>
          <cell r="AC156" t="str">
            <v>1405/01/20</v>
          </cell>
        </row>
        <row r="157">
          <cell r="B157" t="str">
            <v>ضایعات جمع کن پشم فلز آلمانی</v>
          </cell>
          <cell r="C157" t="str">
            <v>دستگاه نو</v>
          </cell>
          <cell r="AC157" t="str">
            <v>1405/01/20</v>
          </cell>
        </row>
        <row r="158">
          <cell r="B158" t="str">
            <v>اصول 5S</v>
          </cell>
          <cell r="C158" t="str">
            <v>نظافت</v>
          </cell>
          <cell r="AC158" t="str">
            <v>1405/01/20</v>
          </cell>
        </row>
        <row r="159">
          <cell r="B159" t="str">
            <v>دستگاه پشم فلز چینی</v>
          </cell>
          <cell r="C159" t="str">
            <v>قطعه نو</v>
          </cell>
          <cell r="AC159" t="str">
            <v>1405/01/20</v>
          </cell>
        </row>
        <row r="160">
          <cell r="B160" t="str">
            <v>قالب پخت کلاچ پژو 405</v>
          </cell>
          <cell r="C160" t="str">
            <v>قالب تعمیری</v>
          </cell>
          <cell r="AC160" t="str">
            <v>1405/01/20</v>
          </cell>
        </row>
        <row r="161">
          <cell r="B161" t="str">
            <v>اصول 5S</v>
          </cell>
          <cell r="C161" t="str">
            <v>نظافت</v>
          </cell>
          <cell r="AC161" t="str">
            <v>1405/01/20</v>
          </cell>
        </row>
        <row r="162">
          <cell r="B162" t="str">
            <v>قالب پخت کلاچ پژو 405</v>
          </cell>
          <cell r="C162" t="str">
            <v>قالب تعمیری</v>
          </cell>
          <cell r="AC162" t="str">
            <v>1405/01/20</v>
          </cell>
        </row>
        <row r="163">
          <cell r="B163" t="str">
            <v>قالب برش SAF</v>
          </cell>
          <cell r="C163" t="str">
            <v>قالب تعمیری</v>
          </cell>
          <cell r="AC163" t="str">
            <v>1405/01/20</v>
          </cell>
        </row>
        <row r="164">
          <cell r="B164" t="str">
            <v>قالب پخت کلاچ پژو 405</v>
          </cell>
          <cell r="C164" t="str">
            <v>قالب تعمیری</v>
          </cell>
          <cell r="AC164" t="str">
            <v>1405/01/20</v>
          </cell>
        </row>
        <row r="165">
          <cell r="B165" t="str">
            <v>اصول 5S</v>
          </cell>
          <cell r="C165" t="str">
            <v>نظافت</v>
          </cell>
          <cell r="AC165" t="str">
            <v>1405/01/20</v>
          </cell>
        </row>
        <row r="166">
          <cell r="B166" t="str">
            <v>دستگاه پشم فلز آلمانی</v>
          </cell>
          <cell r="C166" t="str">
            <v>قطعه تعمیری</v>
          </cell>
          <cell r="AC166" t="str">
            <v>1405/01/20</v>
          </cell>
        </row>
        <row r="167">
          <cell r="B167" t="str">
            <v>سری تراش</v>
          </cell>
          <cell r="C167" t="str">
            <v>دستگاه تعمیری</v>
          </cell>
          <cell r="AC167" t="str">
            <v>1405/01/20</v>
          </cell>
        </row>
        <row r="168">
          <cell r="B168" t="str">
            <v>اصول 5S</v>
          </cell>
          <cell r="C168" t="str">
            <v>نظافت</v>
          </cell>
          <cell r="AC168" t="str">
            <v>1405/01/20</v>
          </cell>
        </row>
        <row r="169">
          <cell r="B169" t="str">
            <v>دستگاه پرس پخت کلاچ</v>
          </cell>
          <cell r="C169" t="str">
            <v>قطعه تعمیری</v>
          </cell>
          <cell r="AC169" t="str">
            <v>1405/01/20</v>
          </cell>
        </row>
        <row r="170">
          <cell r="B170" t="str">
            <v>قالب پخت کلاچ پژو 405</v>
          </cell>
          <cell r="C170" t="str">
            <v>قالب تعمیری</v>
          </cell>
          <cell r="AC170" t="str">
            <v>1405/01/20</v>
          </cell>
        </row>
        <row r="171">
          <cell r="B171" t="str">
            <v>همزن آغشته کاری</v>
          </cell>
          <cell r="C171" t="str">
            <v>قطعه تعمیری</v>
          </cell>
          <cell r="AC171" t="str">
            <v>1405/01/20</v>
          </cell>
        </row>
        <row r="172">
          <cell r="B172" t="str">
            <v>دستگاه پشم فلز آلمانی</v>
          </cell>
          <cell r="C172" t="str">
            <v>قطعه تعمیری</v>
          </cell>
          <cell r="AC172" t="str">
            <v>1405/01/20</v>
          </cell>
        </row>
        <row r="173">
          <cell r="B173" t="str">
            <v>اصول 5S</v>
          </cell>
          <cell r="C173" t="str">
            <v>نظافت</v>
          </cell>
          <cell r="AC173" t="str">
            <v>1405/01/20</v>
          </cell>
        </row>
        <row r="174">
          <cell r="B174" t="str">
            <v>برش جمعی عقب ریو</v>
          </cell>
          <cell r="C174" t="str">
            <v>قطعه نو</v>
          </cell>
          <cell r="AC174" t="str">
            <v>1405/01/19</v>
          </cell>
        </row>
        <row r="175">
          <cell r="B175" t="str">
            <v>برش جمعی عقب ریو</v>
          </cell>
          <cell r="C175" t="str">
            <v>قطعه نو</v>
          </cell>
          <cell r="AC175" t="str">
            <v>1405/01/19</v>
          </cell>
        </row>
        <row r="176">
          <cell r="B176" t="str">
            <v>دستگاه پشم فلز چینی</v>
          </cell>
          <cell r="C176" t="str">
            <v>قطعه نو</v>
          </cell>
          <cell r="AC176" t="str">
            <v>1405/01/22</v>
          </cell>
        </row>
        <row r="177">
          <cell r="B177" t="str">
            <v>سری تراش</v>
          </cell>
          <cell r="C177" t="str">
            <v>دستگاه تعمیری</v>
          </cell>
          <cell r="AC177" t="str">
            <v>1405/01/22</v>
          </cell>
        </row>
        <row r="178">
          <cell r="B178" t="str">
            <v>هواکش</v>
          </cell>
          <cell r="C178" t="str">
            <v>قطعه تعمیری</v>
          </cell>
          <cell r="AC178" t="str">
            <v>1405/01/22</v>
          </cell>
        </row>
        <row r="179">
          <cell r="B179" t="str">
            <v>هواکش</v>
          </cell>
          <cell r="C179" t="str">
            <v>قطعه تعمیری</v>
          </cell>
          <cell r="AC179" t="str">
            <v>1405/01/22</v>
          </cell>
        </row>
        <row r="180">
          <cell r="B180" t="str">
            <v>دستگاه پشم فلز آلمانی</v>
          </cell>
          <cell r="C180" t="str">
            <v>قطعه نو</v>
          </cell>
          <cell r="AC180" t="str">
            <v>1405/01/22</v>
          </cell>
        </row>
        <row r="181">
          <cell r="B181" t="str">
            <v>دستگاه پرچ زنی</v>
          </cell>
          <cell r="C181" t="str">
            <v>قطعه تعمیری</v>
          </cell>
          <cell r="AC181" t="str">
            <v>1405/01/22</v>
          </cell>
        </row>
        <row r="182">
          <cell r="B182" t="str">
            <v>دستگاه تسمه کش</v>
          </cell>
          <cell r="C182" t="str">
            <v>قطعه تعمیری</v>
          </cell>
          <cell r="AC182" t="str">
            <v>1405/01/22</v>
          </cell>
        </row>
        <row r="183">
          <cell r="B183" t="str">
            <v>قالب پخت کلاچ پژو 405</v>
          </cell>
          <cell r="C183" t="str">
            <v>قالب تعمیری</v>
          </cell>
          <cell r="AC183" t="str">
            <v>1405/01/22</v>
          </cell>
        </row>
        <row r="184">
          <cell r="B184" t="str">
            <v>قالب پخت کلاچ پژو 405</v>
          </cell>
          <cell r="C184" t="str">
            <v>قالب تعمیری</v>
          </cell>
          <cell r="AC184" t="str">
            <v>1405/01/22</v>
          </cell>
        </row>
        <row r="185">
          <cell r="B185" t="str">
            <v>قالب آرایش کوبه و نک SAF</v>
          </cell>
          <cell r="C185" t="str">
            <v>قالب تعمیری</v>
          </cell>
          <cell r="AC185" t="str">
            <v>1405/01/22</v>
          </cell>
        </row>
        <row r="186">
          <cell r="B186" t="str">
            <v>قالب آرایش جافنری ویچای</v>
          </cell>
          <cell r="C186" t="str">
            <v>قالب تعمیری</v>
          </cell>
          <cell r="AC186" t="str">
            <v>1405/01/22</v>
          </cell>
        </row>
        <row r="187">
          <cell r="B187" t="str">
            <v>پخت کلاچ پراید</v>
          </cell>
          <cell r="C187" t="str">
            <v>قالب تعمیری</v>
          </cell>
          <cell r="AC187" t="str">
            <v>1405/01/22</v>
          </cell>
        </row>
        <row r="188">
          <cell r="B188" t="str">
            <v>دستگاه پرس پخت</v>
          </cell>
          <cell r="C188" t="str">
            <v>قطعه نو</v>
          </cell>
          <cell r="AC188" t="str">
            <v>1405/01/22</v>
          </cell>
        </row>
        <row r="189">
          <cell r="B189" t="str">
            <v>دستگاه پرس پخت</v>
          </cell>
          <cell r="C189" t="str">
            <v>قطعه نو</v>
          </cell>
          <cell r="AC189" t="str">
            <v>1405/01/22</v>
          </cell>
        </row>
        <row r="190">
          <cell r="B190" t="str">
            <v>ضایعات جمع کن پشم فلز آلمانی</v>
          </cell>
          <cell r="C190" t="str">
            <v>دستگاه نو</v>
          </cell>
          <cell r="AC190" t="str">
            <v>1405/01/22</v>
          </cell>
        </row>
        <row r="191">
          <cell r="B191" t="str">
            <v>دستگاه پشم فلز چینی</v>
          </cell>
          <cell r="C191" t="str">
            <v>قطعه نو</v>
          </cell>
          <cell r="AC191" t="str">
            <v>1405/01/22</v>
          </cell>
        </row>
        <row r="192">
          <cell r="B192" t="str">
            <v>قالب برشی پیلسان</v>
          </cell>
          <cell r="C192" t="str">
            <v>قالب تعمیری</v>
          </cell>
          <cell r="AC192" t="str">
            <v>1405/01/22</v>
          </cell>
        </row>
        <row r="193">
          <cell r="B193" t="str">
            <v>قالب 309 سوراخدار</v>
          </cell>
          <cell r="C193" t="str">
            <v>قالب تعمیری</v>
          </cell>
          <cell r="AC193" t="str">
            <v>1405/01/22</v>
          </cell>
        </row>
        <row r="194">
          <cell r="B194" t="str">
            <v>برش جمعی عقب ریو</v>
          </cell>
          <cell r="C194" t="str">
            <v>قطعه نو</v>
          </cell>
          <cell r="AC194" t="str">
            <v>1405/01/22</v>
          </cell>
        </row>
        <row r="195">
          <cell r="B195" t="str">
            <v>برش جمعی عقب ریو</v>
          </cell>
          <cell r="C195" t="str">
            <v>قطعه نو</v>
          </cell>
          <cell r="AC195" t="str">
            <v>1405/01/22</v>
          </cell>
        </row>
        <row r="196">
          <cell r="B196" t="str">
            <v>همزن آغشته کاری</v>
          </cell>
          <cell r="C196" t="str">
            <v>قطعه تعمیری</v>
          </cell>
          <cell r="AC196" t="str">
            <v>1405/01/22</v>
          </cell>
        </row>
        <row r="197">
          <cell r="B197" t="str">
            <v>قلم پین برلیانس</v>
          </cell>
          <cell r="C197" t="str">
            <v>قطعه تعمیری</v>
          </cell>
          <cell r="AC197" t="str">
            <v>1405/01/22</v>
          </cell>
        </row>
        <row r="198">
          <cell r="B198" t="str">
            <v>قالب اصلاح دسته کفشک مترو K</v>
          </cell>
          <cell r="C198" t="str">
            <v>قالب نو</v>
          </cell>
          <cell r="AC198" t="str">
            <v>1405/01/23</v>
          </cell>
        </row>
        <row r="199">
          <cell r="B199" t="str">
            <v>برش توری پگاسوز</v>
          </cell>
          <cell r="C199" t="str">
            <v>قالب نو</v>
          </cell>
          <cell r="AC199" t="str">
            <v>1405/01/23</v>
          </cell>
        </row>
        <row r="200">
          <cell r="B200" t="str">
            <v>برش جمعی عقب ریو</v>
          </cell>
          <cell r="C200" t="str">
            <v>قطعه نو</v>
          </cell>
          <cell r="AC200" t="str">
            <v>1405/01/23</v>
          </cell>
        </row>
        <row r="201">
          <cell r="B201" t="str">
            <v>قالب اصلاح دسته کفشک مترو K</v>
          </cell>
          <cell r="C201" t="str">
            <v>قالب نو</v>
          </cell>
          <cell r="AC201" t="str">
            <v>1405/01/23</v>
          </cell>
        </row>
        <row r="202">
          <cell r="B202" t="str">
            <v>ضایعات جمع کن پشم فلز آلمانی</v>
          </cell>
          <cell r="C202" t="str">
            <v>دستگاه نو</v>
          </cell>
          <cell r="AC202" t="str">
            <v>1405/01/23</v>
          </cell>
        </row>
        <row r="203">
          <cell r="B203" t="str">
            <v>ضایعات جمع کن پشم فلز آلمانی</v>
          </cell>
          <cell r="C203" t="str">
            <v>دستگاه نو</v>
          </cell>
          <cell r="AC203" t="str">
            <v>1405/01/23</v>
          </cell>
        </row>
        <row r="204">
          <cell r="B204" t="str">
            <v>دستگاه ویوینگ</v>
          </cell>
          <cell r="C204" t="str">
            <v>قطعه تعمیری</v>
          </cell>
          <cell r="AC204" t="str">
            <v>1405/01/23</v>
          </cell>
        </row>
        <row r="205">
          <cell r="B205" t="str">
            <v>قالب 309 سوراخدار</v>
          </cell>
          <cell r="C205" t="str">
            <v>قالب تعمیری</v>
          </cell>
          <cell r="AC205" t="str">
            <v>1405/01/23</v>
          </cell>
        </row>
        <row r="206">
          <cell r="B206" t="str">
            <v>CNC 7203</v>
          </cell>
          <cell r="C206" t="str">
            <v>دستگاه تعمیری</v>
          </cell>
          <cell r="AC206" t="str">
            <v>1405/01/23</v>
          </cell>
        </row>
        <row r="207">
          <cell r="B207" t="str">
            <v>دستگاه کشش پشم فلز</v>
          </cell>
          <cell r="C207" t="str">
            <v>قطعه نو</v>
          </cell>
          <cell r="AC207" t="str">
            <v>1405/01/23</v>
          </cell>
        </row>
        <row r="208">
          <cell r="B208" t="str">
            <v>ضایعات جمع کن پشم فلز آلمانی</v>
          </cell>
          <cell r="C208" t="str">
            <v>دستگاه نو</v>
          </cell>
          <cell r="AC208" t="str">
            <v>1405/01/23</v>
          </cell>
        </row>
        <row r="209">
          <cell r="B209" t="str">
            <v>ویوینگ</v>
          </cell>
          <cell r="C209" t="str">
            <v>قطعه نو</v>
          </cell>
          <cell r="AC209" t="str">
            <v>1405/01/23</v>
          </cell>
        </row>
        <row r="210">
          <cell r="B210" t="str">
            <v>سری تراش</v>
          </cell>
          <cell r="C210" t="str">
            <v>دستگاه تعمیری</v>
          </cell>
          <cell r="AC210" t="str">
            <v>1405/01/23</v>
          </cell>
        </row>
        <row r="211">
          <cell r="B211" t="str">
            <v>دستگاه پشم فلز چینی</v>
          </cell>
          <cell r="C211" t="str">
            <v>قطعه نو</v>
          </cell>
          <cell r="AC211" t="str">
            <v>1405/01/23</v>
          </cell>
        </row>
        <row r="212">
          <cell r="B212" t="str">
            <v>ویوینگ</v>
          </cell>
          <cell r="C212" t="str">
            <v>قطعه نو</v>
          </cell>
          <cell r="AC212" t="str">
            <v>1405/01/23</v>
          </cell>
        </row>
        <row r="213">
          <cell r="B213" t="str">
            <v>دستگاه جوش</v>
          </cell>
          <cell r="C213" t="str">
            <v>دستگاه تعمیری</v>
          </cell>
          <cell r="AC213" t="str">
            <v>1405/01/23</v>
          </cell>
        </row>
        <row r="214">
          <cell r="B214" t="str">
            <v>قالب پخت کلاچ پژو 405</v>
          </cell>
          <cell r="C214" t="str">
            <v>قالب تعمیری</v>
          </cell>
          <cell r="AC214" t="str">
            <v>1405/01/23</v>
          </cell>
        </row>
        <row r="215">
          <cell r="B215" t="str">
            <v>قالب پخت کلاچ پژو 405</v>
          </cell>
          <cell r="C215" t="str">
            <v>قالب تعمیری</v>
          </cell>
          <cell r="AC215" t="str">
            <v>1405/01/23</v>
          </cell>
        </row>
        <row r="216">
          <cell r="B216" t="str">
            <v>دستگاه پشم فلز آلمانی</v>
          </cell>
          <cell r="C216" t="str">
            <v>قطعه نو</v>
          </cell>
          <cell r="AC216" t="str">
            <v>1405/01/23</v>
          </cell>
        </row>
        <row r="217">
          <cell r="B217" t="str">
            <v>قالب 309 سوراخدار</v>
          </cell>
          <cell r="C217" t="str">
            <v>قالب تعمیری</v>
          </cell>
          <cell r="AC217" t="str">
            <v>1405/01/22</v>
          </cell>
        </row>
        <row r="218">
          <cell r="B218" t="str">
            <v>دستگاه پشم فلز آلمانی</v>
          </cell>
          <cell r="C218" t="str">
            <v>قطعه تعمیری</v>
          </cell>
          <cell r="AC218" t="str">
            <v>1405/01/22</v>
          </cell>
        </row>
        <row r="219">
          <cell r="B219" t="str">
            <v>ضایعات جمع کن پشم فلز آلمانی</v>
          </cell>
          <cell r="C219" t="str">
            <v>دستگاه نو</v>
          </cell>
          <cell r="AC219" t="str">
            <v>1405/01/22</v>
          </cell>
        </row>
        <row r="220">
          <cell r="B220" t="str">
            <v>دستگاه پشم فلز آلمانی</v>
          </cell>
          <cell r="C220" t="str">
            <v>قطعه تعمیری</v>
          </cell>
          <cell r="AC220" t="str">
            <v>1405/01/23</v>
          </cell>
        </row>
        <row r="221">
          <cell r="B221" t="str">
            <v>ویوینگ</v>
          </cell>
          <cell r="C221" t="str">
            <v>قطعه نو</v>
          </cell>
          <cell r="AC221" t="str">
            <v>1405/01/23</v>
          </cell>
        </row>
        <row r="222">
          <cell r="B222" t="str">
            <v>ضایعات جمع کن پشم فلز آلمانی</v>
          </cell>
          <cell r="C222" t="str">
            <v>دستگاه نو</v>
          </cell>
          <cell r="AC222" t="str">
            <v>1405/01/23</v>
          </cell>
        </row>
        <row r="223">
          <cell r="B223" t="str">
            <v>قالب پراید خاردار</v>
          </cell>
          <cell r="C223" t="str">
            <v>قالب تعمیری</v>
          </cell>
          <cell r="AC223" t="str">
            <v>1405/01/23</v>
          </cell>
        </row>
        <row r="224">
          <cell r="B224" t="str">
            <v>پخت کلاچ پراید</v>
          </cell>
          <cell r="C224" t="str">
            <v>قالب تعمیری</v>
          </cell>
          <cell r="AC224" t="str">
            <v>1405/01/23</v>
          </cell>
        </row>
        <row r="225">
          <cell r="B225" t="str">
            <v>دستگاه پشم فلز آلمانی</v>
          </cell>
          <cell r="C225" t="str">
            <v>قطعه نو</v>
          </cell>
          <cell r="AC225" t="str">
            <v>1405/01/23</v>
          </cell>
        </row>
        <row r="226">
          <cell r="B226" t="str">
            <v>دستگاه کشش پشم فلز</v>
          </cell>
          <cell r="C226" t="str">
            <v>قطعه نو</v>
          </cell>
          <cell r="AC226" t="str">
            <v>1405/01/24</v>
          </cell>
        </row>
        <row r="227">
          <cell r="B227" t="str">
            <v>دستگاه پشم فلز آلمانی</v>
          </cell>
          <cell r="C227" t="str">
            <v>قطعه نو</v>
          </cell>
          <cell r="AC227" t="str">
            <v>1405/01/24</v>
          </cell>
        </row>
        <row r="228">
          <cell r="B228" t="str">
            <v>قالب شیم ریو</v>
          </cell>
          <cell r="C228" t="str">
            <v>قالب تعمیری</v>
          </cell>
          <cell r="AC228" t="str">
            <v>1405/01/24</v>
          </cell>
        </row>
        <row r="229">
          <cell r="B229" t="str">
            <v>ضایعات جمع کن پشم فلز آلمانی</v>
          </cell>
          <cell r="C229" t="str">
            <v>دستگاه نو</v>
          </cell>
          <cell r="AC229" t="str">
            <v>1405/01/24</v>
          </cell>
        </row>
        <row r="230">
          <cell r="B230" t="str">
            <v>ویوینگ</v>
          </cell>
          <cell r="C230" t="str">
            <v>قطعه نو</v>
          </cell>
          <cell r="AC230" t="str">
            <v>1405/01/24</v>
          </cell>
        </row>
        <row r="231">
          <cell r="B231" t="str">
            <v>قالب 309 سوراخدار</v>
          </cell>
          <cell r="C231" t="str">
            <v>قالب تعمیری</v>
          </cell>
          <cell r="AC231" t="str">
            <v>1405/01/24</v>
          </cell>
        </row>
        <row r="232">
          <cell r="B232" t="str">
            <v>ضایعات جمع کن پشم فلز آلمانی</v>
          </cell>
          <cell r="C232" t="str">
            <v>دستگاه نو</v>
          </cell>
          <cell r="AC232" t="str">
            <v>1405/01/25</v>
          </cell>
        </row>
        <row r="233">
          <cell r="B233" t="str">
            <v>قالب پراید خاردار</v>
          </cell>
          <cell r="C233" t="str">
            <v>قالب تعمیری</v>
          </cell>
          <cell r="AC233" t="str">
            <v>1405/01/25</v>
          </cell>
        </row>
        <row r="234">
          <cell r="B234" t="str">
            <v>ساب سمباده ای</v>
          </cell>
          <cell r="C234" t="str">
            <v>قطعه تعمیری</v>
          </cell>
          <cell r="AC234" t="str">
            <v>1405/01/24</v>
          </cell>
        </row>
        <row r="235">
          <cell r="B235" t="str">
            <v>دستگاه پرس 250 تن</v>
          </cell>
          <cell r="C235" t="str">
            <v>قطعه تعمیری</v>
          </cell>
          <cell r="AC235" t="str">
            <v>1405/01/25</v>
          </cell>
        </row>
        <row r="236">
          <cell r="B236" t="str">
            <v>پین برلیانس</v>
          </cell>
          <cell r="C236" t="str">
            <v>قطعه نو</v>
          </cell>
          <cell r="AC236" t="str">
            <v>1405/01/24</v>
          </cell>
        </row>
        <row r="237">
          <cell r="B237" t="str">
            <v>ضایعات جمع کن پشم فلز آلمانی</v>
          </cell>
          <cell r="C237" t="str">
            <v>دستگاه نو</v>
          </cell>
          <cell r="AC237" t="str">
            <v>1405/01/24</v>
          </cell>
        </row>
        <row r="238">
          <cell r="B238" t="str">
            <v>قالب کوبه نک پیلسان</v>
          </cell>
          <cell r="C238" t="str">
            <v>قالب تعمیری</v>
          </cell>
          <cell r="AC238" t="str">
            <v>1405/01/25</v>
          </cell>
        </row>
        <row r="239">
          <cell r="B239" t="str">
            <v>دستگاه پرس پخت کلاچ</v>
          </cell>
          <cell r="C239" t="str">
            <v>قطعه تعمیری</v>
          </cell>
          <cell r="AC239" t="str">
            <v>1405/01/25</v>
          </cell>
        </row>
        <row r="240">
          <cell r="B240" t="str">
            <v>قالب شیم ریو</v>
          </cell>
          <cell r="C240" t="str">
            <v>قالب تعمیری</v>
          </cell>
          <cell r="AC240" t="str">
            <v>1405/01/24</v>
          </cell>
        </row>
        <row r="241">
          <cell r="B241" t="str">
            <v>قالب شیم پژو 405</v>
          </cell>
          <cell r="C241" t="str">
            <v>قالب تعمیری</v>
          </cell>
          <cell r="AC241" t="str">
            <v>1405/01/24</v>
          </cell>
        </row>
        <row r="242">
          <cell r="B242" t="str">
            <v>قالب 309 سوراخدار</v>
          </cell>
          <cell r="C242" t="str">
            <v>قالب تعمیری</v>
          </cell>
          <cell r="AC242" t="str">
            <v>1405/01/24</v>
          </cell>
        </row>
        <row r="243">
          <cell r="B243" t="str">
            <v>قالب پراید خاردار</v>
          </cell>
          <cell r="C243" t="str">
            <v>قالب تعمیری</v>
          </cell>
          <cell r="AC243" t="str">
            <v>1405/01/24</v>
          </cell>
        </row>
        <row r="244">
          <cell r="B244" t="str">
            <v>ضایعات جمع کن پشم فلز آلمانی</v>
          </cell>
          <cell r="C244" t="str">
            <v>دستگاه نو</v>
          </cell>
          <cell r="AC244" t="str">
            <v>1405/01/24</v>
          </cell>
        </row>
        <row r="245">
          <cell r="B245" t="str">
            <v>پین برلیانس</v>
          </cell>
          <cell r="C245" t="str">
            <v>قطعه نو</v>
          </cell>
          <cell r="AC245" t="str">
            <v>1405/01/26</v>
          </cell>
        </row>
        <row r="246">
          <cell r="B246" t="str">
            <v>دستگاه ساب دیسکی چینی</v>
          </cell>
          <cell r="C246" t="str">
            <v>قطعه تعمیری</v>
          </cell>
          <cell r="AC246" t="str">
            <v>1405/01/26</v>
          </cell>
        </row>
        <row r="247">
          <cell r="B247" t="str">
            <v>قالب خشاب زنی</v>
          </cell>
          <cell r="C247" t="str">
            <v>قطعه تعمیری</v>
          </cell>
          <cell r="AC247" t="str">
            <v>1405/01/26</v>
          </cell>
        </row>
        <row r="248">
          <cell r="B248" t="str">
            <v>دستگاه پرس 250 تن</v>
          </cell>
          <cell r="C248" t="str">
            <v>قطعه تعمیری</v>
          </cell>
          <cell r="AC248" t="str">
            <v>1405/01/26</v>
          </cell>
        </row>
        <row r="249">
          <cell r="B249" t="str">
            <v>قالب کوبه نک پیلسان</v>
          </cell>
          <cell r="C249" t="str">
            <v>قالب تعمیری</v>
          </cell>
          <cell r="AC249" t="str">
            <v>1405/01/26</v>
          </cell>
        </row>
        <row r="250">
          <cell r="B250" t="str">
            <v>قالب پخت کلاچ پیکان</v>
          </cell>
          <cell r="C250" t="str">
            <v>قالب تعمیری</v>
          </cell>
          <cell r="AC250" t="str">
            <v>1405/01/26</v>
          </cell>
        </row>
        <row r="251">
          <cell r="B251" t="str">
            <v>دستگاه پشم فلز آلمانی</v>
          </cell>
          <cell r="C251" t="str">
            <v>قطعه نو</v>
          </cell>
          <cell r="AC251" t="str">
            <v>1405/01/26</v>
          </cell>
        </row>
        <row r="252">
          <cell r="B252" t="str">
            <v>قالب آرایش SAF</v>
          </cell>
          <cell r="C252" t="str">
            <v>قالب تعمیری</v>
          </cell>
          <cell r="AC252" t="str">
            <v>1405/01/26</v>
          </cell>
        </row>
        <row r="253">
          <cell r="B253" t="str">
            <v>قالب کوبه نک SAF</v>
          </cell>
          <cell r="C253" t="str">
            <v>قالب تعمیری</v>
          </cell>
          <cell r="AC253" t="str">
            <v>1405/01/26</v>
          </cell>
        </row>
        <row r="254">
          <cell r="B254" t="str">
            <v>قالب پراید خاردار</v>
          </cell>
          <cell r="C254" t="str">
            <v>قالب تعمیری</v>
          </cell>
          <cell r="AC254" t="str">
            <v>1405/01/26</v>
          </cell>
        </row>
        <row r="255">
          <cell r="B255" t="str">
            <v>دستگاه ساب سمباده ای</v>
          </cell>
          <cell r="C255" t="str">
            <v>قطعه نو</v>
          </cell>
          <cell r="AC255" t="str">
            <v>1405/01/26</v>
          </cell>
        </row>
        <row r="256">
          <cell r="B256" t="str">
            <v>قالب خشاب زنی</v>
          </cell>
          <cell r="C256" t="str">
            <v>قطعه تعمیری</v>
          </cell>
          <cell r="AC256" t="str">
            <v>1405/01/26</v>
          </cell>
        </row>
        <row r="257">
          <cell r="B257" t="str">
            <v>دریل سوراخکاری کلاچ</v>
          </cell>
          <cell r="C257" t="str">
            <v>قطعه تعمیری</v>
          </cell>
          <cell r="AC257" t="str">
            <v>1405/01/26</v>
          </cell>
        </row>
        <row r="258">
          <cell r="B258" t="str">
            <v>ضایعات جمع کن پشم فلز آلمانی</v>
          </cell>
          <cell r="C258" t="str">
            <v>دستگاه نو</v>
          </cell>
          <cell r="AC258" t="str">
            <v>1405/01/26</v>
          </cell>
        </row>
        <row r="259">
          <cell r="B259" t="str">
            <v>ضایعات جمع کن پشم فلز آلمانی</v>
          </cell>
          <cell r="C259" t="str">
            <v>دستگاه نو</v>
          </cell>
          <cell r="AC259" t="str">
            <v>1405/01/26</v>
          </cell>
        </row>
        <row r="260">
          <cell r="B260" t="str">
            <v>قالب پراید خاردار</v>
          </cell>
          <cell r="C260" t="str">
            <v>قالب تعمیری</v>
          </cell>
          <cell r="AC260" t="str">
            <v>1405/01/26</v>
          </cell>
        </row>
        <row r="261">
          <cell r="B261" t="str">
            <v>دستگاه سنگ مغناطیسی 7501</v>
          </cell>
          <cell r="C261" t="str">
            <v>دستگاه تعمیری</v>
          </cell>
          <cell r="AC261" t="str">
            <v>1405/01/26</v>
          </cell>
        </row>
        <row r="262">
          <cell r="B262" t="str">
            <v>ضایعات جمع کن پشم فلز آلمانی</v>
          </cell>
          <cell r="C262" t="str">
            <v>دستگاه نو</v>
          </cell>
          <cell r="AC262" t="str">
            <v>1405/01/26</v>
          </cell>
        </row>
        <row r="263">
          <cell r="B263" t="str">
            <v>ضایعات جمع کن پشم فلز آلمانی</v>
          </cell>
          <cell r="C263" t="str">
            <v>دستگاه نو</v>
          </cell>
          <cell r="AC263" t="str">
            <v>1405/01/26</v>
          </cell>
        </row>
        <row r="264">
          <cell r="B264" t="str">
            <v>دستگاه پخت کلاچ</v>
          </cell>
          <cell r="C264" t="str">
            <v>قطعه تعمیری</v>
          </cell>
          <cell r="AC264" t="str">
            <v>1405/01/26</v>
          </cell>
        </row>
        <row r="265">
          <cell r="B265" t="str">
            <v>دستگاه پخت کلاچ</v>
          </cell>
          <cell r="C265" t="str">
            <v>قطعه تعمیری</v>
          </cell>
          <cell r="AC265" t="str">
            <v>1405/01/26</v>
          </cell>
        </row>
        <row r="266">
          <cell r="B266" t="str">
            <v>ضایعات جمع کن پشم فلز آلمانی</v>
          </cell>
          <cell r="C266" t="str">
            <v>دستگاه نو</v>
          </cell>
          <cell r="AC266" t="str">
            <v>1405/01/26</v>
          </cell>
        </row>
        <row r="267">
          <cell r="B267" t="str">
            <v>دستگاه سنگ مغناطیسی 7501</v>
          </cell>
          <cell r="C267" t="str">
            <v>دستگاه تعمیری</v>
          </cell>
          <cell r="AC267" t="str">
            <v>1405/01/26</v>
          </cell>
        </row>
        <row r="268">
          <cell r="B268" t="str">
            <v>دستگاه پرس 250 تن</v>
          </cell>
          <cell r="C268" t="str">
            <v>قطعه تعمیری</v>
          </cell>
          <cell r="AC268" t="str">
            <v>1405/01/27</v>
          </cell>
        </row>
        <row r="269">
          <cell r="B269" t="str">
            <v>قالب پخت کلاچ پژو 405</v>
          </cell>
          <cell r="C269" t="str">
            <v>قالب تعمیری</v>
          </cell>
          <cell r="AC269" t="str">
            <v>1405/01/27</v>
          </cell>
        </row>
        <row r="270">
          <cell r="B270" t="str">
            <v>دستگاه پشم فلز آلمانی</v>
          </cell>
          <cell r="C270" t="str">
            <v>قطعه نو</v>
          </cell>
          <cell r="AC270" t="str">
            <v>1405/01/27</v>
          </cell>
        </row>
        <row r="271">
          <cell r="B271" t="str">
            <v>قالب پراید خاردار</v>
          </cell>
          <cell r="C271" t="str">
            <v>قالب تعمیری</v>
          </cell>
          <cell r="AC271" t="str">
            <v>1405/01/27</v>
          </cell>
        </row>
        <row r="272">
          <cell r="B272" t="str">
            <v>اصول 5S</v>
          </cell>
          <cell r="C272" t="str">
            <v>نظافت</v>
          </cell>
          <cell r="AC272" t="str">
            <v>1405/01/27</v>
          </cell>
        </row>
        <row r="273">
          <cell r="B273" t="str">
            <v>دستگاه پرس 250 تن</v>
          </cell>
          <cell r="C273" t="str">
            <v>قطعه تعمیری</v>
          </cell>
          <cell r="AC273" t="str">
            <v>1405/01/27</v>
          </cell>
        </row>
        <row r="274">
          <cell r="B274" t="str">
            <v>دستگاه پرس 250 تن</v>
          </cell>
          <cell r="C274" t="str">
            <v>قطعه تعمیری</v>
          </cell>
          <cell r="AC274" t="str">
            <v>1405/01/27</v>
          </cell>
        </row>
        <row r="275">
          <cell r="B275" t="str">
            <v>اصول 5S</v>
          </cell>
          <cell r="C275" t="str">
            <v>نظافت</v>
          </cell>
          <cell r="AC275" t="str">
            <v>1405/01/27</v>
          </cell>
        </row>
        <row r="276">
          <cell r="B276" t="str">
            <v>دستگاه پرس 250 تن</v>
          </cell>
          <cell r="C276" t="str">
            <v>قطعه تعمیری</v>
          </cell>
          <cell r="AC276" t="str">
            <v>1405/01/27</v>
          </cell>
        </row>
        <row r="277">
          <cell r="B277" t="str">
            <v>قالب خشاب زنی</v>
          </cell>
          <cell r="C277" t="str">
            <v>قطعه تعمیری</v>
          </cell>
          <cell r="AC277" t="str">
            <v>1405/01/27</v>
          </cell>
        </row>
        <row r="278">
          <cell r="B278" t="str">
            <v>پین برلیانس</v>
          </cell>
          <cell r="C278" t="str">
            <v>قطعه نو</v>
          </cell>
          <cell r="AC278" t="str">
            <v>1405/01/27</v>
          </cell>
        </row>
        <row r="279">
          <cell r="B279" t="str">
            <v>دستگاه آسیاب پرت کلاچ</v>
          </cell>
          <cell r="C279" t="str">
            <v>قطعه تعمیری</v>
          </cell>
          <cell r="AC279" t="str">
            <v>1405/01/27</v>
          </cell>
        </row>
        <row r="280">
          <cell r="B280" t="str">
            <v>دستگاه تسمه کش</v>
          </cell>
          <cell r="C280" t="str">
            <v>قطعه تعمیری</v>
          </cell>
          <cell r="AC280" t="str">
            <v>1405/01/27</v>
          </cell>
        </row>
        <row r="281">
          <cell r="B281" t="str">
            <v>اصول 5S</v>
          </cell>
          <cell r="C281" t="str">
            <v>نظافت</v>
          </cell>
          <cell r="AC281" t="str">
            <v>1405/01/27</v>
          </cell>
        </row>
        <row r="282">
          <cell r="B282" t="str">
            <v>پین برلیانس</v>
          </cell>
          <cell r="C282" t="str">
            <v>قطعه نو</v>
          </cell>
          <cell r="AC282" t="str">
            <v>1405/01/29</v>
          </cell>
        </row>
        <row r="283">
          <cell r="B283" t="str">
            <v>قطعه شرکت چینی</v>
          </cell>
          <cell r="C283" t="str">
            <v>قطعه تعمیری</v>
          </cell>
          <cell r="AC283" t="str">
            <v>1405/01/29</v>
          </cell>
        </row>
        <row r="284">
          <cell r="B284" t="str">
            <v>قالب خشاب زنی</v>
          </cell>
          <cell r="C284" t="str">
            <v>قطعه تعمیری</v>
          </cell>
          <cell r="AC284" t="str">
            <v>1405/01/29</v>
          </cell>
        </row>
        <row r="285">
          <cell r="B285" t="str">
            <v>خط مصرف</v>
          </cell>
          <cell r="C285" t="str">
            <v>قطعه تعمیری</v>
          </cell>
          <cell r="AC285" t="str">
            <v>1405/01/29</v>
          </cell>
        </row>
        <row r="286">
          <cell r="B286" t="str">
            <v>دستگاه ویوینگ</v>
          </cell>
          <cell r="C286" t="str">
            <v>قطعه نو</v>
          </cell>
          <cell r="AC286" t="str">
            <v>1405/01/29</v>
          </cell>
        </row>
        <row r="287">
          <cell r="B287" t="str">
            <v>قالب پخت کلاچ پیکان</v>
          </cell>
          <cell r="C287" t="str">
            <v>قالب تعمیری</v>
          </cell>
          <cell r="AC287" t="str">
            <v>1405/01/29</v>
          </cell>
        </row>
        <row r="288">
          <cell r="B288" t="str">
            <v>قالب پخت کلاچ پژو 405</v>
          </cell>
          <cell r="C288" t="str">
            <v>قالب تعمیری</v>
          </cell>
          <cell r="AC288" t="str">
            <v>1405/01/29</v>
          </cell>
        </row>
        <row r="289">
          <cell r="B289" t="str">
            <v>قالب پخت کلاچ پیکان آرژانتینی</v>
          </cell>
          <cell r="C289" t="str">
            <v>قالب تعمیری</v>
          </cell>
          <cell r="AC289" t="str">
            <v>1405/01/29</v>
          </cell>
        </row>
        <row r="290">
          <cell r="B290" t="str">
            <v>قالب پراید خاردار</v>
          </cell>
          <cell r="C290" t="str">
            <v>قالب تعمیری</v>
          </cell>
          <cell r="AC290" t="str">
            <v>1405/01/29</v>
          </cell>
        </row>
        <row r="291">
          <cell r="B291" t="str">
            <v>دستگاه پشم فلز آلمانی</v>
          </cell>
          <cell r="C291" t="str">
            <v>قطعه نو</v>
          </cell>
          <cell r="AC291" t="str">
            <v>1405/01/29</v>
          </cell>
        </row>
        <row r="292">
          <cell r="B292" t="str">
            <v>قالب پراید خاردار</v>
          </cell>
          <cell r="C292" t="str">
            <v>قالب تعمیری</v>
          </cell>
          <cell r="AC292" t="str">
            <v>1405/01/29</v>
          </cell>
        </row>
        <row r="293">
          <cell r="B293" t="str">
            <v>فیکسچر پژو</v>
          </cell>
          <cell r="C293" t="str">
            <v>قطعه تعمیری</v>
          </cell>
          <cell r="AC293" t="str">
            <v>1405/01/29</v>
          </cell>
        </row>
        <row r="294">
          <cell r="B294" t="str">
            <v>دستگاه پشم فلز آلمانی</v>
          </cell>
          <cell r="C294" t="str">
            <v>قطعه نو</v>
          </cell>
          <cell r="AC294" t="str">
            <v>1405/01/29</v>
          </cell>
        </row>
        <row r="295">
          <cell r="B295" t="str">
            <v>دستگاه پشم فلز چینی</v>
          </cell>
          <cell r="C295" t="str">
            <v>قطعه نو</v>
          </cell>
          <cell r="AC295" t="str">
            <v>1405/01/24</v>
          </cell>
        </row>
        <row r="296">
          <cell r="B296" t="str">
            <v>دستگاه پشم فلز چینی</v>
          </cell>
          <cell r="C296" t="str">
            <v>قطعه نو</v>
          </cell>
          <cell r="AC296" t="str">
            <v>1405/01/24</v>
          </cell>
        </row>
        <row r="297">
          <cell r="B297" t="str">
            <v>قالب اصلاح دسته کفشک مترو K</v>
          </cell>
          <cell r="C297" t="str">
            <v>قالب نو</v>
          </cell>
          <cell r="AC297" t="str">
            <v>1405/01/24</v>
          </cell>
        </row>
        <row r="298">
          <cell r="B298" t="str">
            <v xml:space="preserve">دستگاه مهر زنی </v>
          </cell>
          <cell r="C298" t="str">
            <v>قطعه نو</v>
          </cell>
          <cell r="AC298" t="str">
            <v>1405/01/24</v>
          </cell>
        </row>
        <row r="299">
          <cell r="B299" t="str">
            <v>دستگاه پشم فلز چینی</v>
          </cell>
          <cell r="C299" t="str">
            <v>قطعه نو</v>
          </cell>
          <cell r="AC299" t="str">
            <v>1405/01/29</v>
          </cell>
        </row>
        <row r="300">
          <cell r="B300" t="str">
            <v>دستگاه پشم فلز چینی</v>
          </cell>
          <cell r="C300" t="str">
            <v>قطعه نو</v>
          </cell>
          <cell r="AC300" t="str">
            <v>1405/01/29</v>
          </cell>
        </row>
        <row r="301">
          <cell r="B301" t="str">
            <v>قالب اصلاح دسته کفشک مترو K</v>
          </cell>
          <cell r="C301" t="str">
            <v>قالب نو</v>
          </cell>
          <cell r="AC301" t="str">
            <v>1405/01/29</v>
          </cell>
        </row>
        <row r="302">
          <cell r="B302" t="str">
            <v xml:space="preserve">دستگاه مهر زنی </v>
          </cell>
          <cell r="C302" t="str">
            <v>قطعه نو</v>
          </cell>
          <cell r="AC302" t="str">
            <v>1405/01/29</v>
          </cell>
        </row>
        <row r="303">
          <cell r="B303" t="str">
            <v>قالب پخت کلاچ پیکان</v>
          </cell>
          <cell r="C303" t="str">
            <v>قالب تعمیری</v>
          </cell>
          <cell r="AC303" t="str">
            <v>1405/01/30</v>
          </cell>
        </row>
        <row r="304">
          <cell r="B304" t="str">
            <v>پین برلیانس</v>
          </cell>
          <cell r="C304" t="str">
            <v>قطعه نو</v>
          </cell>
          <cell r="AC304" t="str">
            <v>1405/01/30</v>
          </cell>
        </row>
        <row r="305">
          <cell r="B305" t="str">
            <v>ضایعات جمع کن پشم فلز آلمانی</v>
          </cell>
          <cell r="C305" t="str">
            <v>دستگاه نو</v>
          </cell>
          <cell r="AC305" t="str">
            <v>1405/01/30</v>
          </cell>
        </row>
        <row r="306">
          <cell r="B306" t="str">
            <v>ضایعات جمع کن پشم فلز آلمانی</v>
          </cell>
          <cell r="C306" t="str">
            <v>دستگاه نو</v>
          </cell>
          <cell r="AC306" t="str">
            <v>1405/01/30</v>
          </cell>
        </row>
        <row r="307">
          <cell r="B307" t="str">
            <v>دستگاه پشم فلز آلمانی</v>
          </cell>
          <cell r="C307" t="str">
            <v>قطعه نو</v>
          </cell>
          <cell r="AC307" t="str">
            <v>1405/01/30</v>
          </cell>
        </row>
        <row r="308">
          <cell r="B308" t="str">
            <v>قالب پخت کلاچ پیکان آرژانتینی</v>
          </cell>
          <cell r="C308" t="str">
            <v>قالب تعمیری</v>
          </cell>
          <cell r="AC308" t="str">
            <v>1405/01/30</v>
          </cell>
        </row>
        <row r="309">
          <cell r="B309" t="str">
            <v>قالب شیم پژو 405</v>
          </cell>
          <cell r="C309" t="str">
            <v>قالب تعمیری</v>
          </cell>
          <cell r="AC309" t="str">
            <v>1405/01/30</v>
          </cell>
        </row>
        <row r="310">
          <cell r="B310" t="str">
            <v>ضایعات جمع کن پشم فلز آلمانی</v>
          </cell>
          <cell r="C310" t="str">
            <v>دستگاه نو</v>
          </cell>
          <cell r="AC310" t="str">
            <v>1405/01/30</v>
          </cell>
        </row>
        <row r="311">
          <cell r="B311" t="str">
            <v>قالب شیم ریو</v>
          </cell>
          <cell r="C311" t="str">
            <v>قالب تعمیری</v>
          </cell>
          <cell r="AC311" t="str">
            <v>1405/01/30</v>
          </cell>
        </row>
        <row r="312">
          <cell r="B312" t="str">
            <v>دستگاه چسب زنی</v>
          </cell>
          <cell r="C312" t="str">
            <v>دستگاه تعمیری</v>
          </cell>
          <cell r="AC312" t="str">
            <v>1405/01/30</v>
          </cell>
        </row>
        <row r="313">
          <cell r="B313" t="str">
            <v>قالب پخت کلاچ پیکان آرژانتینی</v>
          </cell>
          <cell r="C313" t="str">
            <v>قالب تعمیری</v>
          </cell>
          <cell r="AC313" t="str">
            <v>1405/01/30</v>
          </cell>
        </row>
        <row r="314">
          <cell r="B314" t="str">
            <v>ضایعات جمع کن پشم فلز آلمانی</v>
          </cell>
          <cell r="C314" t="str">
            <v>دستگاه نو</v>
          </cell>
          <cell r="AC314" t="str">
            <v>1405/01/29</v>
          </cell>
        </row>
        <row r="315">
          <cell r="B315" t="str">
            <v>پخت عقب پژو 405 شمشی پایه کوتاه</v>
          </cell>
          <cell r="C315" t="str">
            <v>قالب نو</v>
          </cell>
          <cell r="AC315" t="str">
            <v>1405/01/29</v>
          </cell>
        </row>
        <row r="316">
          <cell r="B316" t="str">
            <v>قالب شیم ریو</v>
          </cell>
          <cell r="C316" t="str">
            <v>قالب تعمیری</v>
          </cell>
          <cell r="AC316" t="str">
            <v>1405/01/29</v>
          </cell>
        </row>
        <row r="317">
          <cell r="B317" t="str">
            <v>قالب پراید خاردار</v>
          </cell>
          <cell r="C317" t="str">
            <v>قالب تعمیری</v>
          </cell>
          <cell r="AC317" t="str">
            <v>1405/01/29</v>
          </cell>
        </row>
        <row r="318">
          <cell r="B318" t="str">
            <v>پخت عقب پژو 405 شمشی پایه کوتاه</v>
          </cell>
          <cell r="C318" t="str">
            <v>قالب نو</v>
          </cell>
          <cell r="AC318" t="str">
            <v>1405/01/29</v>
          </cell>
        </row>
        <row r="319">
          <cell r="B319" t="str">
            <v>دستگاه پشم فلز آلمانی</v>
          </cell>
          <cell r="C319" t="str">
            <v>قطعه نو</v>
          </cell>
          <cell r="AC319" t="str">
            <v>1405/01/30</v>
          </cell>
        </row>
        <row r="320">
          <cell r="B320" t="str">
            <v>قالب اصلاح دسته کفشک مترو K</v>
          </cell>
          <cell r="C320" t="str">
            <v>قالب نو</v>
          </cell>
          <cell r="AC320" t="str">
            <v>1405/01/30</v>
          </cell>
        </row>
        <row r="321">
          <cell r="B321" t="str">
            <v>ضایعات جمع کن پشم فلز آلمانی</v>
          </cell>
          <cell r="C321" t="str">
            <v>دستگاه نو</v>
          </cell>
          <cell r="AC321" t="str">
            <v>1405/01/30</v>
          </cell>
        </row>
        <row r="322">
          <cell r="B322" t="str">
            <v>دستگاه پشم فلز چینی</v>
          </cell>
          <cell r="C322" t="str">
            <v>قطعه نو</v>
          </cell>
          <cell r="AC322" t="str">
            <v>1405/01/30</v>
          </cell>
        </row>
        <row r="323">
          <cell r="B323" t="str">
            <v>قالب پراید خاردار</v>
          </cell>
          <cell r="C323" t="str">
            <v>قالب تعمیری</v>
          </cell>
          <cell r="AC323" t="str">
            <v>1405/01/30</v>
          </cell>
        </row>
        <row r="324">
          <cell r="B324" t="str">
            <v xml:space="preserve">دستگاه مهر زنی </v>
          </cell>
          <cell r="C324" t="str">
            <v>قطعه نو</v>
          </cell>
          <cell r="AC324" t="str">
            <v>1405/01/30</v>
          </cell>
        </row>
        <row r="325">
          <cell r="B325" t="str">
            <v>دستگاه ساب سمباده ای</v>
          </cell>
          <cell r="C325" t="str">
            <v>قطعه تعمیری</v>
          </cell>
          <cell r="AC325" t="str">
            <v>1405/01/30</v>
          </cell>
        </row>
        <row r="326">
          <cell r="B326" t="str">
            <v>دستگاه ساب جدید</v>
          </cell>
          <cell r="C326" t="str">
            <v>قطعه نو</v>
          </cell>
          <cell r="AC326" t="str">
            <v>1405/01/30</v>
          </cell>
        </row>
        <row r="327">
          <cell r="B327" t="str">
            <v>فیکسچر پژو</v>
          </cell>
          <cell r="C327" t="str">
            <v>قطعه تعمیری</v>
          </cell>
          <cell r="AC327" t="str">
            <v>1405/01/30</v>
          </cell>
        </row>
        <row r="328">
          <cell r="B328" t="str">
            <v>ساب کونیک</v>
          </cell>
          <cell r="C328" t="str">
            <v>قطعه تعمیری</v>
          </cell>
          <cell r="AC328" t="str">
            <v>1405/01/30</v>
          </cell>
        </row>
        <row r="329">
          <cell r="B329" t="str">
            <v>دستگاه پرس 250 تن</v>
          </cell>
          <cell r="C329" t="str">
            <v>قطعه تعمیری</v>
          </cell>
          <cell r="AC329" t="str">
            <v>1405/01/27</v>
          </cell>
        </row>
        <row r="330">
          <cell r="B330" t="str">
            <v>ضایعات جمع کن پشم فلز آلمانی</v>
          </cell>
          <cell r="C330" t="str">
            <v>دستگاه نو</v>
          </cell>
          <cell r="AC330" t="str">
            <v>1405/01/27</v>
          </cell>
        </row>
        <row r="331">
          <cell r="B331" t="str">
            <v>قطعه شرکت چینی</v>
          </cell>
          <cell r="C331" t="str">
            <v>قطعه تعمیری</v>
          </cell>
          <cell r="AC331" t="str">
            <v>1405/01/30</v>
          </cell>
        </row>
        <row r="332">
          <cell r="B332" t="str">
            <v>پخت کلاچ پراید</v>
          </cell>
          <cell r="C332" t="str">
            <v>قالب تعمیری</v>
          </cell>
          <cell r="AC332" t="str">
            <v>1405/01/30</v>
          </cell>
        </row>
        <row r="333">
          <cell r="B333" t="str">
            <v>قالب پخت کلاچ پیکان</v>
          </cell>
          <cell r="C333" t="str">
            <v>قالب تعمیری</v>
          </cell>
          <cell r="AC333" t="str">
            <v>1405/01/31</v>
          </cell>
        </row>
        <row r="334">
          <cell r="B334" t="str">
            <v>دستگاه ساب جدید</v>
          </cell>
          <cell r="C334" t="str">
            <v>قطعه نو</v>
          </cell>
          <cell r="AC334" t="str">
            <v>1405/01/31</v>
          </cell>
        </row>
        <row r="335">
          <cell r="B335" t="str">
            <v>دستگاه ساب جدید</v>
          </cell>
          <cell r="C335" t="str">
            <v>قطعه نو</v>
          </cell>
          <cell r="AC335" t="str">
            <v>1405/01/31</v>
          </cell>
        </row>
        <row r="336">
          <cell r="B336" t="str">
            <v>قالب جلو ریو</v>
          </cell>
          <cell r="C336" t="str">
            <v>قالب تعمیری</v>
          </cell>
          <cell r="AC336" t="str">
            <v>1405/01/31</v>
          </cell>
        </row>
        <row r="337">
          <cell r="B337" t="str">
            <v>دستگاه پرس 600 تن</v>
          </cell>
          <cell r="C337" t="str">
            <v>قطعه نو</v>
          </cell>
          <cell r="AC337" t="str">
            <v>1405/01/31</v>
          </cell>
        </row>
        <row r="338">
          <cell r="B338" t="str">
            <v>دستگاه پرس 600 تن</v>
          </cell>
          <cell r="C338" t="str">
            <v>قطعه تعمیری</v>
          </cell>
          <cell r="AC338" t="str">
            <v>1405/01/31</v>
          </cell>
        </row>
        <row r="339">
          <cell r="B339" t="str">
            <v>دستگاه کمپرسور باد</v>
          </cell>
          <cell r="C339" t="str">
            <v>قطعه تعمیری</v>
          </cell>
          <cell r="AC339" t="str">
            <v>1405/01/31</v>
          </cell>
        </row>
        <row r="340">
          <cell r="B340" t="str">
            <v>ضایعات جمع کن پشم فلز آلمانی</v>
          </cell>
          <cell r="C340" t="str">
            <v>دستگاه نو</v>
          </cell>
          <cell r="AC340" t="str">
            <v>1405/01/31</v>
          </cell>
        </row>
        <row r="341">
          <cell r="B341" t="str">
            <v>دستگاه پرس پخت</v>
          </cell>
          <cell r="C341" t="str">
            <v>قطعه نو</v>
          </cell>
          <cell r="AC341" t="str">
            <v>1405/01/31</v>
          </cell>
        </row>
        <row r="342">
          <cell r="B342" t="str">
            <v>برش جمعی عقب ریو</v>
          </cell>
          <cell r="C342" t="str">
            <v>قطعه نو</v>
          </cell>
          <cell r="AC342" t="str">
            <v>1405/01/31</v>
          </cell>
        </row>
        <row r="343">
          <cell r="B343" t="str">
            <v>دستگاه CNC 7203</v>
          </cell>
          <cell r="C343" t="str">
            <v>دستگاه تعمیری</v>
          </cell>
          <cell r="AC343" t="str">
            <v>1405/01/31</v>
          </cell>
        </row>
        <row r="344">
          <cell r="B344" t="str">
            <v>قالب پخت کلاچ پیکان</v>
          </cell>
          <cell r="C344" t="str">
            <v>قالب تعمیری</v>
          </cell>
          <cell r="AC344" t="str">
            <v>1405/01/31</v>
          </cell>
        </row>
        <row r="345">
          <cell r="B345" t="str">
            <v>دستگاه پشم فلز آلمانی</v>
          </cell>
          <cell r="C345" t="str">
            <v>قطعه نو</v>
          </cell>
          <cell r="AC345" t="str">
            <v>1405/01/31</v>
          </cell>
        </row>
        <row r="346">
          <cell r="B346" t="str">
            <v>قالب پراید خاردار</v>
          </cell>
          <cell r="C346" t="str">
            <v>قالب تعمیری</v>
          </cell>
          <cell r="AC346" t="str">
            <v>1405/01/31</v>
          </cell>
        </row>
        <row r="347">
          <cell r="B347" t="str">
            <v xml:space="preserve">دستگاه مهر زنی </v>
          </cell>
          <cell r="C347" t="str">
            <v>قطعه نو</v>
          </cell>
          <cell r="AC347" t="str">
            <v>1405/01/31</v>
          </cell>
        </row>
        <row r="348">
          <cell r="B348" t="str">
            <v>دستگاه پشم فلز آلمانی</v>
          </cell>
          <cell r="C348" t="str">
            <v>قطعه نو</v>
          </cell>
          <cell r="AC348" t="str">
            <v>1405/01/31</v>
          </cell>
        </row>
        <row r="349">
          <cell r="B349" t="str">
            <v>دستگاه پشم فلز چینی</v>
          </cell>
          <cell r="C349" t="str">
            <v>قطعه نو</v>
          </cell>
          <cell r="AC349" t="str">
            <v>1405/01/31</v>
          </cell>
        </row>
        <row r="350">
          <cell r="B350" t="str">
            <v>ضایعات جمع کن پشم فلز آلمانی</v>
          </cell>
          <cell r="C350" t="str">
            <v>دستگاه نو</v>
          </cell>
          <cell r="AC350" t="str">
            <v>1405/01/31</v>
          </cell>
        </row>
        <row r="351">
          <cell r="B351" t="str">
            <v>دستگاه پشم فلز آلمانی</v>
          </cell>
          <cell r="C351" t="str">
            <v>قطعه تعمیری</v>
          </cell>
          <cell r="AC351" t="str">
            <v>1405/01/31</v>
          </cell>
        </row>
        <row r="352">
          <cell r="B352" t="str">
            <v>پخت کلاچ پراید</v>
          </cell>
          <cell r="C352" t="str">
            <v>قالب تعمیری</v>
          </cell>
          <cell r="AC352" t="str">
            <v>1405/01/31</v>
          </cell>
        </row>
        <row r="353">
          <cell r="B353" t="str">
            <v>قالب پخت کلاچ پژو 405</v>
          </cell>
          <cell r="C353" t="str">
            <v>قالب تعمیری</v>
          </cell>
          <cell r="AC353" t="str">
            <v>1405/01/31</v>
          </cell>
        </row>
        <row r="354">
          <cell r="B354" t="str">
            <v>قالب شیم ریو</v>
          </cell>
          <cell r="C354" t="str">
            <v>قالب تعمیری</v>
          </cell>
          <cell r="AC354" t="str">
            <v>1405/01/31</v>
          </cell>
        </row>
        <row r="355">
          <cell r="B355" t="str">
            <v>قالب شیم پژو 405</v>
          </cell>
          <cell r="C355" t="str">
            <v>قالب تعمیری</v>
          </cell>
          <cell r="AC355" t="str">
            <v>1405/01/31</v>
          </cell>
        </row>
        <row r="356">
          <cell r="B356" t="str">
            <v>دستگاه پشم فلز آلمانی</v>
          </cell>
          <cell r="C356" t="str">
            <v>قطعه نو</v>
          </cell>
          <cell r="AC356" t="str">
            <v>1405/01/31</v>
          </cell>
        </row>
        <row r="357">
          <cell r="B357" t="str">
            <v>قالب پخت کلاچ پیکان آرژانتینی</v>
          </cell>
          <cell r="C357" t="str">
            <v>قالب تعمیری</v>
          </cell>
          <cell r="AC357" t="str">
            <v>1405/01/31</v>
          </cell>
        </row>
        <row r="358">
          <cell r="B358" t="str">
            <v>برش جمعی عقب ریو</v>
          </cell>
          <cell r="C358" t="str">
            <v>قطعه نو</v>
          </cell>
          <cell r="AC358" t="str">
            <v>1405/01/31</v>
          </cell>
        </row>
        <row r="359">
          <cell r="B359" t="str">
            <v>قالب شیم پژو 405</v>
          </cell>
          <cell r="C359" t="str">
            <v>قالب تعمیری</v>
          </cell>
          <cell r="AC359" t="str">
            <v>1405/01/31</v>
          </cell>
        </row>
        <row r="360">
          <cell r="B360" t="str">
            <v>پخت کلاچ پراید</v>
          </cell>
          <cell r="C360" t="str">
            <v>قالب تعمیری</v>
          </cell>
          <cell r="AC360" t="str">
            <v>1405/01/31</v>
          </cell>
        </row>
        <row r="361">
          <cell r="B361" t="str">
            <v>قالب پخت کلاچ پیکان</v>
          </cell>
          <cell r="C361" t="str">
            <v>قالب تعمیری</v>
          </cell>
          <cell r="AC361" t="str">
            <v>1405/01/27</v>
          </cell>
        </row>
        <row r="362">
          <cell r="B362" t="str">
            <v>پخت کلاچ پراید</v>
          </cell>
          <cell r="C362" t="str">
            <v>قالب تعمیری</v>
          </cell>
          <cell r="AC362" t="str">
            <v>1405/01/31</v>
          </cell>
        </row>
        <row r="363">
          <cell r="B363" t="str">
            <v>قالب پخت کلاچ پژو 405</v>
          </cell>
          <cell r="C363" t="str">
            <v>قالب تعمیری</v>
          </cell>
          <cell r="AC363" t="str">
            <v>1405/01/31</v>
          </cell>
        </row>
        <row r="364">
          <cell r="B364" t="str">
            <v>قالب پراید خاردار</v>
          </cell>
          <cell r="C364" t="str">
            <v>قالب تعمیری</v>
          </cell>
          <cell r="AC364" t="str">
            <v>1405/01/31</v>
          </cell>
        </row>
        <row r="365">
          <cell r="B365" t="str">
            <v>قالب شیم پژو 405</v>
          </cell>
          <cell r="C365" t="str">
            <v>قالب تعمیری</v>
          </cell>
          <cell r="AC365" t="str">
            <v>1405/01/31</v>
          </cell>
        </row>
        <row r="366">
          <cell r="B366" t="str">
            <v>قالب شیم ریو</v>
          </cell>
          <cell r="C366" t="str">
            <v>قالب تعمیری</v>
          </cell>
          <cell r="AC366" t="str">
            <v>1405/01/31</v>
          </cell>
        </row>
        <row r="384">
          <cell r="B384"/>
          <cell r="C384"/>
        </row>
        <row r="385">
          <cell r="B385"/>
          <cell r="C385"/>
        </row>
        <row r="388">
          <cell r="B388"/>
          <cell r="C388"/>
        </row>
        <row r="390">
          <cell r="B390"/>
          <cell r="C390"/>
        </row>
        <row r="392">
          <cell r="B392"/>
          <cell r="C392"/>
        </row>
        <row r="408">
          <cell r="B408"/>
          <cell r="C408"/>
        </row>
        <row r="433">
          <cell r="B433"/>
          <cell r="C433"/>
        </row>
        <row r="434">
          <cell r="B434"/>
          <cell r="C434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  <sheetName val="1اردیبهشت"/>
    </sheetNames>
    <sheetDataSet>
      <sheetData sheetId="0">
        <row r="4">
          <cell r="B4" t="str">
            <v>کوره ابزار زنی</v>
          </cell>
        </row>
      </sheetData>
      <sheetData sheetId="1">
        <row r="4">
          <cell r="B4" t="str">
            <v>قالب خشاب زنی</v>
          </cell>
          <cell r="C4" t="str">
            <v>قطعه تعمیری</v>
          </cell>
          <cell r="N4" t="str">
            <v>تراش</v>
          </cell>
          <cell r="AC4" t="str">
            <v>1405/02/01</v>
          </cell>
        </row>
        <row r="5">
          <cell r="B5" t="str">
            <v>پخت کلاچ پژو 206 TU5</v>
          </cell>
          <cell r="C5" t="str">
            <v>قالب تعمیری</v>
          </cell>
          <cell r="N5" t="str">
            <v>مونتاژ</v>
          </cell>
          <cell r="AC5" t="str">
            <v>1405/02/01</v>
          </cell>
        </row>
        <row r="6">
          <cell r="B6" t="str">
            <v>پخت کلاچ پراید</v>
          </cell>
          <cell r="C6" t="str">
            <v>قالب تعمیری</v>
          </cell>
          <cell r="N6" t="str">
            <v>سنگ زنی</v>
          </cell>
          <cell r="AC6" t="str">
            <v>1405/02/01</v>
          </cell>
        </row>
        <row r="7">
          <cell r="B7" t="str">
            <v>قالب پخت کلاچ پیکان</v>
          </cell>
          <cell r="C7" t="str">
            <v>قالب تعمیری</v>
          </cell>
          <cell r="N7" t="str">
            <v>CNC</v>
          </cell>
          <cell r="AC7" t="str">
            <v>1405/02/01</v>
          </cell>
        </row>
        <row r="8">
          <cell r="B8" t="str">
            <v>دستگاه پشم فلز چینی</v>
          </cell>
          <cell r="C8" t="str">
            <v>قطعه نو</v>
          </cell>
          <cell r="N8" t="str">
            <v>تراش</v>
          </cell>
          <cell r="AC8" t="str">
            <v>1405/02/01</v>
          </cell>
        </row>
        <row r="9">
          <cell r="B9" t="str">
            <v>دستگاه پرس 600 تن</v>
          </cell>
          <cell r="C9" t="str">
            <v>قطعه تعمیری</v>
          </cell>
          <cell r="N9" t="str">
            <v>تراش</v>
          </cell>
          <cell r="AC9" t="str">
            <v>1405/02/01</v>
          </cell>
        </row>
        <row r="10">
          <cell r="B10" t="str">
            <v>دستگاه پشم فلز چینی</v>
          </cell>
          <cell r="C10" t="str">
            <v>قطعه نو</v>
          </cell>
          <cell r="N10" t="str">
            <v>مونتاژ</v>
          </cell>
          <cell r="AC10" t="str">
            <v>1405/02/01</v>
          </cell>
        </row>
        <row r="11">
          <cell r="B11" t="str">
            <v>دستگاه پشم فلز آلمانی</v>
          </cell>
          <cell r="C11" t="str">
            <v>قطعه نو</v>
          </cell>
          <cell r="N11" t="str">
            <v>وایر</v>
          </cell>
          <cell r="AC11" t="str">
            <v>1405/02/01</v>
          </cell>
        </row>
        <row r="12">
          <cell r="B12" t="str">
            <v>قالب پراید خاردار</v>
          </cell>
          <cell r="C12" t="str">
            <v>قالب تعمیری</v>
          </cell>
          <cell r="N12" t="str">
            <v>وایر</v>
          </cell>
          <cell r="AC12" t="str">
            <v>1405/02/01</v>
          </cell>
        </row>
        <row r="13">
          <cell r="B13" t="str">
            <v>دستگاه پشم فلز آلمانی</v>
          </cell>
          <cell r="C13" t="str">
            <v>قطعه نو</v>
          </cell>
          <cell r="N13" t="str">
            <v>وایر</v>
          </cell>
          <cell r="AC13" t="str">
            <v>1405/02/01</v>
          </cell>
        </row>
        <row r="14">
          <cell r="B14" t="str">
            <v>قالب پراید خاردار</v>
          </cell>
          <cell r="C14" t="str">
            <v>قالب تعمیری</v>
          </cell>
          <cell r="N14" t="str">
            <v>وایر</v>
          </cell>
          <cell r="AC14" t="str">
            <v>1405/02/01</v>
          </cell>
        </row>
        <row r="15">
          <cell r="B15" t="str">
            <v>دستگاه پشم فلز چینی</v>
          </cell>
          <cell r="C15" t="str">
            <v>قطعه نو</v>
          </cell>
          <cell r="N15" t="str">
            <v>وایر</v>
          </cell>
          <cell r="AC15" t="str">
            <v>1405/02/01</v>
          </cell>
        </row>
        <row r="16">
          <cell r="B16" t="str">
            <v>دستگاه پشم فلز چینی</v>
          </cell>
          <cell r="C16" t="str">
            <v>قطعه نو</v>
          </cell>
          <cell r="N16" t="str">
            <v>وایر</v>
          </cell>
          <cell r="AC16" t="str">
            <v>1405/02/01</v>
          </cell>
        </row>
        <row r="17">
          <cell r="B17" t="str">
            <v>دستگاه ساب جدید</v>
          </cell>
          <cell r="C17" t="str">
            <v>قطعه نو</v>
          </cell>
          <cell r="N17" t="str">
            <v>تراش</v>
          </cell>
          <cell r="AC17" t="str">
            <v>1405/02/01</v>
          </cell>
        </row>
        <row r="18">
          <cell r="B18" t="str">
            <v>دستگاه ساب جدید</v>
          </cell>
          <cell r="C18" t="str">
            <v>قطعه نو</v>
          </cell>
          <cell r="N18" t="str">
            <v>تراش</v>
          </cell>
          <cell r="AC18" t="str">
            <v>1405/02/01</v>
          </cell>
        </row>
        <row r="19">
          <cell r="B19" t="str">
            <v>دستگاه پشم فلز آلمانی</v>
          </cell>
          <cell r="C19" t="str">
            <v>قطعه نو</v>
          </cell>
          <cell r="N19" t="str">
            <v>دریل رادیال</v>
          </cell>
          <cell r="AC19" t="str">
            <v>1405/02/01</v>
          </cell>
        </row>
        <row r="20">
          <cell r="B20" t="str">
            <v xml:space="preserve">دستگاه مهر زنی </v>
          </cell>
          <cell r="C20" t="str">
            <v>قطعه نو</v>
          </cell>
          <cell r="N20" t="str">
            <v>دریل رادیال</v>
          </cell>
          <cell r="AC20" t="str">
            <v>1405/02/01</v>
          </cell>
        </row>
        <row r="21">
          <cell r="B21" t="str">
            <v>دستگاه پشم فلز آلمانی</v>
          </cell>
          <cell r="C21" t="str">
            <v>قطعه نو</v>
          </cell>
          <cell r="N21" t="str">
            <v>دریل رادیال</v>
          </cell>
          <cell r="AC21" t="str">
            <v>1405/02/01</v>
          </cell>
        </row>
        <row r="22">
          <cell r="B22" t="str">
            <v>قالب پخت کلاچ پیکان آرژانتینی</v>
          </cell>
          <cell r="C22" t="str">
            <v>قالب تعمیری</v>
          </cell>
          <cell r="N22" t="str">
            <v>فرز</v>
          </cell>
          <cell r="AC22" t="str">
            <v>1405/02/01</v>
          </cell>
        </row>
        <row r="23">
          <cell r="B23" t="str">
            <v>قالب پخت کلاچ پیکان</v>
          </cell>
          <cell r="C23" t="str">
            <v>قالب تعمیری</v>
          </cell>
          <cell r="N23" t="str">
            <v>فرز</v>
          </cell>
          <cell r="AC23" t="str">
            <v>1405/02/01</v>
          </cell>
        </row>
        <row r="24">
          <cell r="B24" t="str">
            <v>قالب پخت کلاچ پیکان</v>
          </cell>
          <cell r="C24" t="str">
            <v>قالب تعمیری</v>
          </cell>
          <cell r="N24" t="str">
            <v>فرز</v>
          </cell>
          <cell r="AC24" t="str">
            <v>1405/02/02</v>
          </cell>
        </row>
        <row r="25">
          <cell r="B25" t="str">
            <v>قالب پخت کلاچ پیکان</v>
          </cell>
          <cell r="C25" t="str">
            <v>قالب تعمیری</v>
          </cell>
          <cell r="N25" t="str">
            <v>فرز</v>
          </cell>
          <cell r="AC25" t="str">
            <v>1405/02/02</v>
          </cell>
        </row>
        <row r="26">
          <cell r="B26" t="str">
            <v>قالب خشاب زنی</v>
          </cell>
          <cell r="C26" t="str">
            <v>قطعه تعمیری</v>
          </cell>
          <cell r="N26" t="str">
            <v>تراش</v>
          </cell>
          <cell r="AC26" t="str">
            <v>1405/02/02</v>
          </cell>
        </row>
        <row r="27">
          <cell r="B27" t="str">
            <v>دستگاه پرس پخت</v>
          </cell>
          <cell r="C27" t="str">
            <v>قطعه تعمیری</v>
          </cell>
          <cell r="N27" t="str">
            <v>تراش</v>
          </cell>
          <cell r="AC27" t="str">
            <v>1405/02/02</v>
          </cell>
        </row>
        <row r="28">
          <cell r="B28" t="str">
            <v>پخت کلاچ پراید</v>
          </cell>
          <cell r="C28" t="str">
            <v>قالب تعمیری</v>
          </cell>
          <cell r="N28" t="str">
            <v>سنگ زنی</v>
          </cell>
          <cell r="AC28" t="str">
            <v>1405/02/02</v>
          </cell>
        </row>
        <row r="29">
          <cell r="B29" t="str">
            <v>قالب شیم پژو 405</v>
          </cell>
          <cell r="C29" t="str">
            <v>قالب تعمیری</v>
          </cell>
          <cell r="N29" t="str">
            <v>سنگ زنی</v>
          </cell>
          <cell r="AC29" t="str">
            <v>1405/02/02</v>
          </cell>
        </row>
        <row r="30">
          <cell r="B30" t="str">
            <v>پخت عقب پژو 405 شمشی پایه کوتاه</v>
          </cell>
          <cell r="C30" t="str">
            <v>قالب نو</v>
          </cell>
          <cell r="N30" t="str">
            <v>سنگ زنی</v>
          </cell>
          <cell r="AC30" t="str">
            <v>1405/02/02</v>
          </cell>
        </row>
        <row r="31">
          <cell r="B31" t="str">
            <v>دستگاه پشم فلز آلمانی</v>
          </cell>
          <cell r="C31" t="str">
            <v>قطعه نو</v>
          </cell>
          <cell r="N31" t="str">
            <v>وایر</v>
          </cell>
          <cell r="AC31" t="str">
            <v>1405/02/02</v>
          </cell>
        </row>
        <row r="32">
          <cell r="B32" t="str">
            <v>دستگاه پشم فلز آلمانی</v>
          </cell>
          <cell r="C32" t="str">
            <v>قطعه نو</v>
          </cell>
          <cell r="N32" t="str">
            <v>وایر</v>
          </cell>
          <cell r="AC32" t="str">
            <v>1405/02/02</v>
          </cell>
        </row>
        <row r="33">
          <cell r="B33" t="str">
            <v>قالب پراید خاردار</v>
          </cell>
          <cell r="C33" t="str">
            <v>قالب تعمیری</v>
          </cell>
          <cell r="N33" t="str">
            <v>وایر</v>
          </cell>
          <cell r="AC33" t="str">
            <v>1405/02/02</v>
          </cell>
        </row>
        <row r="34">
          <cell r="B34" t="str">
            <v>دستگاه پشم فلز چینی</v>
          </cell>
          <cell r="C34" t="str">
            <v>قطعه نو</v>
          </cell>
          <cell r="N34" t="str">
            <v>وایر</v>
          </cell>
          <cell r="AC34" t="str">
            <v>1405/02/02</v>
          </cell>
        </row>
        <row r="35">
          <cell r="B35" t="str">
            <v>دستگاه ساب جدید</v>
          </cell>
          <cell r="C35" t="str">
            <v>قطعه نو</v>
          </cell>
          <cell r="N35" t="str">
            <v>تراش</v>
          </cell>
          <cell r="AC35" t="str">
            <v>1405/02/02</v>
          </cell>
        </row>
        <row r="36">
          <cell r="B36" t="str">
            <v>ویوینگ</v>
          </cell>
          <cell r="C36" t="str">
            <v>قطعه نو</v>
          </cell>
          <cell r="N36" t="str">
            <v>تراش</v>
          </cell>
          <cell r="AC36" t="str">
            <v>1405/02/02</v>
          </cell>
        </row>
        <row r="37">
          <cell r="B37" t="str">
            <v>قالب شیم پژو 405</v>
          </cell>
          <cell r="C37" t="str">
            <v>قالب تعمیری</v>
          </cell>
          <cell r="N37" t="str">
            <v>مونتاژ</v>
          </cell>
          <cell r="AC37" t="str">
            <v>1405/02/02</v>
          </cell>
        </row>
        <row r="38">
          <cell r="B38" t="str">
            <v>پخت کلاچ پژو 206 TU5</v>
          </cell>
          <cell r="C38" t="str">
            <v>قالب تعمیری</v>
          </cell>
          <cell r="N38" t="str">
            <v>مونتاژ</v>
          </cell>
          <cell r="AC38" t="str">
            <v>1405/02/02</v>
          </cell>
        </row>
        <row r="39">
          <cell r="B39" t="str">
            <v>ابزار زنی</v>
          </cell>
          <cell r="C39" t="str">
            <v>قطعه نو</v>
          </cell>
          <cell r="N39" t="str">
            <v>تراش</v>
          </cell>
          <cell r="AC39" t="str">
            <v>1405/02/02</v>
          </cell>
        </row>
        <row r="40">
          <cell r="B40" t="str">
            <v>دستگاه ساب سمباده ای</v>
          </cell>
          <cell r="C40" t="str">
            <v>قطعه تعمیری</v>
          </cell>
          <cell r="N40" t="str">
            <v>تراش</v>
          </cell>
          <cell r="AC40" t="str">
            <v>1405/02/02</v>
          </cell>
        </row>
        <row r="41">
          <cell r="B41" t="str">
            <v>دستگاه پرس 600 تن</v>
          </cell>
          <cell r="C41" t="str">
            <v>قطعه نو</v>
          </cell>
          <cell r="N41" t="str">
            <v>تراش</v>
          </cell>
          <cell r="AC41" t="str">
            <v>1405/02/02</v>
          </cell>
        </row>
        <row r="42">
          <cell r="B42" t="str">
            <v>دستگاه سوراخکاری کلاچ</v>
          </cell>
          <cell r="C42" t="str">
            <v>قطعه تعمیری</v>
          </cell>
          <cell r="N42" t="str">
            <v>تراش</v>
          </cell>
          <cell r="AC42" t="str">
            <v>1405/02/02</v>
          </cell>
        </row>
        <row r="43">
          <cell r="B43" t="str">
            <v>قالب پخت کلاچ پیکان</v>
          </cell>
          <cell r="C43" t="str">
            <v>قالب تعمیری</v>
          </cell>
          <cell r="N43" t="str">
            <v>تراش</v>
          </cell>
          <cell r="AC43" t="str">
            <v>1405/02/02</v>
          </cell>
        </row>
        <row r="44">
          <cell r="B44" t="str">
            <v>پخت کلاچ پژو 206 TU5</v>
          </cell>
          <cell r="C44" t="str">
            <v>قالب تعمیری</v>
          </cell>
          <cell r="N44" t="str">
            <v>مونتاژ</v>
          </cell>
          <cell r="AC44" t="str">
            <v>1405/02/02</v>
          </cell>
        </row>
        <row r="45">
          <cell r="B45" t="str">
            <v>دستگاه ساب جدید</v>
          </cell>
          <cell r="C45" t="str">
            <v>قطعه نو</v>
          </cell>
          <cell r="N45" t="str">
            <v>مونتاژ</v>
          </cell>
          <cell r="AC45" t="str">
            <v>1405/02/02</v>
          </cell>
        </row>
        <row r="46">
          <cell r="B46" t="str">
            <v>دستگاه پشم فلز آلمانی</v>
          </cell>
          <cell r="C46" t="str">
            <v>قطعه نو</v>
          </cell>
          <cell r="N46" t="str">
            <v>دریل رادیال</v>
          </cell>
          <cell r="AC46" t="str">
            <v>1405/02/02</v>
          </cell>
        </row>
        <row r="47">
          <cell r="B47" t="str">
            <v>قالب پخت کلاچ پیکان</v>
          </cell>
          <cell r="C47" t="str">
            <v>قالب تعمیری</v>
          </cell>
          <cell r="N47" t="str">
            <v>CNC</v>
          </cell>
          <cell r="AC47" t="str">
            <v>1405/02/03</v>
          </cell>
        </row>
        <row r="48">
          <cell r="B48" t="str">
            <v>قالب پخت کلاچ پژو 405</v>
          </cell>
          <cell r="C48" t="str">
            <v>قالب تعمیری</v>
          </cell>
          <cell r="N48" t="str">
            <v>فرز</v>
          </cell>
          <cell r="AC48" t="str">
            <v>1405/02/03</v>
          </cell>
        </row>
        <row r="49">
          <cell r="B49" t="str">
            <v>قالب پخت کلاچ پیکان</v>
          </cell>
          <cell r="C49" t="str">
            <v>قالب تعمیری</v>
          </cell>
          <cell r="N49" t="str">
            <v>CNC</v>
          </cell>
          <cell r="AC49" t="str">
            <v>1405/02/03</v>
          </cell>
        </row>
        <row r="50">
          <cell r="B50" t="str">
            <v>پخت کلاچ پراید</v>
          </cell>
          <cell r="C50" t="str">
            <v>قالب تعمیری</v>
          </cell>
          <cell r="N50" t="str">
            <v>فرز</v>
          </cell>
          <cell r="AC50" t="str">
            <v>1405/02/03</v>
          </cell>
        </row>
        <row r="51">
          <cell r="B51" t="str">
            <v>همزن مواد</v>
          </cell>
          <cell r="C51" t="str">
            <v>قطعه تعمیری</v>
          </cell>
          <cell r="N51" t="str">
            <v>فرز</v>
          </cell>
          <cell r="AC51" t="str">
            <v>1405/02/03</v>
          </cell>
        </row>
        <row r="52">
          <cell r="B52" t="str">
            <v>پخت عقب پژو 405 شمشی پایه کوتاه</v>
          </cell>
          <cell r="C52" t="str">
            <v>قالب نو</v>
          </cell>
          <cell r="N52" t="str">
            <v>سنگ زنی</v>
          </cell>
          <cell r="AC52" t="str">
            <v>1405/02/03</v>
          </cell>
        </row>
        <row r="53">
          <cell r="B53" t="str">
            <v>پخت کلاچ پراید</v>
          </cell>
          <cell r="C53" t="str">
            <v>قالب تعمیری</v>
          </cell>
          <cell r="N53" t="str">
            <v>سنگ زنی</v>
          </cell>
          <cell r="AC53" t="str">
            <v>1405/02/03</v>
          </cell>
        </row>
        <row r="54">
          <cell r="B54" t="str">
            <v>اصول 5S</v>
          </cell>
          <cell r="C54" t="str">
            <v>نظافت</v>
          </cell>
          <cell r="N54" t="str">
            <v>نظافت</v>
          </cell>
          <cell r="AC54" t="str">
            <v>1405/02/03</v>
          </cell>
        </row>
        <row r="55">
          <cell r="B55" t="str">
            <v>دستگاه شیرینگ</v>
          </cell>
          <cell r="C55" t="str">
            <v>قطعه نو</v>
          </cell>
          <cell r="N55" t="str">
            <v>تراش</v>
          </cell>
          <cell r="AC55" t="str">
            <v>1405/02/03</v>
          </cell>
        </row>
        <row r="56">
          <cell r="B56" t="str">
            <v>ساب کونیک</v>
          </cell>
          <cell r="C56" t="str">
            <v>قطعه نو</v>
          </cell>
          <cell r="N56" t="str">
            <v>تراش</v>
          </cell>
          <cell r="AC56" t="str">
            <v>1405/02/03</v>
          </cell>
        </row>
        <row r="57">
          <cell r="B57" t="str">
            <v>اصول 5S</v>
          </cell>
          <cell r="C57" t="str">
            <v>نظافت</v>
          </cell>
          <cell r="N57" t="str">
            <v>نظافت</v>
          </cell>
          <cell r="AC57" t="str">
            <v>1405/02/03</v>
          </cell>
        </row>
        <row r="58">
          <cell r="B58" t="str">
            <v>ویوینگ</v>
          </cell>
          <cell r="C58" t="str">
            <v>قطعه نو</v>
          </cell>
          <cell r="N58" t="str">
            <v>تراش</v>
          </cell>
          <cell r="AC58" t="str">
            <v>1405/02/03</v>
          </cell>
        </row>
        <row r="59">
          <cell r="B59" t="str">
            <v>دستگاه پشم فلز آلمانی</v>
          </cell>
          <cell r="C59" t="str">
            <v>قطعه نو</v>
          </cell>
          <cell r="N59" t="str">
            <v>وایر</v>
          </cell>
          <cell r="AC59" t="str">
            <v>1405/02/03</v>
          </cell>
        </row>
        <row r="60">
          <cell r="B60" t="str">
            <v>ساب کلاچ</v>
          </cell>
          <cell r="C60" t="str">
            <v>قطعه نو</v>
          </cell>
          <cell r="N60" t="str">
            <v>وایر</v>
          </cell>
          <cell r="AC60" t="str">
            <v>1405/02/03</v>
          </cell>
        </row>
        <row r="61">
          <cell r="B61" t="str">
            <v>ویوینگ</v>
          </cell>
          <cell r="C61" t="str">
            <v>قطعه تعمیری</v>
          </cell>
          <cell r="N61" t="str">
            <v>وایر</v>
          </cell>
          <cell r="AC61" t="str">
            <v>1405/02/03</v>
          </cell>
        </row>
        <row r="62">
          <cell r="B62" t="str">
            <v>قالب پراید خاردار</v>
          </cell>
          <cell r="C62" t="str">
            <v>قالب تعمیری</v>
          </cell>
          <cell r="N62" t="str">
            <v>وایر</v>
          </cell>
          <cell r="AC62" t="str">
            <v>1405/02/03</v>
          </cell>
        </row>
        <row r="63">
          <cell r="B63" t="str">
            <v>دستگاه پشم فلز چینی</v>
          </cell>
          <cell r="C63" t="str">
            <v>قطعه نو</v>
          </cell>
          <cell r="N63" t="str">
            <v>وایر</v>
          </cell>
          <cell r="AC63" t="str">
            <v>1405/02/03</v>
          </cell>
        </row>
        <row r="64">
          <cell r="B64" t="str">
            <v>قالب خشاب زنی</v>
          </cell>
          <cell r="C64" t="str">
            <v>قطعه تعمیری</v>
          </cell>
          <cell r="N64" t="str">
            <v>تراش</v>
          </cell>
          <cell r="AC64" t="str">
            <v>1405/02/03</v>
          </cell>
        </row>
        <row r="65">
          <cell r="B65" t="str">
            <v>ساب کونیک</v>
          </cell>
          <cell r="C65" t="str">
            <v>قطعه نو</v>
          </cell>
          <cell r="N65" t="str">
            <v>تراش</v>
          </cell>
          <cell r="AC65" t="str">
            <v>1405/02/03</v>
          </cell>
        </row>
        <row r="66">
          <cell r="B66" t="str">
            <v>همزن مواد</v>
          </cell>
          <cell r="C66" t="str">
            <v>قطعه تعمیری</v>
          </cell>
          <cell r="N66" t="str">
            <v>تراش</v>
          </cell>
          <cell r="AC66" t="str">
            <v>1405/02/03</v>
          </cell>
        </row>
        <row r="67">
          <cell r="B67" t="str">
            <v>قالب پخت کلاچ پیکان</v>
          </cell>
          <cell r="C67" t="str">
            <v>قالب تعمیری</v>
          </cell>
          <cell r="N67" t="str">
            <v>CNC</v>
          </cell>
          <cell r="AC67" t="str">
            <v>1405/02/02</v>
          </cell>
        </row>
        <row r="68">
          <cell r="B68" t="str">
            <v>قالب 309 سوراخدار</v>
          </cell>
          <cell r="C68" t="str">
            <v>قالب تعمیری</v>
          </cell>
          <cell r="N68" t="str">
            <v>مونتاژ</v>
          </cell>
          <cell r="AC68" t="str">
            <v>1405/02/03</v>
          </cell>
        </row>
        <row r="69">
          <cell r="B69" t="str">
            <v>قالب پخت کلاچ پیکان آرژانتینی</v>
          </cell>
          <cell r="C69" t="str">
            <v>قالب تعمیری</v>
          </cell>
          <cell r="N69" t="str">
            <v>مونتاژ</v>
          </cell>
          <cell r="AC69" t="str">
            <v>1405/02/03</v>
          </cell>
        </row>
        <row r="70">
          <cell r="B70" t="str">
            <v xml:space="preserve">پخت کلاچ پراید سکو </v>
          </cell>
          <cell r="C70" t="str">
            <v>قالب تعمیری</v>
          </cell>
          <cell r="N70" t="str">
            <v>مونتاژ</v>
          </cell>
          <cell r="AC70" t="str">
            <v>1405/02/03</v>
          </cell>
        </row>
        <row r="71">
          <cell r="B71" t="str">
            <v>اصول 5S</v>
          </cell>
          <cell r="C71" t="str">
            <v>نظافت</v>
          </cell>
          <cell r="N71" t="str">
            <v>نظافت</v>
          </cell>
          <cell r="AC71" t="str">
            <v>1405/02/03</v>
          </cell>
        </row>
        <row r="72">
          <cell r="B72" t="str">
            <v>قالب 309 سوراخدار</v>
          </cell>
          <cell r="C72" t="str">
            <v>قالب تعمیری</v>
          </cell>
          <cell r="N72" t="str">
            <v>مونتاژ</v>
          </cell>
          <cell r="AC72" t="str">
            <v>1405/02/03</v>
          </cell>
        </row>
        <row r="73">
          <cell r="B73" t="str">
            <v>قالب پخت کلاچ پیکان آرژانتینی</v>
          </cell>
          <cell r="C73" t="str">
            <v>قالب تعمیری</v>
          </cell>
          <cell r="N73" t="str">
            <v>مونتاژ</v>
          </cell>
          <cell r="AC73" t="str">
            <v>1405/02/03</v>
          </cell>
        </row>
        <row r="74">
          <cell r="B74" t="str">
            <v xml:space="preserve">پخت کلاچ پراید سکو </v>
          </cell>
          <cell r="C74" t="str">
            <v>قالب تعمیری</v>
          </cell>
          <cell r="N74" t="str">
            <v>مونتاژ</v>
          </cell>
          <cell r="AC74" t="str">
            <v>1405/02/03</v>
          </cell>
        </row>
        <row r="75">
          <cell r="B75" t="str">
            <v>اصول 5S</v>
          </cell>
          <cell r="C75" t="str">
            <v>نظافت</v>
          </cell>
          <cell r="N75" t="str">
            <v>نظافت</v>
          </cell>
          <cell r="AC75" t="str">
            <v>1405/02/03</v>
          </cell>
        </row>
        <row r="76">
          <cell r="B76" t="str">
            <v>قالب پخت کلاچ پیکان آرژانتینی</v>
          </cell>
          <cell r="C76" t="str">
            <v>قالب تعمیری</v>
          </cell>
          <cell r="N76" t="str">
            <v>فرز</v>
          </cell>
          <cell r="AC76" t="str">
            <v>1405/02/05</v>
          </cell>
        </row>
        <row r="77">
          <cell r="B77" t="str">
            <v>برش جمعی عقب ریو</v>
          </cell>
          <cell r="C77" t="str">
            <v>قطعه نو</v>
          </cell>
          <cell r="N77" t="str">
            <v>تراش</v>
          </cell>
          <cell r="AC77" t="str">
            <v>1405/02/05</v>
          </cell>
        </row>
        <row r="78">
          <cell r="B78" t="str">
            <v>دستگاه پشم فلز</v>
          </cell>
          <cell r="C78" t="str">
            <v>قطعه تعمیری</v>
          </cell>
          <cell r="N78" t="str">
            <v>فرز</v>
          </cell>
          <cell r="AC78" t="str">
            <v>1405/02/05</v>
          </cell>
        </row>
        <row r="79">
          <cell r="B79" t="str">
            <v>قالب 309 سوراخدار</v>
          </cell>
          <cell r="C79" t="str">
            <v>قالب تعمیری</v>
          </cell>
          <cell r="N79" t="str">
            <v>CNC</v>
          </cell>
          <cell r="AC79" t="str">
            <v>1405/02/05</v>
          </cell>
        </row>
        <row r="80">
          <cell r="B80" t="str">
            <v>پین عقب پژو 405</v>
          </cell>
          <cell r="C80" t="str">
            <v>قطعه نو</v>
          </cell>
          <cell r="N80" t="str">
            <v>سری تراش</v>
          </cell>
          <cell r="AC80" t="str">
            <v>1405/02/05</v>
          </cell>
        </row>
        <row r="81">
          <cell r="B81" t="str">
            <v>قالب پخت کلاچ پیکان</v>
          </cell>
          <cell r="C81" t="str">
            <v>قالب تعمیری</v>
          </cell>
          <cell r="N81" t="str">
            <v>CNC</v>
          </cell>
          <cell r="AC81" t="str">
            <v>1405/02/05</v>
          </cell>
        </row>
        <row r="82">
          <cell r="B82" t="str">
            <v>قالب جلو ریو</v>
          </cell>
          <cell r="C82" t="str">
            <v>قالب تعمیری</v>
          </cell>
          <cell r="N82" t="str">
            <v>CNC</v>
          </cell>
          <cell r="AC82" t="str">
            <v>1405/02/05</v>
          </cell>
        </row>
        <row r="83">
          <cell r="B83" t="str">
            <v>پخت کلاچ پراید</v>
          </cell>
          <cell r="C83" t="str">
            <v>قالب تعمیری</v>
          </cell>
          <cell r="N83" t="str">
            <v>فرز</v>
          </cell>
          <cell r="AC83" t="str">
            <v>1405/02/05</v>
          </cell>
        </row>
        <row r="84">
          <cell r="B84" t="str">
            <v>پخت کلاچ پراید</v>
          </cell>
          <cell r="C84" t="str">
            <v>قالب تعمیری</v>
          </cell>
          <cell r="N84" t="str">
            <v>فرز</v>
          </cell>
          <cell r="AC84" t="str">
            <v>1405/02/05</v>
          </cell>
        </row>
        <row r="85">
          <cell r="B85" t="str">
            <v>پخت کلاچ پراید</v>
          </cell>
          <cell r="C85" t="str">
            <v>قالب تعمیری</v>
          </cell>
          <cell r="N85" t="str">
            <v>سنگ زنی</v>
          </cell>
          <cell r="AC85" t="str">
            <v>1405/02/05</v>
          </cell>
        </row>
        <row r="86">
          <cell r="B86" t="str">
            <v>پخت کلاچ پراید</v>
          </cell>
          <cell r="C86" t="str">
            <v>قالب تعمیری</v>
          </cell>
          <cell r="N86" t="str">
            <v>سنگ زنی</v>
          </cell>
          <cell r="AC86" t="str">
            <v>1405/02/05</v>
          </cell>
        </row>
        <row r="87">
          <cell r="B87" t="str">
            <v>قالب پخت کلاچ پژو 405</v>
          </cell>
          <cell r="C87" t="str">
            <v>قالب تعمیری</v>
          </cell>
          <cell r="N87" t="str">
            <v>سنگ زنی</v>
          </cell>
          <cell r="AC87" t="str">
            <v>1405/02/05</v>
          </cell>
        </row>
        <row r="88">
          <cell r="B88" t="str">
            <v>پخت کلاچ پراید</v>
          </cell>
          <cell r="C88" t="str">
            <v>قالب تعمیری</v>
          </cell>
          <cell r="N88" t="str">
            <v>سنگ زنی</v>
          </cell>
          <cell r="AC88" t="str">
            <v>1405/02/05</v>
          </cell>
        </row>
        <row r="89">
          <cell r="B89" t="str">
            <v>قالب پخت کلاچ پژو 405</v>
          </cell>
          <cell r="C89" t="str">
            <v>قالب تعمیری</v>
          </cell>
          <cell r="N89" t="str">
            <v>سنگ زنی</v>
          </cell>
          <cell r="AC89" t="str">
            <v>1405/02/05</v>
          </cell>
        </row>
        <row r="90">
          <cell r="B90" t="str">
            <v>قالب پخت کلاچ پژو 405</v>
          </cell>
          <cell r="C90" t="str">
            <v>قالب تعمیری</v>
          </cell>
          <cell r="N90" t="str">
            <v>سنگ زنی</v>
          </cell>
          <cell r="AC90" t="str">
            <v>1405/02/05</v>
          </cell>
        </row>
        <row r="91">
          <cell r="B91" t="str">
            <v>قالب شیم پژو 405</v>
          </cell>
          <cell r="C91" t="str">
            <v>قالب تعمیری</v>
          </cell>
          <cell r="N91" t="str">
            <v>سنگ زنی</v>
          </cell>
          <cell r="AC91" t="str">
            <v>1405/02/05</v>
          </cell>
        </row>
        <row r="92">
          <cell r="B92" t="str">
            <v>ساب کونیک</v>
          </cell>
          <cell r="C92" t="str">
            <v>قطعه نو</v>
          </cell>
          <cell r="N92" t="str">
            <v>تراش</v>
          </cell>
          <cell r="AC92" t="str">
            <v>1405/02/05</v>
          </cell>
        </row>
        <row r="93">
          <cell r="B93" t="str">
            <v>پرچ زنی</v>
          </cell>
          <cell r="C93" t="str">
            <v>قطعه تعمیری</v>
          </cell>
          <cell r="N93" t="str">
            <v>تراش</v>
          </cell>
          <cell r="AC93" t="str">
            <v>1405/02/05</v>
          </cell>
        </row>
        <row r="94">
          <cell r="B94" t="str">
            <v>پرس پخت</v>
          </cell>
          <cell r="C94" t="str">
            <v>قطعه تعمیری</v>
          </cell>
          <cell r="N94" t="str">
            <v>تراش</v>
          </cell>
          <cell r="AC94" t="str">
            <v>1405/02/05</v>
          </cell>
        </row>
        <row r="95">
          <cell r="B95" t="str">
            <v>پرس پخت</v>
          </cell>
          <cell r="C95" t="str">
            <v>قطعه تعمیری</v>
          </cell>
          <cell r="N95" t="str">
            <v>تراش</v>
          </cell>
          <cell r="AC95" t="str">
            <v>1405/02/05</v>
          </cell>
        </row>
        <row r="96">
          <cell r="B96" t="str">
            <v>برش جمعی عقب ریو</v>
          </cell>
          <cell r="C96" t="str">
            <v>قطعه نو</v>
          </cell>
          <cell r="N96" t="str">
            <v>اره لنگ</v>
          </cell>
          <cell r="AC96" t="str">
            <v>1405/02/05</v>
          </cell>
        </row>
        <row r="97">
          <cell r="B97" t="str">
            <v>پرس پخت</v>
          </cell>
          <cell r="C97" t="str">
            <v>قطعه تعمیری</v>
          </cell>
          <cell r="N97" t="str">
            <v>مونتاژ</v>
          </cell>
          <cell r="AC97" t="str">
            <v>1405/02/05</v>
          </cell>
        </row>
        <row r="98">
          <cell r="B98" t="str">
            <v>پخت کلاچ پژو 206 TU5</v>
          </cell>
          <cell r="C98" t="str">
            <v>قالب تعمیری</v>
          </cell>
          <cell r="N98" t="str">
            <v>مونتاژ</v>
          </cell>
          <cell r="AC98" t="str">
            <v>1405/02/05</v>
          </cell>
        </row>
        <row r="99">
          <cell r="B99" t="str">
            <v xml:space="preserve">پخت کلاچ پراید سکو </v>
          </cell>
          <cell r="C99" t="str">
            <v>قالب تعمیری</v>
          </cell>
          <cell r="N99" t="str">
            <v>مونتاژ</v>
          </cell>
          <cell r="AC99" t="str">
            <v>1405/02/05</v>
          </cell>
        </row>
        <row r="100">
          <cell r="B100" t="str">
            <v>دستگاه پشم فلز آلمانی</v>
          </cell>
          <cell r="C100" t="str">
            <v>قطعه نو</v>
          </cell>
          <cell r="N100" t="str">
            <v>دریل رادیال</v>
          </cell>
          <cell r="AC100" t="str">
            <v>1405/02/05</v>
          </cell>
        </row>
        <row r="101">
          <cell r="B101" t="str">
            <v>پخت کلاچ پژو 206 TU5</v>
          </cell>
          <cell r="C101" t="str">
            <v>قالب تعمیری</v>
          </cell>
          <cell r="N101" t="str">
            <v>مونتاژ</v>
          </cell>
          <cell r="AC101" t="str">
            <v>1405/02/05</v>
          </cell>
        </row>
        <row r="102">
          <cell r="B102" t="str">
            <v xml:space="preserve">پخت کلاچ پراید سکو </v>
          </cell>
          <cell r="C102" t="str">
            <v>قالب تعمیری</v>
          </cell>
          <cell r="N102" t="str">
            <v>مونتاژ</v>
          </cell>
          <cell r="AC102" t="str">
            <v>1405/02/05</v>
          </cell>
        </row>
        <row r="103">
          <cell r="B103" t="str">
            <v>ساب کلاچ</v>
          </cell>
          <cell r="C103" t="str">
            <v>قطعه نو</v>
          </cell>
          <cell r="N103" t="str">
            <v>وایر</v>
          </cell>
          <cell r="AC103" t="str">
            <v>1405/02/05</v>
          </cell>
        </row>
        <row r="104">
          <cell r="B104" t="str">
            <v>ویوینگ</v>
          </cell>
          <cell r="C104" t="str">
            <v>قطعه تعمیری</v>
          </cell>
          <cell r="N104" t="str">
            <v>وایر</v>
          </cell>
          <cell r="AC104" t="str">
            <v>1405/02/05</v>
          </cell>
        </row>
        <row r="105">
          <cell r="B105" t="str">
            <v>قالب پراید خاردار</v>
          </cell>
          <cell r="C105" t="str">
            <v>قالب تعمیری</v>
          </cell>
          <cell r="N105" t="str">
            <v>وایر</v>
          </cell>
          <cell r="AC105" t="str">
            <v>1405/02/05</v>
          </cell>
        </row>
        <row r="106">
          <cell r="B106" t="str">
            <v>ویوینگ</v>
          </cell>
          <cell r="C106" t="str">
            <v>قطعه تعمیری</v>
          </cell>
          <cell r="N106" t="str">
            <v>وایر</v>
          </cell>
          <cell r="AC106" t="str">
            <v>1405/02/05</v>
          </cell>
        </row>
        <row r="107">
          <cell r="B107" t="str">
            <v>قالب پخت کلاچ پیکان آرژانتینی</v>
          </cell>
          <cell r="C107" t="str">
            <v>قالب تعمیری</v>
          </cell>
          <cell r="N107" t="str">
            <v>وایر</v>
          </cell>
          <cell r="AC107" t="str">
            <v>1405/02/05</v>
          </cell>
        </row>
        <row r="108">
          <cell r="B108" t="str">
            <v>ویوینگ</v>
          </cell>
          <cell r="C108" t="str">
            <v>قطعه نو</v>
          </cell>
          <cell r="N108" t="str">
            <v>وایر</v>
          </cell>
          <cell r="AC108" t="str">
            <v>1405/02/05</v>
          </cell>
        </row>
        <row r="109">
          <cell r="B109" t="str">
            <v>دستگاه پشم فلز چینی</v>
          </cell>
          <cell r="C109" t="str">
            <v>قطعه نو</v>
          </cell>
          <cell r="N109" t="str">
            <v>وایر</v>
          </cell>
          <cell r="AC109" t="str">
            <v>1405/02/05</v>
          </cell>
        </row>
        <row r="110">
          <cell r="B110" t="str">
            <v>پین عقب پژو 405</v>
          </cell>
          <cell r="C110" t="str">
            <v>قطعه نو</v>
          </cell>
          <cell r="N110" t="str">
            <v>سری تراش</v>
          </cell>
          <cell r="AC110" t="str">
            <v>1405/02/06</v>
          </cell>
        </row>
        <row r="111">
          <cell r="B111" t="str">
            <v>قالب پخت کلاچ پیکان</v>
          </cell>
          <cell r="C111" t="str">
            <v>قالب تعمیری</v>
          </cell>
          <cell r="N111" t="str">
            <v>فرز</v>
          </cell>
          <cell r="AC111" t="str">
            <v>1405/02/06</v>
          </cell>
        </row>
        <row r="112">
          <cell r="B112" t="str">
            <v>دستگاه پشم فلز</v>
          </cell>
          <cell r="C112" t="str">
            <v>قطعه تعمیری</v>
          </cell>
          <cell r="N112" t="str">
            <v>فرز</v>
          </cell>
          <cell r="AC112" t="str">
            <v>1405/02/06</v>
          </cell>
        </row>
        <row r="113">
          <cell r="B113" t="str">
            <v>قالب جلو ریو</v>
          </cell>
          <cell r="C113" t="str">
            <v>قالب تعمیری</v>
          </cell>
          <cell r="N113" t="str">
            <v>CNC</v>
          </cell>
          <cell r="AC113" t="str">
            <v>1405/02/06</v>
          </cell>
        </row>
        <row r="114">
          <cell r="B114" t="str">
            <v>قالب 309 سوراخدار</v>
          </cell>
          <cell r="C114" t="str">
            <v>قالب تعمیری</v>
          </cell>
          <cell r="N114" t="str">
            <v>CNC</v>
          </cell>
          <cell r="AC114" t="str">
            <v>1405/02/06</v>
          </cell>
        </row>
        <row r="115">
          <cell r="B115" t="str">
            <v>پخت کلاچ پراید</v>
          </cell>
          <cell r="C115" t="str">
            <v>قالب تعمیری</v>
          </cell>
          <cell r="N115" t="str">
            <v>CNC</v>
          </cell>
          <cell r="AC115" t="str">
            <v>1405/02/06</v>
          </cell>
        </row>
        <row r="116">
          <cell r="B116" t="str">
            <v>پخت کلاچ پراید</v>
          </cell>
          <cell r="C116" t="str">
            <v>قالب تعمیری</v>
          </cell>
          <cell r="N116" t="str">
            <v>فرز</v>
          </cell>
          <cell r="AC116" t="str">
            <v>1405/02/06</v>
          </cell>
        </row>
        <row r="117">
          <cell r="B117" t="str">
            <v>قالب پخت کلاچ پژو 405</v>
          </cell>
          <cell r="C117" t="str">
            <v>قالب تعمیری</v>
          </cell>
          <cell r="N117" t="str">
            <v>فرز</v>
          </cell>
          <cell r="AC117" t="str">
            <v>1405/02/06</v>
          </cell>
        </row>
        <row r="118">
          <cell r="B118" t="str">
            <v>ساب کلاچ</v>
          </cell>
          <cell r="C118" t="str">
            <v>قطعه نو</v>
          </cell>
          <cell r="N118" t="str">
            <v>وایر</v>
          </cell>
          <cell r="AC118" t="str">
            <v>1405/02/06</v>
          </cell>
        </row>
        <row r="119">
          <cell r="B119" t="str">
            <v>Hammer Mill Machine</v>
          </cell>
          <cell r="C119" t="str">
            <v>دستگاه نو</v>
          </cell>
          <cell r="N119" t="str">
            <v>وایر</v>
          </cell>
          <cell r="AC119" t="str">
            <v>1405/02/06</v>
          </cell>
        </row>
        <row r="120">
          <cell r="B120" t="str">
            <v>ساب کونیک</v>
          </cell>
          <cell r="C120" t="str">
            <v>قطعه نو</v>
          </cell>
          <cell r="N120" t="str">
            <v>وایر</v>
          </cell>
          <cell r="AC120" t="str">
            <v>1405/02/06</v>
          </cell>
        </row>
        <row r="121">
          <cell r="B121" t="str">
            <v>دستگاه پشم فلز چینی</v>
          </cell>
          <cell r="C121" t="str">
            <v>قطعه نو</v>
          </cell>
          <cell r="N121" t="str">
            <v>وایر</v>
          </cell>
          <cell r="AC121" t="str">
            <v>1405/02/06</v>
          </cell>
        </row>
        <row r="122">
          <cell r="B122" t="str">
            <v>برش جمعی عقب ریو</v>
          </cell>
          <cell r="C122" t="str">
            <v>قطعه نو</v>
          </cell>
          <cell r="N122" t="str">
            <v>وایر</v>
          </cell>
          <cell r="AC122" t="str">
            <v>1405/02/06</v>
          </cell>
        </row>
        <row r="123">
          <cell r="B123" t="str">
            <v>دستگاه ساب سمباده ای</v>
          </cell>
          <cell r="C123" t="str">
            <v>قطعه تعمیری</v>
          </cell>
          <cell r="N123" t="str">
            <v>تراش</v>
          </cell>
          <cell r="AC123" t="str">
            <v>1405/02/06</v>
          </cell>
        </row>
        <row r="124">
          <cell r="B124" t="str">
            <v>پمپ</v>
          </cell>
          <cell r="C124" t="str">
            <v>قطعه نو</v>
          </cell>
          <cell r="N124" t="str">
            <v>تراش</v>
          </cell>
          <cell r="AC124" t="str">
            <v>1405/02/06</v>
          </cell>
        </row>
        <row r="125">
          <cell r="B125" t="str">
            <v>برش جمعی عقب ریو</v>
          </cell>
          <cell r="C125" t="str">
            <v>قطعه نو</v>
          </cell>
          <cell r="N125" t="str">
            <v>تراش</v>
          </cell>
          <cell r="AC125" t="str">
            <v>1405/02/06</v>
          </cell>
        </row>
        <row r="126">
          <cell r="B126" t="str">
            <v>پخت کلاچ پراید</v>
          </cell>
          <cell r="C126" t="str">
            <v>قالب تعمیری</v>
          </cell>
          <cell r="N126" t="str">
            <v>تراش</v>
          </cell>
          <cell r="AC126" t="str">
            <v>1405/02/06</v>
          </cell>
        </row>
        <row r="127">
          <cell r="B127" t="str">
            <v xml:space="preserve">پخت کلاچ پراید سکو </v>
          </cell>
          <cell r="C127" t="str">
            <v>قالب تعمیری</v>
          </cell>
          <cell r="N127" t="str">
            <v>مونتاژ</v>
          </cell>
          <cell r="AC127" t="str">
            <v>1405/02/06</v>
          </cell>
        </row>
        <row r="128">
          <cell r="B128" t="str">
            <v>قالب پخت کلاچ پیکان آرژانتینی</v>
          </cell>
          <cell r="C128" t="str">
            <v>قالب تعمیری</v>
          </cell>
          <cell r="N128" t="str">
            <v>مونتاژ</v>
          </cell>
          <cell r="AC128" t="str">
            <v>1405/02/06</v>
          </cell>
        </row>
        <row r="129">
          <cell r="B129" t="str">
            <v>قالب 309 سوراخدار</v>
          </cell>
          <cell r="C129" t="str">
            <v>قالب تعمیری</v>
          </cell>
          <cell r="N129" t="str">
            <v>مونتاژ</v>
          </cell>
          <cell r="AC129" t="str">
            <v>1405/02/06</v>
          </cell>
        </row>
        <row r="130">
          <cell r="B130" t="str">
            <v>قالب شیم پژو 405</v>
          </cell>
          <cell r="C130" t="str">
            <v>قالب تعمیری</v>
          </cell>
          <cell r="N130" t="str">
            <v>مونتاژ</v>
          </cell>
          <cell r="AC130" t="str">
            <v>1405/02/06</v>
          </cell>
        </row>
        <row r="131">
          <cell r="B131" t="str">
            <v>قالب پژو 405 دیسکی</v>
          </cell>
          <cell r="C131" t="str">
            <v>قالب تعمیری</v>
          </cell>
          <cell r="N131" t="str">
            <v>مونتاژ</v>
          </cell>
          <cell r="AC131" t="str">
            <v>1405/02/06</v>
          </cell>
        </row>
        <row r="132">
          <cell r="B132" t="str">
            <v>دریل سوراخکاری</v>
          </cell>
          <cell r="C132" t="str">
            <v>قطعه نو</v>
          </cell>
          <cell r="N132" t="str">
            <v>تراش</v>
          </cell>
          <cell r="AC132" t="str">
            <v>1405/02/06</v>
          </cell>
        </row>
        <row r="133">
          <cell r="B133" t="str">
            <v>دریل سوراخکاری</v>
          </cell>
          <cell r="C133" t="str">
            <v>قطعه تعمیری</v>
          </cell>
          <cell r="N133" t="str">
            <v>تراش</v>
          </cell>
          <cell r="AC133" t="str">
            <v>1405/02/06</v>
          </cell>
        </row>
        <row r="134">
          <cell r="B134" t="str">
            <v>دریل سوراخکاری</v>
          </cell>
          <cell r="C134" t="str">
            <v>قطعه تعمیری</v>
          </cell>
          <cell r="N134" t="str">
            <v>تراش</v>
          </cell>
          <cell r="AC134" t="str">
            <v>1405/02/06</v>
          </cell>
        </row>
        <row r="135">
          <cell r="B135" t="str">
            <v>فرز 7103</v>
          </cell>
          <cell r="C135" t="str">
            <v>قطعه نو</v>
          </cell>
          <cell r="N135" t="str">
            <v>تراش</v>
          </cell>
          <cell r="AC135" t="str">
            <v>1405/02/06</v>
          </cell>
        </row>
        <row r="136">
          <cell r="B136" t="str">
            <v xml:space="preserve">پخت کلاچ پراید سکو </v>
          </cell>
          <cell r="C136" t="str">
            <v>قالب تعمیری</v>
          </cell>
          <cell r="N136" t="str">
            <v>مونتاژ</v>
          </cell>
          <cell r="AC136" t="str">
            <v>1405/02/06</v>
          </cell>
        </row>
        <row r="137">
          <cell r="B137" t="str">
            <v>قالب پخت کلاچ پیکان آرژانتینی</v>
          </cell>
          <cell r="C137" t="str">
            <v>قالب تعمیری</v>
          </cell>
          <cell r="N137" t="str">
            <v>مونتاژ</v>
          </cell>
          <cell r="AC137" t="str">
            <v>1405/02/06</v>
          </cell>
        </row>
        <row r="138">
          <cell r="B138" t="str">
            <v>قالب 309 سوراخدار</v>
          </cell>
          <cell r="C138" t="str">
            <v>قالب تعمیری</v>
          </cell>
          <cell r="N138" t="str">
            <v>مونتاژ</v>
          </cell>
          <cell r="AC138" t="str">
            <v>1405/02/06</v>
          </cell>
        </row>
        <row r="139">
          <cell r="B139" t="str">
            <v>قالب پژو 405 دیسکی</v>
          </cell>
          <cell r="C139" t="str">
            <v>قالب تعمیری</v>
          </cell>
          <cell r="N139" t="str">
            <v>مونتاژ</v>
          </cell>
          <cell r="AC139" t="str">
            <v>1405/02/06</v>
          </cell>
        </row>
        <row r="140">
          <cell r="B140" t="str">
            <v>قالب جلو ریو</v>
          </cell>
          <cell r="C140" t="str">
            <v>قالب تعمیری</v>
          </cell>
          <cell r="N140" t="str">
            <v>سنگ زنی</v>
          </cell>
          <cell r="AC140" t="str">
            <v>1405/02/06</v>
          </cell>
        </row>
        <row r="141">
          <cell r="B141" t="str">
            <v>قالب پخت کلاچ پیکان آرژانتینی</v>
          </cell>
          <cell r="C141" t="str">
            <v>قالب تعمیری</v>
          </cell>
          <cell r="N141" t="str">
            <v>سنگ زنی</v>
          </cell>
          <cell r="AC141" t="str">
            <v>1405/02/06</v>
          </cell>
        </row>
        <row r="142">
          <cell r="B142" t="str">
            <v>پخت عقب پژو 405 شمشی پایه کوتاه</v>
          </cell>
          <cell r="C142" t="str">
            <v>قالب نو</v>
          </cell>
          <cell r="N142" t="str">
            <v>سنگ زنی</v>
          </cell>
          <cell r="AC142" t="str">
            <v>1405/02/06</v>
          </cell>
        </row>
        <row r="143">
          <cell r="B143" t="str">
            <v>پخت عقب پژو 405 شمشی پایه کوتاه</v>
          </cell>
          <cell r="C143" t="str">
            <v>قالب نو</v>
          </cell>
          <cell r="N143" t="str">
            <v>سنگ زنی</v>
          </cell>
          <cell r="AC143" t="str">
            <v>1405/02/07</v>
          </cell>
        </row>
        <row r="144">
          <cell r="B144" t="str">
            <v>قالب شیم پژو 405</v>
          </cell>
          <cell r="C144" t="str">
            <v>قالب تعمیری</v>
          </cell>
          <cell r="N144" t="str">
            <v>سنگ زنی</v>
          </cell>
          <cell r="AC144" t="str">
            <v>1405/02/07</v>
          </cell>
        </row>
        <row r="145">
          <cell r="B145" t="str">
            <v>دستگاه پشم فلز چینی</v>
          </cell>
          <cell r="C145" t="str">
            <v>قطعه نو</v>
          </cell>
          <cell r="N145" t="str">
            <v>سنگ زنی</v>
          </cell>
          <cell r="AC145" t="str">
            <v>1405/02/07</v>
          </cell>
        </row>
        <row r="146">
          <cell r="B146" t="str">
            <v>پخت کلاچ پراید</v>
          </cell>
          <cell r="C146" t="str">
            <v>قالب تعمیری</v>
          </cell>
          <cell r="N146" t="str">
            <v>CNC</v>
          </cell>
          <cell r="AC146" t="str">
            <v>1405/02/07</v>
          </cell>
        </row>
        <row r="147">
          <cell r="B147" t="str">
            <v>قالب پخت کلاچ پیکان</v>
          </cell>
          <cell r="C147" t="str">
            <v>قالب تعمیری</v>
          </cell>
          <cell r="N147" t="str">
            <v>CNC</v>
          </cell>
          <cell r="AC147" t="str">
            <v>1405/02/07</v>
          </cell>
        </row>
        <row r="148">
          <cell r="B148" t="str">
            <v>قالب پخت کلاچ پیکان</v>
          </cell>
          <cell r="C148" t="str">
            <v>قالب تعمیری</v>
          </cell>
          <cell r="N148" t="str">
            <v>CNC</v>
          </cell>
          <cell r="AC148" t="str">
            <v>1405/02/07</v>
          </cell>
        </row>
        <row r="149">
          <cell r="B149" t="str">
            <v>پین عقب پژو 405</v>
          </cell>
          <cell r="C149" t="str">
            <v>قطعه نو</v>
          </cell>
          <cell r="N149" t="str">
            <v>سری تراش</v>
          </cell>
          <cell r="AC149" t="str">
            <v>1405/02/07</v>
          </cell>
        </row>
        <row r="150">
          <cell r="B150" t="str">
            <v>ساب کلاچ</v>
          </cell>
          <cell r="C150" t="str">
            <v>قطعه تعمیری</v>
          </cell>
          <cell r="N150" t="str">
            <v>تراش</v>
          </cell>
          <cell r="AC150" t="str">
            <v>1405/02/07</v>
          </cell>
        </row>
        <row r="151">
          <cell r="B151" t="str">
            <v>قالب پخت کلاچ پژو 405</v>
          </cell>
          <cell r="C151" t="str">
            <v>قالب تعمیری</v>
          </cell>
          <cell r="N151" t="str">
            <v>سنگ زنی</v>
          </cell>
          <cell r="AC151" t="str">
            <v>1405/02/07</v>
          </cell>
        </row>
        <row r="152">
          <cell r="B152" t="str">
            <v>قالب پخت کلاچ پژو 405</v>
          </cell>
          <cell r="C152" t="str">
            <v>قالب تعمیری</v>
          </cell>
          <cell r="N152" t="str">
            <v>سنگ زنی</v>
          </cell>
          <cell r="AC152" t="str">
            <v>1405/02/07</v>
          </cell>
        </row>
        <row r="153">
          <cell r="B153" t="str">
            <v>دستگاه پشم فلز</v>
          </cell>
          <cell r="C153" t="str">
            <v>قطعه تعمیری</v>
          </cell>
          <cell r="N153" t="str">
            <v>فرز</v>
          </cell>
          <cell r="AC153" t="str">
            <v>1405/02/07</v>
          </cell>
        </row>
        <row r="154">
          <cell r="B154" t="str">
            <v>پخت عقب پژو 405 شمشی پایه کوتاه</v>
          </cell>
          <cell r="C154" t="str">
            <v>قالب نو</v>
          </cell>
          <cell r="N154" t="str">
            <v>فرز</v>
          </cell>
          <cell r="AC154" t="str">
            <v>1405/02/07</v>
          </cell>
        </row>
        <row r="155">
          <cell r="B155" t="str">
            <v>پخت کلاچ پراید</v>
          </cell>
          <cell r="C155" t="str">
            <v>قالب تعمیری</v>
          </cell>
          <cell r="N155" t="str">
            <v>تراش</v>
          </cell>
          <cell r="AC155" t="str">
            <v>1405/02/07</v>
          </cell>
        </row>
        <row r="156">
          <cell r="B156" t="str">
            <v>ویوینگ</v>
          </cell>
          <cell r="C156" t="str">
            <v>قطعه نو</v>
          </cell>
          <cell r="N156" t="str">
            <v>تراش</v>
          </cell>
          <cell r="AC156" t="str">
            <v>1405/02/07</v>
          </cell>
        </row>
        <row r="157">
          <cell r="B157" t="str">
            <v>Hammer Mill Machine</v>
          </cell>
          <cell r="C157" t="str">
            <v>دستگاه نو</v>
          </cell>
          <cell r="N157" t="str">
            <v>تراش</v>
          </cell>
          <cell r="AC157" t="str">
            <v>1405/02/07</v>
          </cell>
        </row>
        <row r="158">
          <cell r="B158" t="str">
            <v>Hammer Mill Machine</v>
          </cell>
          <cell r="C158" t="str">
            <v>دستگاه نو</v>
          </cell>
          <cell r="N158" t="str">
            <v>وایر</v>
          </cell>
          <cell r="AC158" t="str">
            <v>1405/02/07</v>
          </cell>
        </row>
        <row r="159">
          <cell r="B159" t="str">
            <v>Hammer Mill Machine</v>
          </cell>
          <cell r="C159" t="str">
            <v>دستگاه نو</v>
          </cell>
          <cell r="N159" t="str">
            <v>وایر</v>
          </cell>
          <cell r="AC159" t="str">
            <v>1405/02/07</v>
          </cell>
        </row>
        <row r="160">
          <cell r="B160" t="str">
            <v>Hammer Mill Machine</v>
          </cell>
          <cell r="C160" t="str">
            <v>دستگاه نو</v>
          </cell>
          <cell r="N160" t="str">
            <v>وایر</v>
          </cell>
          <cell r="AC160" t="str">
            <v>1405/02/07</v>
          </cell>
        </row>
        <row r="161">
          <cell r="B161" t="str">
            <v>دستگاه پشم فلز چینی</v>
          </cell>
          <cell r="C161" t="str">
            <v>قطعه نو</v>
          </cell>
          <cell r="N161" t="str">
            <v>وایر</v>
          </cell>
          <cell r="AC161" t="str">
            <v>1405/02/07</v>
          </cell>
        </row>
        <row r="162">
          <cell r="B162" t="str">
            <v>برش جمعی عقب ریو</v>
          </cell>
          <cell r="C162" t="str">
            <v>قطعه نو</v>
          </cell>
          <cell r="N162" t="str">
            <v>وایر</v>
          </cell>
          <cell r="AC162" t="str">
            <v>1405/02/07</v>
          </cell>
        </row>
        <row r="163">
          <cell r="B163" t="str">
            <v>قالب جلو ریو</v>
          </cell>
          <cell r="C163" t="str">
            <v>قالب تعمیری</v>
          </cell>
          <cell r="N163" t="str">
            <v>دریل رادیال</v>
          </cell>
          <cell r="AC163" t="str">
            <v>1405/02/07</v>
          </cell>
        </row>
        <row r="164">
          <cell r="B164" t="str">
            <v>دستگاه پشم فلز</v>
          </cell>
          <cell r="C164" t="str">
            <v>قطعه تعمیری</v>
          </cell>
          <cell r="N164" t="str">
            <v>مونتاژ</v>
          </cell>
          <cell r="AC164" t="str">
            <v>1405/02/07</v>
          </cell>
        </row>
        <row r="165">
          <cell r="B165" t="str">
            <v>قالب شیم پژو 405</v>
          </cell>
          <cell r="C165" t="str">
            <v>قالب نو</v>
          </cell>
          <cell r="N165" t="str">
            <v>مونتاژ</v>
          </cell>
          <cell r="AC165" t="str">
            <v>1405/02/07</v>
          </cell>
        </row>
        <row r="166">
          <cell r="B166" t="str">
            <v>لیفتراک</v>
          </cell>
          <cell r="C166" t="str">
            <v>قطعه تعمیری</v>
          </cell>
          <cell r="N166" t="str">
            <v>تراش</v>
          </cell>
          <cell r="AC166" t="str">
            <v>1405/02/07</v>
          </cell>
        </row>
        <row r="167">
          <cell r="B167" t="str">
            <v>لیفتراک</v>
          </cell>
          <cell r="C167" t="str">
            <v>قطعه تعمیری</v>
          </cell>
          <cell r="N167" t="str">
            <v>تراش</v>
          </cell>
          <cell r="AC167" t="str">
            <v>1405/02/07</v>
          </cell>
        </row>
        <row r="168">
          <cell r="B168" t="str">
            <v>قالب پخت کلاچ پیکان آرژانتینی</v>
          </cell>
          <cell r="C168" t="str">
            <v>قالب تعمیری</v>
          </cell>
          <cell r="N168" t="str">
            <v>تراش</v>
          </cell>
          <cell r="AC168" t="str">
            <v>1405/02/07</v>
          </cell>
        </row>
        <row r="169">
          <cell r="B169" t="str">
            <v>ویوینگ</v>
          </cell>
          <cell r="C169" t="str">
            <v>قطعه تعمیری</v>
          </cell>
          <cell r="N169" t="str">
            <v>دریل رادیال</v>
          </cell>
          <cell r="AC169" t="str">
            <v>1405/02/07</v>
          </cell>
        </row>
        <row r="170">
          <cell r="B170" t="str">
            <v>لیفتراک</v>
          </cell>
          <cell r="C170" t="str">
            <v>قطعه تعمیری</v>
          </cell>
          <cell r="N170" t="str">
            <v>مونتاژ</v>
          </cell>
          <cell r="AC170" t="str">
            <v>1405/02/07</v>
          </cell>
        </row>
        <row r="171">
          <cell r="B171" t="str">
            <v>قالب پژو 405 دیسکی</v>
          </cell>
          <cell r="C171" t="str">
            <v>قالب تعمیری</v>
          </cell>
          <cell r="N171" t="str">
            <v>مونتاژ</v>
          </cell>
          <cell r="AC171" t="str">
            <v>1405/02/07</v>
          </cell>
        </row>
        <row r="172">
          <cell r="B172" t="str">
            <v>قالب پژو 405 دیسکی</v>
          </cell>
          <cell r="C172" t="str">
            <v>قالب تعمیری</v>
          </cell>
          <cell r="N172" t="str">
            <v>دریل رادیال</v>
          </cell>
          <cell r="AC172" t="str">
            <v>1405/02/07</v>
          </cell>
        </row>
        <row r="173">
          <cell r="B173" t="str">
            <v>قالب پخت کلاچ پیکان</v>
          </cell>
          <cell r="C173" t="str">
            <v>قالب تعمیری</v>
          </cell>
          <cell r="N173" t="str">
            <v>مونتاژ</v>
          </cell>
          <cell r="AC173" t="str">
            <v>1405/02/07</v>
          </cell>
        </row>
        <row r="174">
          <cell r="B174" t="str">
            <v>پخت کلاچ پراید</v>
          </cell>
          <cell r="C174" t="str">
            <v>قالب تعمیری</v>
          </cell>
          <cell r="N174" t="str">
            <v>فرز</v>
          </cell>
          <cell r="AC174" t="str">
            <v>1405/02/07</v>
          </cell>
        </row>
        <row r="175">
          <cell r="B175" t="str">
            <v>پخت کلاچ پراید</v>
          </cell>
          <cell r="C175" t="str">
            <v>قالب تعمیری</v>
          </cell>
          <cell r="N175" t="str">
            <v>فرز</v>
          </cell>
          <cell r="AC175" t="str">
            <v>1405/02/08</v>
          </cell>
        </row>
        <row r="176">
          <cell r="B176" t="str">
            <v>پین عقب پژو 405</v>
          </cell>
          <cell r="C176" t="str">
            <v>قطعه نو</v>
          </cell>
          <cell r="N176" t="str">
            <v>سری تراش</v>
          </cell>
          <cell r="AC176" t="str">
            <v>1405/02/08</v>
          </cell>
        </row>
        <row r="177">
          <cell r="B177" t="str">
            <v>پخت عقب پژو 405 شمشی پایه کوتاه</v>
          </cell>
          <cell r="C177" t="str">
            <v>قالب نو</v>
          </cell>
          <cell r="N177" t="str">
            <v>فرز</v>
          </cell>
          <cell r="AC177" t="str">
            <v>1405/02/08</v>
          </cell>
        </row>
        <row r="178">
          <cell r="B178" t="str">
            <v>قالب عقب F12</v>
          </cell>
          <cell r="C178" t="str">
            <v>قالب تعمیری</v>
          </cell>
          <cell r="N178" t="str">
            <v xml:space="preserve">فرز </v>
          </cell>
          <cell r="AC178" t="str">
            <v>1405/02/08</v>
          </cell>
        </row>
        <row r="179">
          <cell r="B179" t="str">
            <v>Hammer Mill Machine</v>
          </cell>
          <cell r="C179" t="str">
            <v>دستگاه نو</v>
          </cell>
          <cell r="N179" t="str">
            <v>تراش</v>
          </cell>
          <cell r="AC179" t="str">
            <v>1405/02/08</v>
          </cell>
        </row>
        <row r="180">
          <cell r="B180" t="str">
            <v>پخت کلاچ پراید</v>
          </cell>
          <cell r="C180" t="str">
            <v>قالب تعمیری</v>
          </cell>
          <cell r="N180" t="str">
            <v>CNC</v>
          </cell>
          <cell r="AC180" t="str">
            <v>1405/02/08</v>
          </cell>
        </row>
        <row r="181">
          <cell r="B181" t="str">
            <v>قالب 309 سوراخدار</v>
          </cell>
          <cell r="C181" t="str">
            <v>قالب تعمیری</v>
          </cell>
          <cell r="N181" t="str">
            <v>CNC</v>
          </cell>
          <cell r="AC181" t="str">
            <v>1405/02/08</v>
          </cell>
        </row>
        <row r="182">
          <cell r="B182" t="str">
            <v>قالب پخت کلاچ پژو 405</v>
          </cell>
          <cell r="C182" t="str">
            <v>قالب تعمیری</v>
          </cell>
          <cell r="N182" t="str">
            <v>CNC</v>
          </cell>
          <cell r="AC182" t="str">
            <v>1405/02/08</v>
          </cell>
        </row>
        <row r="183">
          <cell r="B183" t="str">
            <v>قالب پخت کلاچ پیکان</v>
          </cell>
          <cell r="C183" t="str">
            <v>قالب تعمیری</v>
          </cell>
          <cell r="N183" t="str">
            <v>CNC</v>
          </cell>
          <cell r="AC183" t="str">
            <v>1405/02/08</v>
          </cell>
        </row>
        <row r="184">
          <cell r="B184" t="str">
            <v>پخت کلاچ پراید</v>
          </cell>
          <cell r="C184" t="str">
            <v>قالب تعمیری</v>
          </cell>
          <cell r="N184" t="str">
            <v>CNC</v>
          </cell>
          <cell r="AC184" t="str">
            <v>1405/02/08</v>
          </cell>
        </row>
        <row r="185">
          <cell r="B185" t="str">
            <v>Hammer Mill Machine</v>
          </cell>
          <cell r="C185" t="str">
            <v>دستگاه نو</v>
          </cell>
          <cell r="N185" t="str">
            <v>وایر</v>
          </cell>
          <cell r="AC185" t="str">
            <v>1405/02/08</v>
          </cell>
        </row>
        <row r="186">
          <cell r="B186" t="str">
            <v>Hammer Mill Machine</v>
          </cell>
          <cell r="C186" t="str">
            <v>دستگاه نو</v>
          </cell>
          <cell r="N186" t="str">
            <v>وایر</v>
          </cell>
          <cell r="AC186" t="str">
            <v>1405/02/08</v>
          </cell>
        </row>
        <row r="187">
          <cell r="B187" t="str">
            <v>Hammer Mill Machine</v>
          </cell>
          <cell r="C187" t="str">
            <v>دستگاه نو</v>
          </cell>
          <cell r="N187" t="str">
            <v>وایر</v>
          </cell>
          <cell r="AC187" t="str">
            <v>1405/02/08</v>
          </cell>
        </row>
        <row r="188">
          <cell r="B188" t="str">
            <v>دستگاه پشم فلز چینی</v>
          </cell>
          <cell r="C188" t="str">
            <v>قطعه نو</v>
          </cell>
          <cell r="N188" t="str">
            <v>وایر</v>
          </cell>
          <cell r="AC188" t="str">
            <v>1405/02/08</v>
          </cell>
        </row>
        <row r="189">
          <cell r="B189" t="str">
            <v>قالب پژو 405 دیسکی</v>
          </cell>
          <cell r="C189" t="str">
            <v>قالب تعمیری</v>
          </cell>
          <cell r="N189" t="str">
            <v>وایر</v>
          </cell>
          <cell r="AC189" t="str">
            <v>1405/02/08</v>
          </cell>
        </row>
        <row r="190">
          <cell r="B190" t="str">
            <v>قالب پخت کلاچ پژو 405</v>
          </cell>
          <cell r="C190" t="str">
            <v>قالب تعمیری</v>
          </cell>
          <cell r="N190" t="str">
            <v>وایر</v>
          </cell>
          <cell r="AC190" t="str">
            <v>1405/02/08</v>
          </cell>
        </row>
        <row r="191">
          <cell r="B191" t="str">
            <v>قالب شیم پژو 405</v>
          </cell>
          <cell r="C191" t="str">
            <v>قالب تعمیری</v>
          </cell>
          <cell r="N191" t="str">
            <v>سنگ زنی</v>
          </cell>
          <cell r="AC191" t="str">
            <v>1405/02/08</v>
          </cell>
        </row>
        <row r="192">
          <cell r="B192" t="str">
            <v>قالب جلو ریو</v>
          </cell>
          <cell r="C192" t="str">
            <v>قالب تعمیری</v>
          </cell>
          <cell r="N192" t="str">
            <v>سنگ زنی</v>
          </cell>
          <cell r="AC192" t="str">
            <v>1405/02/08</v>
          </cell>
        </row>
        <row r="193">
          <cell r="B193" t="str">
            <v>قالب پراید خاردار</v>
          </cell>
          <cell r="C193" t="str">
            <v>قالب تعمیری</v>
          </cell>
          <cell r="N193" t="str">
            <v>مونتاژ</v>
          </cell>
          <cell r="AC193" t="str">
            <v>1405/02/08</v>
          </cell>
        </row>
        <row r="194">
          <cell r="B194" t="str">
            <v>قالب شیم پژو 405</v>
          </cell>
          <cell r="C194" t="str">
            <v>قالب تعمیری</v>
          </cell>
          <cell r="N194" t="str">
            <v>مونتاژ</v>
          </cell>
          <cell r="AC194" t="str">
            <v>1405/02/08</v>
          </cell>
        </row>
        <row r="195">
          <cell r="B195" t="str">
            <v>قالب جلو ریو</v>
          </cell>
          <cell r="C195" t="str">
            <v>قالب تعمیری</v>
          </cell>
          <cell r="N195" t="str">
            <v>مونتاژ</v>
          </cell>
          <cell r="AC195" t="str">
            <v>1405/02/08</v>
          </cell>
        </row>
        <row r="196">
          <cell r="B196" t="str">
            <v>قالب پخت کلاچ پیکان</v>
          </cell>
          <cell r="C196" t="str">
            <v>قالب تعمیری</v>
          </cell>
          <cell r="N196" t="str">
            <v>مونتاژ</v>
          </cell>
          <cell r="AC196" t="str">
            <v>1405/02/08</v>
          </cell>
        </row>
        <row r="197">
          <cell r="B197" t="str">
            <v>قالب 309 سوراخدار</v>
          </cell>
          <cell r="C197" t="str">
            <v>قالب تعمیری</v>
          </cell>
          <cell r="N197" t="str">
            <v>مونتاژ</v>
          </cell>
          <cell r="AC197" t="str">
            <v>1405/02/08</v>
          </cell>
        </row>
        <row r="198">
          <cell r="B198" t="str">
            <v>قالب جلو ریو</v>
          </cell>
          <cell r="C198" t="str">
            <v>قالب تعمیری</v>
          </cell>
          <cell r="N198" t="str">
            <v>مونتاژ</v>
          </cell>
          <cell r="AC198" t="str">
            <v>1405/02/08</v>
          </cell>
        </row>
        <row r="199">
          <cell r="B199" t="str">
            <v>قالب پخت کلاچ پیکان</v>
          </cell>
          <cell r="C199" t="str">
            <v>قالب تعمیری</v>
          </cell>
          <cell r="N199" t="str">
            <v>مونتاژ</v>
          </cell>
          <cell r="AC199" t="str">
            <v>1405/02/08</v>
          </cell>
        </row>
        <row r="200">
          <cell r="B200" t="str">
            <v>قالب 309 سوراخدار</v>
          </cell>
          <cell r="C200" t="str">
            <v>قالب تعمیری</v>
          </cell>
          <cell r="N200" t="str">
            <v>مونتاژ</v>
          </cell>
          <cell r="AC200" t="str">
            <v>1405/02/08</v>
          </cell>
        </row>
        <row r="201">
          <cell r="B201" t="str">
            <v>قالب جلو ریو</v>
          </cell>
          <cell r="C201" t="str">
            <v>قالب تعمیری</v>
          </cell>
          <cell r="N201" t="str">
            <v>دریل رادیال</v>
          </cell>
          <cell r="AC201" t="str">
            <v>1405/02/08</v>
          </cell>
        </row>
        <row r="202">
          <cell r="B202" t="str">
            <v>پخت کلاچ پراید</v>
          </cell>
          <cell r="C202" t="str">
            <v>قالب تعمیری</v>
          </cell>
          <cell r="N202" t="str">
            <v>CNC</v>
          </cell>
          <cell r="AC202" t="str">
            <v>1405/02/09</v>
          </cell>
        </row>
        <row r="203">
          <cell r="B203" t="str">
            <v>قالب پخت کلاچ پژو 405</v>
          </cell>
          <cell r="C203" t="str">
            <v>قالب تعمیری</v>
          </cell>
          <cell r="N203" t="str">
            <v>CNC</v>
          </cell>
          <cell r="AC203" t="str">
            <v>1405/02/09</v>
          </cell>
        </row>
        <row r="204">
          <cell r="B204" t="str">
            <v>قالب عقب F12</v>
          </cell>
          <cell r="C204" t="str">
            <v>قالب تعمیری</v>
          </cell>
          <cell r="N204" t="str">
            <v xml:space="preserve">فرز </v>
          </cell>
          <cell r="AC204" t="str">
            <v>1405/02/09</v>
          </cell>
        </row>
        <row r="205">
          <cell r="B205" t="str">
            <v>قالب عقب F12</v>
          </cell>
          <cell r="C205" t="str">
            <v>قالب تعمیری</v>
          </cell>
          <cell r="N205" t="str">
            <v xml:space="preserve">فرز </v>
          </cell>
          <cell r="AC205" t="str">
            <v>1405/02/09</v>
          </cell>
        </row>
        <row r="206">
          <cell r="B206" t="str">
            <v>پخت کلاچ پراید</v>
          </cell>
          <cell r="C206" t="str">
            <v>قالب تعمیری</v>
          </cell>
          <cell r="N206" t="str">
            <v>فرز</v>
          </cell>
          <cell r="AC206" t="str">
            <v>1405/02/09</v>
          </cell>
        </row>
        <row r="207">
          <cell r="B207" t="str">
            <v>قالب جلو ریو</v>
          </cell>
          <cell r="C207" t="str">
            <v>قالب تعمیری</v>
          </cell>
          <cell r="N207" t="str">
            <v>سنگ زنی</v>
          </cell>
          <cell r="AC207" t="str">
            <v>1405/02/09</v>
          </cell>
        </row>
        <row r="208">
          <cell r="B208" t="str">
            <v>قالب پخت کلاچ پیکان</v>
          </cell>
          <cell r="C208" t="str">
            <v>قالب تعمیری</v>
          </cell>
          <cell r="N208" t="str">
            <v>سنگ زنی</v>
          </cell>
          <cell r="AC208" t="str">
            <v>1405/02/09</v>
          </cell>
        </row>
        <row r="209">
          <cell r="B209" t="str">
            <v>قالب پخت کلاچ پژو 405</v>
          </cell>
          <cell r="C209" t="str">
            <v>قالب تعمیری</v>
          </cell>
          <cell r="N209" t="str">
            <v>سنگ زنی</v>
          </cell>
          <cell r="AC209" t="str">
            <v>1405/02/09</v>
          </cell>
        </row>
        <row r="210">
          <cell r="B210" t="str">
            <v>پین عقب پژو 405</v>
          </cell>
          <cell r="C210" t="str">
            <v>قطعه نو</v>
          </cell>
          <cell r="N210" t="str">
            <v>سری تراش</v>
          </cell>
          <cell r="AC210" t="str">
            <v>1405/02/09</v>
          </cell>
        </row>
        <row r="211">
          <cell r="B211" t="str">
            <v>Hammer Mill Machine</v>
          </cell>
          <cell r="C211" t="str">
            <v>دستگاه نو</v>
          </cell>
          <cell r="N211" t="str">
            <v>تراش</v>
          </cell>
          <cell r="AC211" t="str">
            <v>1405/02/09</v>
          </cell>
        </row>
        <row r="212">
          <cell r="B212" t="str">
            <v>Hammer Mill Machine</v>
          </cell>
          <cell r="C212" t="str">
            <v>دستگاه نو</v>
          </cell>
          <cell r="N212" t="str">
            <v>تراش</v>
          </cell>
          <cell r="AC212" t="str">
            <v>1405/02/09</v>
          </cell>
        </row>
        <row r="213">
          <cell r="B213" t="str">
            <v>لیفتراک</v>
          </cell>
          <cell r="C213" t="str">
            <v>قطعه تعمیری</v>
          </cell>
          <cell r="N213" t="str">
            <v>تراش</v>
          </cell>
          <cell r="AC213" t="str">
            <v>1405/02/09</v>
          </cell>
        </row>
        <row r="214">
          <cell r="B214" t="str">
            <v>قالب 309 سوراخدار</v>
          </cell>
          <cell r="C214" t="str">
            <v>قالب تعمیری</v>
          </cell>
          <cell r="N214" t="str">
            <v>مونتاژ</v>
          </cell>
          <cell r="AC214" t="str">
            <v>1405/02/09</v>
          </cell>
        </row>
        <row r="215">
          <cell r="B215" t="str">
            <v>پخت عقب پژو 405 شمشی پایه کوتاه</v>
          </cell>
          <cell r="C215" t="str">
            <v>قالب نو</v>
          </cell>
          <cell r="N215" t="str">
            <v>مونتاژ</v>
          </cell>
          <cell r="AC215" t="str">
            <v>1405/02/09</v>
          </cell>
        </row>
        <row r="216">
          <cell r="B216" t="str">
            <v>قالب پخت کلاچ پژو 405</v>
          </cell>
          <cell r="C216" t="str">
            <v>قالب تعمیری</v>
          </cell>
          <cell r="N216" t="str">
            <v>مونتاژ</v>
          </cell>
          <cell r="AC216" t="str">
            <v>1405/02/09</v>
          </cell>
        </row>
        <row r="217">
          <cell r="B217" t="str">
            <v>Hammer Mill Machine</v>
          </cell>
          <cell r="C217" t="str">
            <v>دستگاه نو</v>
          </cell>
          <cell r="N217" t="str">
            <v>وایر</v>
          </cell>
          <cell r="AC217" t="str">
            <v>1405/02/09</v>
          </cell>
        </row>
        <row r="218">
          <cell r="B218" t="str">
            <v>Hammer Mill Machine</v>
          </cell>
          <cell r="C218" t="str">
            <v>دستگاه نو</v>
          </cell>
          <cell r="N218" t="str">
            <v>وایر</v>
          </cell>
          <cell r="AC218" t="str">
            <v>1405/02/09</v>
          </cell>
        </row>
        <row r="219">
          <cell r="B219" t="str">
            <v>Hammer Mill Machine</v>
          </cell>
          <cell r="C219" t="str">
            <v>دستگاه نو</v>
          </cell>
          <cell r="N219" t="str">
            <v>وایر</v>
          </cell>
          <cell r="AC219" t="str">
            <v>1405/02/09</v>
          </cell>
        </row>
        <row r="220">
          <cell r="B220" t="str">
            <v>قالب پژو 405 دیسکی</v>
          </cell>
          <cell r="C220" t="str">
            <v>قالب تعمیری</v>
          </cell>
          <cell r="N220" t="str">
            <v>وایر</v>
          </cell>
          <cell r="AC220" t="str">
            <v>1405/02/09</v>
          </cell>
        </row>
        <row r="221">
          <cell r="B221" t="str">
            <v>قالب 309 سوراخدار</v>
          </cell>
          <cell r="C221" t="str">
            <v>قالب تعمیری</v>
          </cell>
          <cell r="N221" t="str">
            <v>مونتاژ</v>
          </cell>
          <cell r="AC221" t="str">
            <v>1405/02/09</v>
          </cell>
        </row>
        <row r="222">
          <cell r="B222" t="str">
            <v>پخت عقب پژو 405 شمشی پایه کوتاه</v>
          </cell>
          <cell r="C222" t="str">
            <v>قالب نو</v>
          </cell>
          <cell r="N222" t="str">
            <v>مونتاژ</v>
          </cell>
          <cell r="AC222" t="str">
            <v>1405/02/09</v>
          </cell>
        </row>
        <row r="223">
          <cell r="B223" t="str">
            <v>قالب شیم پژو 405</v>
          </cell>
          <cell r="C223" t="str">
            <v>قالب تعمیری</v>
          </cell>
          <cell r="N223" t="str">
            <v>مونتاژ</v>
          </cell>
          <cell r="AC223" t="str">
            <v>1405/02/09</v>
          </cell>
        </row>
        <row r="224">
          <cell r="B224" t="str">
            <v>قالب پخت کلاچ پیکان</v>
          </cell>
          <cell r="C224" t="str">
            <v>قالب تعمیری</v>
          </cell>
          <cell r="N224" t="str">
            <v>مونتاژ</v>
          </cell>
          <cell r="AC224" t="str">
            <v>1405/02/09</v>
          </cell>
        </row>
        <row r="225">
          <cell r="B225" t="str">
            <v>Hammer Mill Machine</v>
          </cell>
          <cell r="C225" t="str">
            <v>دستگاه نو</v>
          </cell>
          <cell r="N225" t="str">
            <v>تراش</v>
          </cell>
          <cell r="AC225" t="str">
            <v>1405/02/09</v>
          </cell>
        </row>
        <row r="226">
          <cell r="B226" t="str">
            <v>پخت عقب پژو 405 شمشی پایه کوتاه</v>
          </cell>
          <cell r="C226" t="str">
            <v>قالب نو</v>
          </cell>
          <cell r="N226" t="str">
            <v>فرز</v>
          </cell>
          <cell r="AC226" t="str">
            <v>1405/02/09</v>
          </cell>
        </row>
        <row r="227">
          <cell r="B227" t="str">
            <v>قالب شیم ریو</v>
          </cell>
          <cell r="C227" t="str">
            <v>قالب تعمیری</v>
          </cell>
          <cell r="N227" t="str">
            <v>فرز</v>
          </cell>
          <cell r="AC227" t="str">
            <v>1405/02/09</v>
          </cell>
        </row>
        <row r="228">
          <cell r="B228" t="str">
            <v>Hammer Mill Machine</v>
          </cell>
          <cell r="C228" t="str">
            <v>دستگاه نو</v>
          </cell>
          <cell r="N228" t="str">
            <v>تراش</v>
          </cell>
          <cell r="AC228" t="str">
            <v>1405/02/10</v>
          </cell>
        </row>
        <row r="229">
          <cell r="B229" t="str">
            <v>اصول 5S</v>
          </cell>
          <cell r="C229" t="str">
            <v>نظافت</v>
          </cell>
          <cell r="N229" t="str">
            <v>نظافت</v>
          </cell>
          <cell r="AC229" t="str">
            <v>1405/02/10</v>
          </cell>
        </row>
        <row r="230">
          <cell r="B230" t="str">
            <v>پخت کلاچ پراید</v>
          </cell>
          <cell r="C230" t="str">
            <v>قالب تعمیری</v>
          </cell>
          <cell r="N230" t="str">
            <v>CNC</v>
          </cell>
          <cell r="AC230" t="str">
            <v>1405/02/10</v>
          </cell>
        </row>
        <row r="231">
          <cell r="B231" t="str">
            <v>پین عقب پژو 405</v>
          </cell>
          <cell r="C231" t="str">
            <v>قطعه نو</v>
          </cell>
          <cell r="N231" t="str">
            <v>سری تراش</v>
          </cell>
          <cell r="AC231" t="str">
            <v>1405/02/10</v>
          </cell>
        </row>
        <row r="232">
          <cell r="B232" t="str">
            <v>قالب پخت کلاچ پیکان</v>
          </cell>
          <cell r="C232" t="str">
            <v>قالب تعمیری</v>
          </cell>
          <cell r="N232" t="str">
            <v>CNC</v>
          </cell>
          <cell r="AC232" t="str">
            <v>1405/02/10</v>
          </cell>
        </row>
        <row r="233">
          <cell r="B233" t="str">
            <v>قالب پخت کلاچ پیکان</v>
          </cell>
          <cell r="C233" t="str">
            <v>قالب تعمیری</v>
          </cell>
          <cell r="N233" t="str">
            <v>CNC</v>
          </cell>
          <cell r="AC233" t="str">
            <v>1405/02/10</v>
          </cell>
        </row>
        <row r="234">
          <cell r="B234" t="str">
            <v>قالب پخت کلاچ پژو 405</v>
          </cell>
          <cell r="C234" t="str">
            <v>قالب تعمیری</v>
          </cell>
          <cell r="N234" t="str">
            <v>فرز</v>
          </cell>
          <cell r="AC234" t="str">
            <v>1405/02/10</v>
          </cell>
        </row>
        <row r="235">
          <cell r="B235" t="str">
            <v>اصول 5S</v>
          </cell>
          <cell r="C235" t="str">
            <v>نظافت</v>
          </cell>
          <cell r="N235" t="str">
            <v>نظافت</v>
          </cell>
          <cell r="AC235" t="str">
            <v>1405/02/10</v>
          </cell>
        </row>
        <row r="236">
          <cell r="B236" t="str">
            <v>قالب عقب F12</v>
          </cell>
          <cell r="C236" t="str">
            <v>قالب تعمیری</v>
          </cell>
          <cell r="N236" t="str">
            <v xml:space="preserve">فرز </v>
          </cell>
          <cell r="AC236" t="str">
            <v>1405/02/10</v>
          </cell>
        </row>
        <row r="237">
          <cell r="B237" t="str">
            <v>ویوینگ</v>
          </cell>
          <cell r="C237" t="str">
            <v>قطعه تعمیری</v>
          </cell>
          <cell r="N237" t="str">
            <v>فرز</v>
          </cell>
          <cell r="AC237" t="str">
            <v>1405/02/10</v>
          </cell>
        </row>
        <row r="238">
          <cell r="B238" t="str">
            <v>اصول 5S</v>
          </cell>
          <cell r="C238" t="str">
            <v>نظافت</v>
          </cell>
          <cell r="N238" t="str">
            <v>نظافت</v>
          </cell>
          <cell r="AC238" t="str">
            <v>1405/02/10</v>
          </cell>
        </row>
        <row r="239">
          <cell r="B239" t="str">
            <v>ویوینگ</v>
          </cell>
          <cell r="C239" t="str">
            <v>قطعه تعمیری</v>
          </cell>
          <cell r="N239" t="str">
            <v>تراش</v>
          </cell>
          <cell r="AC239" t="str">
            <v>1405/02/10</v>
          </cell>
        </row>
        <row r="240">
          <cell r="B240" t="str">
            <v>قالب جلو ریو</v>
          </cell>
          <cell r="C240" t="str">
            <v>قالب تعمیری</v>
          </cell>
          <cell r="N240" t="str">
            <v>تراش</v>
          </cell>
          <cell r="AC240" t="str">
            <v>1405/02/10</v>
          </cell>
        </row>
        <row r="241">
          <cell r="B241" t="str">
            <v>Hammer Mill Machine</v>
          </cell>
          <cell r="C241" t="str">
            <v>دستگاه نو</v>
          </cell>
          <cell r="N241" t="str">
            <v>تراش</v>
          </cell>
          <cell r="AC241" t="str">
            <v>1405/02/10</v>
          </cell>
        </row>
        <row r="242">
          <cell r="B242" t="str">
            <v>اصول 5S</v>
          </cell>
          <cell r="C242" t="str">
            <v>نظافت</v>
          </cell>
          <cell r="N242" t="str">
            <v>نظافت</v>
          </cell>
          <cell r="AC242" t="str">
            <v>1405/02/10</v>
          </cell>
        </row>
        <row r="243">
          <cell r="B243" t="str">
            <v>قالب جلو ریو</v>
          </cell>
          <cell r="C243" t="str">
            <v>قالب تعمیری</v>
          </cell>
          <cell r="N243" t="str">
            <v>مونتاژ</v>
          </cell>
          <cell r="AC243" t="str">
            <v>1405/02/10</v>
          </cell>
        </row>
        <row r="244">
          <cell r="B244" t="str">
            <v>قالب پژو 405 دیسکی</v>
          </cell>
          <cell r="C244" t="str">
            <v>قالب تعمیری</v>
          </cell>
          <cell r="N244" t="str">
            <v>دریل رادیال</v>
          </cell>
          <cell r="AC244" t="str">
            <v>1405/02/10</v>
          </cell>
        </row>
        <row r="245">
          <cell r="B245" t="str">
            <v>قالب پژو 405 دیسکی</v>
          </cell>
          <cell r="C245" t="str">
            <v>قالب تعمیری</v>
          </cell>
          <cell r="N245" t="str">
            <v>مونتاژ</v>
          </cell>
          <cell r="AC245" t="str">
            <v>1405/02/10</v>
          </cell>
        </row>
        <row r="246">
          <cell r="B246" t="str">
            <v>اصول 5S</v>
          </cell>
          <cell r="C246" t="str">
            <v>نظافت</v>
          </cell>
          <cell r="N246" t="str">
            <v>نظافت</v>
          </cell>
          <cell r="AC246" t="str">
            <v>1405/02/10</v>
          </cell>
        </row>
        <row r="247">
          <cell r="B247" t="str">
            <v>Hammer Mill Machine</v>
          </cell>
          <cell r="C247" t="str">
            <v>دستگاه نو</v>
          </cell>
          <cell r="N247" t="str">
            <v>وایر</v>
          </cell>
          <cell r="AC247" t="str">
            <v>1405/02/10</v>
          </cell>
        </row>
        <row r="248">
          <cell r="B248" t="str">
            <v>Hammer Mill Machine</v>
          </cell>
          <cell r="C248" t="str">
            <v>دستگاه نو</v>
          </cell>
          <cell r="N248" t="str">
            <v>وایر</v>
          </cell>
          <cell r="AC248" t="str">
            <v>1405/02/10</v>
          </cell>
        </row>
        <row r="249">
          <cell r="B249" t="str">
            <v>Hammer Mill Machine</v>
          </cell>
          <cell r="C249" t="str">
            <v>دستگاه نو</v>
          </cell>
          <cell r="N249" t="str">
            <v>وایر</v>
          </cell>
          <cell r="AC249" t="str">
            <v>1405/02/10</v>
          </cell>
        </row>
        <row r="250">
          <cell r="B250" t="str">
            <v>قالب پژو 405 دیسکی</v>
          </cell>
          <cell r="C250" t="str">
            <v>قالب تعمیری</v>
          </cell>
          <cell r="N250" t="str">
            <v>وایر</v>
          </cell>
          <cell r="AC250" t="str">
            <v>1405/02/10</v>
          </cell>
        </row>
        <row r="251">
          <cell r="B251" t="str">
            <v>دستگاه چسب زنی</v>
          </cell>
          <cell r="C251" t="str">
            <v>قطعه نو</v>
          </cell>
          <cell r="N251" t="str">
            <v>وایر</v>
          </cell>
          <cell r="AC251" t="str">
            <v>1405/02/10</v>
          </cell>
        </row>
        <row r="252">
          <cell r="B252" t="str">
            <v>قالب شیم پژو 405</v>
          </cell>
          <cell r="C252" t="str">
            <v>قالب تعمیری</v>
          </cell>
          <cell r="N252" t="str">
            <v>مونتاژ</v>
          </cell>
          <cell r="AC252" t="str">
            <v>1405/02/10</v>
          </cell>
        </row>
        <row r="253">
          <cell r="B253" t="str">
            <v>قالب جلو ریو</v>
          </cell>
          <cell r="C253" t="str">
            <v>قالب تعمیری</v>
          </cell>
          <cell r="N253" t="str">
            <v>اره لنگ</v>
          </cell>
          <cell r="AC253" t="str">
            <v>1405/02/10</v>
          </cell>
        </row>
        <row r="254">
          <cell r="B254" t="str">
            <v>قالب پخت کلاچ پژو 405</v>
          </cell>
          <cell r="C254" t="str">
            <v>قالب تعمیری</v>
          </cell>
          <cell r="N254" t="str">
            <v>مونتاژ</v>
          </cell>
          <cell r="AC254" t="str">
            <v>1405/02/10</v>
          </cell>
        </row>
        <row r="255">
          <cell r="B255" t="str">
            <v>اصول 5S</v>
          </cell>
          <cell r="C255" t="str">
            <v>نظافت</v>
          </cell>
          <cell r="N255" t="str">
            <v>نظافت</v>
          </cell>
          <cell r="AC255" t="str">
            <v>1405/02/10</v>
          </cell>
        </row>
        <row r="256">
          <cell r="B256" t="str">
            <v>قالب پخت کلاچ پژو 405</v>
          </cell>
          <cell r="C256" t="str">
            <v>قالب تعمیری</v>
          </cell>
          <cell r="N256" t="str">
            <v>سنگ زنی</v>
          </cell>
          <cell r="AC256" t="str">
            <v>1405/02/10</v>
          </cell>
        </row>
        <row r="257">
          <cell r="B257" t="str">
            <v>قالب شیم پژو 405</v>
          </cell>
          <cell r="C257" t="str">
            <v>قالب تعمیری</v>
          </cell>
          <cell r="N257" t="str">
            <v>سنگ زنی</v>
          </cell>
          <cell r="AC257" t="str">
            <v>1405/02/10</v>
          </cell>
        </row>
        <row r="258">
          <cell r="B258" t="str">
            <v>اصول 5S</v>
          </cell>
          <cell r="C258" t="str">
            <v>نظافت</v>
          </cell>
          <cell r="N258" t="str">
            <v>نظافت</v>
          </cell>
          <cell r="AC258" t="str">
            <v>1405/02/10</v>
          </cell>
        </row>
        <row r="259">
          <cell r="B259" t="str">
            <v>پین عقب پژو 405</v>
          </cell>
          <cell r="C259" t="str">
            <v>قطعه نو</v>
          </cell>
          <cell r="N259" t="str">
            <v>سری تراش</v>
          </cell>
          <cell r="AC259" t="str">
            <v>1405/02/12</v>
          </cell>
        </row>
        <row r="260">
          <cell r="B260" t="str">
            <v>پخت عقب پژو 405 شمشی پایه کوتاه</v>
          </cell>
          <cell r="C260" t="str">
            <v>قالب نو</v>
          </cell>
          <cell r="N260" t="str">
            <v>فرز</v>
          </cell>
          <cell r="AC260" t="str">
            <v>1405/02/12</v>
          </cell>
        </row>
        <row r="261">
          <cell r="B261" t="str">
            <v>قالب پخت کلاچ پژو 405</v>
          </cell>
          <cell r="C261" t="str">
            <v>قالب تعمیری</v>
          </cell>
          <cell r="N261" t="str">
            <v>فرز</v>
          </cell>
          <cell r="AC261" t="str">
            <v>1405/02/12</v>
          </cell>
        </row>
        <row r="262">
          <cell r="B262" t="str">
            <v>قالب پخت کلاچ پیکان</v>
          </cell>
          <cell r="C262" t="str">
            <v>قالب تعمیری</v>
          </cell>
          <cell r="N262" t="str">
            <v>CNC</v>
          </cell>
          <cell r="AC262" t="str">
            <v>1405/02/12</v>
          </cell>
        </row>
        <row r="263">
          <cell r="B263" t="str">
            <v>قالب پخت کلاچ پژو 405</v>
          </cell>
          <cell r="C263" t="str">
            <v>قالب تعمیری</v>
          </cell>
          <cell r="N263" t="str">
            <v>سنگ زنی</v>
          </cell>
          <cell r="AC263" t="str">
            <v>1405/02/12</v>
          </cell>
        </row>
        <row r="264">
          <cell r="B264" t="str">
            <v>پخت کلاچ پراید</v>
          </cell>
          <cell r="C264" t="str">
            <v>قالب تعمیری</v>
          </cell>
          <cell r="N264" t="str">
            <v>سنگ زنی</v>
          </cell>
          <cell r="AC264" t="str">
            <v>1405/02/12</v>
          </cell>
        </row>
        <row r="265">
          <cell r="B265" t="str">
            <v>قالب شیم پژو 405</v>
          </cell>
          <cell r="C265" t="str">
            <v>قالب تعمیری</v>
          </cell>
          <cell r="N265" t="str">
            <v>سنگ زنی</v>
          </cell>
          <cell r="AC265" t="str">
            <v>1405/02/12</v>
          </cell>
        </row>
        <row r="266">
          <cell r="B266" t="str">
            <v>قالب عقب F12</v>
          </cell>
          <cell r="C266" t="str">
            <v>قالب تعمیری</v>
          </cell>
          <cell r="N266" t="str">
            <v xml:space="preserve">فرز </v>
          </cell>
          <cell r="AC266" t="str">
            <v>1405/02/12</v>
          </cell>
        </row>
        <row r="267">
          <cell r="B267" t="str">
            <v>دستگاه پشم فلز آلمانی</v>
          </cell>
          <cell r="C267" t="str">
            <v>قطعه نو</v>
          </cell>
          <cell r="N267" t="str">
            <v>فرز</v>
          </cell>
          <cell r="AC267" t="str">
            <v>1405/02/12</v>
          </cell>
        </row>
        <row r="268">
          <cell r="B268" t="str">
            <v>قالب پخت کلاچ پیکان</v>
          </cell>
          <cell r="C268" t="str">
            <v>قالب تعمیری</v>
          </cell>
          <cell r="N268" t="str">
            <v>فرز</v>
          </cell>
          <cell r="AC268" t="str">
            <v>1405/02/12</v>
          </cell>
        </row>
        <row r="269">
          <cell r="B269" t="str">
            <v>Hammer Mill Machine</v>
          </cell>
          <cell r="C269" t="str">
            <v>دستگاه نو</v>
          </cell>
          <cell r="N269" t="str">
            <v>تراش</v>
          </cell>
          <cell r="AC269" t="str">
            <v>1405/02/12</v>
          </cell>
        </row>
        <row r="270">
          <cell r="B270" t="str">
            <v>میکس چینی</v>
          </cell>
          <cell r="C270" t="str">
            <v>قطعه نو</v>
          </cell>
          <cell r="N270" t="str">
            <v>تراش</v>
          </cell>
          <cell r="AC270" t="str">
            <v>1405/02/12</v>
          </cell>
        </row>
        <row r="271">
          <cell r="B271" t="str">
            <v xml:space="preserve">دستگاه سنگ پشم فلز آلمانی </v>
          </cell>
          <cell r="C271" t="str">
            <v>قطعه تعمیری</v>
          </cell>
          <cell r="N271" t="str">
            <v>تراش</v>
          </cell>
          <cell r="AC271" t="str">
            <v>1405/02/12</v>
          </cell>
        </row>
        <row r="272">
          <cell r="B272" t="str">
            <v>قالب پژو 405 دیسکی</v>
          </cell>
          <cell r="C272" t="str">
            <v>قالب تعمیری</v>
          </cell>
          <cell r="N272" t="str">
            <v>مونتاژ</v>
          </cell>
          <cell r="AC272" t="str">
            <v>1405/02/12</v>
          </cell>
        </row>
        <row r="273">
          <cell r="B273" t="str">
            <v>پخت کلاچ پراید</v>
          </cell>
          <cell r="C273" t="str">
            <v>قالب تعمیری</v>
          </cell>
          <cell r="N273" t="str">
            <v>مونتاژ</v>
          </cell>
          <cell r="AC273" t="str">
            <v>1405/02/12</v>
          </cell>
        </row>
        <row r="274">
          <cell r="B274" t="str">
            <v>قالب پخت کلاچ پژو 405</v>
          </cell>
          <cell r="C274" t="str">
            <v>قالب تعمیری</v>
          </cell>
          <cell r="N274" t="str">
            <v>مونتاژ</v>
          </cell>
          <cell r="AC274" t="str">
            <v>1405/02/12</v>
          </cell>
        </row>
        <row r="275">
          <cell r="B275" t="str">
            <v>پخت عقب پژو 405 شمشی پایه کوتاه</v>
          </cell>
          <cell r="C275" t="str">
            <v>قالب نو</v>
          </cell>
          <cell r="N275" t="str">
            <v>مونتاژ</v>
          </cell>
          <cell r="AC275" t="str">
            <v>1405/02/12</v>
          </cell>
        </row>
        <row r="276">
          <cell r="B276" t="str">
            <v>قالب جلو ریو</v>
          </cell>
          <cell r="C276" t="str">
            <v>قالب تعمیری</v>
          </cell>
          <cell r="N276" t="str">
            <v>مونتاژ</v>
          </cell>
          <cell r="AC276" t="str">
            <v>1405/02/12</v>
          </cell>
        </row>
        <row r="277">
          <cell r="B277" t="str">
            <v>قالب جلو ریو</v>
          </cell>
          <cell r="C277" t="str">
            <v>قالب تعمیری</v>
          </cell>
          <cell r="N277" t="str">
            <v>مونتاژ</v>
          </cell>
          <cell r="AC277" t="str">
            <v>1405/02/12</v>
          </cell>
        </row>
        <row r="278">
          <cell r="B278" t="str">
            <v>قالب شمشی عقب ریو</v>
          </cell>
          <cell r="C278" t="str">
            <v>قالب نو</v>
          </cell>
          <cell r="N278" t="str">
            <v>مونتاژ</v>
          </cell>
          <cell r="AC278" t="str">
            <v>1405/02/12</v>
          </cell>
        </row>
        <row r="279">
          <cell r="B279" t="str">
            <v>قالب پژو 405 دیسکی</v>
          </cell>
          <cell r="C279" t="str">
            <v>قالب تعمیری</v>
          </cell>
          <cell r="N279" t="str">
            <v>مونتاژ</v>
          </cell>
          <cell r="AC279" t="str">
            <v>1405/02/12</v>
          </cell>
        </row>
        <row r="280">
          <cell r="B280" t="str">
            <v>قالب 309 بدون سوراخ</v>
          </cell>
          <cell r="C280" t="str">
            <v>قالب تعمیری</v>
          </cell>
          <cell r="N280" t="str">
            <v>مونتاژ</v>
          </cell>
          <cell r="AC280" t="str">
            <v>1405/02/12</v>
          </cell>
        </row>
        <row r="281">
          <cell r="B281" t="str">
            <v>قالب پخت کلاچ پیکان</v>
          </cell>
          <cell r="C281" t="str">
            <v>قالب تعمیری</v>
          </cell>
          <cell r="N281" t="str">
            <v>CNC</v>
          </cell>
          <cell r="AC281" t="str">
            <v>1405/02/12</v>
          </cell>
        </row>
        <row r="282">
          <cell r="B282" t="str">
            <v>قالب پخت کلاچ پیکان</v>
          </cell>
          <cell r="C282" t="str">
            <v>قالب تعمیری</v>
          </cell>
          <cell r="N282" t="str">
            <v>CNC</v>
          </cell>
          <cell r="AC282" t="str">
            <v>1405/02/13</v>
          </cell>
        </row>
        <row r="283">
          <cell r="B283" t="str">
            <v>قالب پخت کلاچ پیکان آرژانتینی</v>
          </cell>
          <cell r="C283" t="str">
            <v>قالب تعمیری</v>
          </cell>
          <cell r="N283" t="str">
            <v>CNC</v>
          </cell>
          <cell r="AC283" t="str">
            <v>1405/02/13</v>
          </cell>
        </row>
        <row r="284">
          <cell r="B284" t="str">
            <v>قالب پخت کلاچ پیکان</v>
          </cell>
          <cell r="C284" t="str">
            <v>قالب تعمیری</v>
          </cell>
          <cell r="N284" t="str">
            <v>CNC</v>
          </cell>
          <cell r="AC284" t="str">
            <v>1405/02/13</v>
          </cell>
        </row>
        <row r="285">
          <cell r="B285" t="str">
            <v>پخت عقب پژو 405 شمشی پایه کوتاه</v>
          </cell>
          <cell r="C285" t="str">
            <v>قالب نو</v>
          </cell>
          <cell r="N285" t="str">
            <v>فرز</v>
          </cell>
          <cell r="AC285" t="str">
            <v>1405/02/13</v>
          </cell>
        </row>
        <row r="286">
          <cell r="B286" t="str">
            <v>پخت عقب پژو 405 شمشی پایه کوتاه</v>
          </cell>
          <cell r="C286" t="str">
            <v>قالب نو</v>
          </cell>
          <cell r="N286" t="str">
            <v>فرز</v>
          </cell>
          <cell r="AC286" t="str">
            <v>1405/02/14</v>
          </cell>
        </row>
        <row r="287">
          <cell r="B287" t="str">
            <v>Hammer Mill Machine</v>
          </cell>
          <cell r="C287" t="str">
            <v>دستگاه نو</v>
          </cell>
          <cell r="N287" t="str">
            <v>وایر</v>
          </cell>
          <cell r="AC287" t="str">
            <v>1405/02/12</v>
          </cell>
        </row>
        <row r="288">
          <cell r="B288" t="str">
            <v>Hammer Mill Machine</v>
          </cell>
          <cell r="C288" t="str">
            <v>دستگاه نو</v>
          </cell>
          <cell r="N288" t="str">
            <v>وایر</v>
          </cell>
          <cell r="AC288" t="str">
            <v>1405/02/12</v>
          </cell>
        </row>
        <row r="289">
          <cell r="B289" t="str">
            <v>Hammer Mill Machine</v>
          </cell>
          <cell r="C289" t="str">
            <v>دستگاه نو</v>
          </cell>
          <cell r="N289" t="str">
            <v>وایر</v>
          </cell>
          <cell r="AC289" t="str">
            <v>1405/02/12</v>
          </cell>
        </row>
        <row r="290">
          <cell r="B290" t="str">
            <v>قالب پژو 405 دیسکی</v>
          </cell>
          <cell r="C290" t="str">
            <v>قالب تعمیری</v>
          </cell>
          <cell r="N290" t="str">
            <v>وایر</v>
          </cell>
          <cell r="AC290" t="str">
            <v>1405/02/12</v>
          </cell>
        </row>
        <row r="291">
          <cell r="B291" t="str">
            <v>ساب کلاچ</v>
          </cell>
          <cell r="C291" t="str">
            <v>قطعه نو</v>
          </cell>
          <cell r="N291" t="str">
            <v>وایر</v>
          </cell>
          <cell r="AC291" t="str">
            <v>1405/02/12</v>
          </cell>
        </row>
        <row r="292">
          <cell r="B292" t="str">
            <v>قالب پژو 405 دیسکی</v>
          </cell>
          <cell r="C292" t="str">
            <v>قالب تعمیری</v>
          </cell>
          <cell r="N292" t="str">
            <v>وایر</v>
          </cell>
          <cell r="AC292" t="str">
            <v>1405/02/12</v>
          </cell>
        </row>
        <row r="293">
          <cell r="B293" t="str">
            <v>قالب پخت کلاچ پژو 405</v>
          </cell>
          <cell r="C293" t="str">
            <v>قالب تعمیری</v>
          </cell>
          <cell r="N293" t="str">
            <v>فرز</v>
          </cell>
          <cell r="AC293" t="str">
            <v>1405/02/13</v>
          </cell>
        </row>
        <row r="294">
          <cell r="B294" t="str">
            <v>قالب پخت کلاچ پیکان</v>
          </cell>
          <cell r="C294" t="str">
            <v>قالب تعمیری</v>
          </cell>
          <cell r="N294" t="str">
            <v>فرز</v>
          </cell>
          <cell r="AC294" t="str">
            <v>1405/02/14</v>
          </cell>
        </row>
        <row r="295">
          <cell r="B295" t="str">
            <v>Hammer Mill Machine</v>
          </cell>
          <cell r="C295" t="str">
            <v>دستگاه نو</v>
          </cell>
          <cell r="N295" t="str">
            <v>وایر</v>
          </cell>
          <cell r="AC295" t="str">
            <v>1405/02/14</v>
          </cell>
        </row>
        <row r="296">
          <cell r="B296" t="str">
            <v>Hammer Mill Machine</v>
          </cell>
          <cell r="C296" t="str">
            <v>دستگاه نو</v>
          </cell>
          <cell r="N296" t="str">
            <v>وایر</v>
          </cell>
          <cell r="AC296" t="str">
            <v>1405/02/14</v>
          </cell>
        </row>
        <row r="297">
          <cell r="B297" t="str">
            <v>قالب جلو ریو</v>
          </cell>
          <cell r="C297" t="str">
            <v>قالب تعمیری</v>
          </cell>
          <cell r="N297" t="str">
            <v>وایر</v>
          </cell>
          <cell r="AC297" t="str">
            <v>1405/02/14</v>
          </cell>
        </row>
        <row r="298">
          <cell r="B298" t="str">
            <v>لنت دنیای مس</v>
          </cell>
          <cell r="C298" t="str">
            <v>قطعه نو</v>
          </cell>
          <cell r="N298" t="str">
            <v>وایر</v>
          </cell>
          <cell r="AC298" t="str">
            <v>1405/02/14</v>
          </cell>
        </row>
        <row r="299">
          <cell r="B299" t="str">
            <v>Hammer Mill Machine</v>
          </cell>
          <cell r="C299" t="str">
            <v>دستگاه نو</v>
          </cell>
          <cell r="N299" t="str">
            <v>وایر</v>
          </cell>
          <cell r="AC299" t="str">
            <v>1405/02/16</v>
          </cell>
        </row>
        <row r="300">
          <cell r="B300" t="str">
            <v>Hammer Mill Machine</v>
          </cell>
          <cell r="C300" t="str">
            <v>دستگاه نو</v>
          </cell>
          <cell r="N300" t="str">
            <v>وایر</v>
          </cell>
          <cell r="AC300" t="str">
            <v>1405/02/16</v>
          </cell>
        </row>
        <row r="301">
          <cell r="B301" t="str">
            <v>قالب جلو ریو</v>
          </cell>
          <cell r="C301" t="str">
            <v>قالب تعمیری</v>
          </cell>
          <cell r="N301" t="str">
            <v>وایر</v>
          </cell>
          <cell r="AC301" t="str">
            <v>1405/02/16</v>
          </cell>
        </row>
        <row r="302">
          <cell r="B302" t="str">
            <v>لنت دنیای مس</v>
          </cell>
          <cell r="C302" t="str">
            <v>قطعه نو</v>
          </cell>
          <cell r="N302" t="str">
            <v>وایر</v>
          </cell>
          <cell r="AC302" t="str">
            <v>1405/02/16</v>
          </cell>
        </row>
        <row r="303">
          <cell r="B303" t="str">
            <v>ویوینگ</v>
          </cell>
          <cell r="C303" t="str">
            <v>قطعه تعمیری</v>
          </cell>
          <cell r="N303" t="str">
            <v>تراش</v>
          </cell>
          <cell r="AC303" t="str">
            <v>1405/02/13</v>
          </cell>
        </row>
        <row r="304">
          <cell r="B304" t="str">
            <v xml:space="preserve">دستگاه سنگ پشم فلز آلمانی </v>
          </cell>
          <cell r="C304" t="str">
            <v>قطعه نو</v>
          </cell>
          <cell r="N304" t="str">
            <v>تراش</v>
          </cell>
          <cell r="AC304" t="str">
            <v>1405/02/13</v>
          </cell>
        </row>
        <row r="305">
          <cell r="B305" t="str">
            <v>دستگاه پشم فلز آلمانی</v>
          </cell>
          <cell r="C305" t="str">
            <v>قطعه نو</v>
          </cell>
          <cell r="N305" t="str">
            <v>تراش</v>
          </cell>
          <cell r="AC305" t="str">
            <v>1405/02/13</v>
          </cell>
        </row>
        <row r="306">
          <cell r="B306" t="str">
            <v>قالب جلو ریو</v>
          </cell>
          <cell r="C306" t="str">
            <v>قالب تعمیری</v>
          </cell>
          <cell r="N306" t="str">
            <v>تراش</v>
          </cell>
          <cell r="AC306" t="str">
            <v>1405/02/13</v>
          </cell>
        </row>
        <row r="307">
          <cell r="B307" t="str">
            <v>ساب</v>
          </cell>
          <cell r="C307" t="str">
            <v>قطعه نو</v>
          </cell>
          <cell r="N307" t="str">
            <v>تراش</v>
          </cell>
          <cell r="AC307" t="str">
            <v>1405/02/14</v>
          </cell>
        </row>
        <row r="308">
          <cell r="B308" t="str">
            <v>دریل سوراخکاری</v>
          </cell>
          <cell r="C308" t="str">
            <v>قطعه تعمیری</v>
          </cell>
          <cell r="N308" t="str">
            <v>تراش</v>
          </cell>
          <cell r="AC308" t="str">
            <v>1405/02/14</v>
          </cell>
        </row>
        <row r="309">
          <cell r="B309" t="str">
            <v>برش جمعی عقب</v>
          </cell>
          <cell r="C309" t="str">
            <v>قطعه تعمیری</v>
          </cell>
          <cell r="N309" t="str">
            <v>تراش</v>
          </cell>
          <cell r="AC309" t="str">
            <v>1405/02/14</v>
          </cell>
        </row>
        <row r="310">
          <cell r="B310" t="str">
            <v>سری نقطه جوش</v>
          </cell>
          <cell r="C310" t="str">
            <v>قطعه تعمیری</v>
          </cell>
          <cell r="N310" t="str">
            <v>تراش</v>
          </cell>
          <cell r="AC310" t="str">
            <v>1405/02/14</v>
          </cell>
        </row>
        <row r="311">
          <cell r="B311" t="str">
            <v>ویوینگ</v>
          </cell>
          <cell r="C311" t="str">
            <v>قطعه تعمیری</v>
          </cell>
          <cell r="N311" t="str">
            <v>تراش</v>
          </cell>
          <cell r="AC311" t="str">
            <v>1405/02/14</v>
          </cell>
        </row>
        <row r="312">
          <cell r="B312" t="str">
            <v>قالب پخت کلاچ پژو 405</v>
          </cell>
          <cell r="C312" t="str">
            <v>قالب تعمیری</v>
          </cell>
          <cell r="N312" t="str">
            <v>سنگ زنی</v>
          </cell>
          <cell r="AC312" t="str">
            <v>1405/02/13</v>
          </cell>
        </row>
        <row r="313">
          <cell r="B313" t="str">
            <v>قالب پخت کلاچ پیکان</v>
          </cell>
          <cell r="C313" t="str">
            <v>قالب تعمیری</v>
          </cell>
          <cell r="N313" t="str">
            <v>سنگ زنی</v>
          </cell>
          <cell r="AC313" t="str">
            <v>1405/02/13</v>
          </cell>
        </row>
        <row r="314">
          <cell r="B314" t="str">
            <v>قالب شیم ریو</v>
          </cell>
          <cell r="C314" t="str">
            <v>قالب تعمیری</v>
          </cell>
          <cell r="N314" t="str">
            <v>سنگ زنی</v>
          </cell>
          <cell r="AC314" t="str">
            <v>1405/02/13</v>
          </cell>
        </row>
        <row r="315">
          <cell r="B315" t="str">
            <v>قالب پخت کلاچ پیکان</v>
          </cell>
          <cell r="C315" t="str">
            <v>قالب تعمیری</v>
          </cell>
          <cell r="N315" t="str">
            <v>سنگ زنی</v>
          </cell>
          <cell r="AC315" t="str">
            <v>1405/02/13</v>
          </cell>
        </row>
        <row r="316">
          <cell r="B316" t="str">
            <v>قالب شیم پژو 405</v>
          </cell>
          <cell r="C316" t="str">
            <v>قالب تعمیری</v>
          </cell>
          <cell r="N316" t="str">
            <v>مونتاژ</v>
          </cell>
          <cell r="AC316" t="str">
            <v>1405/02/13</v>
          </cell>
        </row>
        <row r="317">
          <cell r="B317" t="str">
            <v>قالب شیم پژو 405</v>
          </cell>
          <cell r="C317" t="str">
            <v>قالب تعمیری</v>
          </cell>
          <cell r="N317" t="str">
            <v>مونتاژ</v>
          </cell>
          <cell r="AC317" t="str">
            <v>1405/02/13</v>
          </cell>
        </row>
        <row r="318">
          <cell r="B318" t="str">
            <v>قالب جلو ریو</v>
          </cell>
          <cell r="C318" t="str">
            <v>قالب تعمیری</v>
          </cell>
          <cell r="N318" t="str">
            <v>مونتاژ</v>
          </cell>
          <cell r="AC318" t="str">
            <v>1405/02/13</v>
          </cell>
        </row>
        <row r="319">
          <cell r="B319" t="str">
            <v>قالب جلو ریو</v>
          </cell>
          <cell r="C319" t="str">
            <v>قالب تعمیری</v>
          </cell>
          <cell r="N319" t="str">
            <v>مونتاژ</v>
          </cell>
          <cell r="AC319" t="str">
            <v>1405/02/13</v>
          </cell>
        </row>
        <row r="320">
          <cell r="B320" t="str">
            <v>قالب پخت کلاچ پژو 405</v>
          </cell>
          <cell r="C320" t="str">
            <v>قالب تعمیری</v>
          </cell>
          <cell r="N320" t="str">
            <v>فرز</v>
          </cell>
          <cell r="AC320" t="str">
            <v>1405/02/13</v>
          </cell>
        </row>
        <row r="321">
          <cell r="B321" t="str">
            <v>قالب پخت کلاچ پژو 405</v>
          </cell>
          <cell r="C321" t="str">
            <v>قالب تعمیری</v>
          </cell>
          <cell r="N321" t="str">
            <v>فرز</v>
          </cell>
          <cell r="AC321" t="str">
            <v>1405/02/13</v>
          </cell>
        </row>
        <row r="322">
          <cell r="B322" t="str">
            <v>قالب پخت کلاچ پژو 405</v>
          </cell>
          <cell r="C322" t="str">
            <v>قالب تعمیری</v>
          </cell>
          <cell r="N322" t="str">
            <v>فرز</v>
          </cell>
          <cell r="AC322" t="str">
            <v>1405/02/13</v>
          </cell>
        </row>
        <row r="323">
          <cell r="B323" t="str">
            <v>قالب پخت کلاچ پیکان</v>
          </cell>
          <cell r="C323" t="str">
            <v>قالب تعمیری</v>
          </cell>
          <cell r="N323" t="str">
            <v>CNC</v>
          </cell>
          <cell r="AC323" t="str">
            <v>1405/02/14</v>
          </cell>
        </row>
        <row r="324">
          <cell r="B324" t="str">
            <v>قالب پخت کلاچ پیکان آرژانتینی</v>
          </cell>
          <cell r="C324" t="str">
            <v>قالب تعمیری</v>
          </cell>
          <cell r="N324" t="str">
            <v>CNC</v>
          </cell>
          <cell r="AC324" t="str">
            <v>1405/02/14</v>
          </cell>
        </row>
        <row r="325">
          <cell r="B325" t="str">
            <v>قالب پخت کلاچ پیکان آرژانتینی</v>
          </cell>
          <cell r="C325" t="str">
            <v>قالب تعمیری</v>
          </cell>
          <cell r="N325" t="str">
            <v>CNC</v>
          </cell>
          <cell r="AC325" t="str">
            <v>1405/02/15</v>
          </cell>
        </row>
        <row r="326">
          <cell r="B326" t="str">
            <v>پخت کلاچ پراید</v>
          </cell>
          <cell r="C326" t="str">
            <v>قالب تعمیری</v>
          </cell>
          <cell r="N326" t="str">
            <v>CNC</v>
          </cell>
          <cell r="AC326" t="str">
            <v>1405/02/15</v>
          </cell>
        </row>
        <row r="327">
          <cell r="B327" t="str">
            <v xml:space="preserve">دستگاه مهر زنی </v>
          </cell>
          <cell r="C327" t="str">
            <v>قطعه نو</v>
          </cell>
          <cell r="N327" t="str">
            <v>دریل رادیال</v>
          </cell>
          <cell r="AC327" t="str">
            <v>1405/02/15</v>
          </cell>
        </row>
        <row r="328">
          <cell r="B328" t="str">
            <v xml:space="preserve">دستگاه سنگ پشم فلز آلمانی </v>
          </cell>
          <cell r="C328" t="str">
            <v>قطعه نو</v>
          </cell>
          <cell r="N328" t="str">
            <v>دریل رادیال</v>
          </cell>
          <cell r="AC328" t="str">
            <v>1405/02/15</v>
          </cell>
        </row>
        <row r="329">
          <cell r="B329" t="str">
            <v>قالب شمشی عقب ریو</v>
          </cell>
          <cell r="C329" t="str">
            <v>قالب نو</v>
          </cell>
          <cell r="N329" t="str">
            <v>مونتاژ</v>
          </cell>
          <cell r="AC329" t="str">
            <v>1405/02/15</v>
          </cell>
        </row>
        <row r="330">
          <cell r="B330" t="str">
            <v>قالب پخت کلاچ پژو 405</v>
          </cell>
          <cell r="C330" t="str">
            <v>قالب تعمیری</v>
          </cell>
          <cell r="N330" t="str">
            <v>CNC</v>
          </cell>
          <cell r="AC330" t="str">
            <v>1405/02/15</v>
          </cell>
        </row>
        <row r="331">
          <cell r="B331" t="str">
            <v>قالب پخت کلاچ پیکان</v>
          </cell>
          <cell r="C331" t="str">
            <v>قالب تعمیری</v>
          </cell>
          <cell r="N331" t="str">
            <v>مونتاژ</v>
          </cell>
          <cell r="AC331" t="str">
            <v>1405/02/14</v>
          </cell>
        </row>
        <row r="332">
          <cell r="B332" t="str">
            <v>قالب پخت کلاچ پژو 405</v>
          </cell>
          <cell r="C332" t="str">
            <v>قالب تعمیری</v>
          </cell>
          <cell r="N332" t="str">
            <v>مونتاژ</v>
          </cell>
          <cell r="AC332" t="str">
            <v>1405/02/14</v>
          </cell>
        </row>
        <row r="333">
          <cell r="B333" t="str">
            <v>قالب شمشی عقب ریو</v>
          </cell>
          <cell r="C333" t="str">
            <v>قالب نو</v>
          </cell>
          <cell r="N333" t="str">
            <v>مونتاژ</v>
          </cell>
          <cell r="AC333" t="str">
            <v>1405/02/14</v>
          </cell>
        </row>
        <row r="334">
          <cell r="B334" t="str">
            <v>قالب پخت کلاچ پیکان آرژانتینی</v>
          </cell>
          <cell r="C334" t="str">
            <v>قالب تعمیری</v>
          </cell>
          <cell r="N334" t="str">
            <v>مونتاژ</v>
          </cell>
          <cell r="AC334" t="str">
            <v>1405/02/14</v>
          </cell>
        </row>
        <row r="335">
          <cell r="B335" t="str">
            <v>پخت کلاچ پراید</v>
          </cell>
          <cell r="C335" t="str">
            <v>قالب تعمیری</v>
          </cell>
          <cell r="N335" t="str">
            <v>مونتاژ</v>
          </cell>
          <cell r="AC335" t="str">
            <v>1405/02/14</v>
          </cell>
        </row>
        <row r="336">
          <cell r="B336" t="str">
            <v>قالب پخت کلاچ پیکان آرژانتینی</v>
          </cell>
          <cell r="C336" t="str">
            <v>قالب تعمیری</v>
          </cell>
          <cell r="N336" t="str">
            <v>مونتاژ</v>
          </cell>
          <cell r="AC336" t="str">
            <v>1405/02/14</v>
          </cell>
        </row>
        <row r="337">
          <cell r="B337" t="str">
            <v>قالب پخت کلاچ پژو 405</v>
          </cell>
          <cell r="C337" t="str">
            <v>قالب تعمیری</v>
          </cell>
          <cell r="N337" t="str">
            <v>فرز</v>
          </cell>
          <cell r="AC337" t="str">
            <v>1405/02/14</v>
          </cell>
        </row>
        <row r="338">
          <cell r="B338" t="str">
            <v>قالب پخت کلاچ پیکان آرژانتینی</v>
          </cell>
          <cell r="C338" t="str">
            <v>قالب تعمیری</v>
          </cell>
          <cell r="N338" t="str">
            <v>فرز</v>
          </cell>
          <cell r="AC338" t="str">
            <v>1405/02/15</v>
          </cell>
        </row>
        <row r="339">
          <cell r="B339" t="str">
            <v>قالب پخت کلاچ پیکان آرژانتینی</v>
          </cell>
          <cell r="C339" t="str">
            <v>قالب تعمیری</v>
          </cell>
          <cell r="N339" t="str">
            <v>فرز</v>
          </cell>
          <cell r="AC339" t="str">
            <v>1405/02/16</v>
          </cell>
        </row>
        <row r="340">
          <cell r="B340" t="str">
            <v>قالب عقب F12</v>
          </cell>
          <cell r="C340" t="str">
            <v>قالب تعمیری</v>
          </cell>
          <cell r="N340" t="str">
            <v xml:space="preserve">فرز </v>
          </cell>
          <cell r="AC340" t="str">
            <v>1405/02/16</v>
          </cell>
        </row>
        <row r="341">
          <cell r="B341" t="str">
            <v>پخت عقب پژو 405 شمشی پایه کوتاه</v>
          </cell>
          <cell r="C341" t="str">
            <v>قالب نو</v>
          </cell>
          <cell r="N341" t="str">
            <v>فرز</v>
          </cell>
          <cell r="AC341" t="str">
            <v>1405/02/15</v>
          </cell>
        </row>
        <row r="342">
          <cell r="B342" t="str">
            <v>قالب پخت کلاچ پیکان</v>
          </cell>
          <cell r="C342" t="str">
            <v>قالب تعمیری</v>
          </cell>
          <cell r="N342" t="str">
            <v>فرز</v>
          </cell>
          <cell r="AC342" t="str">
            <v>1405/02/15</v>
          </cell>
        </row>
        <row r="343">
          <cell r="B343" t="str">
            <v>قالب پخت کلاچ پیکان</v>
          </cell>
          <cell r="C343" t="str">
            <v>قالب تعمیری</v>
          </cell>
          <cell r="N343" t="str">
            <v>مونتاژ</v>
          </cell>
          <cell r="AC343" t="str">
            <v>1405/02/15</v>
          </cell>
        </row>
        <row r="344">
          <cell r="B344" t="str">
            <v>قالب پخت کلاچ پژو 405</v>
          </cell>
          <cell r="C344" t="str">
            <v>قالب تعمیری</v>
          </cell>
          <cell r="N344" t="str">
            <v>مونتاژ</v>
          </cell>
          <cell r="AC344" t="str">
            <v>1405/02/15</v>
          </cell>
        </row>
        <row r="345">
          <cell r="B345" t="str">
            <v>قالب شمشی عقب ریو</v>
          </cell>
          <cell r="C345" t="str">
            <v>قالب نو</v>
          </cell>
          <cell r="N345" t="str">
            <v>مونتاژ</v>
          </cell>
          <cell r="AC345" t="str">
            <v>1405/02/15</v>
          </cell>
        </row>
        <row r="346">
          <cell r="B346" t="str">
            <v>پخت کلاچ پراید</v>
          </cell>
          <cell r="C346" t="str">
            <v>قالب تعمیری</v>
          </cell>
          <cell r="N346" t="str">
            <v>مونتاژ</v>
          </cell>
          <cell r="AC346" t="str">
            <v>1405/02/15</v>
          </cell>
        </row>
        <row r="347">
          <cell r="B347" t="str">
            <v>قالب پخت کلاچ پیکان</v>
          </cell>
          <cell r="C347" t="str">
            <v>قالب تعمیری</v>
          </cell>
          <cell r="N347" t="str">
            <v>مونتاژ</v>
          </cell>
          <cell r="AC347" t="str">
            <v>1405/02/15</v>
          </cell>
        </row>
        <row r="348">
          <cell r="B348" t="str">
            <v>قالب پخت کلاچ پژو 405</v>
          </cell>
          <cell r="C348" t="str">
            <v>قالب تعمیری</v>
          </cell>
          <cell r="N348" t="str">
            <v>فرز</v>
          </cell>
          <cell r="AC348" t="str">
            <v>1405/02/15</v>
          </cell>
        </row>
        <row r="349">
          <cell r="B349" t="str">
            <v>قالب پخت کلاچ پیکان</v>
          </cell>
          <cell r="C349" t="str">
            <v>قالب تعمیری</v>
          </cell>
          <cell r="N349" t="str">
            <v>فرز</v>
          </cell>
          <cell r="AC349" t="str">
            <v>1405/02/15</v>
          </cell>
        </row>
        <row r="350">
          <cell r="B350" t="str">
            <v>قالب پخت کلاچ پیکان</v>
          </cell>
          <cell r="C350" t="str">
            <v>قالب تعمیری</v>
          </cell>
          <cell r="N350" t="str">
            <v>فرز</v>
          </cell>
          <cell r="AC350" t="str">
            <v>1405/02/15</v>
          </cell>
        </row>
        <row r="351">
          <cell r="B351" t="str">
            <v>قالب پخت کلاچ پژو 405</v>
          </cell>
          <cell r="C351" t="str">
            <v>قالب تعمیری</v>
          </cell>
          <cell r="N351" t="str">
            <v>سنگ زنی</v>
          </cell>
          <cell r="AC351" t="str">
            <v>1405/02/15</v>
          </cell>
        </row>
        <row r="352">
          <cell r="B352" t="str">
            <v>قالب پخت کلاچ پیکان آرژانتینی</v>
          </cell>
          <cell r="C352" t="str">
            <v>قالب تعمیری</v>
          </cell>
          <cell r="N352" t="str">
            <v>سنگ زنی</v>
          </cell>
          <cell r="AC352" t="str">
            <v>1405/02/15</v>
          </cell>
        </row>
        <row r="353">
          <cell r="B353" t="str">
            <v>برش جمعی جدید</v>
          </cell>
          <cell r="C353" t="str">
            <v>قطعه نو</v>
          </cell>
          <cell r="N353" t="str">
            <v>تراش</v>
          </cell>
          <cell r="AC353" t="str">
            <v>1405/02/15</v>
          </cell>
        </row>
        <row r="354">
          <cell r="B354" t="str">
            <v>پین عقب پژو 405</v>
          </cell>
          <cell r="C354" t="str">
            <v>قطعه نو</v>
          </cell>
          <cell r="N354" t="str">
            <v>سری تراش</v>
          </cell>
          <cell r="AC354" t="str">
            <v>1405/02/15</v>
          </cell>
        </row>
        <row r="355">
          <cell r="B355" t="str">
            <v>آغشته کاری</v>
          </cell>
          <cell r="C355" t="str">
            <v>قطعه تعمیری</v>
          </cell>
          <cell r="N355" t="str">
            <v>تراش</v>
          </cell>
          <cell r="AC355" t="str">
            <v>1405/02/15</v>
          </cell>
        </row>
        <row r="356">
          <cell r="B356" t="str">
            <v>ویوینگ</v>
          </cell>
          <cell r="C356" t="str">
            <v>قطعه تعمیری</v>
          </cell>
          <cell r="N356" t="str">
            <v>تراش</v>
          </cell>
          <cell r="AC356" t="str">
            <v>1405/02/15</v>
          </cell>
        </row>
        <row r="357">
          <cell r="B357" t="str">
            <v>ابزار زنی</v>
          </cell>
          <cell r="C357" t="str">
            <v>قطعه تعمیری</v>
          </cell>
          <cell r="N357" t="str">
            <v>تراش</v>
          </cell>
          <cell r="AC357" t="str">
            <v>1405/02/15</v>
          </cell>
        </row>
        <row r="358">
          <cell r="B358" t="str">
            <v>آغشته کاری</v>
          </cell>
          <cell r="C358" t="str">
            <v>قطعه تعمیری</v>
          </cell>
          <cell r="N358" t="str">
            <v>تراش</v>
          </cell>
          <cell r="AC358" t="str">
            <v>1405/02/15</v>
          </cell>
        </row>
        <row r="359">
          <cell r="B359" t="str">
            <v>سری نقطه جوش</v>
          </cell>
          <cell r="C359" t="str">
            <v>قطعه تعمیری</v>
          </cell>
          <cell r="N359" t="str">
            <v>تراش</v>
          </cell>
          <cell r="AC359" t="str">
            <v>1405/02/15</v>
          </cell>
        </row>
        <row r="360">
          <cell r="B360" t="str">
            <v>قالب پخت کلاچ پژو 405</v>
          </cell>
          <cell r="C360" t="str">
            <v>قالب تعمیری</v>
          </cell>
          <cell r="N360" t="str">
            <v>CNC</v>
          </cell>
          <cell r="AC360" t="str">
            <v>1405/02/16</v>
          </cell>
        </row>
        <row r="361">
          <cell r="B361" t="str">
            <v>قالب پخت کلاچ پژو 405</v>
          </cell>
          <cell r="C361" t="str">
            <v>قالب تعمیری</v>
          </cell>
          <cell r="N361" t="str">
            <v>CNC</v>
          </cell>
          <cell r="AC361" t="str">
            <v>1405/02/16</v>
          </cell>
        </row>
        <row r="362">
          <cell r="B362" t="str">
            <v>پین عقب پژو 405</v>
          </cell>
          <cell r="C362" t="str">
            <v>قطعه نو</v>
          </cell>
          <cell r="N362" t="str">
            <v>سری تراش</v>
          </cell>
          <cell r="AC362" t="str">
            <v>1405/02/16</v>
          </cell>
        </row>
        <row r="363">
          <cell r="B363" t="str">
            <v>پین عقب پژو 405</v>
          </cell>
          <cell r="C363" t="str">
            <v>قطعه نو</v>
          </cell>
          <cell r="N363" t="str">
            <v>سری تراش</v>
          </cell>
          <cell r="AC363" t="str">
            <v>1405/02/17</v>
          </cell>
        </row>
        <row r="364">
          <cell r="B364" t="str">
            <v>قالب پخت کلاچ پیکان</v>
          </cell>
          <cell r="C364" t="str">
            <v>قالب تعمیری</v>
          </cell>
          <cell r="N364" t="str">
            <v>فرز</v>
          </cell>
          <cell r="AC364" t="str">
            <v>1405/02/16</v>
          </cell>
        </row>
        <row r="365">
          <cell r="B365" t="str">
            <v>قالب عقب F12</v>
          </cell>
          <cell r="C365" t="str">
            <v>قالب تعمیری</v>
          </cell>
          <cell r="N365" t="str">
            <v xml:space="preserve">فرز </v>
          </cell>
          <cell r="AC365" t="str">
            <v>1405/02/16</v>
          </cell>
        </row>
        <row r="366">
          <cell r="B366" t="str">
            <v>قالب پخت کلاچ پژو 405</v>
          </cell>
          <cell r="C366" t="str">
            <v>قالب تعمیری</v>
          </cell>
          <cell r="N366" t="str">
            <v>تراش</v>
          </cell>
          <cell r="AC366" t="str">
            <v>1405/02/16</v>
          </cell>
        </row>
        <row r="367">
          <cell r="B367" t="str">
            <v>قالب پخت کلاچ پیکان آرژانتینی</v>
          </cell>
          <cell r="C367" t="str">
            <v>قالب تعمیری</v>
          </cell>
          <cell r="N367" t="str">
            <v>تراش</v>
          </cell>
          <cell r="AC367" t="str">
            <v>1405/02/16</v>
          </cell>
        </row>
        <row r="368">
          <cell r="B368" t="str">
            <v>پخت کلاچ پراید</v>
          </cell>
          <cell r="C368" t="str">
            <v>قالب تعمیری</v>
          </cell>
          <cell r="N368" t="str">
            <v>تراش</v>
          </cell>
          <cell r="AC368" t="str">
            <v>1405/02/17</v>
          </cell>
        </row>
        <row r="369">
          <cell r="B369" t="str">
            <v>اصول 5S</v>
          </cell>
          <cell r="C369" t="str">
            <v>نظافت</v>
          </cell>
          <cell r="N369" t="str">
            <v>نظافت</v>
          </cell>
          <cell r="AC369" t="str">
            <v>1405/02/17</v>
          </cell>
        </row>
        <row r="370">
          <cell r="B370" t="str">
            <v>اصول 5S</v>
          </cell>
          <cell r="C370" t="str">
            <v>نظافت</v>
          </cell>
          <cell r="N370" t="str">
            <v>نظافت</v>
          </cell>
          <cell r="AC370" t="str">
            <v>1405/02/16</v>
          </cell>
        </row>
        <row r="371">
          <cell r="B371" t="str">
            <v>دستگاه پخ زنی</v>
          </cell>
          <cell r="C371" t="str">
            <v>دستگاه تعمیری</v>
          </cell>
          <cell r="N371" t="str">
            <v>مونتاژ</v>
          </cell>
          <cell r="AC371" t="str">
            <v>1405/02/16</v>
          </cell>
        </row>
        <row r="372">
          <cell r="B372" t="str">
            <v>قالب پژو 405 دیسکی</v>
          </cell>
          <cell r="C372" t="str">
            <v>قالب تعمیری</v>
          </cell>
          <cell r="N372" t="str">
            <v>مونتاژ</v>
          </cell>
          <cell r="AC372" t="str">
            <v>1405/02/16</v>
          </cell>
        </row>
        <row r="373">
          <cell r="B373" t="str">
            <v>پخت کلاچ پراید</v>
          </cell>
          <cell r="C373" t="str">
            <v>قالب تعمیری</v>
          </cell>
          <cell r="N373" t="str">
            <v>CNC</v>
          </cell>
          <cell r="AC373" t="str">
            <v>1405/02/16</v>
          </cell>
        </row>
        <row r="374">
          <cell r="B374" t="str">
            <v>پخت کلاچ پراید</v>
          </cell>
          <cell r="C374" t="str">
            <v>قالب تعمیری</v>
          </cell>
          <cell r="N374" t="str">
            <v>CNC</v>
          </cell>
          <cell r="AC374" t="str">
            <v>1405/02/17</v>
          </cell>
        </row>
        <row r="375">
          <cell r="B375" t="str">
            <v>پخت کلاچ پراید</v>
          </cell>
          <cell r="C375" t="str">
            <v>قالب تعمیری</v>
          </cell>
          <cell r="N375" t="str">
            <v>فرز</v>
          </cell>
          <cell r="AC375" t="str">
            <v>1405/02/16</v>
          </cell>
        </row>
        <row r="376">
          <cell r="B376" t="str">
            <v>آسیاب پشم فلز</v>
          </cell>
          <cell r="C376" t="str">
            <v>قطعه تعمیری</v>
          </cell>
          <cell r="N376" t="str">
            <v>فرز</v>
          </cell>
          <cell r="AC376" t="str">
            <v>1405/02/16</v>
          </cell>
        </row>
        <row r="377">
          <cell r="B377" t="str">
            <v>قالب پخت کلاچ پژو 405</v>
          </cell>
          <cell r="C377" t="str">
            <v>قالب تعمیری</v>
          </cell>
          <cell r="N377" t="str">
            <v>فرز</v>
          </cell>
          <cell r="AC377" t="str">
            <v>1405/02/16</v>
          </cell>
        </row>
        <row r="378">
          <cell r="B378" t="str">
            <v>پخت کلاچ پراید</v>
          </cell>
          <cell r="C378" t="str">
            <v>قالب تعمیری</v>
          </cell>
          <cell r="N378" t="str">
            <v>فرز</v>
          </cell>
          <cell r="AC378" t="str">
            <v>1405/02/17</v>
          </cell>
        </row>
        <row r="379">
          <cell r="B379" t="str">
            <v>پخت کلاچ پراید</v>
          </cell>
          <cell r="C379" t="str">
            <v>قالب تعمیری</v>
          </cell>
          <cell r="N379" t="str">
            <v>فرز</v>
          </cell>
          <cell r="AC379" t="str">
            <v>1405/02/17</v>
          </cell>
        </row>
        <row r="380">
          <cell r="B380" t="str">
            <v>اصول 5S</v>
          </cell>
          <cell r="C380" t="str">
            <v>نظافت</v>
          </cell>
          <cell r="N380" t="str">
            <v>نظافت</v>
          </cell>
          <cell r="AC380" t="str">
            <v>1405/02/17</v>
          </cell>
        </row>
        <row r="381">
          <cell r="B381" t="str">
            <v>قالب پخت کلاچ پژو 405</v>
          </cell>
          <cell r="C381" t="str">
            <v>قالب تعمیری</v>
          </cell>
          <cell r="N381" t="str">
            <v>مونتاژ</v>
          </cell>
          <cell r="AC381" t="str">
            <v>1405/02/16</v>
          </cell>
        </row>
        <row r="382">
          <cell r="B382" t="str">
            <v>پخت مترو K</v>
          </cell>
          <cell r="C382" t="str">
            <v>قالب تعمیری</v>
          </cell>
          <cell r="N382" t="str">
            <v>مونتاژ</v>
          </cell>
          <cell r="AC382" t="str">
            <v>1405/02/16</v>
          </cell>
        </row>
        <row r="383">
          <cell r="B383" t="str">
            <v>پخت مترو K</v>
          </cell>
          <cell r="C383" t="str">
            <v>قالب تعمیری</v>
          </cell>
          <cell r="N383" t="str">
            <v>دریل رادیال</v>
          </cell>
          <cell r="AC383" t="str">
            <v>1405/02/16</v>
          </cell>
        </row>
        <row r="384">
          <cell r="B384" t="str">
            <v>پخت مترو K</v>
          </cell>
          <cell r="C384" t="str">
            <v>قالب تعمیری</v>
          </cell>
          <cell r="N384" t="str">
            <v>مونتاژ</v>
          </cell>
          <cell r="AC384" t="str">
            <v>1405/02/16</v>
          </cell>
        </row>
        <row r="385">
          <cell r="B385" t="str">
            <v>اصول 5S</v>
          </cell>
          <cell r="C385" t="str">
            <v>نظافت</v>
          </cell>
          <cell r="N385" t="str">
            <v>نظافت</v>
          </cell>
          <cell r="AC385" t="str">
            <v>1405/02/16</v>
          </cell>
        </row>
        <row r="386">
          <cell r="B386" t="str">
            <v>عقب بنز 74</v>
          </cell>
          <cell r="C386" t="str">
            <v>قالب تعمیری</v>
          </cell>
          <cell r="N386" t="str">
            <v>مونتاژ</v>
          </cell>
          <cell r="AC386" t="str">
            <v>1405/02/16</v>
          </cell>
        </row>
        <row r="387">
          <cell r="B387" t="str">
            <v>عقب بنز 74</v>
          </cell>
          <cell r="C387" t="str">
            <v>قالب تعمیری</v>
          </cell>
          <cell r="N387" t="str">
            <v>دریل رادیال</v>
          </cell>
          <cell r="AC387" t="str">
            <v>1405/02/17</v>
          </cell>
        </row>
        <row r="388">
          <cell r="B388" t="str">
            <v>عقب بنز 74</v>
          </cell>
          <cell r="C388" t="str">
            <v>قالب تعمیری</v>
          </cell>
          <cell r="N388" t="str">
            <v>مونتاژ</v>
          </cell>
          <cell r="AC388" t="str">
            <v>1405/02/17</v>
          </cell>
        </row>
        <row r="389">
          <cell r="B389" t="str">
            <v>قالب شیم پژو 405</v>
          </cell>
          <cell r="C389" t="str">
            <v>قالب تعمیری</v>
          </cell>
          <cell r="N389" t="str">
            <v>مونتاژ</v>
          </cell>
          <cell r="AC389" t="str">
            <v>1405/02/17</v>
          </cell>
        </row>
        <row r="390">
          <cell r="B390" t="str">
            <v>اصول 5S</v>
          </cell>
          <cell r="C390" t="str">
            <v>نظافت</v>
          </cell>
          <cell r="N390" t="str">
            <v>نظافت</v>
          </cell>
          <cell r="AC390" t="str">
            <v>1405/02/17</v>
          </cell>
        </row>
        <row r="391">
          <cell r="B391" t="str">
            <v>قالب پخت کلاچ پیکان آرژانتینی</v>
          </cell>
          <cell r="C391" t="str">
            <v>قالب تعمیری</v>
          </cell>
          <cell r="N391" t="str">
            <v>سنگ زنی</v>
          </cell>
          <cell r="AC391" t="str">
            <v>1405/02/16</v>
          </cell>
        </row>
        <row r="392">
          <cell r="B392" t="str">
            <v>قالب شیم پژو 405</v>
          </cell>
          <cell r="C392" t="str">
            <v>قالب تعمیری</v>
          </cell>
          <cell r="N392" t="str">
            <v>سنگ زنی</v>
          </cell>
          <cell r="AC392" t="str">
            <v>1405/02/16</v>
          </cell>
        </row>
        <row r="393">
          <cell r="B393" t="str">
            <v>قالب پخت کلاچ پژو 405</v>
          </cell>
          <cell r="C393" t="str">
            <v>قالب تعمیری</v>
          </cell>
          <cell r="N393" t="str">
            <v>سنگ زنی</v>
          </cell>
          <cell r="AC393" t="str">
            <v>1405/02/16</v>
          </cell>
        </row>
        <row r="394">
          <cell r="B394" t="str">
            <v>قالب پخت کلاچ پیکان آرژانتینی</v>
          </cell>
          <cell r="C394" t="str">
            <v>قالب تعمیری</v>
          </cell>
          <cell r="N394" t="str">
            <v>سنگ زنی</v>
          </cell>
          <cell r="AC394" t="str">
            <v>1405/02/17</v>
          </cell>
        </row>
        <row r="395">
          <cell r="B395" t="str">
            <v>قالب پخت کلاچ پژو 405</v>
          </cell>
          <cell r="C395" t="str">
            <v>قالب تعمیری</v>
          </cell>
          <cell r="N395" t="str">
            <v>سنگ زنی</v>
          </cell>
          <cell r="AC395" t="str">
            <v>1405/02/17</v>
          </cell>
        </row>
        <row r="396">
          <cell r="B396" t="str">
            <v>اصول 5S</v>
          </cell>
          <cell r="C396" t="str">
            <v>نظافت</v>
          </cell>
          <cell r="N396" t="str">
            <v>نظافت</v>
          </cell>
          <cell r="AC396" t="str">
            <v>1405/02/17</v>
          </cell>
        </row>
        <row r="397">
          <cell r="B397" t="str">
            <v>ویوینگ</v>
          </cell>
          <cell r="C397" t="str">
            <v>قطعه تعمیری</v>
          </cell>
          <cell r="N397" t="str">
            <v>تراش</v>
          </cell>
          <cell r="AC397" t="str">
            <v>1405/02/16</v>
          </cell>
        </row>
        <row r="398">
          <cell r="B398" t="str">
            <v>پخت مترو K</v>
          </cell>
          <cell r="C398" t="str">
            <v>قالب تعمیری</v>
          </cell>
          <cell r="N398" t="str">
            <v>تراش</v>
          </cell>
          <cell r="AC398" t="str">
            <v>1405/02/16</v>
          </cell>
        </row>
        <row r="399">
          <cell r="B399" t="str">
            <v>دستگاه پشم فلز</v>
          </cell>
          <cell r="C399" t="str">
            <v>قطعه تعمیری</v>
          </cell>
          <cell r="N399" t="str">
            <v>تراش</v>
          </cell>
          <cell r="AC399" t="str">
            <v>1405/02/16</v>
          </cell>
        </row>
        <row r="400">
          <cell r="B400" t="str">
            <v>ابزار زنی</v>
          </cell>
          <cell r="C400" t="str">
            <v>قطعه تعمیری</v>
          </cell>
          <cell r="N400" t="str">
            <v>تراش</v>
          </cell>
          <cell r="AC400" t="str">
            <v>1405/02/16</v>
          </cell>
        </row>
        <row r="401">
          <cell r="B401" t="str">
            <v>Hammer Mill Machine</v>
          </cell>
          <cell r="C401" t="str">
            <v>دستگاه نو</v>
          </cell>
          <cell r="N401" t="str">
            <v>تراش</v>
          </cell>
          <cell r="AC401" t="str">
            <v>1405/02/16</v>
          </cell>
        </row>
        <row r="402">
          <cell r="B402" t="str">
            <v>Hammer Mill Machine</v>
          </cell>
          <cell r="C402" t="str">
            <v>دستگاه نو</v>
          </cell>
          <cell r="N402" t="str">
            <v>تراش</v>
          </cell>
          <cell r="AC402" t="str">
            <v>1405/02/17</v>
          </cell>
        </row>
        <row r="403">
          <cell r="B403" t="str">
            <v>اصول 5S</v>
          </cell>
          <cell r="C403" t="str">
            <v>نظافت</v>
          </cell>
          <cell r="N403" t="str">
            <v>نظافت</v>
          </cell>
          <cell r="AC403" t="str">
            <v>1405/02/17</v>
          </cell>
        </row>
        <row r="404">
          <cell r="B404" t="str">
            <v>قالب عقب F12</v>
          </cell>
          <cell r="C404" t="str">
            <v>قالب تعمیری</v>
          </cell>
          <cell r="N404" t="str">
            <v xml:space="preserve">فرز </v>
          </cell>
          <cell r="AC404" t="str">
            <v>1405/02/17</v>
          </cell>
        </row>
        <row r="405">
          <cell r="B405" t="str">
            <v>Hammer Mill Machine</v>
          </cell>
          <cell r="C405" t="str">
            <v>دستگاه نو</v>
          </cell>
          <cell r="N405" t="str">
            <v>وایر</v>
          </cell>
          <cell r="AC405" t="str">
            <v>1405/02/17</v>
          </cell>
        </row>
        <row r="406">
          <cell r="B406" t="str">
            <v>Hammer Mill Machine</v>
          </cell>
          <cell r="C406" t="str">
            <v>دستگاه نو</v>
          </cell>
          <cell r="N406" t="str">
            <v>وایر</v>
          </cell>
          <cell r="AC406" t="str">
            <v>1405/02/17</v>
          </cell>
        </row>
        <row r="407">
          <cell r="B407" t="str">
            <v>تسمه تست کششی</v>
          </cell>
          <cell r="C407" t="str">
            <v>قطعه نو</v>
          </cell>
          <cell r="N407" t="str">
            <v>وایر</v>
          </cell>
          <cell r="AC407" t="str">
            <v>1405/02/17</v>
          </cell>
        </row>
        <row r="408">
          <cell r="B408" t="str">
            <v>لنت دنیای مس</v>
          </cell>
          <cell r="C408" t="str">
            <v>قطعه نو</v>
          </cell>
          <cell r="N408" t="str">
            <v>وایر</v>
          </cell>
          <cell r="AC408" t="str">
            <v>1405/02/17</v>
          </cell>
        </row>
        <row r="409">
          <cell r="B409" t="str">
            <v>پین عقب پژو 405</v>
          </cell>
          <cell r="C409" t="str">
            <v>قطعه نو</v>
          </cell>
          <cell r="N409" t="str">
            <v>سری تراش</v>
          </cell>
          <cell r="AC409" t="str">
            <v>1405/02/19</v>
          </cell>
        </row>
        <row r="410">
          <cell r="B410" t="str">
            <v>قالب پخت کلاچ پژو 405</v>
          </cell>
          <cell r="C410" t="str">
            <v>قالب تعمیری</v>
          </cell>
          <cell r="N410" t="str">
            <v>فرز</v>
          </cell>
          <cell r="AC410" t="str">
            <v>1405/02/19</v>
          </cell>
        </row>
        <row r="411">
          <cell r="B411" t="str">
            <v>دستگاه ساب کلاچ</v>
          </cell>
          <cell r="C411" t="str">
            <v>قطعه تعمیری</v>
          </cell>
          <cell r="N411" t="str">
            <v>فرز</v>
          </cell>
          <cell r="AC411" t="str">
            <v>1405/02/19</v>
          </cell>
        </row>
        <row r="412">
          <cell r="B412" t="str">
            <v>قالب عقب F12</v>
          </cell>
          <cell r="C412" t="str">
            <v>قالب تعمیری</v>
          </cell>
          <cell r="N412" t="str">
            <v xml:space="preserve">فرز </v>
          </cell>
          <cell r="AC412" t="str">
            <v>1405/02/19</v>
          </cell>
        </row>
        <row r="413">
          <cell r="B413" t="str">
            <v>آسیاب پشم فلز</v>
          </cell>
          <cell r="C413" t="str">
            <v>قطعه تعمیری</v>
          </cell>
          <cell r="N413" t="str">
            <v xml:space="preserve">فرز </v>
          </cell>
          <cell r="AC413" t="str">
            <v>1405/02/19</v>
          </cell>
        </row>
        <row r="414">
          <cell r="B414" t="str">
            <v>قالب پخت کلاچ پژو 405</v>
          </cell>
          <cell r="C414" t="str">
            <v>قالب تعمیری</v>
          </cell>
          <cell r="N414" t="str">
            <v>فرز</v>
          </cell>
          <cell r="AC414" t="str">
            <v>1405/02/19</v>
          </cell>
        </row>
        <row r="415">
          <cell r="B415" t="str">
            <v>قالب عقب F12</v>
          </cell>
          <cell r="C415" t="str">
            <v>قالب تعمیری</v>
          </cell>
          <cell r="N415" t="str">
            <v>فرز</v>
          </cell>
          <cell r="AC415" t="str">
            <v>1405/02/19</v>
          </cell>
        </row>
        <row r="416">
          <cell r="B416" t="str">
            <v>قالب شیم پژو 405</v>
          </cell>
          <cell r="C416" t="str">
            <v>قالب تعمیری</v>
          </cell>
          <cell r="N416" t="str">
            <v>فرز</v>
          </cell>
          <cell r="AC416" t="str">
            <v>1405/02/19</v>
          </cell>
        </row>
        <row r="417">
          <cell r="B417" t="str">
            <v>قالب پخت کلاچ پیکان آرژانتینی</v>
          </cell>
          <cell r="C417" t="str">
            <v>قالب تعمیری</v>
          </cell>
          <cell r="N417" t="str">
            <v>تراش</v>
          </cell>
          <cell r="AC417" t="str">
            <v>1405/02/19</v>
          </cell>
        </row>
        <row r="418">
          <cell r="B418" t="str">
            <v>قالب پخت کلاچ پژو 405</v>
          </cell>
          <cell r="C418" t="str">
            <v>قالب تعمیری</v>
          </cell>
          <cell r="N418" t="str">
            <v>تراش</v>
          </cell>
          <cell r="AC418" t="str">
            <v>1405/02/19</v>
          </cell>
        </row>
        <row r="419">
          <cell r="B419" t="str">
            <v>سری نقطه جوش</v>
          </cell>
          <cell r="C419" t="str">
            <v>قطعه تعمیری</v>
          </cell>
          <cell r="N419" t="str">
            <v>تراش</v>
          </cell>
          <cell r="AC419" t="str">
            <v>1405/02/19</v>
          </cell>
        </row>
        <row r="420">
          <cell r="B420" t="str">
            <v>پخت کلاچ پراید</v>
          </cell>
          <cell r="C420" t="str">
            <v>قالب تعمیری</v>
          </cell>
          <cell r="N420" t="str">
            <v>CNC</v>
          </cell>
          <cell r="AC420" t="str">
            <v>1405/02/19</v>
          </cell>
        </row>
        <row r="421">
          <cell r="B421" t="str">
            <v>قالب پخت کلاچ پیکان</v>
          </cell>
          <cell r="C421" t="str">
            <v>قالب تعمیری</v>
          </cell>
          <cell r="N421" t="str">
            <v>CNC</v>
          </cell>
          <cell r="AC421" t="str">
            <v>1405/02/19</v>
          </cell>
        </row>
        <row r="422">
          <cell r="B422" t="str">
            <v>قالب پخت کلاچ پژو 405</v>
          </cell>
          <cell r="C422" t="str">
            <v>قالب تعمیری</v>
          </cell>
          <cell r="N422" t="str">
            <v>سنگ زنی</v>
          </cell>
          <cell r="AC422" t="str">
            <v>1405/02/19</v>
          </cell>
        </row>
        <row r="423">
          <cell r="B423" t="str">
            <v>گیوتین 50 تن</v>
          </cell>
          <cell r="C423" t="str">
            <v>دستگاه تعمیری</v>
          </cell>
          <cell r="N423" t="str">
            <v>سنگ زنی</v>
          </cell>
          <cell r="AC423" t="str">
            <v>1405/02/19</v>
          </cell>
        </row>
        <row r="424">
          <cell r="B424" t="str">
            <v>قالب پخت کلاچ پیکان</v>
          </cell>
          <cell r="C424" t="str">
            <v>قالب تعمیری</v>
          </cell>
          <cell r="N424" t="str">
            <v>سنگ زنی</v>
          </cell>
          <cell r="AC424" t="str">
            <v>1405/02/19</v>
          </cell>
        </row>
        <row r="425">
          <cell r="B425" t="str">
            <v>قالب شمشی عقب ریو</v>
          </cell>
          <cell r="C425" t="str">
            <v>قالب نو</v>
          </cell>
          <cell r="N425" t="str">
            <v>مونتاژ</v>
          </cell>
          <cell r="AC425" t="str">
            <v>1405/02/19</v>
          </cell>
        </row>
        <row r="426">
          <cell r="B426" t="str">
            <v>پخت عقب پژو 405 شمشی پایه کوتاه</v>
          </cell>
          <cell r="C426" t="str">
            <v>قالب نو</v>
          </cell>
          <cell r="N426" t="str">
            <v>مونتاژ</v>
          </cell>
          <cell r="AC426" t="str">
            <v>1405/02/19</v>
          </cell>
        </row>
        <row r="427">
          <cell r="B427" t="str">
            <v>پخت کلاچ پژو 206 TU5</v>
          </cell>
          <cell r="C427" t="str">
            <v>قالب تعمیری</v>
          </cell>
          <cell r="N427" t="str">
            <v>مونتاژ</v>
          </cell>
          <cell r="AC427" t="str">
            <v>1405/02/19</v>
          </cell>
        </row>
        <row r="428">
          <cell r="B428" t="str">
            <v>دستگاه پشم فلز</v>
          </cell>
          <cell r="C428" t="str">
            <v>قطعه نو</v>
          </cell>
          <cell r="N428" t="str">
            <v>تراش</v>
          </cell>
          <cell r="AC428" t="str">
            <v>1405/02/19</v>
          </cell>
        </row>
        <row r="429">
          <cell r="B429" t="str">
            <v>دستگاه پشم فلز</v>
          </cell>
          <cell r="C429" t="str">
            <v>قطعه نو</v>
          </cell>
          <cell r="N429" t="str">
            <v>تراش</v>
          </cell>
          <cell r="AC429" t="str">
            <v>1405/02/19</v>
          </cell>
        </row>
        <row r="430">
          <cell r="B430" t="str">
            <v>دستگاه پشم فلز</v>
          </cell>
          <cell r="C430" t="str">
            <v>قطعه نو</v>
          </cell>
          <cell r="N430" t="str">
            <v>تراش</v>
          </cell>
          <cell r="AC430" t="str">
            <v>1405/02/19</v>
          </cell>
        </row>
        <row r="431">
          <cell r="B431" t="str">
            <v>عقب بنز 74</v>
          </cell>
          <cell r="C431" t="str">
            <v>قالب تعمیری</v>
          </cell>
          <cell r="N431" t="str">
            <v>تراش</v>
          </cell>
          <cell r="AC431" t="str">
            <v>1405/02/19</v>
          </cell>
        </row>
        <row r="432">
          <cell r="B432" t="str">
            <v>عقب بنز 74</v>
          </cell>
          <cell r="C432" t="str">
            <v>قالب تعمیری</v>
          </cell>
          <cell r="N432" t="str">
            <v>دریل رادیال</v>
          </cell>
          <cell r="AC432" t="str">
            <v>1405/02/19</v>
          </cell>
        </row>
        <row r="433">
          <cell r="B433" t="str">
            <v>پخت کلاچ پژو 206 TU5</v>
          </cell>
          <cell r="C433" t="str">
            <v>قالب تعمیری</v>
          </cell>
          <cell r="N433" t="str">
            <v>مونتاژ</v>
          </cell>
          <cell r="AC433" t="str">
            <v>1405/02/19</v>
          </cell>
        </row>
        <row r="434">
          <cell r="B434" t="str">
            <v>پخت کلاچ پژو 206 TU5</v>
          </cell>
          <cell r="C434" t="str">
            <v>قالب تعمیری</v>
          </cell>
          <cell r="N434" t="str">
            <v>مونتاژ</v>
          </cell>
          <cell r="AC434" t="str">
            <v>1405/02/19</v>
          </cell>
        </row>
        <row r="435">
          <cell r="B435" t="str">
            <v>دستگاه پشم فلز</v>
          </cell>
          <cell r="C435" t="str">
            <v>قطعه نو</v>
          </cell>
          <cell r="N435" t="str">
            <v>دریل رادیال</v>
          </cell>
          <cell r="AC435" t="str">
            <v>1405/02/19</v>
          </cell>
        </row>
        <row r="436">
          <cell r="B436" t="str">
            <v>دستگاه پشم فلز</v>
          </cell>
          <cell r="C436" t="str">
            <v>قطعه نو</v>
          </cell>
          <cell r="N436" t="str">
            <v>دریل رادیال</v>
          </cell>
          <cell r="AC436" t="str">
            <v>1405/02/19</v>
          </cell>
        </row>
        <row r="437">
          <cell r="B437" t="str">
            <v>قالب شمشی عقب ریو</v>
          </cell>
          <cell r="C437" t="str">
            <v>قالب نو</v>
          </cell>
          <cell r="N437" t="str">
            <v>مونتاژ</v>
          </cell>
          <cell r="AC437" t="str">
            <v>1405/02/19</v>
          </cell>
        </row>
        <row r="438">
          <cell r="B438" t="str">
            <v>Hammer Mill Machine</v>
          </cell>
          <cell r="C438" t="str">
            <v>دستگاه نو</v>
          </cell>
          <cell r="N438" t="str">
            <v>وایر</v>
          </cell>
          <cell r="AC438" t="str">
            <v>1405/02/19</v>
          </cell>
        </row>
        <row r="439">
          <cell r="B439" t="str">
            <v>Hammer Mill Machine</v>
          </cell>
          <cell r="C439" t="str">
            <v>دستگاه نو</v>
          </cell>
          <cell r="N439" t="str">
            <v>وایر</v>
          </cell>
          <cell r="AC439" t="str">
            <v>1405/02/19</v>
          </cell>
        </row>
        <row r="440">
          <cell r="B440" t="str">
            <v>لنت دنیای مس</v>
          </cell>
          <cell r="C440" t="str">
            <v>قطعه نو</v>
          </cell>
          <cell r="N440" t="str">
            <v>وایر</v>
          </cell>
          <cell r="AC440" t="str">
            <v>1405/02/19</v>
          </cell>
        </row>
        <row r="441">
          <cell r="B441" t="str">
            <v>قلم پین پژو 405</v>
          </cell>
          <cell r="C441" t="str">
            <v>قطعه تعمیری</v>
          </cell>
          <cell r="N441" t="str">
            <v>وایر</v>
          </cell>
          <cell r="AC441" t="str">
            <v>1405/02/19</v>
          </cell>
        </row>
        <row r="442">
          <cell r="B442" t="str">
            <v>قلم پین L90</v>
          </cell>
          <cell r="C442" t="str">
            <v>قطعه تعمیری</v>
          </cell>
          <cell r="N442" t="str">
            <v>وایر</v>
          </cell>
          <cell r="AC442" t="str">
            <v>1405/02/19</v>
          </cell>
        </row>
        <row r="443">
          <cell r="B443" t="str">
            <v xml:space="preserve">دستگاه مهر زنی </v>
          </cell>
          <cell r="C443" t="str">
            <v>قطعه نو</v>
          </cell>
          <cell r="N443" t="str">
            <v>وایر</v>
          </cell>
          <cell r="AC443" t="str">
            <v>1405/02/19</v>
          </cell>
        </row>
        <row r="444">
          <cell r="B444" t="str">
            <v>دستگاه پشم فلز</v>
          </cell>
          <cell r="C444" t="str">
            <v>قطعه نو</v>
          </cell>
          <cell r="N444" t="str">
            <v>وایر</v>
          </cell>
          <cell r="AC444" t="str">
            <v>1405/02/19</v>
          </cell>
        </row>
        <row r="445">
          <cell r="B445" t="str">
            <v>قالب پخت کلاچ پیکان</v>
          </cell>
          <cell r="C445" t="str">
            <v>قالب تعمیری</v>
          </cell>
          <cell r="N445" t="str">
            <v>CNC</v>
          </cell>
          <cell r="AC445" t="str">
            <v>1405/02/20</v>
          </cell>
        </row>
        <row r="446">
          <cell r="B446" t="str">
            <v>قالب عقب F12</v>
          </cell>
          <cell r="C446" t="str">
            <v>قالب تعمیری</v>
          </cell>
          <cell r="N446" t="str">
            <v>فرز</v>
          </cell>
          <cell r="AC446" t="str">
            <v>1405/02/20</v>
          </cell>
        </row>
        <row r="447">
          <cell r="B447" t="str">
            <v>قالب پخت کلاچ پژو 405</v>
          </cell>
          <cell r="C447" t="str">
            <v>قالب تعمیری</v>
          </cell>
          <cell r="N447" t="str">
            <v>سنگ زنی</v>
          </cell>
          <cell r="AC447" t="str">
            <v>1405/02/20</v>
          </cell>
        </row>
        <row r="448">
          <cell r="B448" t="str">
            <v>قالب شیم پژو 405</v>
          </cell>
          <cell r="C448" t="str">
            <v>قالب تعمیری</v>
          </cell>
          <cell r="N448" t="str">
            <v>فرز</v>
          </cell>
          <cell r="AC448" t="str">
            <v>1405/02/20</v>
          </cell>
        </row>
        <row r="449">
          <cell r="B449" t="str">
            <v>قالب شیم ریو</v>
          </cell>
          <cell r="C449" t="str">
            <v>قالب تعمیری</v>
          </cell>
          <cell r="N449" t="str">
            <v>فرز</v>
          </cell>
          <cell r="AC449" t="str">
            <v>1405/02/20</v>
          </cell>
        </row>
        <row r="450">
          <cell r="B450" t="str">
            <v>Hammer Mill Machine</v>
          </cell>
          <cell r="C450" t="str">
            <v>دستگاه نو</v>
          </cell>
          <cell r="N450" t="str">
            <v>تراش</v>
          </cell>
          <cell r="AC450" t="str">
            <v>1405/02/20</v>
          </cell>
        </row>
        <row r="451">
          <cell r="B451" t="str">
            <v>ویوینگ</v>
          </cell>
          <cell r="C451" t="str">
            <v>قطعه تعمیری</v>
          </cell>
          <cell r="N451" t="str">
            <v>تراش</v>
          </cell>
          <cell r="AC451" t="str">
            <v>1405/02/20</v>
          </cell>
        </row>
        <row r="452">
          <cell r="B452" t="str">
            <v>قالب پخت کلاچ پژو 405</v>
          </cell>
          <cell r="C452" t="str">
            <v>قالب تعمیری</v>
          </cell>
          <cell r="N452" t="str">
            <v>CNC</v>
          </cell>
          <cell r="AC452" t="str">
            <v>1405/02/19</v>
          </cell>
        </row>
        <row r="453">
          <cell r="B453" t="str">
            <v>قالب پخت کلاچ پژو 405</v>
          </cell>
          <cell r="C453" t="str">
            <v>قالب تعمیری</v>
          </cell>
          <cell r="N453" t="str">
            <v>CNC</v>
          </cell>
          <cell r="AC453" t="str">
            <v>1405/02/20</v>
          </cell>
        </row>
        <row r="454">
          <cell r="B454" t="str">
            <v>CNC 7203</v>
          </cell>
          <cell r="C454" t="str">
            <v>دستگاه تعمیری</v>
          </cell>
          <cell r="N454" t="str">
            <v>CNC</v>
          </cell>
          <cell r="AC454" t="str">
            <v>1405/02/20</v>
          </cell>
        </row>
        <row r="455">
          <cell r="B455" t="str">
            <v>CNC 7204</v>
          </cell>
          <cell r="C455" t="str">
            <v>دستگاه تعمیری</v>
          </cell>
          <cell r="N455" t="str">
            <v>CNC</v>
          </cell>
          <cell r="AC455" t="str">
            <v>1405/02/20</v>
          </cell>
        </row>
        <row r="456">
          <cell r="B456" t="str">
            <v>ساب کونیک</v>
          </cell>
          <cell r="C456" t="str">
            <v>قطعه نو</v>
          </cell>
          <cell r="N456" t="str">
            <v>تراش</v>
          </cell>
          <cell r="AC456" t="str">
            <v>1405/02/19</v>
          </cell>
        </row>
        <row r="457">
          <cell r="B457" t="str">
            <v>پین عقب پژو 405</v>
          </cell>
          <cell r="C457" t="str">
            <v>قطعه نو</v>
          </cell>
          <cell r="N457" t="str">
            <v>سری تراش</v>
          </cell>
          <cell r="AC457" t="str">
            <v>1405/02/19</v>
          </cell>
        </row>
        <row r="458">
          <cell r="B458" t="str">
            <v>ساب کونیک</v>
          </cell>
          <cell r="C458" t="str">
            <v>قطعه نو</v>
          </cell>
          <cell r="N458" t="str">
            <v>تراش</v>
          </cell>
          <cell r="AC458" t="str">
            <v>1405/02/20</v>
          </cell>
        </row>
        <row r="459">
          <cell r="B459" t="str">
            <v>پین عقب پژو 405</v>
          </cell>
          <cell r="C459" t="str">
            <v>قطعه نو</v>
          </cell>
          <cell r="N459" t="str">
            <v>سری تراش</v>
          </cell>
          <cell r="AC459" t="str">
            <v>1405/02/20</v>
          </cell>
        </row>
        <row r="460">
          <cell r="B460" t="str">
            <v>برش جمعی عقب</v>
          </cell>
          <cell r="C460" t="str">
            <v>قطعه تعمیری</v>
          </cell>
          <cell r="N460" t="str">
            <v>تراش</v>
          </cell>
          <cell r="AC460" t="str">
            <v>1405/02/20</v>
          </cell>
        </row>
        <row r="461">
          <cell r="B461" t="str">
            <v>ابزار زنی</v>
          </cell>
          <cell r="C461" t="str">
            <v>قطعه تعمیری</v>
          </cell>
          <cell r="N461" t="str">
            <v>تراش</v>
          </cell>
          <cell r="AC461" t="str">
            <v>1405/02/20</v>
          </cell>
        </row>
        <row r="462">
          <cell r="B462" t="str">
            <v>ویوینگ</v>
          </cell>
          <cell r="C462" t="str">
            <v>قطعه نو</v>
          </cell>
          <cell r="N462" t="str">
            <v>تراش</v>
          </cell>
          <cell r="AC462" t="str">
            <v>1405/02/20</v>
          </cell>
        </row>
        <row r="463">
          <cell r="B463" t="str">
            <v>ویوینگ</v>
          </cell>
          <cell r="C463" t="str">
            <v>قطعه نو</v>
          </cell>
          <cell r="N463" t="str">
            <v>تراش</v>
          </cell>
          <cell r="AC463" t="str">
            <v>1405/02/20</v>
          </cell>
        </row>
        <row r="464">
          <cell r="B464" t="str">
            <v>ویوینگ</v>
          </cell>
          <cell r="C464" t="str">
            <v>قطعه نو</v>
          </cell>
          <cell r="N464" t="str">
            <v>تراش</v>
          </cell>
          <cell r="AC464" t="str">
            <v>1405/02/20</v>
          </cell>
        </row>
        <row r="465">
          <cell r="B465" t="str">
            <v xml:space="preserve">دستگاه سنگ پشم فلز آلمانی </v>
          </cell>
          <cell r="C465" t="str">
            <v>قطعه نو</v>
          </cell>
          <cell r="N465" t="str">
            <v>تراش</v>
          </cell>
          <cell r="AC465" t="str">
            <v>1405/02/20</v>
          </cell>
        </row>
        <row r="466">
          <cell r="B466" t="str">
            <v>قالب پخت کلاچ پژو 405</v>
          </cell>
          <cell r="C466" t="str">
            <v>قالب تعمیری</v>
          </cell>
          <cell r="N466" t="str">
            <v>مونتاژ</v>
          </cell>
          <cell r="AC466" t="str">
            <v>1405/02/20</v>
          </cell>
        </row>
        <row r="467">
          <cell r="B467" t="str">
            <v>عقب بنز 74</v>
          </cell>
          <cell r="C467" t="str">
            <v>قالب تعمیری</v>
          </cell>
          <cell r="N467" t="str">
            <v>مونتاژ</v>
          </cell>
          <cell r="AC467" t="str">
            <v>1405/02/20</v>
          </cell>
        </row>
        <row r="468">
          <cell r="B468" t="str">
            <v>پخت عقب پژو 405 شمشی پایه کوتاه</v>
          </cell>
          <cell r="C468" t="str">
            <v>قالب نو</v>
          </cell>
          <cell r="N468" t="str">
            <v>مونتاژ</v>
          </cell>
          <cell r="AC468" t="str">
            <v>1405/02/20</v>
          </cell>
        </row>
        <row r="469">
          <cell r="B469" t="str">
            <v>قالب پخت کلاچ پژو 405</v>
          </cell>
          <cell r="C469" t="str">
            <v>قالب تعمیری</v>
          </cell>
          <cell r="N469" t="str">
            <v>سنگ زنی</v>
          </cell>
          <cell r="AC469" t="str">
            <v>1405/02/20</v>
          </cell>
        </row>
        <row r="470">
          <cell r="B470" t="str">
            <v>قالب جلو ریو</v>
          </cell>
          <cell r="C470" t="str">
            <v>قالب تعمیری</v>
          </cell>
          <cell r="N470" t="str">
            <v>مونتاژ</v>
          </cell>
          <cell r="AC470" t="str">
            <v>1405/02/20</v>
          </cell>
        </row>
        <row r="471">
          <cell r="B471" t="str">
            <v>عقب بنز 74</v>
          </cell>
          <cell r="C471" t="str">
            <v>قالب تعمیری</v>
          </cell>
          <cell r="N471" t="str">
            <v>مونتاژ</v>
          </cell>
          <cell r="AC471" t="str">
            <v>1405/02/20</v>
          </cell>
        </row>
        <row r="472">
          <cell r="B472" t="str">
            <v>عقب بنز 74</v>
          </cell>
          <cell r="C472" t="str">
            <v>قالب تعمیری</v>
          </cell>
          <cell r="N472" t="str">
            <v>مونتاژ</v>
          </cell>
          <cell r="AC472" t="str">
            <v>1405/02/20</v>
          </cell>
        </row>
        <row r="473">
          <cell r="B473" t="str">
            <v>ویوینگ</v>
          </cell>
          <cell r="C473" t="str">
            <v>قطعه نو</v>
          </cell>
          <cell r="N473" t="str">
            <v>دریل رادیال</v>
          </cell>
          <cell r="AC473" t="str">
            <v>1405/02/20</v>
          </cell>
        </row>
        <row r="474">
          <cell r="B474" t="str">
            <v>ویوینگ</v>
          </cell>
          <cell r="C474" t="str">
            <v>قطعه نو</v>
          </cell>
          <cell r="N474" t="str">
            <v>دریل رادیال</v>
          </cell>
          <cell r="AC474" t="str">
            <v>1405/02/20</v>
          </cell>
        </row>
        <row r="475">
          <cell r="B475" t="str">
            <v>قالب پخت کلاچ پژو 405</v>
          </cell>
          <cell r="C475" t="str">
            <v>قالب تعمیری</v>
          </cell>
          <cell r="N475" t="str">
            <v>مونتاژ</v>
          </cell>
          <cell r="AC475" t="str">
            <v>1405/02/20</v>
          </cell>
        </row>
        <row r="476">
          <cell r="B476" t="str">
            <v>قالب پخت کلاچ پژو 405</v>
          </cell>
          <cell r="C476" t="str">
            <v>قالب تعمیری</v>
          </cell>
          <cell r="N476" t="str">
            <v>دریل رادیال</v>
          </cell>
          <cell r="AC476" t="str">
            <v>1405/02/20</v>
          </cell>
        </row>
        <row r="477">
          <cell r="B477" t="str">
            <v>Hammer Mill Machine</v>
          </cell>
          <cell r="C477" t="str">
            <v>دستگاه نو</v>
          </cell>
          <cell r="N477" t="str">
            <v>وایر</v>
          </cell>
          <cell r="AC477" t="str">
            <v>1405/02/20</v>
          </cell>
        </row>
        <row r="478">
          <cell r="B478" t="str">
            <v>Hammer Mill Machine</v>
          </cell>
          <cell r="C478" t="str">
            <v>دستگاه نو</v>
          </cell>
          <cell r="N478" t="str">
            <v>وایر</v>
          </cell>
          <cell r="AC478" t="str">
            <v>1405/02/20</v>
          </cell>
        </row>
        <row r="479">
          <cell r="B479" t="str">
            <v>برش توری BPW تاجدار</v>
          </cell>
          <cell r="C479" t="str">
            <v>قالب تعمیری</v>
          </cell>
          <cell r="N479" t="str">
            <v>وایر</v>
          </cell>
          <cell r="AC479" t="str">
            <v>1405/02/20</v>
          </cell>
        </row>
        <row r="480">
          <cell r="B480" t="str">
            <v>برش توری BPW تاجدار</v>
          </cell>
          <cell r="C480" t="str">
            <v>قالب تعمیری</v>
          </cell>
          <cell r="N480" t="str">
            <v>وایر</v>
          </cell>
          <cell r="AC480" t="str">
            <v>1405/02/20</v>
          </cell>
        </row>
        <row r="481">
          <cell r="B481" t="str">
            <v>قالب شمشی عقب ریو</v>
          </cell>
          <cell r="C481" t="str">
            <v>قالب نو</v>
          </cell>
          <cell r="N481" t="str">
            <v>وایر</v>
          </cell>
          <cell r="AC481" t="str">
            <v>1405/02/20</v>
          </cell>
        </row>
        <row r="482">
          <cell r="B482" t="str">
            <v>قالب پخت کلاچ پژو 405</v>
          </cell>
          <cell r="C482" t="str">
            <v>قالب تعمیری</v>
          </cell>
          <cell r="N482" t="str">
            <v>تراش</v>
          </cell>
          <cell r="AC482" t="str">
            <v>1405/02/21</v>
          </cell>
        </row>
        <row r="483">
          <cell r="B483" t="str">
            <v>پخت کلاچ پراید</v>
          </cell>
          <cell r="C483" t="str">
            <v>قالب تعمیری</v>
          </cell>
          <cell r="N483" t="str">
            <v>تراش</v>
          </cell>
          <cell r="AC483" t="str">
            <v>1405/02/21</v>
          </cell>
        </row>
        <row r="484">
          <cell r="B484" t="str">
            <v>پخت کلاچ پراید</v>
          </cell>
          <cell r="C484" t="str">
            <v>قالب تعمیری</v>
          </cell>
          <cell r="N484" t="str">
            <v>تراش</v>
          </cell>
          <cell r="AC484" t="str">
            <v>1405/02/21</v>
          </cell>
        </row>
        <row r="485">
          <cell r="B485" t="str">
            <v>قالب پخت کلاچ پیکان</v>
          </cell>
          <cell r="C485" t="str">
            <v>قالب تعمیری</v>
          </cell>
          <cell r="N485" t="str">
            <v>CNC</v>
          </cell>
          <cell r="AC485" t="str">
            <v>1405/02/21</v>
          </cell>
        </row>
        <row r="486">
          <cell r="B486" t="str">
            <v>قالب عقب F12</v>
          </cell>
          <cell r="C486" t="str">
            <v>قالب تعمیری</v>
          </cell>
          <cell r="N486" t="str">
            <v>CNC</v>
          </cell>
          <cell r="AC486" t="str">
            <v>1405/02/21</v>
          </cell>
        </row>
        <row r="487">
          <cell r="B487" t="str">
            <v>قالب پخت کلاچ پژو 405</v>
          </cell>
          <cell r="C487" t="str">
            <v>قالب تعمیری</v>
          </cell>
          <cell r="N487" t="str">
            <v>CNC</v>
          </cell>
          <cell r="AC487" t="str">
            <v>1405/02/21</v>
          </cell>
        </row>
        <row r="488">
          <cell r="B488" t="str">
            <v>پخت عقب پژو 405 شمشی پایه کوتاه</v>
          </cell>
          <cell r="C488" t="str">
            <v>قالب نو</v>
          </cell>
          <cell r="N488" t="str">
            <v>CNC</v>
          </cell>
          <cell r="AC488" t="str">
            <v>1405/02/21</v>
          </cell>
        </row>
        <row r="489">
          <cell r="B489" t="str">
            <v>قالب پخت کلاچ پیکان</v>
          </cell>
          <cell r="C489" t="str">
            <v>قالب تعمیری</v>
          </cell>
          <cell r="N489" t="str">
            <v>فرز</v>
          </cell>
          <cell r="AC489" t="str">
            <v>1405/02/21</v>
          </cell>
        </row>
        <row r="490">
          <cell r="B490" t="str">
            <v>پخت کلاچ پراید</v>
          </cell>
          <cell r="C490" t="str">
            <v>قالب تعمیری</v>
          </cell>
          <cell r="N490" t="str">
            <v>فرز</v>
          </cell>
          <cell r="AC490" t="str">
            <v>1405/02/21</v>
          </cell>
        </row>
        <row r="491">
          <cell r="B491" t="str">
            <v>قالب شیم ریو</v>
          </cell>
          <cell r="C491" t="str">
            <v>قالب تعمیری</v>
          </cell>
          <cell r="N491" t="str">
            <v>فرز</v>
          </cell>
          <cell r="AC491" t="str">
            <v>1405/02/21</v>
          </cell>
        </row>
        <row r="492">
          <cell r="B492" t="str">
            <v>دستگاه پشم فلز آلمانی</v>
          </cell>
          <cell r="C492" t="str">
            <v>قطعه نو</v>
          </cell>
          <cell r="N492" t="str">
            <v>فرز</v>
          </cell>
          <cell r="AC492" t="str">
            <v>1405/02/21</v>
          </cell>
        </row>
        <row r="493">
          <cell r="B493" t="str">
            <v>قالب شمشی عقب ریو</v>
          </cell>
          <cell r="C493" t="str">
            <v>قالب نو</v>
          </cell>
          <cell r="N493" t="str">
            <v>فرز</v>
          </cell>
          <cell r="AC493" t="str">
            <v>1405/02/21</v>
          </cell>
        </row>
        <row r="494">
          <cell r="B494" t="str">
            <v>دستگاه پشم فلز</v>
          </cell>
          <cell r="C494" t="str">
            <v>قطعه نو</v>
          </cell>
          <cell r="N494" t="str">
            <v>تراش</v>
          </cell>
          <cell r="AC494" t="str">
            <v>1405/02/21</v>
          </cell>
        </row>
        <row r="495">
          <cell r="B495" t="str">
            <v>Hammer Mill Machine</v>
          </cell>
          <cell r="C495" t="str">
            <v>دستگاه نو</v>
          </cell>
          <cell r="N495" t="str">
            <v>تراش</v>
          </cell>
          <cell r="AC495" t="str">
            <v>1405/02/21</v>
          </cell>
        </row>
        <row r="496">
          <cell r="B496" t="str">
            <v>قالب پخت کلاچ پژو 405</v>
          </cell>
          <cell r="C496" t="str">
            <v>قالب تعمیری</v>
          </cell>
          <cell r="N496" t="str">
            <v>فرز</v>
          </cell>
          <cell r="AC496" t="str">
            <v>1405/02/21</v>
          </cell>
        </row>
        <row r="497">
          <cell r="B497" t="str">
            <v>قالب پخت کلاچ پژو 405</v>
          </cell>
          <cell r="C497" t="str">
            <v>قالب تعمیری</v>
          </cell>
          <cell r="N497" t="str">
            <v>فرز</v>
          </cell>
          <cell r="AC497" t="str">
            <v>1405/02/21</v>
          </cell>
        </row>
        <row r="498">
          <cell r="B498" t="str">
            <v>قالب شمشی عقب ریو</v>
          </cell>
          <cell r="C498" t="str">
            <v>قالب نو</v>
          </cell>
          <cell r="N498" t="str">
            <v>مونتاژ</v>
          </cell>
          <cell r="AC498" t="str">
            <v>1405/02/21</v>
          </cell>
        </row>
        <row r="499">
          <cell r="B499" t="str">
            <v>دستگاه پرس پخت</v>
          </cell>
          <cell r="C499" t="str">
            <v>قطعه تعمیری</v>
          </cell>
          <cell r="N499" t="str">
            <v>دریل رادیال</v>
          </cell>
          <cell r="AC499" t="str">
            <v>1405/02/21</v>
          </cell>
        </row>
        <row r="500">
          <cell r="B500" t="str">
            <v>دستگاه پرس پخت</v>
          </cell>
          <cell r="C500" t="str">
            <v>قطعه تعمیری</v>
          </cell>
          <cell r="N500" t="str">
            <v>مونتاژ</v>
          </cell>
          <cell r="AC500" t="str">
            <v>1405/02/21</v>
          </cell>
        </row>
        <row r="501">
          <cell r="B501" t="str">
            <v>قالب پخت کلاچ پژو 405</v>
          </cell>
          <cell r="C501" t="str">
            <v>قالب تعمیری</v>
          </cell>
          <cell r="N501" t="str">
            <v>سنگ زنی</v>
          </cell>
          <cell r="AC501" t="str">
            <v>1405/02/21</v>
          </cell>
        </row>
        <row r="502">
          <cell r="B502" t="str">
            <v>لنت دنیای مس</v>
          </cell>
          <cell r="C502" t="str">
            <v>قطعه نو</v>
          </cell>
          <cell r="N502" t="str">
            <v>سنگ زنی</v>
          </cell>
          <cell r="AC502" t="str">
            <v>1405/02/21</v>
          </cell>
        </row>
        <row r="503">
          <cell r="B503" t="str">
            <v>قالب برشی SAF</v>
          </cell>
          <cell r="C503" t="str">
            <v>قالب تعمیری</v>
          </cell>
          <cell r="N503" t="str">
            <v>سنگ زنی</v>
          </cell>
          <cell r="AC503" t="str">
            <v>1405/02/21</v>
          </cell>
        </row>
        <row r="504">
          <cell r="B504" t="str">
            <v>قالب برشی SAF</v>
          </cell>
          <cell r="C504" t="str">
            <v>قالب تعمیری</v>
          </cell>
          <cell r="N504" t="str">
            <v>سنگ زنی</v>
          </cell>
          <cell r="AC504" t="str">
            <v>1405/02/21</v>
          </cell>
        </row>
        <row r="505">
          <cell r="B505" t="str">
            <v>پخت کلاچ پراید</v>
          </cell>
          <cell r="C505" t="str">
            <v>قالب تعمیری</v>
          </cell>
          <cell r="N505" t="str">
            <v>سنگ زنی</v>
          </cell>
          <cell r="AC505" t="str">
            <v>1405/02/21</v>
          </cell>
        </row>
        <row r="506">
          <cell r="B506" t="str">
            <v>قالب شمشی عقب ریو</v>
          </cell>
          <cell r="C506" t="str">
            <v>قالب نو</v>
          </cell>
          <cell r="N506" t="str">
            <v>مونتاژ</v>
          </cell>
          <cell r="AC506" t="str">
            <v>1405/02/21</v>
          </cell>
        </row>
        <row r="507">
          <cell r="B507" t="str">
            <v>قالب برشی SAF</v>
          </cell>
          <cell r="C507" t="str">
            <v>قالب تعمیری</v>
          </cell>
          <cell r="N507" t="str">
            <v>مونتاژ</v>
          </cell>
          <cell r="AC507" t="str">
            <v>1405/02/21</v>
          </cell>
        </row>
        <row r="508">
          <cell r="B508" t="str">
            <v>قالب پژو 405 دیسکی</v>
          </cell>
          <cell r="C508" t="str">
            <v>قالب تعمیری</v>
          </cell>
          <cell r="N508" t="str">
            <v>مونتاژ</v>
          </cell>
          <cell r="AC508" t="str">
            <v>1405/02/21</v>
          </cell>
        </row>
        <row r="509">
          <cell r="B509" t="str">
            <v>دستگاه پرس پخت</v>
          </cell>
          <cell r="C509" t="str">
            <v>قطعه تعمیری</v>
          </cell>
          <cell r="N509" t="str">
            <v>دریل رادیال</v>
          </cell>
          <cell r="AC509" t="str">
            <v>1405/02/21</v>
          </cell>
        </row>
        <row r="510">
          <cell r="B510" t="str">
            <v>برش توری BPW تاجدار</v>
          </cell>
          <cell r="C510" t="str">
            <v>قالب تعمیری</v>
          </cell>
          <cell r="N510" t="str">
            <v>وایر</v>
          </cell>
          <cell r="AC510" t="str">
            <v>1405/02/21</v>
          </cell>
        </row>
        <row r="511">
          <cell r="B511" t="str">
            <v>Hammer Mill Machine</v>
          </cell>
          <cell r="C511" t="str">
            <v>دستگاه نو</v>
          </cell>
          <cell r="N511" t="str">
            <v>وایر</v>
          </cell>
          <cell r="AC511" t="str">
            <v>1405/02/21</v>
          </cell>
        </row>
        <row r="512">
          <cell r="B512" t="str">
            <v>Hammer Mill Machine</v>
          </cell>
          <cell r="C512" t="str">
            <v>دستگاه نو</v>
          </cell>
          <cell r="N512" t="str">
            <v>وایر</v>
          </cell>
          <cell r="AC512" t="str">
            <v>1405/02/21</v>
          </cell>
        </row>
        <row r="513">
          <cell r="B513" t="str">
            <v>تیغ فرز</v>
          </cell>
          <cell r="C513" t="str">
            <v>قطعه تعمیری</v>
          </cell>
          <cell r="N513" t="str">
            <v>وایر</v>
          </cell>
          <cell r="AC513" t="str">
            <v>1405/02/21</v>
          </cell>
        </row>
        <row r="514">
          <cell r="B514" t="str">
            <v>قالب پژو 405 دیسکی</v>
          </cell>
          <cell r="C514" t="str">
            <v>قالب تعمیری</v>
          </cell>
          <cell r="N514" t="str">
            <v>وایر</v>
          </cell>
          <cell r="AC514" t="str">
            <v>1405/02/21</v>
          </cell>
        </row>
        <row r="515">
          <cell r="B515" t="str">
            <v>ویوینگ</v>
          </cell>
          <cell r="C515" t="str">
            <v>قطعه تعمیری</v>
          </cell>
          <cell r="N515" t="str">
            <v>وایر</v>
          </cell>
          <cell r="AC515" t="str">
            <v>1405/02/21</v>
          </cell>
        </row>
        <row r="516">
          <cell r="B516" t="str">
            <v>ویوینگ</v>
          </cell>
          <cell r="C516" t="str">
            <v>قطعه نو</v>
          </cell>
          <cell r="N516" t="str">
            <v>وایر</v>
          </cell>
          <cell r="AC516" t="str">
            <v>1405/02/21</v>
          </cell>
        </row>
        <row r="517">
          <cell r="B517" t="str">
            <v>ویوینگ</v>
          </cell>
          <cell r="C517" t="str">
            <v>قطعه تعمیری</v>
          </cell>
          <cell r="N517" t="str">
            <v>تراش</v>
          </cell>
          <cell r="AC517" t="str">
            <v>1405/02/21</v>
          </cell>
        </row>
        <row r="518">
          <cell r="B518" t="str">
            <v>لنت فولاد خراسان</v>
          </cell>
          <cell r="C518" t="str">
            <v>قطعه تعمیری</v>
          </cell>
          <cell r="N518" t="str">
            <v>تراش</v>
          </cell>
          <cell r="AC518" t="str">
            <v>1405/02/22</v>
          </cell>
        </row>
        <row r="519">
          <cell r="B519" t="str">
            <v>قالب پخت کلاچ پژو 405</v>
          </cell>
          <cell r="C519" t="str">
            <v>قالب تعمیری</v>
          </cell>
          <cell r="N519" t="str">
            <v>تراش</v>
          </cell>
          <cell r="AC519" t="str">
            <v>1405/02/22</v>
          </cell>
        </row>
        <row r="520">
          <cell r="B520" t="str">
            <v>قالب پخت کلاچ پژو 405</v>
          </cell>
          <cell r="C520" t="str">
            <v>قالب تعمیری</v>
          </cell>
          <cell r="N520" t="str">
            <v>تراش</v>
          </cell>
          <cell r="AC520" t="str">
            <v>1405/02/22</v>
          </cell>
        </row>
        <row r="521">
          <cell r="B521" t="str">
            <v>قالب پخت کلاچ پژو 405</v>
          </cell>
          <cell r="C521" t="str">
            <v>قالب تعمیری</v>
          </cell>
          <cell r="N521" t="str">
            <v>تراش</v>
          </cell>
          <cell r="AC521" t="str">
            <v>1405/02/22</v>
          </cell>
        </row>
        <row r="522">
          <cell r="B522" t="str">
            <v>پخت کلاچ پراید</v>
          </cell>
          <cell r="C522" t="str">
            <v>قالب تعمیری</v>
          </cell>
          <cell r="N522" t="str">
            <v>تراش</v>
          </cell>
          <cell r="AC522" t="str">
            <v>1405/02/22</v>
          </cell>
        </row>
        <row r="523">
          <cell r="B523" t="str">
            <v>دستگاه پشم فلز آلمانی</v>
          </cell>
          <cell r="C523" t="str">
            <v>قطعه نو</v>
          </cell>
          <cell r="N523" t="str">
            <v>فرز</v>
          </cell>
          <cell r="AC523" t="str">
            <v>1405/02/22</v>
          </cell>
        </row>
        <row r="524">
          <cell r="B524" t="str">
            <v>قالب شمشی عقب ریو</v>
          </cell>
          <cell r="C524" t="str">
            <v>قالب نو</v>
          </cell>
          <cell r="N524" t="str">
            <v>فرز</v>
          </cell>
          <cell r="AC524" t="str">
            <v>1405/02/22</v>
          </cell>
        </row>
        <row r="525">
          <cell r="B525" t="str">
            <v>دستگاه پشم فلز آلمانی</v>
          </cell>
          <cell r="C525" t="str">
            <v>قطعه نو</v>
          </cell>
          <cell r="N525" t="str">
            <v>فرز</v>
          </cell>
          <cell r="AC525" t="str">
            <v>1405/02/22</v>
          </cell>
        </row>
        <row r="526">
          <cell r="B526" t="str">
            <v>پخت کلاچ پراید</v>
          </cell>
          <cell r="C526" t="str">
            <v>قالب تعمیری</v>
          </cell>
          <cell r="N526" t="str">
            <v>سنگ زنی</v>
          </cell>
          <cell r="AC526" t="str">
            <v>1405/02/22</v>
          </cell>
        </row>
        <row r="527">
          <cell r="B527" t="str">
            <v>صفحه قالب 50*50</v>
          </cell>
          <cell r="C527" t="str">
            <v>قالب تعمیری</v>
          </cell>
          <cell r="N527" t="str">
            <v>سنگ زنی</v>
          </cell>
          <cell r="AC527" t="str">
            <v>1405/02/22</v>
          </cell>
        </row>
        <row r="528">
          <cell r="B528" t="str">
            <v>قالب پخت کلاچ پژو 405</v>
          </cell>
          <cell r="C528" t="str">
            <v>قالب تعمیری</v>
          </cell>
          <cell r="N528" t="str">
            <v>فرز</v>
          </cell>
          <cell r="AC528" t="str">
            <v>1405/02/22</v>
          </cell>
        </row>
        <row r="529">
          <cell r="B529" t="str">
            <v>قالب پخت کلاچ پیکان آرژانتینی</v>
          </cell>
          <cell r="C529" t="str">
            <v>قالب تعمیری</v>
          </cell>
          <cell r="N529" t="str">
            <v>فرز</v>
          </cell>
          <cell r="AC529" t="str">
            <v>1405/02/22</v>
          </cell>
        </row>
        <row r="530">
          <cell r="B530" t="str">
            <v>قالب پخت کلاچ پیکان</v>
          </cell>
          <cell r="C530" t="str">
            <v>قالب تعمیری</v>
          </cell>
          <cell r="N530" t="str">
            <v>فرز</v>
          </cell>
          <cell r="AC530" t="str">
            <v>1405/02/22</v>
          </cell>
        </row>
        <row r="531">
          <cell r="B531" t="str">
            <v>ویوینگ</v>
          </cell>
          <cell r="C531" t="str">
            <v>قطعه نو</v>
          </cell>
          <cell r="N531" t="str">
            <v>تراش</v>
          </cell>
          <cell r="AC531" t="str">
            <v>1405/02/22</v>
          </cell>
        </row>
        <row r="532">
          <cell r="B532" t="str">
            <v>کولر</v>
          </cell>
          <cell r="C532" t="str">
            <v>قطعه تعمیری</v>
          </cell>
          <cell r="N532" t="str">
            <v>تراش</v>
          </cell>
          <cell r="AC532" t="str">
            <v>1405/02/22</v>
          </cell>
        </row>
        <row r="533">
          <cell r="B533" t="str">
            <v>پرس پخت</v>
          </cell>
          <cell r="C533" t="str">
            <v>قطعه نو</v>
          </cell>
          <cell r="N533" t="str">
            <v>تراش</v>
          </cell>
          <cell r="AC533" t="str">
            <v>1405/02/22</v>
          </cell>
        </row>
        <row r="534">
          <cell r="B534" t="str">
            <v>Hammer Mill Machine</v>
          </cell>
          <cell r="C534" t="str">
            <v>دستگاه نو</v>
          </cell>
          <cell r="N534" t="str">
            <v>وایر</v>
          </cell>
          <cell r="AC534" t="str">
            <v>1405/02/22</v>
          </cell>
        </row>
        <row r="535">
          <cell r="B535" t="str">
            <v>Hammer Mill Machine</v>
          </cell>
          <cell r="C535" t="str">
            <v>دستگاه نو</v>
          </cell>
          <cell r="N535" t="str">
            <v>وایر</v>
          </cell>
          <cell r="AC535" t="str">
            <v>1405/02/22</v>
          </cell>
        </row>
        <row r="536">
          <cell r="B536" t="str">
            <v>قالب جلو ریو</v>
          </cell>
          <cell r="C536" t="str">
            <v>قالب تعمیری</v>
          </cell>
          <cell r="N536" t="str">
            <v>وایر</v>
          </cell>
          <cell r="AC536" t="str">
            <v>1405/02/22</v>
          </cell>
        </row>
        <row r="537">
          <cell r="B537" t="str">
            <v>لنت دنیای مس</v>
          </cell>
          <cell r="C537" t="str">
            <v>قطعه نو</v>
          </cell>
          <cell r="N537" t="str">
            <v>وایر</v>
          </cell>
          <cell r="AC537" t="str">
            <v>1405/02/22</v>
          </cell>
        </row>
        <row r="538">
          <cell r="B538" t="str">
            <v>قالب پخت کلاچ پژو 405</v>
          </cell>
          <cell r="C538" t="str">
            <v>قالب تعمیری</v>
          </cell>
          <cell r="N538" t="str">
            <v>سوپر دریل</v>
          </cell>
          <cell r="AC538" t="str">
            <v>1405/02/20</v>
          </cell>
        </row>
        <row r="539">
          <cell r="B539" t="str">
            <v>قالب پخت کلاچ پیکان آرژانتینی</v>
          </cell>
          <cell r="C539" t="str">
            <v>قالب تعمیری</v>
          </cell>
          <cell r="N539" t="str">
            <v>سوپر دریل</v>
          </cell>
          <cell r="AC539" t="str">
            <v>1405/02/21</v>
          </cell>
        </row>
        <row r="540">
          <cell r="B540" t="str">
            <v>قالب پخت کلاچ پیکان</v>
          </cell>
          <cell r="C540" t="str">
            <v>قالب تعمیری</v>
          </cell>
          <cell r="N540" t="str">
            <v>سوپر دریل</v>
          </cell>
          <cell r="AC540" t="str">
            <v>1405/02/22</v>
          </cell>
        </row>
        <row r="541">
          <cell r="B541" t="str">
            <v>قالب شمشی عقب ریو</v>
          </cell>
          <cell r="C541" t="str">
            <v>قالب نو</v>
          </cell>
          <cell r="N541" t="str">
            <v>مونتاژ</v>
          </cell>
          <cell r="AC541" t="str">
            <v>1405/02/22</v>
          </cell>
        </row>
        <row r="542">
          <cell r="B542" t="str">
            <v>کولر</v>
          </cell>
          <cell r="C542" t="str">
            <v>دستگاه تعمیری</v>
          </cell>
          <cell r="N542" t="str">
            <v>مونتاژ</v>
          </cell>
          <cell r="AC542" t="str">
            <v>1405/02/22</v>
          </cell>
        </row>
        <row r="543">
          <cell r="B543" t="str">
            <v>کولر</v>
          </cell>
          <cell r="C543" t="str">
            <v>دستگاه تعمیری</v>
          </cell>
          <cell r="N543" t="str">
            <v>مونتاژ</v>
          </cell>
          <cell r="AC543" t="str">
            <v>1405/02/22</v>
          </cell>
        </row>
        <row r="544">
          <cell r="B544" t="str">
            <v>کولر</v>
          </cell>
          <cell r="C544" t="str">
            <v>قطعه تعمیری</v>
          </cell>
          <cell r="N544" t="str">
            <v>دریل رادیال</v>
          </cell>
          <cell r="AC544" t="str">
            <v>1405/02/22</v>
          </cell>
        </row>
        <row r="545">
          <cell r="B545" t="str">
            <v>شمش پراید</v>
          </cell>
          <cell r="C545" t="str">
            <v>قالب نو</v>
          </cell>
          <cell r="N545" t="str">
            <v>مونتاژ</v>
          </cell>
          <cell r="AC545" t="str">
            <v>1405/02/22</v>
          </cell>
        </row>
        <row r="546">
          <cell r="B546" t="str">
            <v>قالب شمشی عقب ریو</v>
          </cell>
          <cell r="C546" t="str">
            <v>قالب نو</v>
          </cell>
          <cell r="N546" t="str">
            <v>مونتاژ</v>
          </cell>
          <cell r="AC546" t="str">
            <v>1405/02/22</v>
          </cell>
        </row>
        <row r="547">
          <cell r="B547" t="str">
            <v>ویوینگ</v>
          </cell>
          <cell r="C547" t="str">
            <v>قطعه نو</v>
          </cell>
          <cell r="N547" t="str">
            <v>دریل رادیال</v>
          </cell>
          <cell r="AC547" t="str">
            <v>1405/02/22</v>
          </cell>
        </row>
        <row r="548">
          <cell r="B548" t="str">
            <v>پخت عقب پژو 405 شمشی پایه کوتاه</v>
          </cell>
          <cell r="C548" t="str">
            <v>قالب نو</v>
          </cell>
          <cell r="N548" t="str">
            <v>CNC</v>
          </cell>
          <cell r="AC548" t="str">
            <v>1405/02/22</v>
          </cell>
        </row>
        <row r="549">
          <cell r="B549" t="str">
            <v>پخت عقب پژو 405 شمشی پایه کوتاه</v>
          </cell>
          <cell r="C549" t="str">
            <v>قالب نو</v>
          </cell>
          <cell r="N549" t="str">
            <v>CNC</v>
          </cell>
          <cell r="AC549" t="str">
            <v>1405/02/23</v>
          </cell>
        </row>
        <row r="550">
          <cell r="B550" t="str">
            <v>دستگاه پشم فلز آلمانی</v>
          </cell>
          <cell r="C550" t="str">
            <v>قطعه نو</v>
          </cell>
          <cell r="N550" t="str">
            <v>فرز</v>
          </cell>
          <cell r="AC550" t="str">
            <v>1405/02/23</v>
          </cell>
        </row>
        <row r="551">
          <cell r="B551" t="str">
            <v>دستگاه پشم فلز آلمانی</v>
          </cell>
          <cell r="C551" t="str">
            <v>قطعه نو</v>
          </cell>
          <cell r="N551" t="str">
            <v>فرز</v>
          </cell>
          <cell r="AC551" t="str">
            <v>1405/02/23</v>
          </cell>
        </row>
        <row r="552">
          <cell r="B552" t="str">
            <v>قالب عقب F12</v>
          </cell>
          <cell r="C552" t="str">
            <v>قالب نو</v>
          </cell>
          <cell r="N552" t="str">
            <v>فرز</v>
          </cell>
          <cell r="AC552" t="str">
            <v>1405/02/23</v>
          </cell>
        </row>
        <row r="553">
          <cell r="B553" t="str">
            <v>قالب عقب F12</v>
          </cell>
          <cell r="C553" t="str">
            <v>قالب نو</v>
          </cell>
          <cell r="N553" t="str">
            <v>فرز</v>
          </cell>
          <cell r="AC553" t="str">
            <v>1405/02/23</v>
          </cell>
        </row>
        <row r="554">
          <cell r="B554" t="str">
            <v>قالب عقب F12</v>
          </cell>
          <cell r="C554" t="str">
            <v>قالب نو</v>
          </cell>
          <cell r="N554" t="str">
            <v>فرز</v>
          </cell>
          <cell r="AC554" t="str">
            <v>1405/02/23</v>
          </cell>
        </row>
        <row r="555">
          <cell r="B555" t="str">
            <v>قالب پخت کلاچ پیکان</v>
          </cell>
          <cell r="C555" t="str">
            <v>قالب تعمیری</v>
          </cell>
          <cell r="N555" t="str">
            <v>فرز</v>
          </cell>
          <cell r="AC555" t="str">
            <v>1405/02/23</v>
          </cell>
        </row>
        <row r="556">
          <cell r="B556" t="str">
            <v>قالب پخت کلاچ پیکان</v>
          </cell>
          <cell r="C556" t="str">
            <v>قالب تعمیری</v>
          </cell>
          <cell r="N556" t="str">
            <v>فرز</v>
          </cell>
          <cell r="AC556" t="str">
            <v>1405/02/23</v>
          </cell>
        </row>
        <row r="557">
          <cell r="B557" t="str">
            <v>صفحه قالب 50*50</v>
          </cell>
          <cell r="C557" t="str">
            <v>قالب تعمیری</v>
          </cell>
          <cell r="N557" t="str">
            <v>سنگ زنی</v>
          </cell>
          <cell r="AC557" t="str">
            <v>1405/02/23</v>
          </cell>
        </row>
        <row r="558">
          <cell r="B558" t="str">
            <v>قالب پراید خاردار</v>
          </cell>
          <cell r="C558" t="str">
            <v>قالب تعمیری</v>
          </cell>
          <cell r="N558" t="str">
            <v>سنگ زنی</v>
          </cell>
          <cell r="AC558" t="str">
            <v>1405/02/23</v>
          </cell>
        </row>
        <row r="559">
          <cell r="B559" t="str">
            <v>قالب جلو ریو</v>
          </cell>
          <cell r="C559" t="str">
            <v>قالب تعمیری</v>
          </cell>
          <cell r="N559" t="str">
            <v>سنگ زنی</v>
          </cell>
          <cell r="AC559" t="str">
            <v>1405/02/23</v>
          </cell>
        </row>
        <row r="560">
          <cell r="B560" t="str">
            <v>برش جمعی عقب</v>
          </cell>
          <cell r="C560" t="str">
            <v>قطعه تعمیری</v>
          </cell>
          <cell r="N560" t="str">
            <v>تراش</v>
          </cell>
          <cell r="AC560" t="str">
            <v>1405/02/23</v>
          </cell>
        </row>
        <row r="561">
          <cell r="B561" t="str">
            <v>سری نقطه جوش</v>
          </cell>
          <cell r="C561" t="str">
            <v>قطعه تعمیری</v>
          </cell>
          <cell r="N561" t="str">
            <v>تراش</v>
          </cell>
          <cell r="AC561" t="str">
            <v>1405/02/23</v>
          </cell>
        </row>
        <row r="562">
          <cell r="B562" t="str">
            <v>پخت کلاچ پراید</v>
          </cell>
          <cell r="C562" t="str">
            <v>قالب تعمیری</v>
          </cell>
          <cell r="N562" t="str">
            <v>تراش</v>
          </cell>
          <cell r="AC562" t="str">
            <v>1405/02/23</v>
          </cell>
        </row>
        <row r="563">
          <cell r="B563" t="str">
            <v>قالب پخت کلاچ پیکان</v>
          </cell>
          <cell r="C563" t="str">
            <v>قالب تعمیری</v>
          </cell>
          <cell r="N563" t="str">
            <v>تراش</v>
          </cell>
          <cell r="AC563" t="str">
            <v>1405/02/23</v>
          </cell>
        </row>
        <row r="564">
          <cell r="B564" t="str">
            <v>Hammer Mill Machine</v>
          </cell>
          <cell r="C564" t="str">
            <v>دستگاه نو</v>
          </cell>
          <cell r="N564" t="str">
            <v>وایر</v>
          </cell>
          <cell r="AC564" t="str">
            <v>1405/02/23</v>
          </cell>
        </row>
        <row r="565">
          <cell r="B565" t="str">
            <v>Hammer Mill Machine</v>
          </cell>
          <cell r="C565" t="str">
            <v>دستگاه نو</v>
          </cell>
          <cell r="N565" t="str">
            <v>وایر</v>
          </cell>
          <cell r="AC565" t="str">
            <v>1405/02/23</v>
          </cell>
        </row>
        <row r="566">
          <cell r="B566" t="str">
            <v>قالب پژو 405 دیسکی</v>
          </cell>
          <cell r="C566" t="str">
            <v>قالب تعمیری</v>
          </cell>
          <cell r="N566" t="str">
            <v>وایر</v>
          </cell>
          <cell r="AC566" t="str">
            <v>1405/02/23</v>
          </cell>
        </row>
        <row r="567">
          <cell r="B567" t="str">
            <v>آغشته کاری</v>
          </cell>
          <cell r="C567" t="str">
            <v>قطعه تعمیری</v>
          </cell>
          <cell r="N567" t="str">
            <v>وایر</v>
          </cell>
          <cell r="AC567" t="str">
            <v>1405/02/23</v>
          </cell>
        </row>
        <row r="568">
          <cell r="B568" t="str">
            <v>برش جمعی عقب</v>
          </cell>
          <cell r="C568" t="str">
            <v>قطعه تعمیری</v>
          </cell>
          <cell r="N568" t="str">
            <v>وایر</v>
          </cell>
          <cell r="AC568" t="str">
            <v>1405/02/23</v>
          </cell>
        </row>
        <row r="569">
          <cell r="B569" t="str">
            <v>کولر</v>
          </cell>
          <cell r="C569" t="str">
            <v>قطعه تعمیری</v>
          </cell>
          <cell r="N569" t="str">
            <v>وایر</v>
          </cell>
          <cell r="AC569" t="str">
            <v>1405/02/23</v>
          </cell>
        </row>
        <row r="570">
          <cell r="B570" t="str">
            <v>لنت دنیای مس</v>
          </cell>
          <cell r="C570" t="str">
            <v>قطعه نو</v>
          </cell>
          <cell r="N570" t="str">
            <v>وایر</v>
          </cell>
          <cell r="AC570" t="str">
            <v>1405/02/23</v>
          </cell>
        </row>
        <row r="571">
          <cell r="B571" t="str">
            <v>قالب پخت کلاچ پیکان آرژانتینی</v>
          </cell>
          <cell r="C571" t="str">
            <v>قالب تعمیری</v>
          </cell>
          <cell r="N571" t="str">
            <v>سوپر دریل</v>
          </cell>
          <cell r="AC571" t="str">
            <v>1405/02/23</v>
          </cell>
        </row>
        <row r="572">
          <cell r="B572" t="str">
            <v>پرس پخت</v>
          </cell>
          <cell r="C572" t="str">
            <v>قطعه نو</v>
          </cell>
          <cell r="N572" t="str">
            <v>تراش</v>
          </cell>
          <cell r="AC572" t="str">
            <v>1405/02/23</v>
          </cell>
        </row>
        <row r="573">
          <cell r="B573" t="str">
            <v>پرس پخت</v>
          </cell>
          <cell r="C573" t="str">
            <v>قطعه نو</v>
          </cell>
          <cell r="N573" t="str">
            <v>تراش</v>
          </cell>
          <cell r="AC573" t="str">
            <v>1405/02/23</v>
          </cell>
        </row>
        <row r="574">
          <cell r="B574" t="str">
            <v>پرس پخت</v>
          </cell>
          <cell r="C574" t="str">
            <v>قطعه نو</v>
          </cell>
          <cell r="N574" t="str">
            <v>مونتاژ</v>
          </cell>
          <cell r="AC574" t="str">
            <v>1405/02/23</v>
          </cell>
        </row>
        <row r="575">
          <cell r="B575" t="str">
            <v>ویوینگ</v>
          </cell>
          <cell r="C575" t="str">
            <v>قطعه تعمیری</v>
          </cell>
          <cell r="N575" t="str">
            <v>تراش</v>
          </cell>
          <cell r="AC575" t="str">
            <v>1405/02/23</v>
          </cell>
        </row>
        <row r="576">
          <cell r="B576" t="str">
            <v>آغشته کاری</v>
          </cell>
          <cell r="C576" t="str">
            <v>قطعه تعمیری</v>
          </cell>
          <cell r="N576" t="str">
            <v>تراش</v>
          </cell>
          <cell r="AC576" t="str">
            <v>1405/02/23</v>
          </cell>
        </row>
        <row r="577">
          <cell r="B577" t="str">
            <v>قالب پخت کلاچ پیکان آرژانتینی</v>
          </cell>
          <cell r="C577" t="str">
            <v>قالب تعمیری</v>
          </cell>
          <cell r="N577" t="str">
            <v>تراش</v>
          </cell>
          <cell r="AC577" t="str">
            <v>1405/02/23</v>
          </cell>
        </row>
        <row r="578">
          <cell r="B578" t="str">
            <v>قالب پخت کلاچ پیکان</v>
          </cell>
          <cell r="C578" t="str">
            <v>قالب تعمیری</v>
          </cell>
          <cell r="N578" t="str">
            <v>مونتاژ</v>
          </cell>
          <cell r="AC578" t="str">
            <v>1405/02/23</v>
          </cell>
        </row>
        <row r="579">
          <cell r="B579" t="str">
            <v>قالب پخت کلاچ پیکان</v>
          </cell>
          <cell r="C579" t="str">
            <v>قالب تعمیری</v>
          </cell>
          <cell r="N579" t="str">
            <v>مونتاژ</v>
          </cell>
          <cell r="AC579" t="str">
            <v>1405/02/23</v>
          </cell>
        </row>
        <row r="580">
          <cell r="B580" t="str">
            <v>قالب پخت کلاچ پیکان</v>
          </cell>
          <cell r="C580" t="str">
            <v>قالب تعمیری</v>
          </cell>
          <cell r="N580" t="str">
            <v>دریل رادیال</v>
          </cell>
          <cell r="AC580" t="str">
            <v>1405/02/23</v>
          </cell>
        </row>
        <row r="581">
          <cell r="B581" t="str">
            <v>قالب عقب F12</v>
          </cell>
          <cell r="C581" t="str">
            <v>قالب نو</v>
          </cell>
          <cell r="N581" t="str">
            <v>دریل رادیال</v>
          </cell>
          <cell r="AC581" t="str">
            <v>1405/02/23</v>
          </cell>
        </row>
        <row r="582">
          <cell r="B582" t="str">
            <v>قالب پخت کلاچ پیکان</v>
          </cell>
          <cell r="C582" t="str">
            <v>قالب تعمیری</v>
          </cell>
          <cell r="N582" t="str">
            <v>مونتاژ</v>
          </cell>
          <cell r="AC582" t="str">
            <v>1405/02/23</v>
          </cell>
        </row>
        <row r="583">
          <cell r="B583" t="str">
            <v>قالب پخت کلاچ پیکان</v>
          </cell>
          <cell r="C583" t="str">
            <v>قالب تعمیری</v>
          </cell>
          <cell r="N583" t="str">
            <v>مونتاژ</v>
          </cell>
          <cell r="AC583" t="str">
            <v>1405/02/23</v>
          </cell>
        </row>
        <row r="584">
          <cell r="B584" t="str">
            <v>قالب پخت کلاچ پیکان</v>
          </cell>
          <cell r="C584" t="str">
            <v>قالب تعمیری</v>
          </cell>
          <cell r="N584" t="str">
            <v>دریل رادیال</v>
          </cell>
          <cell r="AC584" t="str">
            <v>1405/02/23</v>
          </cell>
        </row>
        <row r="585">
          <cell r="B585" t="str">
            <v>قالب عقب F12</v>
          </cell>
          <cell r="C585" t="str">
            <v>قالب نو</v>
          </cell>
          <cell r="N585" t="str">
            <v>دریل رادیال</v>
          </cell>
          <cell r="AC585" t="str">
            <v>1405/02/23</v>
          </cell>
        </row>
        <row r="586">
          <cell r="B586" t="str">
            <v>پرس 160 تن</v>
          </cell>
          <cell r="C586" t="str">
            <v>دستگاه تعمیری</v>
          </cell>
          <cell r="N586" t="str">
            <v>تراش</v>
          </cell>
          <cell r="AC586" t="str">
            <v>1405/02/23</v>
          </cell>
        </row>
        <row r="587">
          <cell r="B587" t="str">
            <v>قالب اکسپرس</v>
          </cell>
          <cell r="C587" t="str">
            <v>قالب تعمیری</v>
          </cell>
          <cell r="N587" t="str">
            <v>CNC</v>
          </cell>
          <cell r="AC587" t="str">
            <v>1405/02/23</v>
          </cell>
        </row>
        <row r="588">
          <cell r="B588" t="str">
            <v>قالب پخت کلاچ پژو 405</v>
          </cell>
          <cell r="C588" t="str">
            <v>قالب تعمیری</v>
          </cell>
          <cell r="N588" t="str">
            <v>CNC</v>
          </cell>
          <cell r="AC588" t="str">
            <v>1405/02/23</v>
          </cell>
        </row>
        <row r="589">
          <cell r="B589" t="str">
            <v>دستگاه پشم فلز آلمانی</v>
          </cell>
          <cell r="C589" t="str">
            <v>قطعه نو</v>
          </cell>
          <cell r="N589" t="str">
            <v>فرز</v>
          </cell>
          <cell r="AC589" t="str">
            <v>1405/02/24</v>
          </cell>
        </row>
        <row r="590">
          <cell r="B590" t="str">
            <v>اصول 5S</v>
          </cell>
          <cell r="C590" t="str">
            <v>نظافت</v>
          </cell>
          <cell r="N590" t="str">
            <v>نظافت</v>
          </cell>
          <cell r="AC590" t="str">
            <v>1405/02/24</v>
          </cell>
        </row>
        <row r="591">
          <cell r="B591" t="str">
            <v>دستگاه ساب کلاچ</v>
          </cell>
          <cell r="C591" t="str">
            <v>قطعه تعمیری</v>
          </cell>
          <cell r="N591" t="str">
            <v>فرز</v>
          </cell>
          <cell r="AC591" t="str">
            <v>1405/02/24</v>
          </cell>
        </row>
        <row r="592">
          <cell r="B592" t="str">
            <v>اصول 5S</v>
          </cell>
          <cell r="C592" t="str">
            <v>نظافت</v>
          </cell>
          <cell r="N592" t="str">
            <v>نظافت</v>
          </cell>
          <cell r="AC592" t="str">
            <v>1405/02/24</v>
          </cell>
        </row>
        <row r="593">
          <cell r="B593" t="str">
            <v>قالب پخت کلاچ پیکان</v>
          </cell>
          <cell r="C593" t="str">
            <v>قالب تعمیری</v>
          </cell>
          <cell r="N593" t="str">
            <v>تراش</v>
          </cell>
          <cell r="AC593" t="str">
            <v>1405/02/24</v>
          </cell>
        </row>
        <row r="594">
          <cell r="B594" t="str">
            <v>قالب پخت کلاچ پیکان</v>
          </cell>
          <cell r="C594" t="str">
            <v>قالب تعمیری</v>
          </cell>
          <cell r="N594" t="str">
            <v>تراش</v>
          </cell>
          <cell r="AC594" t="str">
            <v>1405/02/24</v>
          </cell>
        </row>
        <row r="595">
          <cell r="B595" t="str">
            <v>اصول 5S</v>
          </cell>
          <cell r="C595" t="str">
            <v>نظافت</v>
          </cell>
          <cell r="N595" t="str">
            <v>نظافت</v>
          </cell>
          <cell r="AC595" t="str">
            <v>1405/02/24</v>
          </cell>
        </row>
        <row r="596">
          <cell r="B596" t="str">
            <v>قالب جلو ریو</v>
          </cell>
          <cell r="C596" t="str">
            <v>قالب تعمیری</v>
          </cell>
          <cell r="N596" t="str">
            <v>سنگ زنی</v>
          </cell>
          <cell r="AC596" t="str">
            <v>1405/02/24</v>
          </cell>
        </row>
        <row r="597">
          <cell r="B597" t="str">
            <v>قالب پخت کلاچ پیکان</v>
          </cell>
          <cell r="C597" t="str">
            <v>قالب تعمیری</v>
          </cell>
          <cell r="N597" t="str">
            <v>سنگ زنی</v>
          </cell>
          <cell r="AC597" t="str">
            <v>1405/02/24</v>
          </cell>
        </row>
        <row r="598">
          <cell r="B598" t="str">
            <v>اصول 5S</v>
          </cell>
          <cell r="C598" t="str">
            <v>نظافت</v>
          </cell>
          <cell r="N598" t="str">
            <v>نظافت</v>
          </cell>
          <cell r="AC598" t="str">
            <v>1405/02/24</v>
          </cell>
        </row>
        <row r="599">
          <cell r="B599" t="str">
            <v>قالب پخت کلاچ پیکان آرژانتینی</v>
          </cell>
          <cell r="C599" t="str">
            <v>قالب تعمیری</v>
          </cell>
          <cell r="N599" t="str">
            <v>تراش</v>
          </cell>
          <cell r="AC599" t="str">
            <v>1405/02/24</v>
          </cell>
        </row>
        <row r="600">
          <cell r="B600" t="str">
            <v>ابزار زنی</v>
          </cell>
          <cell r="C600" t="str">
            <v>قطعه نو</v>
          </cell>
          <cell r="N600" t="str">
            <v>تراش</v>
          </cell>
          <cell r="AC600" t="str">
            <v>1405/02/24</v>
          </cell>
        </row>
        <row r="601">
          <cell r="B601" t="str">
            <v>اصول 5S</v>
          </cell>
          <cell r="C601" t="str">
            <v>نظافت</v>
          </cell>
          <cell r="N601" t="str">
            <v>نظافت</v>
          </cell>
          <cell r="AC601" t="str">
            <v>1405/02/24</v>
          </cell>
        </row>
        <row r="602">
          <cell r="B602" t="str">
            <v>قالب پخت کلاچ پیکان</v>
          </cell>
          <cell r="C602" t="str">
            <v>قالب تعمیری</v>
          </cell>
          <cell r="N602" t="str">
            <v>مونتاژ</v>
          </cell>
          <cell r="AC602" t="str">
            <v>1405/02/24</v>
          </cell>
        </row>
        <row r="603">
          <cell r="B603" t="str">
            <v>قالب عقب F12</v>
          </cell>
          <cell r="C603" t="str">
            <v>قالب نو</v>
          </cell>
          <cell r="N603" t="str">
            <v>مونتاژ</v>
          </cell>
          <cell r="AC603" t="str">
            <v>1405/02/24</v>
          </cell>
        </row>
        <row r="604">
          <cell r="B604" t="str">
            <v>اصول 5S</v>
          </cell>
          <cell r="C604" t="str">
            <v>نظافت</v>
          </cell>
          <cell r="N604" t="str">
            <v>نظافت</v>
          </cell>
          <cell r="AC604" t="str">
            <v>1405/02/24</v>
          </cell>
        </row>
        <row r="605">
          <cell r="B605" t="str">
            <v>قالب پژو 405 دیسکی</v>
          </cell>
          <cell r="C605" t="str">
            <v>قالب تعمیری</v>
          </cell>
          <cell r="N605" t="str">
            <v>دریل رادیال</v>
          </cell>
          <cell r="AC605" t="str">
            <v>1405/02/25</v>
          </cell>
        </row>
        <row r="606">
          <cell r="B606" t="str">
            <v>قالب پراید خاردار</v>
          </cell>
          <cell r="C606" t="str">
            <v>قالب تعمیری</v>
          </cell>
          <cell r="N606" t="str">
            <v>دریل رادیال</v>
          </cell>
          <cell r="AC606" t="str">
            <v>1405/02/25</v>
          </cell>
        </row>
        <row r="607">
          <cell r="B607" t="str">
            <v>قالب پراید خاردار</v>
          </cell>
          <cell r="C607" t="str">
            <v>قالب تعمیری</v>
          </cell>
          <cell r="N607" t="str">
            <v>مونتاژ</v>
          </cell>
          <cell r="AC607" t="str">
            <v>1405/02/25</v>
          </cell>
        </row>
        <row r="608">
          <cell r="B608" t="str">
            <v>پخت عقب پژو 405 شمشی پایه کوتاه</v>
          </cell>
          <cell r="C608" t="str">
            <v>قالب نو</v>
          </cell>
          <cell r="N608" t="str">
            <v>مونتاژ</v>
          </cell>
          <cell r="AC608" t="str">
            <v>1405/02/24</v>
          </cell>
        </row>
        <row r="609">
          <cell r="B609" t="str">
            <v>قالب پخت کلاچ پیکان</v>
          </cell>
          <cell r="C609" t="str">
            <v>قالب تعمیری</v>
          </cell>
          <cell r="N609" t="str">
            <v>اره لنگ</v>
          </cell>
          <cell r="AC609" t="str">
            <v>1405/02/24</v>
          </cell>
        </row>
        <row r="610">
          <cell r="B610" t="str">
            <v>قالب پخت کلاچ پیکان</v>
          </cell>
          <cell r="C610" t="str">
            <v>قالب تعمیری</v>
          </cell>
          <cell r="N610" t="str">
            <v>مونتاژ</v>
          </cell>
          <cell r="AC610" t="str">
            <v>1405/02/24</v>
          </cell>
        </row>
        <row r="611">
          <cell r="B611" t="str">
            <v>اصول 5S</v>
          </cell>
          <cell r="C611" t="str">
            <v>نظافت</v>
          </cell>
          <cell r="N611" t="str">
            <v>نظافت</v>
          </cell>
          <cell r="AC611" t="str">
            <v>1405/02/24</v>
          </cell>
        </row>
        <row r="612">
          <cell r="B612" t="str">
            <v>قالب پخت کلاچ پیکان</v>
          </cell>
          <cell r="C612" t="str">
            <v>قالب تعمیری</v>
          </cell>
          <cell r="N612" t="str">
            <v>مونتاژ</v>
          </cell>
          <cell r="AC612" t="str">
            <v>1405/02/25</v>
          </cell>
        </row>
        <row r="613">
          <cell r="B613" t="str">
            <v>قالب پراید خاردار</v>
          </cell>
          <cell r="C613" t="str">
            <v>قالب تعمیری</v>
          </cell>
          <cell r="N613" t="str">
            <v>مونتاژ</v>
          </cell>
          <cell r="AC613" t="str">
            <v>1405/02/25</v>
          </cell>
        </row>
        <row r="614">
          <cell r="B614" t="str">
            <v>قالب پژو 405 دیسکی</v>
          </cell>
          <cell r="C614" t="str">
            <v>قالب تعمیری</v>
          </cell>
          <cell r="N614" t="str">
            <v>مونتاژ</v>
          </cell>
          <cell r="AC614" t="str">
            <v>1405/02/25</v>
          </cell>
        </row>
        <row r="615">
          <cell r="B615" t="str">
            <v>قالب پراید خاردار</v>
          </cell>
          <cell r="C615" t="str">
            <v>قالب تعمیری</v>
          </cell>
          <cell r="N615" t="str">
            <v>تراش</v>
          </cell>
          <cell r="AC615" t="str">
            <v>1405/02/25</v>
          </cell>
        </row>
        <row r="616">
          <cell r="B616" t="str">
            <v>ابزار زنی</v>
          </cell>
          <cell r="C616" t="str">
            <v>قطعه نو</v>
          </cell>
          <cell r="N616" t="str">
            <v>تراش</v>
          </cell>
          <cell r="AC616" t="str">
            <v>1405/02/25</v>
          </cell>
        </row>
        <row r="617">
          <cell r="B617" t="str">
            <v>قالب اکسپرس</v>
          </cell>
          <cell r="C617" t="str">
            <v>قالب تعمیری</v>
          </cell>
          <cell r="N617" t="str">
            <v>CNC</v>
          </cell>
          <cell r="AC617" t="str">
            <v>1405/02/26</v>
          </cell>
        </row>
        <row r="618">
          <cell r="B618" t="str">
            <v>قالب پخت کلاچ پیکان</v>
          </cell>
          <cell r="C618" t="str">
            <v>قالب تعمیری</v>
          </cell>
          <cell r="N618" t="str">
            <v>تراش</v>
          </cell>
          <cell r="AC618" t="str">
            <v>1405/02/26</v>
          </cell>
        </row>
        <row r="619">
          <cell r="B619" t="str">
            <v>قالب پخت کلاچ پژو 405</v>
          </cell>
          <cell r="C619" t="str">
            <v>قالب تعمیری</v>
          </cell>
          <cell r="N619" t="str">
            <v>CNC</v>
          </cell>
          <cell r="AC619" t="str">
            <v>1405/02/26</v>
          </cell>
        </row>
        <row r="620">
          <cell r="B620" t="str">
            <v>قالب پژو 405 دیسکی</v>
          </cell>
          <cell r="C620" t="str">
            <v>قالب تعمیری</v>
          </cell>
          <cell r="N620" t="str">
            <v>سنگ زنی</v>
          </cell>
          <cell r="AC620" t="str">
            <v>1405/02/26</v>
          </cell>
        </row>
        <row r="621">
          <cell r="B621" t="str">
            <v>قالب پخت کلاچ پژو 405</v>
          </cell>
          <cell r="C621" t="str">
            <v>قالب تعمیری</v>
          </cell>
          <cell r="N621" t="str">
            <v>سنگ زنی</v>
          </cell>
          <cell r="AC621" t="str">
            <v>1405/02/26</v>
          </cell>
        </row>
        <row r="622">
          <cell r="B622" t="str">
            <v>لنت دنیای مس</v>
          </cell>
          <cell r="C622" t="str">
            <v>قطعه نو</v>
          </cell>
          <cell r="N622" t="str">
            <v>فرز</v>
          </cell>
          <cell r="AC622" t="str">
            <v>1405/02/26</v>
          </cell>
        </row>
        <row r="623">
          <cell r="B623" t="str">
            <v>دستگاه پشم فلز آلمانی</v>
          </cell>
          <cell r="C623" t="str">
            <v>قطعه نو</v>
          </cell>
          <cell r="N623" t="str">
            <v>فرز</v>
          </cell>
          <cell r="AC623" t="str">
            <v>1405/02/26</v>
          </cell>
        </row>
        <row r="624">
          <cell r="B624" t="str">
            <v>پرس 160 تن</v>
          </cell>
          <cell r="C624" t="str">
            <v>دستگاه تعمیری</v>
          </cell>
          <cell r="N624" t="str">
            <v>تراش</v>
          </cell>
          <cell r="AC624" t="str">
            <v>1405/02/26</v>
          </cell>
        </row>
        <row r="625">
          <cell r="B625" t="str">
            <v>دستگاه پشم فلز چینی</v>
          </cell>
          <cell r="C625" t="str">
            <v>قطعه نو</v>
          </cell>
          <cell r="N625" t="str">
            <v>تراش</v>
          </cell>
          <cell r="AC625" t="str">
            <v>1405/02/26</v>
          </cell>
        </row>
        <row r="626">
          <cell r="B626" t="str">
            <v>پین عقب پژو 405</v>
          </cell>
          <cell r="C626" t="str">
            <v>قطعه نو</v>
          </cell>
          <cell r="N626" t="str">
            <v>سری تراش</v>
          </cell>
          <cell r="AC626" t="str">
            <v>1405/02/26</v>
          </cell>
        </row>
        <row r="627">
          <cell r="B627" t="str">
            <v>قالب عقب F12</v>
          </cell>
          <cell r="C627" t="str">
            <v>قالب نو</v>
          </cell>
          <cell r="N627" t="str">
            <v>فرز</v>
          </cell>
          <cell r="AC627" t="str">
            <v>1405/02/26</v>
          </cell>
        </row>
        <row r="628">
          <cell r="B628" t="str">
            <v xml:space="preserve">کنترل شعاع عقب </v>
          </cell>
          <cell r="C628" t="str">
            <v>قطعه نو</v>
          </cell>
          <cell r="N628" t="str">
            <v>فرز</v>
          </cell>
          <cell r="AC628" t="str">
            <v>1405/02/26</v>
          </cell>
        </row>
        <row r="629">
          <cell r="B629" t="str">
            <v>ویوینگ</v>
          </cell>
          <cell r="C629" t="str">
            <v>قطعه تعمیری</v>
          </cell>
          <cell r="N629" t="str">
            <v>فرز</v>
          </cell>
          <cell r="AC629" t="str">
            <v>1405/02/26</v>
          </cell>
        </row>
        <row r="630">
          <cell r="B630" t="str">
            <v>دستگاه پشم فلز آلمانی</v>
          </cell>
          <cell r="C630" t="str">
            <v>قطعه نو</v>
          </cell>
          <cell r="N630" t="str">
            <v>فرز</v>
          </cell>
          <cell r="AC630" t="str">
            <v>1405/02/26</v>
          </cell>
        </row>
        <row r="631">
          <cell r="B631" t="str">
            <v>پخت کلاچ پراید</v>
          </cell>
          <cell r="C631" t="str">
            <v>قالب تعمیری</v>
          </cell>
          <cell r="N631" t="str">
            <v>مونتاژ</v>
          </cell>
          <cell r="AC631" t="str">
            <v>1405/02/26</v>
          </cell>
        </row>
        <row r="632">
          <cell r="B632" t="str">
            <v>قالب پخت کلاچ پژو 405</v>
          </cell>
          <cell r="C632" t="str">
            <v>قالب تعمیری</v>
          </cell>
          <cell r="N632" t="str">
            <v>مونتاژ</v>
          </cell>
          <cell r="AC632" t="str">
            <v>1405/02/26</v>
          </cell>
        </row>
        <row r="633">
          <cell r="B633" t="str">
            <v>پخت کلاچ پراید</v>
          </cell>
          <cell r="C633" t="str">
            <v>قالب تعمیری</v>
          </cell>
          <cell r="N633" t="str">
            <v>اره لنگ</v>
          </cell>
          <cell r="AC633" t="str">
            <v>1405/02/26</v>
          </cell>
        </row>
        <row r="634">
          <cell r="B634" t="str">
            <v>قالب پخت کلاچ پژو 405</v>
          </cell>
          <cell r="C634" t="str">
            <v>قالب تعمیری</v>
          </cell>
          <cell r="N634" t="str">
            <v>اره لنگ</v>
          </cell>
          <cell r="AC634" t="str">
            <v>1405/02/26</v>
          </cell>
        </row>
        <row r="635">
          <cell r="B635" t="str">
            <v>قالب پژو 405 دیسکی</v>
          </cell>
          <cell r="C635" t="str">
            <v>قالب تعمیری</v>
          </cell>
          <cell r="N635" t="str">
            <v>مونتاژ</v>
          </cell>
          <cell r="AC635" t="str">
            <v>1405/02/26</v>
          </cell>
        </row>
        <row r="636">
          <cell r="B636" t="str">
            <v>قالب پژو 405 دیسکی</v>
          </cell>
          <cell r="C636" t="str">
            <v>قالب تعمیری</v>
          </cell>
          <cell r="N636" t="str">
            <v>مونتاژ</v>
          </cell>
          <cell r="AC636" t="str">
            <v>1405/02/26</v>
          </cell>
        </row>
        <row r="637">
          <cell r="B637" t="str">
            <v>قالب پخت کلاچ پیکان</v>
          </cell>
          <cell r="C637" t="str">
            <v>قالب تعمیری</v>
          </cell>
          <cell r="N637" t="str">
            <v>تراش</v>
          </cell>
          <cell r="AC637" t="str">
            <v>1405/02/26</v>
          </cell>
        </row>
        <row r="638">
          <cell r="B638" t="str">
            <v>Hammer Mill Machine</v>
          </cell>
          <cell r="C638" t="str">
            <v>دستگاه نو</v>
          </cell>
          <cell r="N638" t="str">
            <v>وایر</v>
          </cell>
          <cell r="AC638" t="str">
            <v>1405/02/25</v>
          </cell>
        </row>
        <row r="639">
          <cell r="B639" t="str">
            <v>Hammer Mill Machine</v>
          </cell>
          <cell r="C639" t="str">
            <v>دستگاه نو</v>
          </cell>
          <cell r="N639" t="str">
            <v>وایر</v>
          </cell>
          <cell r="AC639" t="str">
            <v>1405/02/25</v>
          </cell>
        </row>
        <row r="640">
          <cell r="B640" t="str">
            <v>قالب پخت کلاچ پیکان</v>
          </cell>
          <cell r="C640" t="str">
            <v>قالب تعمیری</v>
          </cell>
          <cell r="N640" t="str">
            <v>وایر</v>
          </cell>
          <cell r="AC640" t="str">
            <v>1405/02/25</v>
          </cell>
        </row>
        <row r="641">
          <cell r="B641" t="str">
            <v>لنت دنیای مس</v>
          </cell>
          <cell r="C641" t="str">
            <v>قطعه نو</v>
          </cell>
          <cell r="N641" t="str">
            <v>وایر</v>
          </cell>
          <cell r="AC641" t="str">
            <v>1405/02/25</v>
          </cell>
        </row>
        <row r="642">
          <cell r="B642" t="str">
            <v>ساب کلاچ</v>
          </cell>
          <cell r="C642" t="str">
            <v>قطعه نو</v>
          </cell>
          <cell r="N642" t="str">
            <v>وایر</v>
          </cell>
          <cell r="AC642" t="str">
            <v>1405/02/25</v>
          </cell>
        </row>
        <row r="643">
          <cell r="B643" t="str">
            <v>قالب پخت کلاچ پیکان آرژانتینی</v>
          </cell>
          <cell r="C643" t="str">
            <v>قالب تعمیری</v>
          </cell>
          <cell r="N643" t="str">
            <v>سوپر دریل</v>
          </cell>
          <cell r="AC643" t="str">
            <v>1405/02/25</v>
          </cell>
        </row>
        <row r="644">
          <cell r="B644" t="str">
            <v>Hammer Mill Machine</v>
          </cell>
          <cell r="C644" t="str">
            <v>دستگاه نو</v>
          </cell>
          <cell r="N644" t="str">
            <v>وایر</v>
          </cell>
          <cell r="AC644" t="str">
            <v>1405/02/24</v>
          </cell>
        </row>
        <row r="645">
          <cell r="B645" t="str">
            <v>Hammer Mill Machine</v>
          </cell>
          <cell r="C645" t="str">
            <v>دستگاه نو</v>
          </cell>
          <cell r="N645" t="str">
            <v>وایر</v>
          </cell>
          <cell r="AC645" t="str">
            <v>1405/02/24</v>
          </cell>
        </row>
        <row r="646">
          <cell r="B646" t="str">
            <v>قالب پخت کلاچ پیکان</v>
          </cell>
          <cell r="C646" t="str">
            <v>قالب تعمیری</v>
          </cell>
          <cell r="N646" t="str">
            <v>وایر</v>
          </cell>
          <cell r="AC646" t="str">
            <v>1405/02/24</v>
          </cell>
        </row>
        <row r="647">
          <cell r="B647" t="str">
            <v>قالب پخت کلاچ پیکان آرژانتینی</v>
          </cell>
          <cell r="C647" t="str">
            <v>قالب تعمیری</v>
          </cell>
          <cell r="N647" t="str">
            <v>وایر</v>
          </cell>
          <cell r="AC647" t="str">
            <v>1405/02/24</v>
          </cell>
        </row>
        <row r="648">
          <cell r="B648" t="str">
            <v>دستگاه ساب</v>
          </cell>
          <cell r="C648" t="str">
            <v>قطعه نو</v>
          </cell>
          <cell r="N648" t="str">
            <v>وایر</v>
          </cell>
          <cell r="AC648" t="str">
            <v>1405/02/24</v>
          </cell>
        </row>
        <row r="649">
          <cell r="B649" t="str">
            <v>دستگاه پشم فلز آلمانی</v>
          </cell>
          <cell r="C649" t="str">
            <v>قطعه نو</v>
          </cell>
          <cell r="N649" t="str">
            <v>فرز</v>
          </cell>
          <cell r="AC649" t="str">
            <v>1405/02/27</v>
          </cell>
        </row>
        <row r="650">
          <cell r="B650" t="str">
            <v>دستگاه پشم فلز آلمانی</v>
          </cell>
          <cell r="C650" t="str">
            <v>قطعه نو</v>
          </cell>
          <cell r="N650" t="str">
            <v>فرز</v>
          </cell>
          <cell r="AC650" t="str">
            <v>1405/02/27</v>
          </cell>
        </row>
        <row r="651">
          <cell r="B651" t="str">
            <v>قالب عقب F12</v>
          </cell>
          <cell r="C651" t="str">
            <v>قالب نو</v>
          </cell>
          <cell r="N651" t="str">
            <v>فرز</v>
          </cell>
          <cell r="AC651" t="str">
            <v>1405/02/27</v>
          </cell>
        </row>
        <row r="652">
          <cell r="B652" t="str">
            <v>دستگاه ساب کلاچ</v>
          </cell>
          <cell r="C652" t="str">
            <v>قطعه تعمیری</v>
          </cell>
          <cell r="N652" t="str">
            <v>فرز</v>
          </cell>
          <cell r="AC652" t="str">
            <v>1405/02/26</v>
          </cell>
        </row>
        <row r="653">
          <cell r="B653" t="str">
            <v>قالب عقب F12</v>
          </cell>
          <cell r="C653" t="str">
            <v>قالب نو</v>
          </cell>
          <cell r="N653" t="str">
            <v>فرز</v>
          </cell>
          <cell r="AC653" t="str">
            <v>1405/02/26</v>
          </cell>
        </row>
        <row r="654">
          <cell r="B654" t="str">
            <v>قالب عقب F12</v>
          </cell>
          <cell r="C654" t="str">
            <v>قالب نو</v>
          </cell>
          <cell r="N654" t="str">
            <v>مونتاژ</v>
          </cell>
          <cell r="AC654" t="str">
            <v>1405/02/26</v>
          </cell>
        </row>
        <row r="655">
          <cell r="B655" t="str">
            <v>قالب پژو 405 دیسکی</v>
          </cell>
          <cell r="C655" t="str">
            <v>قالب تعمیری</v>
          </cell>
          <cell r="N655" t="str">
            <v>مونتاژ</v>
          </cell>
          <cell r="AC655" t="str">
            <v>1405/02/26</v>
          </cell>
        </row>
        <row r="656">
          <cell r="B656" t="str">
            <v>قالب پژو 405 دیسکی</v>
          </cell>
          <cell r="C656" t="str">
            <v>قالب تعمیری</v>
          </cell>
          <cell r="N656" t="str">
            <v>دریل رادیال</v>
          </cell>
          <cell r="AC656" t="str">
            <v>1405/02/26</v>
          </cell>
        </row>
        <row r="657">
          <cell r="B657" t="str">
            <v>قالب پژو 405 دیسکی</v>
          </cell>
          <cell r="C657" t="str">
            <v>قالب تعمیری</v>
          </cell>
          <cell r="N657" t="str">
            <v>مونتاژ</v>
          </cell>
          <cell r="AC657" t="str">
            <v>1405/02/26</v>
          </cell>
        </row>
        <row r="658">
          <cell r="B658" t="str">
            <v>قالب اکسپرس</v>
          </cell>
          <cell r="C658" t="str">
            <v>قالب تعمیری</v>
          </cell>
          <cell r="N658" t="str">
            <v>دریل رادیال</v>
          </cell>
          <cell r="AC658" t="str">
            <v>1405/02/26</v>
          </cell>
        </row>
        <row r="659">
          <cell r="B659" t="str">
            <v>قالب اکسپرس</v>
          </cell>
          <cell r="C659" t="str">
            <v>قالب تعمیری</v>
          </cell>
          <cell r="N659" t="str">
            <v>مونتاژ</v>
          </cell>
          <cell r="AC659" t="str">
            <v>1405/02/26</v>
          </cell>
        </row>
        <row r="660">
          <cell r="B660" t="str">
            <v>قالب پخت کلاچ پژو 405</v>
          </cell>
          <cell r="C660" t="str">
            <v>قالب تعمیری</v>
          </cell>
          <cell r="N660" t="str">
            <v>CNC</v>
          </cell>
          <cell r="AC660" t="str">
            <v>1405/02/27</v>
          </cell>
        </row>
        <row r="661">
          <cell r="B661" t="str">
            <v>قالب پخت کلاچ پژو 405</v>
          </cell>
          <cell r="C661" t="str">
            <v>قالب تعمیری</v>
          </cell>
          <cell r="N661" t="str">
            <v>CNC</v>
          </cell>
          <cell r="AC661" t="str">
            <v>1405/02/27</v>
          </cell>
        </row>
        <row r="662">
          <cell r="B662" t="str">
            <v>CNC 7203</v>
          </cell>
          <cell r="C662" t="str">
            <v>دستگاه تعمیری</v>
          </cell>
          <cell r="N662" t="str">
            <v>CNC</v>
          </cell>
          <cell r="AC662" t="str">
            <v>1405/02/27</v>
          </cell>
        </row>
        <row r="663">
          <cell r="B663" t="str">
            <v>قالب اکسپرس</v>
          </cell>
          <cell r="C663" t="str">
            <v>قالب تعمیری</v>
          </cell>
          <cell r="N663" t="str">
            <v>CNC</v>
          </cell>
          <cell r="AC663" t="str">
            <v>1405/02/27</v>
          </cell>
        </row>
        <row r="664">
          <cell r="B664" t="str">
            <v>Hammer Mill Machine</v>
          </cell>
          <cell r="C664" t="str">
            <v>دستگاه نو</v>
          </cell>
          <cell r="N664" t="str">
            <v>CNC</v>
          </cell>
          <cell r="AC664" t="str">
            <v>1405/02/27</v>
          </cell>
        </row>
        <row r="665">
          <cell r="B665" t="str">
            <v>پرس 160 تن</v>
          </cell>
          <cell r="C665" t="str">
            <v>دستگاه تعمیری</v>
          </cell>
          <cell r="N665" t="str">
            <v>تراش</v>
          </cell>
          <cell r="AC665" t="str">
            <v>1405/02/27</v>
          </cell>
        </row>
        <row r="666">
          <cell r="B666" t="str">
            <v>دستگاه پشم فلز چینی</v>
          </cell>
          <cell r="C666" t="str">
            <v>قطعه نو</v>
          </cell>
          <cell r="N666" t="str">
            <v>مونتاژ</v>
          </cell>
          <cell r="AC666" t="str">
            <v>1405/02/27</v>
          </cell>
        </row>
        <row r="667">
          <cell r="B667" t="str">
            <v>پین عقب پژو 405</v>
          </cell>
          <cell r="C667" t="str">
            <v>قطعه نو</v>
          </cell>
          <cell r="N667" t="str">
            <v>سری تراش</v>
          </cell>
          <cell r="AC667" t="str">
            <v>1405/02/27</v>
          </cell>
        </row>
        <row r="668">
          <cell r="B668" t="str">
            <v>پخت کلاچ پراید</v>
          </cell>
          <cell r="C668" t="str">
            <v>قالب تعمیری</v>
          </cell>
          <cell r="N668" t="str">
            <v>تراش</v>
          </cell>
          <cell r="AC668" t="str">
            <v>1405/02/27</v>
          </cell>
        </row>
        <row r="669">
          <cell r="B669" t="str">
            <v>ابزار زنی</v>
          </cell>
          <cell r="C669" t="str">
            <v>قطعه نو</v>
          </cell>
          <cell r="N669" t="str">
            <v>تراش</v>
          </cell>
          <cell r="AC669" t="str">
            <v>1405/02/27</v>
          </cell>
        </row>
        <row r="670">
          <cell r="B670" t="str">
            <v>پخت کلاچ پراید</v>
          </cell>
          <cell r="C670" t="str">
            <v>قالب تعمیری</v>
          </cell>
          <cell r="N670" t="str">
            <v>تراش</v>
          </cell>
          <cell r="AC670" t="str">
            <v>1405/02/27</v>
          </cell>
        </row>
        <row r="671">
          <cell r="B671" t="str">
            <v xml:space="preserve">کنترل شعاع عقب </v>
          </cell>
          <cell r="C671" t="str">
            <v>قطعه نو</v>
          </cell>
          <cell r="N671" t="str">
            <v>تراش</v>
          </cell>
          <cell r="AC671" t="str">
            <v>1405/02/27</v>
          </cell>
        </row>
        <row r="672">
          <cell r="B672" t="str">
            <v>صفحه قالب 50*50</v>
          </cell>
          <cell r="C672" t="str">
            <v>قالب تعمیری</v>
          </cell>
          <cell r="N672" t="str">
            <v>سنگ زنی</v>
          </cell>
          <cell r="AC672" t="str">
            <v>1405/02/27</v>
          </cell>
        </row>
        <row r="673">
          <cell r="B673" t="str">
            <v>سنگ 7502</v>
          </cell>
          <cell r="C673" t="str">
            <v>دستگاه تعمیری</v>
          </cell>
          <cell r="N673" t="str">
            <v>مونتاژ</v>
          </cell>
          <cell r="AC673" t="str">
            <v>1405/02/27</v>
          </cell>
        </row>
        <row r="674">
          <cell r="B674" t="str">
            <v>قالب پژو 405 دیسکی</v>
          </cell>
          <cell r="C674" t="str">
            <v>قالب تعمیری</v>
          </cell>
          <cell r="N674" t="str">
            <v>مونتاژ</v>
          </cell>
          <cell r="AC674" t="str">
            <v>1405/02/27</v>
          </cell>
        </row>
        <row r="675">
          <cell r="B675" t="str">
            <v>Hammer Mill Machine</v>
          </cell>
          <cell r="C675" t="str">
            <v>دستگاه نو</v>
          </cell>
          <cell r="N675" t="str">
            <v>وایر</v>
          </cell>
          <cell r="AC675" t="str">
            <v>1405/02/27</v>
          </cell>
        </row>
        <row r="676">
          <cell r="B676" t="str">
            <v>ویوینگ</v>
          </cell>
          <cell r="C676" t="str">
            <v>قطعه تعمیری</v>
          </cell>
          <cell r="N676" t="str">
            <v>وایر</v>
          </cell>
          <cell r="AC676" t="str">
            <v>1405/02/27</v>
          </cell>
        </row>
        <row r="677">
          <cell r="B677" t="str">
            <v>برش جمعی عقب ریو</v>
          </cell>
          <cell r="C677" t="str">
            <v>قطعه نو</v>
          </cell>
          <cell r="N677" t="str">
            <v>وایر</v>
          </cell>
          <cell r="AC677" t="str">
            <v>1405/02/27</v>
          </cell>
        </row>
        <row r="678">
          <cell r="B678" t="str">
            <v>قالب پخت کلاچ پیکان</v>
          </cell>
          <cell r="C678" t="str">
            <v>قالب تعمیری</v>
          </cell>
          <cell r="N678" t="str">
            <v>وایر</v>
          </cell>
          <cell r="AC678" t="str">
            <v>1405/02/27</v>
          </cell>
        </row>
        <row r="679">
          <cell r="B679" t="str">
            <v>قالب پخت کلاچ پیکان</v>
          </cell>
          <cell r="C679" t="str">
            <v>قالب تعمیری</v>
          </cell>
          <cell r="N679" t="str">
            <v>تراش</v>
          </cell>
          <cell r="AC679" t="str">
            <v>1405/02/27</v>
          </cell>
        </row>
        <row r="680">
          <cell r="B680" t="str">
            <v>قالب پخت کلاچ پیکان</v>
          </cell>
          <cell r="C680" t="str">
            <v>قالب تعمیری</v>
          </cell>
          <cell r="N680" t="str">
            <v>تراش</v>
          </cell>
          <cell r="AC680" t="str">
            <v>1405/02/27</v>
          </cell>
        </row>
        <row r="681">
          <cell r="B681" t="str">
            <v>ویوینگ</v>
          </cell>
          <cell r="C681" t="str">
            <v>قطعه تعمیری</v>
          </cell>
          <cell r="N681" t="str">
            <v>تراش</v>
          </cell>
          <cell r="AC681" t="str">
            <v>1405/02/27</v>
          </cell>
        </row>
        <row r="682">
          <cell r="B682" t="str">
            <v>قالب پژو 405 دیسکی</v>
          </cell>
          <cell r="C682" t="str">
            <v>قالب تعمیری</v>
          </cell>
          <cell r="N682" t="str">
            <v>مونتاژ</v>
          </cell>
          <cell r="AC682" t="str">
            <v>1405/02/27</v>
          </cell>
        </row>
        <row r="683">
          <cell r="B683" t="str">
            <v>قالب پخت کلاچ پیکان آرژانتینی</v>
          </cell>
          <cell r="C683" t="str">
            <v>قالب تعمیری</v>
          </cell>
          <cell r="N683" t="str">
            <v>مونتاژ</v>
          </cell>
          <cell r="AC683" t="str">
            <v>1405/02/27</v>
          </cell>
        </row>
        <row r="684">
          <cell r="B684" t="str">
            <v>پخت کلاچ پراید</v>
          </cell>
          <cell r="C684" t="str">
            <v>قالب تعمیری</v>
          </cell>
          <cell r="N684" t="str">
            <v>مونتاژ</v>
          </cell>
          <cell r="AC684" t="str">
            <v>1405/02/27</v>
          </cell>
        </row>
        <row r="685">
          <cell r="B685" t="str">
            <v>قالب پخت کلاچ پیکان آرژانتینی</v>
          </cell>
          <cell r="C685" t="str">
            <v>قالب تعمیری</v>
          </cell>
          <cell r="N685" t="str">
            <v>مونتاژ</v>
          </cell>
          <cell r="AC685" t="str">
            <v>1405/02/27</v>
          </cell>
        </row>
        <row r="686">
          <cell r="B686" t="str">
            <v>قالب پژو 405 دیسکی</v>
          </cell>
          <cell r="C686" t="str">
            <v>قالب تعمیری</v>
          </cell>
          <cell r="N686" t="str">
            <v>مونتاژ</v>
          </cell>
          <cell r="AC686" t="str">
            <v>1405/02/27</v>
          </cell>
        </row>
        <row r="687">
          <cell r="B687" t="str">
            <v>قالب پخت کلاچ پیکان آرژانتینی</v>
          </cell>
          <cell r="C687" t="str">
            <v>قالب تعمیری</v>
          </cell>
          <cell r="N687" t="str">
            <v>مونتاژ</v>
          </cell>
          <cell r="AC687" t="str">
            <v>1405/02/27</v>
          </cell>
        </row>
        <row r="688">
          <cell r="B688" t="str">
            <v>پخت کلاچ پراید</v>
          </cell>
          <cell r="C688" t="str">
            <v>قالب تعمیری</v>
          </cell>
          <cell r="N688" t="str">
            <v>مونتاژ</v>
          </cell>
          <cell r="AC688" t="str">
            <v>1405/02/27</v>
          </cell>
        </row>
        <row r="689">
          <cell r="B689" t="str">
            <v>قالب پخت کلاچ پیکان آرژانتینی</v>
          </cell>
          <cell r="C689" t="str">
            <v>قالب تعمیری</v>
          </cell>
          <cell r="N689" t="str">
            <v>مونتاژ</v>
          </cell>
          <cell r="AC689" t="str">
            <v>1405/02/27</v>
          </cell>
        </row>
        <row r="690">
          <cell r="B690" t="str">
            <v>دستگاه پشم فلز آلمانی</v>
          </cell>
          <cell r="C690" t="str">
            <v>قطعه نو</v>
          </cell>
          <cell r="N690" t="str">
            <v>CNC</v>
          </cell>
          <cell r="AC690" t="str">
            <v>1405/02/28</v>
          </cell>
        </row>
        <row r="691">
          <cell r="B691" t="str">
            <v>دستگاه پشم فلز آلمانی</v>
          </cell>
          <cell r="C691" t="str">
            <v>قطعه نو</v>
          </cell>
          <cell r="N691" t="str">
            <v>فرز</v>
          </cell>
          <cell r="AC691" t="str">
            <v>1405/02/28</v>
          </cell>
        </row>
        <row r="692">
          <cell r="B692" t="str">
            <v>دستگاه پشم فلز آلمانی</v>
          </cell>
          <cell r="C692" t="str">
            <v>قطعه نو</v>
          </cell>
          <cell r="N692" t="str">
            <v>فرز</v>
          </cell>
          <cell r="AC692" t="str">
            <v>1405/02/28</v>
          </cell>
        </row>
        <row r="693">
          <cell r="B693" t="str">
            <v>قالب عقب F12</v>
          </cell>
          <cell r="C693" t="str">
            <v>قالب نو</v>
          </cell>
          <cell r="N693" t="str">
            <v>فرز</v>
          </cell>
          <cell r="AC693" t="str">
            <v>1405/02/28</v>
          </cell>
        </row>
        <row r="694">
          <cell r="B694" t="str">
            <v>قالب عقب F12</v>
          </cell>
          <cell r="C694" t="str">
            <v>قالب نو</v>
          </cell>
          <cell r="N694" t="str">
            <v>فرز</v>
          </cell>
          <cell r="AC694" t="str">
            <v>1405/02/28</v>
          </cell>
        </row>
        <row r="695">
          <cell r="B695" t="str">
            <v>سنگ 7502</v>
          </cell>
          <cell r="C695" t="str">
            <v>دستگاه تعمیری</v>
          </cell>
          <cell r="N695" t="str">
            <v>مونتاژ</v>
          </cell>
          <cell r="AC695" t="str">
            <v>1405/02/28</v>
          </cell>
        </row>
        <row r="696">
          <cell r="B696" t="str">
            <v>قالب پخت کلاچ پژو 405</v>
          </cell>
          <cell r="C696" t="str">
            <v>قالب تعمیری</v>
          </cell>
          <cell r="N696" t="str">
            <v>سنگ زنی</v>
          </cell>
          <cell r="AC696" t="str">
            <v>1405/02/28</v>
          </cell>
        </row>
        <row r="697">
          <cell r="B697" t="str">
            <v>دستگاه پشم فلز چینی</v>
          </cell>
          <cell r="C697" t="str">
            <v>قطعه نو</v>
          </cell>
          <cell r="N697" t="str">
            <v>مونتاژ</v>
          </cell>
          <cell r="AC697" t="str">
            <v>1405/02/28</v>
          </cell>
        </row>
        <row r="698">
          <cell r="B698" t="str">
            <v>تراش 7303</v>
          </cell>
          <cell r="C698" t="str">
            <v>دستگاه تعمیری</v>
          </cell>
          <cell r="N698" t="str">
            <v>مونتاژ</v>
          </cell>
          <cell r="AC698" t="str">
            <v>1405/02/28</v>
          </cell>
        </row>
        <row r="699">
          <cell r="B699" t="str">
            <v>پین عقب پژو 405</v>
          </cell>
          <cell r="C699" t="str">
            <v>قطعه نو</v>
          </cell>
          <cell r="N699" t="str">
            <v>سری تراش</v>
          </cell>
          <cell r="AC699" t="str">
            <v>1405/02/28</v>
          </cell>
        </row>
        <row r="700">
          <cell r="B700" t="str">
            <v>ابزار زنی</v>
          </cell>
          <cell r="C700" t="str">
            <v>قطعه نو</v>
          </cell>
          <cell r="N700" t="str">
            <v>تراش</v>
          </cell>
          <cell r="AC700" t="str">
            <v>1405/02/28</v>
          </cell>
        </row>
        <row r="701">
          <cell r="B701" t="str">
            <v>برش جمعی عقب ریو</v>
          </cell>
          <cell r="C701" t="str">
            <v>قطعه نو</v>
          </cell>
          <cell r="N701" t="str">
            <v>تراش</v>
          </cell>
          <cell r="AC701" t="str">
            <v>1405/02/28</v>
          </cell>
        </row>
        <row r="702">
          <cell r="B702" t="str">
            <v>قالب پخت کلاچ پژو 405</v>
          </cell>
          <cell r="C702" t="str">
            <v>قالب تعمیری</v>
          </cell>
          <cell r="N702" t="str">
            <v>تراش</v>
          </cell>
          <cell r="AC702" t="str">
            <v>1405/02/28</v>
          </cell>
        </row>
        <row r="703">
          <cell r="B703" t="str">
            <v>کولر</v>
          </cell>
          <cell r="C703" t="str">
            <v>دستگاه تعمیری</v>
          </cell>
          <cell r="N703" t="str">
            <v>مونتاژ</v>
          </cell>
          <cell r="AC703" t="str">
            <v>1405/02/28</v>
          </cell>
        </row>
        <row r="704">
          <cell r="B704" t="str">
            <v>دستگاه پخ زنی</v>
          </cell>
          <cell r="C704" t="str">
            <v>دستگاه تعمیری</v>
          </cell>
          <cell r="N704" t="str">
            <v>مونتاژ</v>
          </cell>
          <cell r="AC704" t="str">
            <v>1405/02/28</v>
          </cell>
        </row>
        <row r="705">
          <cell r="B705" t="str">
            <v>ساب کونیک</v>
          </cell>
          <cell r="C705" t="str">
            <v>قطعه تعمیری</v>
          </cell>
          <cell r="N705" t="str">
            <v>تراش</v>
          </cell>
          <cell r="AC705" t="str">
            <v>1405/02/28</v>
          </cell>
        </row>
        <row r="706">
          <cell r="B706" t="str">
            <v>ساب الماسه</v>
          </cell>
          <cell r="C706" t="str">
            <v>قطعه تعمیری</v>
          </cell>
          <cell r="N706" t="str">
            <v>تراش</v>
          </cell>
          <cell r="AC706" t="str">
            <v>1405/02/28</v>
          </cell>
        </row>
        <row r="707">
          <cell r="B707" t="str">
            <v xml:space="preserve">کنترل شعاع عقب </v>
          </cell>
          <cell r="C707" t="str">
            <v>قطعه نو</v>
          </cell>
          <cell r="N707" t="str">
            <v>تراش</v>
          </cell>
          <cell r="AC707" t="str">
            <v>1405/02/28</v>
          </cell>
        </row>
        <row r="708">
          <cell r="B708" t="str">
            <v>کولر</v>
          </cell>
          <cell r="C708" t="str">
            <v>دستگاه تعمیری</v>
          </cell>
          <cell r="N708" t="str">
            <v>مونتاژ</v>
          </cell>
          <cell r="AC708" t="str">
            <v>1405/02/28</v>
          </cell>
        </row>
        <row r="709">
          <cell r="B709" t="str">
            <v>دریل ابزار زنی</v>
          </cell>
          <cell r="C709" t="str">
            <v>قطعه نو</v>
          </cell>
          <cell r="N709" t="str">
            <v>تراش</v>
          </cell>
          <cell r="AC709" t="str">
            <v>1405/02/28</v>
          </cell>
        </row>
        <row r="710">
          <cell r="B710" t="str">
            <v>قالب پخت کلاچ پژو 405</v>
          </cell>
          <cell r="C710" t="str">
            <v>قالب تعمیری</v>
          </cell>
          <cell r="N710" t="str">
            <v>CNC</v>
          </cell>
          <cell r="AC710" t="str">
            <v>1405/02/28</v>
          </cell>
        </row>
        <row r="711">
          <cell r="B711" t="str">
            <v>پخت کلاچ پراید</v>
          </cell>
          <cell r="C711" t="str">
            <v>قالب تعمیری</v>
          </cell>
          <cell r="N711" t="str">
            <v>CNC</v>
          </cell>
          <cell r="AC711" t="str">
            <v>1405/02/28</v>
          </cell>
        </row>
        <row r="712">
          <cell r="B712" t="str">
            <v>Hammer Mill Machine</v>
          </cell>
          <cell r="C712" t="str">
            <v>دستگاه نو</v>
          </cell>
          <cell r="N712" t="str">
            <v>CNC</v>
          </cell>
          <cell r="AC712" t="str">
            <v>1405/02/28</v>
          </cell>
        </row>
        <row r="713">
          <cell r="B713" t="str">
            <v>Hammer Mill Machine</v>
          </cell>
          <cell r="C713" t="str">
            <v>دستگاه نو</v>
          </cell>
          <cell r="N713" t="str">
            <v>وایر</v>
          </cell>
          <cell r="AC713" t="str">
            <v>1405/02/28</v>
          </cell>
        </row>
        <row r="714">
          <cell r="B714" t="str">
            <v>Hammer Mill Machine</v>
          </cell>
          <cell r="C714" t="str">
            <v>دستگاه نو</v>
          </cell>
          <cell r="N714" t="str">
            <v>وایر</v>
          </cell>
          <cell r="AC714" t="str">
            <v>1405/02/28</v>
          </cell>
        </row>
        <row r="715">
          <cell r="B715" t="str">
            <v>برش جمعی عقب ریو</v>
          </cell>
          <cell r="C715" t="str">
            <v>قطعه نو</v>
          </cell>
          <cell r="N715" t="str">
            <v>وایر</v>
          </cell>
          <cell r="AC715" t="str">
            <v>1405/02/28</v>
          </cell>
        </row>
        <row r="716">
          <cell r="B716" t="str">
            <v>لنت دنیای مس</v>
          </cell>
          <cell r="C716" t="str">
            <v>قطعه نو</v>
          </cell>
          <cell r="N716" t="str">
            <v>وایر</v>
          </cell>
          <cell r="AC716" t="str">
            <v>1405/02/28</v>
          </cell>
        </row>
        <row r="717">
          <cell r="B717" t="str">
            <v>قالب پخت کلاچ پیکان</v>
          </cell>
          <cell r="C717" t="str">
            <v>قالب تعمیری</v>
          </cell>
          <cell r="N717" t="str">
            <v>وایر</v>
          </cell>
          <cell r="AC717" t="str">
            <v>1405/02/28</v>
          </cell>
        </row>
        <row r="718">
          <cell r="B718" t="str">
            <v>دستگاه پشم فلز آلمانی</v>
          </cell>
          <cell r="C718" t="str">
            <v>قطعه نو</v>
          </cell>
          <cell r="N718" t="str">
            <v>فرز</v>
          </cell>
          <cell r="AC718" t="str">
            <v>1405/02/29</v>
          </cell>
        </row>
        <row r="719">
          <cell r="B719" t="str">
            <v>Hammer Mill Machine</v>
          </cell>
          <cell r="C719" t="str">
            <v>دستگاه نو</v>
          </cell>
          <cell r="N719" t="str">
            <v>CNC</v>
          </cell>
          <cell r="AC719" t="str">
            <v>1405/02/29</v>
          </cell>
        </row>
        <row r="720">
          <cell r="B720" t="str">
            <v>قالب پخت کلاچ پیکان</v>
          </cell>
          <cell r="C720" t="str">
            <v>قالب تعمیری</v>
          </cell>
          <cell r="N720" t="str">
            <v>تراش</v>
          </cell>
          <cell r="AC720" t="str">
            <v>1405/02/29</v>
          </cell>
        </row>
        <row r="721">
          <cell r="B721" t="str">
            <v>پخت کلاچ پراید</v>
          </cell>
          <cell r="C721" t="str">
            <v>قالب تعمیری</v>
          </cell>
          <cell r="N721" t="str">
            <v>تراش</v>
          </cell>
          <cell r="AC721" t="str">
            <v>1405/02/29</v>
          </cell>
        </row>
        <row r="722">
          <cell r="B722" t="str">
            <v>پخت کلاچ پراید</v>
          </cell>
          <cell r="C722" t="str">
            <v>قالب تعمیری</v>
          </cell>
          <cell r="N722" t="str">
            <v>CNC</v>
          </cell>
          <cell r="AC722" t="str">
            <v>1405/02/29</v>
          </cell>
        </row>
        <row r="723">
          <cell r="B723" t="str">
            <v>Hammer Mill Machine</v>
          </cell>
          <cell r="C723" t="str">
            <v>دستگاه نو</v>
          </cell>
          <cell r="N723" t="str">
            <v>CNC</v>
          </cell>
          <cell r="AC723" t="str">
            <v>1405/02/29</v>
          </cell>
        </row>
        <row r="724">
          <cell r="B724" t="str">
            <v>قالب عقب F12</v>
          </cell>
          <cell r="C724" t="str">
            <v>قالب نو</v>
          </cell>
          <cell r="N724" t="str">
            <v>فرز</v>
          </cell>
          <cell r="AC724" t="str">
            <v>1405/02/29</v>
          </cell>
        </row>
        <row r="725">
          <cell r="B725" t="str">
            <v>بمبوری</v>
          </cell>
          <cell r="C725" t="str">
            <v>قطعه تعمیری</v>
          </cell>
          <cell r="N725" t="str">
            <v>فرز</v>
          </cell>
          <cell r="AC725" t="str">
            <v>1405/02/29</v>
          </cell>
        </row>
        <row r="726">
          <cell r="B726" t="str">
            <v>دستگاه پشم فلز آلمانی</v>
          </cell>
          <cell r="C726" t="str">
            <v>قطعه نو</v>
          </cell>
          <cell r="N726" t="str">
            <v>فرز</v>
          </cell>
          <cell r="AC726" t="str">
            <v>1405/02/29</v>
          </cell>
        </row>
        <row r="727">
          <cell r="B727" t="str">
            <v>ابزار زنی</v>
          </cell>
          <cell r="C727" t="str">
            <v>قطعه نو</v>
          </cell>
          <cell r="N727" t="str">
            <v>فرز</v>
          </cell>
          <cell r="AC727" t="str">
            <v>1405/02/29</v>
          </cell>
        </row>
        <row r="728">
          <cell r="B728" t="str">
            <v>برش جمعی عقب ریو</v>
          </cell>
          <cell r="C728" t="str">
            <v>قطعه نو</v>
          </cell>
          <cell r="N728" t="str">
            <v>فرز</v>
          </cell>
          <cell r="AC728" t="str">
            <v>1405/02/29</v>
          </cell>
        </row>
        <row r="729">
          <cell r="B729" t="str">
            <v>قالب پخت کلاچ پژو 405</v>
          </cell>
          <cell r="C729" t="str">
            <v>قالب تعمیری</v>
          </cell>
          <cell r="N729" t="str">
            <v>سنگ زنی</v>
          </cell>
          <cell r="AC729" t="str">
            <v>1405/02/29</v>
          </cell>
        </row>
        <row r="730">
          <cell r="B730" t="str">
            <v>قالب پراید خاردار</v>
          </cell>
          <cell r="C730" t="str">
            <v>قالب تعمیری</v>
          </cell>
          <cell r="N730" t="str">
            <v>سنگ زنی</v>
          </cell>
          <cell r="AC730" t="str">
            <v>1405/02/29</v>
          </cell>
        </row>
        <row r="731">
          <cell r="B731" t="str">
            <v>Hammer Mill Machine</v>
          </cell>
          <cell r="C731" t="str">
            <v>دستگاه نو</v>
          </cell>
          <cell r="N731" t="str">
            <v>سنگ زنی</v>
          </cell>
          <cell r="AC731" t="str">
            <v>1405/02/29</v>
          </cell>
        </row>
        <row r="732">
          <cell r="B732" t="str">
            <v>قالب نیسان آریا</v>
          </cell>
          <cell r="C732" t="str">
            <v>قالب تعمیری</v>
          </cell>
          <cell r="N732" t="str">
            <v>مونتاژ</v>
          </cell>
          <cell r="AC732" t="str">
            <v>1405/02/29</v>
          </cell>
        </row>
        <row r="733">
          <cell r="B733" t="str">
            <v>پین عقب پژو 405</v>
          </cell>
          <cell r="C733" t="str">
            <v>قطعه نو</v>
          </cell>
          <cell r="N733" t="str">
            <v>سری تراش</v>
          </cell>
          <cell r="AC733" t="str">
            <v>1405/02/29</v>
          </cell>
        </row>
        <row r="734">
          <cell r="B734" t="str">
            <v>دستگاه پشم فلز چینی</v>
          </cell>
          <cell r="C734" t="str">
            <v>قطعه نو</v>
          </cell>
          <cell r="N734" t="str">
            <v>مونتاژ</v>
          </cell>
          <cell r="AC734" t="str">
            <v>1405/02/29</v>
          </cell>
        </row>
        <row r="735">
          <cell r="B735" t="str">
            <v>Hammer Mill Machine</v>
          </cell>
          <cell r="C735" t="str">
            <v>دستگاه نو</v>
          </cell>
          <cell r="N735" t="str">
            <v>اره لنگ</v>
          </cell>
          <cell r="AC735" t="str">
            <v>1405/02/29</v>
          </cell>
        </row>
        <row r="736">
          <cell r="B736" t="str">
            <v>پرس پخت</v>
          </cell>
          <cell r="C736" t="str">
            <v>قطعه نو</v>
          </cell>
          <cell r="N736" t="str">
            <v>اره لنگ</v>
          </cell>
          <cell r="AC736" t="str">
            <v>1405/02/29</v>
          </cell>
        </row>
        <row r="737">
          <cell r="B737" t="str">
            <v>پرس پخت</v>
          </cell>
          <cell r="C737" t="str">
            <v>قطعه نو</v>
          </cell>
          <cell r="N737" t="str">
            <v>مونتاژ</v>
          </cell>
          <cell r="AC737" t="str">
            <v>1405/02/29</v>
          </cell>
        </row>
        <row r="738">
          <cell r="B738" t="str">
            <v>ابزار زنی</v>
          </cell>
          <cell r="C738" t="str">
            <v>قطعه نو</v>
          </cell>
          <cell r="N738" t="str">
            <v>اره لنگ</v>
          </cell>
          <cell r="AC738" t="str">
            <v>1405/02/29</v>
          </cell>
        </row>
        <row r="739">
          <cell r="B739" t="str">
            <v>برش جمعی عقب ریو</v>
          </cell>
          <cell r="C739" t="str">
            <v>قطعه نو</v>
          </cell>
          <cell r="N739" t="str">
            <v>مونتاژ</v>
          </cell>
          <cell r="AC739" t="str">
            <v>1405/02/29</v>
          </cell>
        </row>
        <row r="740">
          <cell r="B740" t="str">
            <v>پرس پخت</v>
          </cell>
          <cell r="C740" t="str">
            <v>قطعه نو</v>
          </cell>
          <cell r="N740" t="str">
            <v>تراش</v>
          </cell>
          <cell r="AC740" t="str">
            <v>1405/02/29</v>
          </cell>
        </row>
        <row r="741">
          <cell r="B741" t="str">
            <v>آغشته کاری</v>
          </cell>
          <cell r="C741" t="str">
            <v>قطعه تعمیری</v>
          </cell>
          <cell r="N741" t="str">
            <v>تراش</v>
          </cell>
          <cell r="AC741" t="str">
            <v>1405/02/29</v>
          </cell>
        </row>
        <row r="742">
          <cell r="B742" t="str">
            <v xml:space="preserve">کنترل شعاع عقب </v>
          </cell>
          <cell r="C742" t="str">
            <v>قطعه نو</v>
          </cell>
          <cell r="N742" t="str">
            <v>تراش</v>
          </cell>
          <cell r="AC742" t="str">
            <v>1405/02/29</v>
          </cell>
        </row>
        <row r="743">
          <cell r="B743" t="str">
            <v>ویوینگ</v>
          </cell>
          <cell r="C743" t="str">
            <v>قطعه تعمیری</v>
          </cell>
          <cell r="N743" t="str">
            <v>تراش</v>
          </cell>
          <cell r="AC743" t="str">
            <v>1405/02/29</v>
          </cell>
        </row>
        <row r="744">
          <cell r="B744" t="str">
            <v>ویوینگ</v>
          </cell>
          <cell r="C744" t="str">
            <v>قطعه تعمیری</v>
          </cell>
          <cell r="N744" t="str">
            <v>تراش</v>
          </cell>
          <cell r="AC744" t="str">
            <v>1405/02/29</v>
          </cell>
        </row>
        <row r="745">
          <cell r="B745" t="str">
            <v>Hammer Mill Machine</v>
          </cell>
          <cell r="C745" t="str">
            <v>دستگاه نو</v>
          </cell>
          <cell r="N745" t="str">
            <v>وایر</v>
          </cell>
          <cell r="AC745" t="str">
            <v>1405/02/29</v>
          </cell>
        </row>
        <row r="746">
          <cell r="B746" t="str">
            <v>Hammer Mill Machine</v>
          </cell>
          <cell r="C746" t="str">
            <v>دستگاه نو</v>
          </cell>
          <cell r="N746" t="str">
            <v>وایر</v>
          </cell>
          <cell r="AC746" t="str">
            <v>1405/02/29</v>
          </cell>
        </row>
        <row r="747">
          <cell r="B747" t="str">
            <v>قالب پخت کلاچ پیکان</v>
          </cell>
          <cell r="C747" t="str">
            <v>قالب تعمیری</v>
          </cell>
          <cell r="N747" t="str">
            <v>وایر</v>
          </cell>
          <cell r="AC747" t="str">
            <v>1405/02/29</v>
          </cell>
        </row>
        <row r="748">
          <cell r="B748" t="str">
            <v>ویوینگ</v>
          </cell>
          <cell r="C748" t="str">
            <v>قطعه تعمیری</v>
          </cell>
          <cell r="N748" t="str">
            <v>وایر</v>
          </cell>
          <cell r="AC748" t="str">
            <v>1405/02/29</v>
          </cell>
        </row>
        <row r="749">
          <cell r="B749" t="str">
            <v>ساب کونیک</v>
          </cell>
          <cell r="C749" t="str">
            <v>قطعه تعمیری</v>
          </cell>
          <cell r="N749" t="str">
            <v>وایر</v>
          </cell>
          <cell r="AC749" t="str">
            <v>1405/02/29</v>
          </cell>
        </row>
        <row r="750">
          <cell r="B750" t="str">
            <v>Hammer Mill Machine</v>
          </cell>
          <cell r="C750" t="str">
            <v>دستگاه نو</v>
          </cell>
          <cell r="N750" t="str">
            <v>سنگ زنی</v>
          </cell>
          <cell r="AC750" t="str">
            <v>1405/02/30</v>
          </cell>
        </row>
        <row r="751">
          <cell r="B751" t="str">
            <v>دستگاه پشم فلز آلمانی</v>
          </cell>
          <cell r="C751" t="str">
            <v>قطعه نو</v>
          </cell>
          <cell r="N751" t="str">
            <v>فرز</v>
          </cell>
          <cell r="AC751" t="str">
            <v>1405/02/30</v>
          </cell>
        </row>
        <row r="752">
          <cell r="B752" t="str">
            <v>بمبوری</v>
          </cell>
          <cell r="C752" t="str">
            <v>قطعه تعمیری</v>
          </cell>
          <cell r="N752" t="str">
            <v>فرز</v>
          </cell>
          <cell r="AC752" t="str">
            <v>1405/02/30</v>
          </cell>
        </row>
        <row r="753">
          <cell r="B753" t="str">
            <v>قالب پخت کلاچ پیکان</v>
          </cell>
          <cell r="C753" t="str">
            <v>قالب تعمیری</v>
          </cell>
          <cell r="N753" t="str">
            <v>CNC</v>
          </cell>
          <cell r="AC753" t="str">
            <v>1405/02/30</v>
          </cell>
        </row>
        <row r="754">
          <cell r="B754" t="str">
            <v>پخت کلاچ پراید</v>
          </cell>
          <cell r="C754" t="str">
            <v>قالب تعمیری</v>
          </cell>
          <cell r="N754" t="str">
            <v>CNC</v>
          </cell>
          <cell r="AC754" t="str">
            <v>1405/02/30</v>
          </cell>
        </row>
        <row r="755">
          <cell r="B755" t="str">
            <v>قالب پخت کلاچ پژو 405</v>
          </cell>
          <cell r="C755" t="str">
            <v>قالب تعمیری</v>
          </cell>
          <cell r="N755" t="str">
            <v>CNC</v>
          </cell>
          <cell r="AC755" t="str">
            <v>1405/02/30</v>
          </cell>
        </row>
        <row r="756">
          <cell r="B756" t="str">
            <v>پخت کلاچ پراید</v>
          </cell>
          <cell r="C756" t="str">
            <v>قالب تعمیری</v>
          </cell>
          <cell r="N756" t="str">
            <v>تراش</v>
          </cell>
          <cell r="AC756" t="str">
            <v>1405/02/30</v>
          </cell>
        </row>
        <row r="757">
          <cell r="B757" t="str">
            <v>Hammer Mill Machine</v>
          </cell>
          <cell r="C757" t="str">
            <v>دستگاه نو</v>
          </cell>
          <cell r="N757" t="str">
            <v>وایر</v>
          </cell>
          <cell r="AC757" t="str">
            <v>1405/02/30</v>
          </cell>
        </row>
        <row r="758">
          <cell r="B758" t="str">
            <v>Hammer Mill Machine</v>
          </cell>
          <cell r="C758" t="str">
            <v>دستگاه نو</v>
          </cell>
          <cell r="N758" t="str">
            <v>وایر</v>
          </cell>
          <cell r="AC758" t="str">
            <v>1405/02/30</v>
          </cell>
        </row>
        <row r="759">
          <cell r="B759" t="str">
            <v>دستگاه ساب</v>
          </cell>
          <cell r="C759" t="str">
            <v>قطعه تعمیری</v>
          </cell>
          <cell r="N759" t="str">
            <v>وایر</v>
          </cell>
          <cell r="AC759" t="str">
            <v>1405/02/30</v>
          </cell>
        </row>
        <row r="760">
          <cell r="B760" t="str">
            <v>پخت کلاچ پراید</v>
          </cell>
          <cell r="C760" t="str">
            <v>قالب تعمیری</v>
          </cell>
          <cell r="N760" t="str">
            <v>وایر</v>
          </cell>
          <cell r="AC760" t="str">
            <v>1405/02/30</v>
          </cell>
        </row>
        <row r="761">
          <cell r="B761" t="str">
            <v>پخت کلاچ پراید</v>
          </cell>
          <cell r="C761" t="str">
            <v>قالب تعمیری</v>
          </cell>
          <cell r="N761" t="str">
            <v>تراش</v>
          </cell>
          <cell r="AC761" t="str">
            <v>1405/02/30</v>
          </cell>
        </row>
        <row r="762">
          <cell r="B762" t="str">
            <v>سینی نهار خوری</v>
          </cell>
          <cell r="C762" t="str">
            <v>قطعه نو</v>
          </cell>
          <cell r="N762" t="str">
            <v>تراش</v>
          </cell>
          <cell r="AC762" t="str">
            <v>1405/02/30</v>
          </cell>
        </row>
        <row r="763">
          <cell r="B763" t="str">
            <v>برش جمعی عقب ریو</v>
          </cell>
          <cell r="C763" t="str">
            <v>قطعه نو</v>
          </cell>
          <cell r="N763" t="str">
            <v>مونتاژ</v>
          </cell>
          <cell r="AC763" t="str">
            <v>1405/02/30</v>
          </cell>
        </row>
        <row r="764">
          <cell r="B764" t="str">
            <v>قالب پراید خاردار</v>
          </cell>
          <cell r="C764" t="str">
            <v>قالب تعمیری</v>
          </cell>
          <cell r="N764" t="str">
            <v>مونتاژ</v>
          </cell>
          <cell r="AC764" t="str">
            <v>1405/02/30</v>
          </cell>
        </row>
        <row r="765">
          <cell r="B765" t="str">
            <v>دستگاه پشم فلز چینی</v>
          </cell>
          <cell r="C765" t="str">
            <v>قطعه نو</v>
          </cell>
          <cell r="N765" t="str">
            <v>اره لنگ</v>
          </cell>
          <cell r="AC765" t="str">
            <v>1405/02/30</v>
          </cell>
        </row>
        <row r="766">
          <cell r="B766" t="str">
            <v>پخت کلاچ پراید</v>
          </cell>
          <cell r="C766" t="str">
            <v>قالب تعمیری</v>
          </cell>
          <cell r="N766" t="str">
            <v>اره لنگ</v>
          </cell>
          <cell r="AC766" t="str">
            <v>1405/02/30</v>
          </cell>
        </row>
        <row r="767">
          <cell r="B767" t="str">
            <v>پخت کلاچ پراید</v>
          </cell>
          <cell r="C767" t="str">
            <v>قالب تعمیری</v>
          </cell>
          <cell r="N767" t="str">
            <v>مونتاژ</v>
          </cell>
          <cell r="AC767" t="str">
            <v>1405/02/30</v>
          </cell>
        </row>
        <row r="768">
          <cell r="B768" t="str">
            <v>دستگاه پشم فلز چینی</v>
          </cell>
          <cell r="C768" t="str">
            <v>قطعه نو</v>
          </cell>
          <cell r="N768" t="str">
            <v>تراش</v>
          </cell>
          <cell r="AC768" t="str">
            <v>1405/02/30</v>
          </cell>
        </row>
        <row r="769">
          <cell r="B769" t="str">
            <v>دستگاه پشم فلز چینی</v>
          </cell>
          <cell r="C769" t="str">
            <v>قطعه نو</v>
          </cell>
          <cell r="N769" t="str">
            <v>تراش</v>
          </cell>
          <cell r="AC769" t="str">
            <v>1405/02/30</v>
          </cell>
        </row>
        <row r="770">
          <cell r="B770" t="str">
            <v>بمبوری</v>
          </cell>
          <cell r="C770" t="str">
            <v>قطعه تعمیری</v>
          </cell>
          <cell r="N770" t="str">
            <v>فرز</v>
          </cell>
          <cell r="AC770" t="str">
            <v>1405/02/31</v>
          </cell>
        </row>
        <row r="771">
          <cell r="B771" t="str">
            <v>Hammer Mill Machine</v>
          </cell>
          <cell r="C771" t="str">
            <v>دستگاه نو</v>
          </cell>
          <cell r="N771" t="str">
            <v>فرز</v>
          </cell>
          <cell r="AC771" t="str">
            <v>1405/02/31</v>
          </cell>
        </row>
        <row r="772">
          <cell r="B772" t="str">
            <v>پخت کلاچ پراید</v>
          </cell>
          <cell r="C772" t="str">
            <v>قالب تعمیری</v>
          </cell>
          <cell r="N772" t="str">
            <v>وایر</v>
          </cell>
          <cell r="AC772" t="str">
            <v>1405/02/31</v>
          </cell>
        </row>
        <row r="773">
          <cell r="B773" t="str">
            <v>برش قطاری</v>
          </cell>
          <cell r="C773" t="str">
            <v>قالب تعمیری</v>
          </cell>
          <cell r="N773" t="str">
            <v>وایر</v>
          </cell>
          <cell r="AC773" t="str">
            <v>1405/02/31</v>
          </cell>
        </row>
        <row r="774">
          <cell r="B774" t="str">
            <v>قالب پخت کلاچ پیکان آرژانتینی</v>
          </cell>
          <cell r="C774" t="str">
            <v>قالب تعمیری</v>
          </cell>
          <cell r="N774" t="str">
            <v>وایر</v>
          </cell>
          <cell r="AC774" t="str">
            <v>1405/02/31</v>
          </cell>
        </row>
        <row r="775">
          <cell r="B775" t="str">
            <v>پخت کلاچ پراید</v>
          </cell>
          <cell r="C775" t="str">
            <v>قالب تعمیری</v>
          </cell>
          <cell r="N775" t="str">
            <v>وایر</v>
          </cell>
          <cell r="AC775" t="str">
            <v>1405/02/31</v>
          </cell>
        </row>
        <row r="776">
          <cell r="B776" t="str">
            <v>Hammer Mill Machine</v>
          </cell>
          <cell r="C776" t="str">
            <v>دستگاه نو</v>
          </cell>
          <cell r="N776" t="str">
            <v>وایر</v>
          </cell>
          <cell r="AC776" t="str">
            <v>1405/02/31</v>
          </cell>
        </row>
        <row r="777">
          <cell r="B777" t="str">
            <v>دستگاه ساب</v>
          </cell>
          <cell r="C777" t="str">
            <v>قطعه تعمیری</v>
          </cell>
          <cell r="N777" t="str">
            <v>وایر</v>
          </cell>
          <cell r="AC777" t="str">
            <v>1405/02/31</v>
          </cell>
        </row>
        <row r="778">
          <cell r="B778" t="str">
            <v>ویوینگ</v>
          </cell>
          <cell r="C778" t="str">
            <v>قطعه تعمیری</v>
          </cell>
          <cell r="N778" t="str">
            <v>وایر</v>
          </cell>
          <cell r="AC778" t="str">
            <v>1405/02/31</v>
          </cell>
        </row>
        <row r="779">
          <cell r="B779" t="str">
            <v>قالب پخت کلاچ پیکان</v>
          </cell>
          <cell r="C779" t="str">
            <v>قالب تعمیری</v>
          </cell>
          <cell r="N779" t="str">
            <v>تراش</v>
          </cell>
          <cell r="AC779" t="str">
            <v>1405/02/31</v>
          </cell>
        </row>
        <row r="780">
          <cell r="B780" t="str">
            <v>اصول 5S</v>
          </cell>
          <cell r="C780" t="str">
            <v>نظافت</v>
          </cell>
          <cell r="N780" t="str">
            <v>نظافت</v>
          </cell>
          <cell r="AC780" t="str">
            <v>1405/02/31</v>
          </cell>
        </row>
        <row r="781">
          <cell r="B781" t="str">
            <v>Hammer Mill Machine</v>
          </cell>
          <cell r="C781" t="str">
            <v>دستگاه نو</v>
          </cell>
          <cell r="N781" t="str">
            <v>سنگ زنی</v>
          </cell>
          <cell r="AC781" t="str">
            <v>1405/02/31</v>
          </cell>
        </row>
        <row r="782">
          <cell r="B782" t="str">
            <v>اصول 5S</v>
          </cell>
          <cell r="C782" t="str">
            <v>نظافت</v>
          </cell>
          <cell r="N782" t="str">
            <v>نظافت</v>
          </cell>
          <cell r="AC782" t="str">
            <v>1405/02/31</v>
          </cell>
        </row>
        <row r="783">
          <cell r="B783" t="str">
            <v xml:space="preserve">عقب پژو 405 </v>
          </cell>
          <cell r="C783" t="str">
            <v>قالب تعمیری</v>
          </cell>
          <cell r="N783" t="str">
            <v>مونتاژ</v>
          </cell>
          <cell r="AC783" t="str">
            <v>1405/02/31</v>
          </cell>
        </row>
        <row r="784">
          <cell r="B784" t="str">
            <v>قالب پراید خاردار</v>
          </cell>
          <cell r="C784" t="str">
            <v>قالب تعمیری</v>
          </cell>
          <cell r="N784" t="str">
            <v>مونتاژ</v>
          </cell>
          <cell r="AC784" t="str">
            <v>1405/02/31</v>
          </cell>
        </row>
        <row r="785">
          <cell r="B785" t="str">
            <v>اصول 5S</v>
          </cell>
          <cell r="C785" t="str">
            <v>نظافت</v>
          </cell>
          <cell r="N785" t="str">
            <v>نظافت</v>
          </cell>
          <cell r="AC785" t="str">
            <v>1405/02/31</v>
          </cell>
        </row>
        <row r="786">
          <cell r="B786" t="str">
            <v>قالب عقب F12</v>
          </cell>
          <cell r="C786" t="str">
            <v>قالب نو</v>
          </cell>
          <cell r="N786" t="str">
            <v>فرز</v>
          </cell>
          <cell r="AC786" t="str">
            <v>1405/02/31</v>
          </cell>
        </row>
        <row r="787">
          <cell r="B787" t="str">
            <v>اصول 5S</v>
          </cell>
          <cell r="C787" t="str">
            <v>نظافت</v>
          </cell>
          <cell r="N787" t="str">
            <v>نظافت</v>
          </cell>
          <cell r="AC787" t="str">
            <v>1405/02/31</v>
          </cell>
        </row>
        <row r="788">
          <cell r="B788" t="str">
            <v>ویوینگ</v>
          </cell>
          <cell r="C788" t="str">
            <v>قطعه نو</v>
          </cell>
          <cell r="N788" t="str">
            <v>تراش</v>
          </cell>
          <cell r="AC788" t="str">
            <v>1405/02/31</v>
          </cell>
        </row>
        <row r="789">
          <cell r="B789" t="str">
            <v>ساب کونیک</v>
          </cell>
          <cell r="C789" t="str">
            <v>قطعه نو</v>
          </cell>
          <cell r="N789" t="str">
            <v>تراش</v>
          </cell>
          <cell r="AC789" t="str">
            <v>1405/02/31</v>
          </cell>
        </row>
        <row r="790">
          <cell r="B790" t="str">
            <v>پخت کلاچ پراید</v>
          </cell>
          <cell r="C790" t="str">
            <v>قالب تعمیری</v>
          </cell>
          <cell r="N790" t="str">
            <v>تراش</v>
          </cell>
          <cell r="AC790" t="str">
            <v>1405/02/31</v>
          </cell>
        </row>
        <row r="791">
          <cell r="B791" t="str">
            <v>قالب پخت کلاچ پیکان</v>
          </cell>
          <cell r="C791" t="str">
            <v>قالب تعمیری</v>
          </cell>
          <cell r="N791" t="str">
            <v>CNC</v>
          </cell>
          <cell r="AC791" t="str">
            <v>1405/02/31</v>
          </cell>
        </row>
        <row r="792">
          <cell r="B792" t="str">
            <v>قالب پخت کلاچ پژو 405</v>
          </cell>
          <cell r="C792" t="str">
            <v>قالب تعمیری</v>
          </cell>
          <cell r="N792" t="str">
            <v>CNC</v>
          </cell>
          <cell r="AC792" t="str">
            <v>1405/02/31</v>
          </cell>
        </row>
        <row r="793">
          <cell r="B793" t="str">
            <v>Hammer Mill Machine</v>
          </cell>
          <cell r="C793" t="str">
            <v>دستگاه نو</v>
          </cell>
          <cell r="N793" t="str">
            <v>CNC</v>
          </cell>
          <cell r="AC793" t="str">
            <v>1405/02/31</v>
          </cell>
        </row>
        <row r="794">
          <cell r="B794" t="str">
            <v>آغشته کاری</v>
          </cell>
          <cell r="C794" t="str">
            <v>قطعه تعمیری</v>
          </cell>
          <cell r="N794" t="str">
            <v>دریل رادیال</v>
          </cell>
          <cell r="AC794" t="str">
            <v>1405/02/29</v>
          </cell>
        </row>
        <row r="795">
          <cell r="B795" t="str">
            <v>قالب پراید خاردار</v>
          </cell>
          <cell r="C795" t="str">
            <v>قالب تعمیری</v>
          </cell>
          <cell r="N795" t="str">
            <v>مونتاژ</v>
          </cell>
          <cell r="AC795" t="str">
            <v>1405/02/29</v>
          </cell>
        </row>
        <row r="796">
          <cell r="B796" t="str">
            <v>اصول 5S</v>
          </cell>
          <cell r="C796" t="str">
            <v>نظافت</v>
          </cell>
          <cell r="N796" t="str">
            <v>نظافت</v>
          </cell>
          <cell r="AC796" t="str">
            <v>1405/02/31</v>
          </cell>
        </row>
        <row r="797">
          <cell r="B797" t="str">
            <v>لودری 29935</v>
          </cell>
          <cell r="C797" t="str">
            <v>قالب تعمیری</v>
          </cell>
          <cell r="N797" t="str">
            <v>مونتاژ</v>
          </cell>
          <cell r="AC797" t="str">
            <v>1405/02/29</v>
          </cell>
        </row>
        <row r="798">
          <cell r="B798" t="str">
            <v>قالب پراید خاردار</v>
          </cell>
          <cell r="C798" t="str">
            <v>قالب تعمیری</v>
          </cell>
          <cell r="N798" t="str">
            <v>مونتاژ</v>
          </cell>
          <cell r="AC798" t="str">
            <v>1405/02/31</v>
          </cell>
        </row>
        <row r="799">
          <cell r="B799" t="str">
            <v>قالب پژو 405 دیسکی</v>
          </cell>
          <cell r="C799" t="str">
            <v>قالب تعمیری</v>
          </cell>
          <cell r="N799" t="str">
            <v>مونتاژ</v>
          </cell>
          <cell r="AC799" t="str">
            <v>1405/02/31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  <sheetName val="1خرداد"/>
    </sheetNames>
    <sheetDataSet>
      <sheetData sheetId="0"/>
      <sheetData sheetId="1">
        <row r="4">
          <cell r="B4" t="str">
            <v>قالب خشاب زنی</v>
          </cell>
        </row>
      </sheetData>
      <sheetData sheetId="2">
        <row r="4">
          <cell r="B4" t="str">
            <v>شابلون پژو 405 دیسکی</v>
          </cell>
          <cell r="C4" t="str">
            <v>قطعه تعمیری</v>
          </cell>
          <cell r="N4" t="str">
            <v>تراش</v>
          </cell>
          <cell r="AC4" t="str">
            <v>1405/03/02</v>
          </cell>
        </row>
        <row r="5">
          <cell r="B5" t="str">
            <v>برش جمعی عقب ریو</v>
          </cell>
          <cell r="C5" t="str">
            <v>قطعه نو</v>
          </cell>
          <cell r="N5" t="str">
            <v>تراش</v>
          </cell>
          <cell r="AC5" t="str">
            <v>1405/03/02</v>
          </cell>
        </row>
        <row r="6">
          <cell r="B6" t="str">
            <v>دستگاه پرس 600 تن</v>
          </cell>
          <cell r="C6" t="str">
            <v>قطعه تعمیری</v>
          </cell>
          <cell r="N6" t="str">
            <v>تراش</v>
          </cell>
          <cell r="AC6" t="str">
            <v>1405/03/02</v>
          </cell>
        </row>
        <row r="7">
          <cell r="B7" t="str">
            <v>Hammer Mill Machine</v>
          </cell>
          <cell r="C7" t="str">
            <v>دستگاه نو</v>
          </cell>
          <cell r="N7" t="str">
            <v>فرز</v>
          </cell>
          <cell r="AC7" t="str">
            <v>1405/03/01</v>
          </cell>
        </row>
        <row r="8">
          <cell r="B8" t="str">
            <v>Hammer Mill Machine</v>
          </cell>
          <cell r="C8" t="str">
            <v>دستگاه نو</v>
          </cell>
          <cell r="N8" t="str">
            <v>فرز</v>
          </cell>
          <cell r="AC8" t="str">
            <v>1405/03/02</v>
          </cell>
        </row>
        <row r="9">
          <cell r="B9" t="str">
            <v>برش جمعی عقب ریو</v>
          </cell>
          <cell r="C9" t="str">
            <v>قطعه نو</v>
          </cell>
          <cell r="N9" t="str">
            <v>فرز</v>
          </cell>
          <cell r="AC9" t="str">
            <v>1405/03/02</v>
          </cell>
        </row>
        <row r="10">
          <cell r="B10" t="str">
            <v>بمبوری</v>
          </cell>
          <cell r="C10" t="str">
            <v>قطعه تعمیری</v>
          </cell>
          <cell r="N10" t="str">
            <v>فرز</v>
          </cell>
          <cell r="AC10" t="str">
            <v>1405/03/02</v>
          </cell>
        </row>
        <row r="11">
          <cell r="B11" t="str">
            <v>Hammer Mill Machine</v>
          </cell>
          <cell r="C11" t="str">
            <v>دستگاه نو</v>
          </cell>
          <cell r="N11" t="str">
            <v>وایر</v>
          </cell>
          <cell r="AC11" t="str">
            <v>1405/03/01</v>
          </cell>
        </row>
        <row r="12">
          <cell r="B12" t="str">
            <v>Hammer Mill Machine</v>
          </cell>
          <cell r="C12" t="str">
            <v>دستگاه نو</v>
          </cell>
          <cell r="N12" t="str">
            <v>وایر</v>
          </cell>
          <cell r="AC12" t="str">
            <v>1405/03/01</v>
          </cell>
        </row>
        <row r="13">
          <cell r="B13" t="str">
            <v>قالب پژو 405 دیسکی</v>
          </cell>
          <cell r="C13" t="str">
            <v>قالب تعمیری</v>
          </cell>
          <cell r="N13" t="str">
            <v>وایر</v>
          </cell>
          <cell r="AC13" t="str">
            <v>1405/03/01</v>
          </cell>
        </row>
        <row r="14">
          <cell r="B14" t="str">
            <v>Hammer Mill Machine</v>
          </cell>
          <cell r="C14" t="str">
            <v>دستگاه نو</v>
          </cell>
          <cell r="N14" t="str">
            <v>وایر</v>
          </cell>
          <cell r="AC14" t="str">
            <v>1405/03/01</v>
          </cell>
        </row>
        <row r="15">
          <cell r="B15" t="str">
            <v>قالب پخت کلاچ پیکان آرژانتینی</v>
          </cell>
          <cell r="C15" t="str">
            <v>قالب تعمیری</v>
          </cell>
          <cell r="N15" t="str">
            <v>وایر</v>
          </cell>
          <cell r="AC15" t="str">
            <v>1405/03/01</v>
          </cell>
        </row>
        <row r="16">
          <cell r="B16" t="str">
            <v>Hammer Mill Machine</v>
          </cell>
          <cell r="C16" t="str">
            <v>دستگاه نو</v>
          </cell>
          <cell r="N16" t="str">
            <v>وایر</v>
          </cell>
          <cell r="AC16" t="str">
            <v>1405/03/02</v>
          </cell>
        </row>
        <row r="17">
          <cell r="B17" t="str">
            <v>قالب پخت کلاچ پیکان آرژانتینی</v>
          </cell>
          <cell r="C17" t="str">
            <v>قالب تعمیری</v>
          </cell>
          <cell r="N17" t="str">
            <v>وایر</v>
          </cell>
          <cell r="AC17" t="str">
            <v>1405/03/02</v>
          </cell>
        </row>
        <row r="18">
          <cell r="B18" t="str">
            <v>قالب پژو 405 دیسکی</v>
          </cell>
          <cell r="C18" t="str">
            <v>قالب تعمیری</v>
          </cell>
          <cell r="N18" t="str">
            <v>وایر</v>
          </cell>
          <cell r="AC18" t="str">
            <v>1405/03/02</v>
          </cell>
        </row>
        <row r="19">
          <cell r="B19" t="str">
            <v>Hammer Mill Machine</v>
          </cell>
          <cell r="C19" t="str">
            <v>دستگاه نو</v>
          </cell>
          <cell r="N19" t="str">
            <v>وایر</v>
          </cell>
          <cell r="AC19" t="str">
            <v>1405/03/02</v>
          </cell>
        </row>
        <row r="20">
          <cell r="B20" t="str">
            <v>قالب پژو 405 دیسکی</v>
          </cell>
          <cell r="C20" t="str">
            <v>قالب تعمیری</v>
          </cell>
          <cell r="N20" t="str">
            <v>وایر</v>
          </cell>
          <cell r="AC20" t="str">
            <v>1405/03/02</v>
          </cell>
        </row>
        <row r="21">
          <cell r="B21" t="str">
            <v>لیفتراک</v>
          </cell>
          <cell r="C21" t="str">
            <v>قطعه تعمیری</v>
          </cell>
          <cell r="N21" t="str">
            <v>تراش</v>
          </cell>
          <cell r="AC21" t="str">
            <v>1405/03/02</v>
          </cell>
        </row>
        <row r="22">
          <cell r="B22" t="str">
            <v>برش جمعی عقب ریو</v>
          </cell>
          <cell r="C22" t="str">
            <v>قطعه نو</v>
          </cell>
          <cell r="N22" t="str">
            <v>تراش</v>
          </cell>
          <cell r="AC22" t="str">
            <v>1405/03/02</v>
          </cell>
        </row>
        <row r="23">
          <cell r="B23" t="str">
            <v>قالب پخت کلاچ پیکان آرژانتینی</v>
          </cell>
          <cell r="C23" t="str">
            <v>قالب تعمیری</v>
          </cell>
          <cell r="N23" t="str">
            <v>تراش</v>
          </cell>
          <cell r="AC23" t="str">
            <v>1405/03/02</v>
          </cell>
        </row>
        <row r="24">
          <cell r="B24" t="str">
            <v>Hammer Mill Machine</v>
          </cell>
          <cell r="C24" t="str">
            <v>دستگاه نو</v>
          </cell>
          <cell r="N24" t="str">
            <v>سنگ زنی</v>
          </cell>
          <cell r="AC24" t="str">
            <v>1405/03/01</v>
          </cell>
        </row>
        <row r="25">
          <cell r="B25" t="str">
            <v>پخت کلاچ پراید</v>
          </cell>
          <cell r="C25" t="str">
            <v>قالب تعمیری</v>
          </cell>
          <cell r="N25" t="str">
            <v>سنگ زنی</v>
          </cell>
          <cell r="AC25" t="str">
            <v>1405/03/02</v>
          </cell>
        </row>
        <row r="26">
          <cell r="B26" t="str">
            <v>قالب لودری 70028</v>
          </cell>
          <cell r="C26" t="str">
            <v>قالب تعمیری</v>
          </cell>
          <cell r="N26" t="str">
            <v>سنگ زنی</v>
          </cell>
          <cell r="AC26" t="str">
            <v>1405/03/02</v>
          </cell>
        </row>
        <row r="27">
          <cell r="B27" t="str">
            <v>قالب پخت کلاچ پیکان آرژانتینی</v>
          </cell>
          <cell r="C27" t="str">
            <v>قالب تعمیری</v>
          </cell>
          <cell r="N27" t="str">
            <v>مونتاژ</v>
          </cell>
          <cell r="AC27" t="str">
            <v>1405/03/01</v>
          </cell>
        </row>
        <row r="28">
          <cell r="B28" t="str">
            <v>قالب شمشی عقب ریو</v>
          </cell>
          <cell r="C28" t="str">
            <v>قالب نو</v>
          </cell>
          <cell r="N28" t="str">
            <v>مونتاژ</v>
          </cell>
          <cell r="AC28" t="str">
            <v>1405/03/02</v>
          </cell>
        </row>
        <row r="29">
          <cell r="B29" t="str">
            <v>قالب پراید خاردار</v>
          </cell>
          <cell r="C29" t="str">
            <v>قالب تعمیری</v>
          </cell>
          <cell r="N29" t="str">
            <v>مونتاژ</v>
          </cell>
          <cell r="AC29" t="str">
            <v>1405/03/02</v>
          </cell>
        </row>
        <row r="30">
          <cell r="B30" t="str">
            <v>قالب عقب F12</v>
          </cell>
          <cell r="C30" t="str">
            <v>قالب نو</v>
          </cell>
          <cell r="N30" t="str">
            <v>فرز</v>
          </cell>
          <cell r="AC30" t="str">
            <v>1405/03/02</v>
          </cell>
        </row>
        <row r="31">
          <cell r="B31" t="str">
            <v>ساب کونیک</v>
          </cell>
          <cell r="C31" t="str">
            <v>قطعه نو</v>
          </cell>
          <cell r="N31" t="str">
            <v>مونتاژ</v>
          </cell>
          <cell r="AC31" t="str">
            <v>1405/03/01</v>
          </cell>
        </row>
        <row r="32">
          <cell r="B32" t="str">
            <v>ساب کونیک</v>
          </cell>
          <cell r="C32" t="str">
            <v>قطعه نو</v>
          </cell>
          <cell r="N32" t="str">
            <v>مونتاژ</v>
          </cell>
          <cell r="AC32" t="str">
            <v>1405/03/02</v>
          </cell>
        </row>
        <row r="33">
          <cell r="B33" t="str">
            <v>برش جمعی عقب ریو</v>
          </cell>
          <cell r="C33" t="str">
            <v>قطعه نو</v>
          </cell>
          <cell r="N33" t="str">
            <v>تراش</v>
          </cell>
          <cell r="AC33" t="str">
            <v>1405/03/01</v>
          </cell>
        </row>
        <row r="34">
          <cell r="B34" t="str">
            <v>بمبوری</v>
          </cell>
          <cell r="C34" t="str">
            <v>قطعه تعمیری</v>
          </cell>
          <cell r="N34" t="str">
            <v>تراش</v>
          </cell>
          <cell r="AC34" t="str">
            <v>1405/03/01</v>
          </cell>
        </row>
        <row r="35">
          <cell r="B35" t="str">
            <v>بمبوری</v>
          </cell>
          <cell r="C35" t="str">
            <v>قطعه تعمیری</v>
          </cell>
          <cell r="N35" t="str">
            <v>تراش</v>
          </cell>
          <cell r="AC35" t="str">
            <v>1405/03/02</v>
          </cell>
        </row>
        <row r="36">
          <cell r="B36" t="str">
            <v>ساب سمباده ای</v>
          </cell>
          <cell r="C36" t="str">
            <v>قطعه تعمیری</v>
          </cell>
          <cell r="N36" t="str">
            <v>تراش</v>
          </cell>
          <cell r="AC36" t="str">
            <v>1405/03/02</v>
          </cell>
        </row>
        <row r="37">
          <cell r="B37" t="str">
            <v>ساب سمباده ای</v>
          </cell>
          <cell r="C37" t="str">
            <v>قطعه تعمیری</v>
          </cell>
          <cell r="N37" t="str">
            <v>تراش</v>
          </cell>
          <cell r="AC37" t="str">
            <v>1405/03/02</v>
          </cell>
        </row>
        <row r="38">
          <cell r="B38" t="str">
            <v>برش جمعی عقب ریو</v>
          </cell>
          <cell r="C38" t="str">
            <v>قطعه نو</v>
          </cell>
          <cell r="N38" t="str">
            <v>مونتاژ</v>
          </cell>
          <cell r="AC38" t="str">
            <v>1405/03/02</v>
          </cell>
        </row>
        <row r="39">
          <cell r="B39" t="str">
            <v>قالب پخت کلاچ پژو 405</v>
          </cell>
          <cell r="C39" t="str">
            <v>قالب تعمیری</v>
          </cell>
          <cell r="N39" t="str">
            <v>CNC</v>
          </cell>
          <cell r="AC39" t="str">
            <v>1405/03/02</v>
          </cell>
        </row>
        <row r="40">
          <cell r="B40" t="str">
            <v>قالب پخت کلاچ پژو 405</v>
          </cell>
          <cell r="C40" t="str">
            <v>قالب تعمیری</v>
          </cell>
          <cell r="N40" t="str">
            <v>CNC</v>
          </cell>
          <cell r="AC40" t="str">
            <v>1405/03/01</v>
          </cell>
        </row>
        <row r="41">
          <cell r="B41" t="str">
            <v>قالب پخت کلاچ پژو 405</v>
          </cell>
          <cell r="C41" t="str">
            <v>قالب تعمیری</v>
          </cell>
          <cell r="N41" t="str">
            <v>CNC</v>
          </cell>
          <cell r="AC41" t="str">
            <v>1405/03/02</v>
          </cell>
        </row>
        <row r="42">
          <cell r="B42" t="str">
            <v>Hammer Mill Machine</v>
          </cell>
          <cell r="C42" t="str">
            <v>دستگاه نو</v>
          </cell>
          <cell r="N42" t="str">
            <v>CNC</v>
          </cell>
          <cell r="AC42" t="str">
            <v>1405/03/01</v>
          </cell>
        </row>
        <row r="43">
          <cell r="B43" t="str">
            <v>Hammer Mill Machine</v>
          </cell>
          <cell r="C43" t="str">
            <v>دستگاه نو</v>
          </cell>
          <cell r="N43" t="str">
            <v>CNC</v>
          </cell>
          <cell r="AC43" t="str">
            <v>1405/03/02</v>
          </cell>
        </row>
        <row r="44">
          <cell r="B44" t="str">
            <v>ساب کونیک</v>
          </cell>
          <cell r="C44" t="str">
            <v>قطعه نو</v>
          </cell>
          <cell r="N44" t="str">
            <v>دریل رادیال</v>
          </cell>
          <cell r="AC44" t="str">
            <v>1405/03/01</v>
          </cell>
        </row>
        <row r="45">
          <cell r="B45" t="str">
            <v>قالب پخت کلاچ پیکان آرژانتینی</v>
          </cell>
          <cell r="C45" t="str">
            <v>قالب تعمیری</v>
          </cell>
          <cell r="N45" t="str">
            <v>مونتاژ</v>
          </cell>
          <cell r="AC45" t="str">
            <v>1405/03/01</v>
          </cell>
        </row>
        <row r="46">
          <cell r="B46" t="str">
            <v>قالب شمشی عقب ریو</v>
          </cell>
          <cell r="C46" t="str">
            <v>قالب نو</v>
          </cell>
          <cell r="N46" t="str">
            <v>مونتاژ</v>
          </cell>
          <cell r="AC46" t="str">
            <v>1405/03/02</v>
          </cell>
        </row>
        <row r="47">
          <cell r="B47" t="str">
            <v>قالب پراید خاردار</v>
          </cell>
          <cell r="C47" t="str">
            <v>قالب تعمیری</v>
          </cell>
          <cell r="N47" t="str">
            <v>مونتاژ</v>
          </cell>
          <cell r="AC47" t="str">
            <v>1405/03/02</v>
          </cell>
        </row>
        <row r="48">
          <cell r="B48" t="str">
            <v>دستگاه پشم فلز چینی</v>
          </cell>
          <cell r="C48" t="str">
            <v>قطعه نو</v>
          </cell>
          <cell r="N48" t="str">
            <v>تراش</v>
          </cell>
          <cell r="AC48" t="str">
            <v>1405/03/03</v>
          </cell>
        </row>
        <row r="49">
          <cell r="B49" t="str">
            <v>قالب عقب F12</v>
          </cell>
          <cell r="C49" t="str">
            <v>قالب نو</v>
          </cell>
          <cell r="N49" t="str">
            <v>فرز</v>
          </cell>
          <cell r="AC49" t="str">
            <v>1405/03/03</v>
          </cell>
        </row>
        <row r="50">
          <cell r="B50" t="str">
            <v>دستگاه پرس 600 تن</v>
          </cell>
          <cell r="C50" t="str">
            <v>قطعه تعمیری</v>
          </cell>
          <cell r="N50" t="str">
            <v>تراش</v>
          </cell>
          <cell r="AC50" t="str">
            <v>1405/03/03</v>
          </cell>
        </row>
        <row r="51">
          <cell r="B51" t="str">
            <v>قالب لودری 70028</v>
          </cell>
          <cell r="C51" t="str">
            <v>قالب تعمیری</v>
          </cell>
          <cell r="N51" t="str">
            <v>سنگ زنی</v>
          </cell>
          <cell r="AC51" t="str">
            <v>1405/03/03</v>
          </cell>
        </row>
        <row r="52">
          <cell r="B52" t="str">
            <v>قالب پخت کلاچ پژو 405</v>
          </cell>
          <cell r="C52" t="str">
            <v>قالب تعمیری</v>
          </cell>
          <cell r="N52" t="str">
            <v>سنگ زنی</v>
          </cell>
          <cell r="AC52" t="str">
            <v>1405/03/03</v>
          </cell>
        </row>
        <row r="53">
          <cell r="B53" t="str">
            <v>Hammer Mill Machine</v>
          </cell>
          <cell r="C53" t="str">
            <v>دستگاه نو</v>
          </cell>
          <cell r="N53" t="str">
            <v>تراش</v>
          </cell>
          <cell r="AC53" t="str">
            <v>1405/03/03</v>
          </cell>
        </row>
        <row r="54">
          <cell r="B54" t="str">
            <v>قالب شمشی عقب ریو</v>
          </cell>
          <cell r="C54" t="str">
            <v>قالب نو</v>
          </cell>
          <cell r="N54" t="str">
            <v>CNC</v>
          </cell>
          <cell r="AC54" t="str">
            <v>1405/03/03</v>
          </cell>
        </row>
        <row r="55">
          <cell r="B55" t="str">
            <v>Hammer Mill Machine</v>
          </cell>
          <cell r="C55" t="str">
            <v>دستگاه نو</v>
          </cell>
          <cell r="N55" t="str">
            <v>CNC</v>
          </cell>
          <cell r="AC55" t="str">
            <v>1405/03/03</v>
          </cell>
        </row>
        <row r="56">
          <cell r="B56" t="str">
            <v>ویوینگ</v>
          </cell>
          <cell r="C56" t="str">
            <v>قطعه تعمیری</v>
          </cell>
          <cell r="N56" t="str">
            <v>تراش</v>
          </cell>
          <cell r="AC56" t="str">
            <v>1405/03/03</v>
          </cell>
        </row>
        <row r="57">
          <cell r="B57" t="str">
            <v>سری نقطه جوش</v>
          </cell>
          <cell r="C57" t="str">
            <v>قطعه تعمیری</v>
          </cell>
          <cell r="N57" t="str">
            <v>تراش</v>
          </cell>
          <cell r="AC57" t="str">
            <v>1405/03/03</v>
          </cell>
        </row>
        <row r="58">
          <cell r="B58" t="str">
            <v>پخت کلاچ 911 دور بزرگ</v>
          </cell>
          <cell r="C58" t="str">
            <v>قالب تعمیری</v>
          </cell>
          <cell r="N58" t="str">
            <v>تراش</v>
          </cell>
          <cell r="AC58" t="str">
            <v>1405/03/03</v>
          </cell>
        </row>
        <row r="59">
          <cell r="B59" t="str">
            <v>بمبوری</v>
          </cell>
          <cell r="C59" t="str">
            <v>قطعه تعمیری</v>
          </cell>
          <cell r="N59" t="str">
            <v>تراش</v>
          </cell>
          <cell r="AC59" t="str">
            <v>1405/03/03</v>
          </cell>
        </row>
        <row r="60">
          <cell r="B60" t="str">
            <v>قالب پراید خاردار</v>
          </cell>
          <cell r="C60" t="str">
            <v>قالب تعمیری</v>
          </cell>
          <cell r="N60" t="str">
            <v>تراش</v>
          </cell>
          <cell r="AC60" t="str">
            <v>1405/03/03</v>
          </cell>
        </row>
        <row r="61">
          <cell r="B61" t="str">
            <v>قالب پخت کلاچ پژو 405</v>
          </cell>
          <cell r="C61" t="str">
            <v>قالب تعمیری</v>
          </cell>
          <cell r="N61" t="str">
            <v>تراش</v>
          </cell>
          <cell r="AC61" t="str">
            <v>1405/03/03</v>
          </cell>
        </row>
        <row r="62">
          <cell r="B62" t="str">
            <v>ویوینگ</v>
          </cell>
          <cell r="C62" t="str">
            <v>قطعه تعمیری</v>
          </cell>
          <cell r="N62" t="str">
            <v>وایر</v>
          </cell>
          <cell r="AC62" t="str">
            <v>1405/03/03</v>
          </cell>
        </row>
        <row r="63">
          <cell r="B63" t="str">
            <v>قالب پراید خاردار</v>
          </cell>
          <cell r="C63" t="str">
            <v>قالب تعمیری</v>
          </cell>
          <cell r="N63" t="str">
            <v>وایر</v>
          </cell>
          <cell r="AC63" t="str">
            <v>1405/03/03</v>
          </cell>
        </row>
        <row r="64">
          <cell r="B64" t="str">
            <v>Hammer Mill Machine</v>
          </cell>
          <cell r="C64" t="str">
            <v>دستگاه نو</v>
          </cell>
          <cell r="N64" t="str">
            <v>وایر</v>
          </cell>
          <cell r="AC64" t="str">
            <v>1405/03/03</v>
          </cell>
        </row>
        <row r="65">
          <cell r="B65" t="str">
            <v>قالب پژو 405 دیسکی</v>
          </cell>
          <cell r="C65" t="str">
            <v>قالب تعمیری</v>
          </cell>
          <cell r="N65" t="str">
            <v>وایر</v>
          </cell>
          <cell r="AC65" t="str">
            <v>1405/03/03</v>
          </cell>
        </row>
        <row r="66">
          <cell r="B66" t="str">
            <v>قالب لودری 70028</v>
          </cell>
          <cell r="C66" t="str">
            <v>قالب تعمیری</v>
          </cell>
          <cell r="N66" t="str">
            <v>مونتاژ</v>
          </cell>
          <cell r="AC66" t="str">
            <v>1405/03/03</v>
          </cell>
        </row>
        <row r="67">
          <cell r="B67" t="str">
            <v>قالب پژو 405 دیسکی</v>
          </cell>
          <cell r="C67" t="str">
            <v>قالب تعمیری</v>
          </cell>
          <cell r="N67" t="str">
            <v>مونتاژ</v>
          </cell>
          <cell r="AC67" t="str">
            <v>1405/03/03</v>
          </cell>
        </row>
        <row r="68">
          <cell r="B68" t="str">
            <v>پخت کلاچ 911 دور بزرگ</v>
          </cell>
          <cell r="C68" t="str">
            <v>قالب تعمیری</v>
          </cell>
          <cell r="N68" t="str">
            <v>اره لنگ</v>
          </cell>
          <cell r="AC68" t="str">
            <v>1405/03/03</v>
          </cell>
        </row>
        <row r="69">
          <cell r="B69" t="str">
            <v>پخت کلاچ 911 دور بزرگ</v>
          </cell>
          <cell r="C69" t="str">
            <v>قالب تعمیری</v>
          </cell>
          <cell r="N69" t="str">
            <v>مونتاژ</v>
          </cell>
          <cell r="AC69" t="str">
            <v>1405/03/03</v>
          </cell>
        </row>
        <row r="70">
          <cell r="B70" t="str">
            <v>قالب نیسان آریا</v>
          </cell>
          <cell r="C70" t="str">
            <v>قالب تعمیری</v>
          </cell>
          <cell r="N70" t="str">
            <v>مونتاژ</v>
          </cell>
          <cell r="AC70" t="str">
            <v>1405/03/03</v>
          </cell>
        </row>
        <row r="71">
          <cell r="B71" t="str">
            <v>قالب پژو 405 دیسکی</v>
          </cell>
          <cell r="C71" t="str">
            <v>قالب تعمیری</v>
          </cell>
          <cell r="N71" t="str">
            <v>مونتاژ</v>
          </cell>
          <cell r="AC71" t="str">
            <v>1405/03/03</v>
          </cell>
        </row>
        <row r="72">
          <cell r="B72" t="str">
            <v>قالب لودری 70028</v>
          </cell>
          <cell r="C72" t="str">
            <v>قالب تعمیری</v>
          </cell>
          <cell r="N72" t="str">
            <v>مونتاژ</v>
          </cell>
          <cell r="AC72" t="str">
            <v>1405/03/03</v>
          </cell>
        </row>
        <row r="73">
          <cell r="B73" t="str">
            <v>قالب پخت کلاچ پژو 405</v>
          </cell>
          <cell r="C73" t="str">
            <v>قالب تعمیری</v>
          </cell>
          <cell r="N73" t="str">
            <v>سنگ زنی</v>
          </cell>
          <cell r="AC73" t="str">
            <v>1405/03/04</v>
          </cell>
        </row>
        <row r="74">
          <cell r="B74" t="str">
            <v>دستگاه پشم فلز چینی</v>
          </cell>
          <cell r="C74" t="str">
            <v>قطعه نو</v>
          </cell>
          <cell r="N74" t="str">
            <v>تراش</v>
          </cell>
          <cell r="AC74" t="str">
            <v>1405/03/04</v>
          </cell>
        </row>
        <row r="75">
          <cell r="B75" t="str">
            <v>قالب عقب F12</v>
          </cell>
          <cell r="C75" t="str">
            <v>قالب نو</v>
          </cell>
          <cell r="N75" t="str">
            <v>فرز</v>
          </cell>
          <cell r="AC75" t="str">
            <v>1405/03/04</v>
          </cell>
        </row>
        <row r="76">
          <cell r="B76" t="str">
            <v>عقب بنز 74</v>
          </cell>
          <cell r="C76" t="str">
            <v>قالب تعمیری</v>
          </cell>
          <cell r="N76" t="str">
            <v>فرز</v>
          </cell>
          <cell r="AC76" t="str">
            <v>1405/03/04</v>
          </cell>
        </row>
        <row r="77">
          <cell r="B77" t="str">
            <v>دستگاه پشم فلز</v>
          </cell>
          <cell r="C77" t="str">
            <v>قطعه تعمیری</v>
          </cell>
          <cell r="N77" t="str">
            <v>تراش</v>
          </cell>
          <cell r="AC77" t="str">
            <v>1405/03/04</v>
          </cell>
        </row>
        <row r="78">
          <cell r="B78" t="str">
            <v>دستگاه پشم فلز</v>
          </cell>
          <cell r="C78" t="str">
            <v>قطعه تعمیری</v>
          </cell>
          <cell r="N78" t="str">
            <v>تراش</v>
          </cell>
          <cell r="AC78" t="str">
            <v>1405/03/04</v>
          </cell>
        </row>
        <row r="79">
          <cell r="B79" t="str">
            <v>قالب پخت کلاچ پژو 405</v>
          </cell>
          <cell r="C79" t="str">
            <v>قالب تعمیری</v>
          </cell>
          <cell r="N79" t="str">
            <v>تراش</v>
          </cell>
          <cell r="AC79" t="str">
            <v>1405/03/04</v>
          </cell>
        </row>
        <row r="80">
          <cell r="B80" t="str">
            <v>دستگاه ساب الماسه</v>
          </cell>
          <cell r="C80" t="str">
            <v>قطعه تعمیری</v>
          </cell>
          <cell r="N80" t="str">
            <v>تراش</v>
          </cell>
          <cell r="AC80" t="str">
            <v>1405/03/04</v>
          </cell>
        </row>
        <row r="81">
          <cell r="B81" t="str">
            <v>قالب پخت کلاچ پیکان آرژانتینی</v>
          </cell>
          <cell r="C81" t="str">
            <v>قالب تعمیری</v>
          </cell>
          <cell r="N81" t="str">
            <v>تراش</v>
          </cell>
          <cell r="AC81" t="str">
            <v>1405/03/04</v>
          </cell>
        </row>
        <row r="82">
          <cell r="B82" t="str">
            <v>بمبوری</v>
          </cell>
          <cell r="C82" t="str">
            <v>قطعه تعمیری</v>
          </cell>
          <cell r="N82" t="str">
            <v>تراش</v>
          </cell>
          <cell r="AC82" t="str">
            <v>1405/03/04</v>
          </cell>
        </row>
        <row r="83">
          <cell r="B83" t="str">
            <v>Hammer Mill Machine</v>
          </cell>
          <cell r="C83" t="str">
            <v>دستگاه نو</v>
          </cell>
          <cell r="N83" t="str">
            <v>مونتاژ</v>
          </cell>
          <cell r="AC83" t="str">
            <v>1405/03/04</v>
          </cell>
        </row>
        <row r="84">
          <cell r="B84" t="str">
            <v>دستگاه پرس 600 تن</v>
          </cell>
          <cell r="C84" t="str">
            <v>قطعه تعمیری</v>
          </cell>
          <cell r="N84" t="str">
            <v>تراش</v>
          </cell>
          <cell r="AC84" t="str">
            <v>1405/03/04</v>
          </cell>
        </row>
        <row r="85">
          <cell r="B85" t="str">
            <v>پین عقب L90 معمولی</v>
          </cell>
          <cell r="C85" t="str">
            <v>قطعه نو</v>
          </cell>
          <cell r="N85" t="str">
            <v>سری تراش</v>
          </cell>
          <cell r="AC85" t="str">
            <v>1405/03/04</v>
          </cell>
        </row>
        <row r="86">
          <cell r="B86" t="str">
            <v>ویوینگ</v>
          </cell>
          <cell r="C86" t="str">
            <v>قطعه تعمیری</v>
          </cell>
          <cell r="N86" t="str">
            <v>وایر</v>
          </cell>
          <cell r="AC86" t="str">
            <v>1405/03/04</v>
          </cell>
        </row>
        <row r="87">
          <cell r="B87" t="str">
            <v>قالب پراید خاردار</v>
          </cell>
          <cell r="C87" t="str">
            <v>قالب تعمیری</v>
          </cell>
          <cell r="N87" t="str">
            <v>وایر</v>
          </cell>
          <cell r="AC87" t="str">
            <v>1405/03/04</v>
          </cell>
        </row>
        <row r="88">
          <cell r="B88" t="str">
            <v>قلم پین L90</v>
          </cell>
          <cell r="C88" t="str">
            <v>قطعه تعمیری</v>
          </cell>
          <cell r="N88" t="str">
            <v>وایر</v>
          </cell>
          <cell r="AC88" t="str">
            <v>1405/03/04</v>
          </cell>
        </row>
        <row r="89">
          <cell r="B89" t="str">
            <v>ابزار زنی</v>
          </cell>
          <cell r="C89" t="str">
            <v>قطعه نو</v>
          </cell>
          <cell r="N89" t="str">
            <v>وایر</v>
          </cell>
          <cell r="AC89" t="str">
            <v>1405/03/04</v>
          </cell>
        </row>
        <row r="90">
          <cell r="B90" t="str">
            <v>قالب پخت کلاچ پیکان آرژانتینی</v>
          </cell>
          <cell r="C90" t="str">
            <v>قالب تعمیری</v>
          </cell>
          <cell r="N90" t="str">
            <v>وایر</v>
          </cell>
          <cell r="AC90" t="str">
            <v>1405/03/04</v>
          </cell>
        </row>
        <row r="91">
          <cell r="B91" t="str">
            <v>ابزار زنی</v>
          </cell>
          <cell r="C91" t="str">
            <v>قطعه نو</v>
          </cell>
          <cell r="N91" t="str">
            <v>وایر</v>
          </cell>
          <cell r="AC91" t="str">
            <v>1405/03/04</v>
          </cell>
        </row>
        <row r="92">
          <cell r="B92" t="str">
            <v>ابزار زنی</v>
          </cell>
          <cell r="C92" t="str">
            <v>قطعه نو</v>
          </cell>
          <cell r="N92" t="str">
            <v>وایر</v>
          </cell>
          <cell r="AC92" t="str">
            <v>1405/03/04</v>
          </cell>
        </row>
        <row r="93">
          <cell r="B93" t="str">
            <v>قالب پخت کلاچ پژو 405</v>
          </cell>
          <cell r="C93" t="str">
            <v>قالب تعمیری</v>
          </cell>
          <cell r="N93" t="str">
            <v>CNC</v>
          </cell>
          <cell r="AC93" t="str">
            <v>1405/03/03</v>
          </cell>
        </row>
        <row r="94">
          <cell r="B94" t="str">
            <v>Hammer Mill Machine</v>
          </cell>
          <cell r="C94" t="str">
            <v>دستگاه نو</v>
          </cell>
          <cell r="N94" t="str">
            <v>CNC</v>
          </cell>
          <cell r="AC94" t="str">
            <v>1405/03/03</v>
          </cell>
        </row>
        <row r="95">
          <cell r="B95" t="str">
            <v>قالب پخت کلاچ پژو 405</v>
          </cell>
          <cell r="C95" t="str">
            <v>قالب تعمیری</v>
          </cell>
          <cell r="N95" t="str">
            <v>CNC</v>
          </cell>
          <cell r="AC95" t="str">
            <v>1405/03/04</v>
          </cell>
        </row>
        <row r="96">
          <cell r="B96" t="str">
            <v>Hammer Mill Machine</v>
          </cell>
          <cell r="C96" t="str">
            <v>دستگاه نو</v>
          </cell>
          <cell r="N96" t="str">
            <v>CNC</v>
          </cell>
          <cell r="AC96" t="str">
            <v>1405/03/04</v>
          </cell>
        </row>
        <row r="97">
          <cell r="B97" t="str">
            <v>قالب لودری 70028</v>
          </cell>
          <cell r="C97" t="str">
            <v>قالب تعمیری</v>
          </cell>
          <cell r="N97" t="str">
            <v>مونتاژ</v>
          </cell>
          <cell r="AC97" t="str">
            <v>1405/03/04</v>
          </cell>
        </row>
        <row r="98">
          <cell r="B98" t="str">
            <v>بمبوری</v>
          </cell>
          <cell r="C98" t="str">
            <v>قطعه تعمیری</v>
          </cell>
          <cell r="N98" t="str">
            <v>دریل رادیال</v>
          </cell>
          <cell r="AC98" t="str">
            <v>1405/03/04</v>
          </cell>
        </row>
        <row r="99">
          <cell r="B99" t="str">
            <v>بمبوری</v>
          </cell>
          <cell r="C99" t="str">
            <v>قطعه تعمیری</v>
          </cell>
          <cell r="N99" t="str">
            <v>مونتاژ</v>
          </cell>
          <cell r="AC99" t="str">
            <v>1405/03/04</v>
          </cell>
        </row>
        <row r="100">
          <cell r="B100" t="str">
            <v>پخت کلاچ پژو 206 TU5</v>
          </cell>
          <cell r="C100" t="str">
            <v>قالب تعمیری</v>
          </cell>
          <cell r="N100" t="str">
            <v>مونتاژ</v>
          </cell>
          <cell r="AC100" t="str">
            <v>1405/03/04</v>
          </cell>
        </row>
        <row r="101">
          <cell r="B101" t="str">
            <v>قالب پخت کلاچ پژو 405</v>
          </cell>
          <cell r="C101" t="str">
            <v>قالب تعمیری</v>
          </cell>
          <cell r="N101" t="str">
            <v>مونتاژ</v>
          </cell>
          <cell r="AC101" t="str">
            <v>1405/03/04</v>
          </cell>
        </row>
        <row r="102">
          <cell r="B102" t="str">
            <v>Hammer Mill Machine</v>
          </cell>
          <cell r="C102" t="str">
            <v>دستگاه نو</v>
          </cell>
          <cell r="N102" t="str">
            <v>CNC</v>
          </cell>
          <cell r="AC102" t="str">
            <v>1405/03/04</v>
          </cell>
        </row>
        <row r="103">
          <cell r="B103" t="str">
            <v>قالب پخت کلاچ پژو 405</v>
          </cell>
          <cell r="C103" t="str">
            <v>قالب تعمیری</v>
          </cell>
          <cell r="N103" t="str">
            <v>CNC</v>
          </cell>
          <cell r="AC103" t="str">
            <v>1405/03/04</v>
          </cell>
        </row>
        <row r="104">
          <cell r="B104" t="str">
            <v>قالب پخت کلاچ پژو 405</v>
          </cell>
          <cell r="C104" t="str">
            <v>قالب تعمیری</v>
          </cell>
          <cell r="N104" t="str">
            <v>تراش</v>
          </cell>
          <cell r="AC104" t="str">
            <v>1405/03/05</v>
          </cell>
        </row>
        <row r="105">
          <cell r="B105" t="str">
            <v>دستگاه پرس پخت</v>
          </cell>
          <cell r="C105" t="str">
            <v>قطعه تعمیری</v>
          </cell>
          <cell r="N105" t="str">
            <v>تراش</v>
          </cell>
          <cell r="AC105" t="str">
            <v>1405/03/05</v>
          </cell>
        </row>
        <row r="106">
          <cell r="B106" t="str">
            <v>دستگاه ساب الماسه</v>
          </cell>
          <cell r="C106" t="str">
            <v>قطعه تعمیری</v>
          </cell>
          <cell r="N106" t="str">
            <v>تراش</v>
          </cell>
          <cell r="AC106" t="str">
            <v>1405/03/05</v>
          </cell>
        </row>
        <row r="107">
          <cell r="B107" t="str">
            <v>پخت کلاچ پژو 206 TU5</v>
          </cell>
          <cell r="C107" t="str">
            <v>قالب تعمیری</v>
          </cell>
          <cell r="N107" t="str">
            <v>مونتاژ</v>
          </cell>
          <cell r="AC107" t="str">
            <v>1405/03/05</v>
          </cell>
        </row>
        <row r="108">
          <cell r="B108" t="str">
            <v>قالب پراید خاردار</v>
          </cell>
          <cell r="C108" t="str">
            <v>قالب تعمیری</v>
          </cell>
          <cell r="N108" t="str">
            <v>مونتاژ</v>
          </cell>
          <cell r="AC108" t="str">
            <v>1405/03/05</v>
          </cell>
        </row>
        <row r="109">
          <cell r="B109" t="str">
            <v>قالب پخت کلاچ پیکان آرژانتینی</v>
          </cell>
          <cell r="C109" t="str">
            <v>قالب تعمیری</v>
          </cell>
          <cell r="N109" t="str">
            <v>مونتاژ</v>
          </cell>
          <cell r="AC109" t="str">
            <v>1405/03/05</v>
          </cell>
        </row>
        <row r="110">
          <cell r="B110" t="str">
            <v>عقب بنز 74</v>
          </cell>
          <cell r="C110" t="str">
            <v>قالب تعمیری</v>
          </cell>
          <cell r="N110" t="str">
            <v>فرز</v>
          </cell>
          <cell r="AC110" t="str">
            <v>1405/03/05</v>
          </cell>
        </row>
        <row r="111">
          <cell r="B111" t="str">
            <v>قالب پخت کلاچ پژو 405</v>
          </cell>
          <cell r="C111" t="str">
            <v>قالب تعمیری</v>
          </cell>
          <cell r="N111" t="str">
            <v>CNC</v>
          </cell>
          <cell r="AC111" t="str">
            <v>1405/03/05</v>
          </cell>
        </row>
        <row r="112">
          <cell r="B112" t="str">
            <v>قالب پخت کلاچ پژو 405</v>
          </cell>
          <cell r="C112" t="str">
            <v>قالب تعمیری</v>
          </cell>
          <cell r="N112" t="str">
            <v>CNC</v>
          </cell>
          <cell r="AC112" t="str">
            <v>1405/03/06</v>
          </cell>
        </row>
        <row r="113">
          <cell r="B113" t="str">
            <v>قالب پخت کلاچ پیکان</v>
          </cell>
          <cell r="C113" t="str">
            <v>قالب تعمیری</v>
          </cell>
          <cell r="N113" t="str">
            <v>CNC</v>
          </cell>
          <cell r="AC113" t="str">
            <v>1405/03/06</v>
          </cell>
        </row>
        <row r="114">
          <cell r="B114" t="str">
            <v>ویوینگ</v>
          </cell>
          <cell r="C114" t="str">
            <v>قطعه تعمیری</v>
          </cell>
          <cell r="N114" t="str">
            <v>وایر</v>
          </cell>
          <cell r="AC114" t="str">
            <v>1405/03/05</v>
          </cell>
        </row>
        <row r="115">
          <cell r="B115" t="str">
            <v>ابزار زنی</v>
          </cell>
          <cell r="C115" t="str">
            <v>قطعه نو</v>
          </cell>
          <cell r="N115" t="str">
            <v>وایر</v>
          </cell>
          <cell r="AC115" t="str">
            <v>1405/03/05</v>
          </cell>
        </row>
        <row r="116">
          <cell r="B116" t="str">
            <v>ابزار زنی</v>
          </cell>
          <cell r="C116" t="str">
            <v>قطعه نو</v>
          </cell>
          <cell r="N116" t="str">
            <v>وایر</v>
          </cell>
          <cell r="AC116" t="str">
            <v>1405/03/05</v>
          </cell>
        </row>
        <row r="117">
          <cell r="B117" t="str">
            <v>ابزار زنی</v>
          </cell>
          <cell r="C117" t="str">
            <v>قطعه نو</v>
          </cell>
          <cell r="N117" t="str">
            <v>وایر</v>
          </cell>
          <cell r="AC117" t="str">
            <v>1405/03/05</v>
          </cell>
        </row>
        <row r="118">
          <cell r="B118" t="str">
            <v>پین عقب L90 معمولی</v>
          </cell>
          <cell r="C118" t="str">
            <v>قطعه نو</v>
          </cell>
          <cell r="N118" t="str">
            <v>سری تراش</v>
          </cell>
          <cell r="AC118" t="str">
            <v>1405/03/05</v>
          </cell>
        </row>
        <row r="119">
          <cell r="B119" t="str">
            <v>قالب پخت کلاچ پژو 405</v>
          </cell>
          <cell r="C119" t="str">
            <v>قالب تعمیری</v>
          </cell>
          <cell r="N119" t="str">
            <v>سنگ زنی</v>
          </cell>
          <cell r="AC119" t="str">
            <v>1405/03/05</v>
          </cell>
        </row>
        <row r="120">
          <cell r="B120" t="str">
            <v>قالب پخت کلاچ پژو 405</v>
          </cell>
          <cell r="C120" t="str">
            <v>قالب تعمیری</v>
          </cell>
          <cell r="N120" t="str">
            <v>سنگ زنی</v>
          </cell>
          <cell r="AC120" t="str">
            <v>1405/03/06</v>
          </cell>
        </row>
        <row r="121">
          <cell r="B121" t="str">
            <v>قالب لودری 70028</v>
          </cell>
          <cell r="C121" t="str">
            <v>قالب تعمیری</v>
          </cell>
          <cell r="N121" t="str">
            <v>فرز</v>
          </cell>
          <cell r="AC121" t="str">
            <v>1405/03/05</v>
          </cell>
        </row>
        <row r="122">
          <cell r="B122" t="str">
            <v>دستگاه پشم فلز چینی</v>
          </cell>
          <cell r="C122" t="str">
            <v>قطعه نو</v>
          </cell>
          <cell r="N122" t="str">
            <v>فرز</v>
          </cell>
          <cell r="AC122" t="str">
            <v>1405/03/05</v>
          </cell>
        </row>
        <row r="123">
          <cell r="B123" t="str">
            <v>قالب پخت کلاچ پژو 405</v>
          </cell>
          <cell r="C123" t="str">
            <v>قالب تعمیری</v>
          </cell>
          <cell r="N123" t="str">
            <v>فرز</v>
          </cell>
          <cell r="AC123" t="str">
            <v>1405/03/07</v>
          </cell>
        </row>
        <row r="124">
          <cell r="B124" t="str">
            <v>اصول 5S</v>
          </cell>
          <cell r="C124" t="str">
            <v>نظافت</v>
          </cell>
          <cell r="N124" t="str">
            <v>نظافت</v>
          </cell>
          <cell r="AC124" t="str">
            <v>1405/03/07</v>
          </cell>
        </row>
        <row r="125">
          <cell r="B125" t="str">
            <v>قالب پخت کلاچ پژو 405</v>
          </cell>
          <cell r="C125" t="str">
            <v>قالب تعمیری</v>
          </cell>
          <cell r="N125" t="str">
            <v>سنگ زنی</v>
          </cell>
          <cell r="AC125" t="str">
            <v>1405/03/07</v>
          </cell>
        </row>
        <row r="126">
          <cell r="B126" t="str">
            <v>اصول 5S</v>
          </cell>
          <cell r="C126" t="str">
            <v>نظافت</v>
          </cell>
          <cell r="N126" t="str">
            <v>نظافت</v>
          </cell>
          <cell r="AC126" t="str">
            <v>1405/03/07</v>
          </cell>
        </row>
        <row r="127">
          <cell r="B127" t="str">
            <v>ویوینگ</v>
          </cell>
          <cell r="C127" t="str">
            <v>قطعه تعمیری</v>
          </cell>
          <cell r="N127" t="str">
            <v>دریل رادیال</v>
          </cell>
          <cell r="AC127" t="str">
            <v>1405/03/07</v>
          </cell>
        </row>
        <row r="128">
          <cell r="B128" t="str">
            <v>قالب پخت کلاچ پیکان آرژانتینی</v>
          </cell>
          <cell r="C128" t="str">
            <v>قالب تعمیری</v>
          </cell>
          <cell r="N128" t="str">
            <v>مونتاژ</v>
          </cell>
          <cell r="AC128" t="str">
            <v>1405/03/07</v>
          </cell>
        </row>
        <row r="129">
          <cell r="B129" t="str">
            <v>قالب جلو ریو</v>
          </cell>
          <cell r="C129" t="str">
            <v>قالب تعمیری</v>
          </cell>
          <cell r="N129" t="str">
            <v>دریل رادیال</v>
          </cell>
          <cell r="AC129" t="str">
            <v>1405/03/07</v>
          </cell>
        </row>
        <row r="130">
          <cell r="B130" t="str">
            <v>اصول 5S</v>
          </cell>
          <cell r="C130" t="str">
            <v>نظافت</v>
          </cell>
          <cell r="N130" t="str">
            <v>نظافت</v>
          </cell>
          <cell r="AC130" t="str">
            <v>1405/03/07</v>
          </cell>
        </row>
        <row r="131">
          <cell r="B131" t="str">
            <v>پین عقب L90 معمولی</v>
          </cell>
          <cell r="C131" t="str">
            <v>قطعه نو</v>
          </cell>
          <cell r="N131" t="str">
            <v>سری تراش</v>
          </cell>
          <cell r="AC131" t="str">
            <v>1405/03/07</v>
          </cell>
        </row>
        <row r="132">
          <cell r="B132" t="str">
            <v>اصول 5S</v>
          </cell>
          <cell r="C132" t="str">
            <v>نظافت</v>
          </cell>
          <cell r="N132" t="str">
            <v>نظافت</v>
          </cell>
          <cell r="AC132" t="str">
            <v>1405/03/07</v>
          </cell>
        </row>
        <row r="133">
          <cell r="B133" t="str">
            <v>دستگاه ساب الماسه</v>
          </cell>
          <cell r="C133" t="str">
            <v>قطعه تعمیری</v>
          </cell>
          <cell r="N133" t="str">
            <v>تراش</v>
          </cell>
          <cell r="AC133" t="str">
            <v>1405/03/07</v>
          </cell>
        </row>
        <row r="134">
          <cell r="B134" t="str">
            <v>ویوینگ</v>
          </cell>
          <cell r="C134" t="str">
            <v>قطعه تعمیری</v>
          </cell>
          <cell r="N134" t="str">
            <v>تراش</v>
          </cell>
          <cell r="AC134" t="str">
            <v>1405/03/07</v>
          </cell>
        </row>
        <row r="135">
          <cell r="B135" t="str">
            <v xml:space="preserve">وایر کات </v>
          </cell>
          <cell r="C135" t="str">
            <v>دستگاه تعمیری</v>
          </cell>
          <cell r="N135" t="str">
            <v>مونتاژ</v>
          </cell>
          <cell r="AC135" t="str">
            <v>1405/03/07</v>
          </cell>
        </row>
        <row r="136">
          <cell r="B136" t="str">
            <v>اصول 5S</v>
          </cell>
          <cell r="C136" t="str">
            <v>نظافت</v>
          </cell>
          <cell r="N136" t="str">
            <v>نظافت</v>
          </cell>
          <cell r="AC136" t="str">
            <v>1405/03/07</v>
          </cell>
        </row>
        <row r="137">
          <cell r="B137" t="str">
            <v>ابزار زنی</v>
          </cell>
          <cell r="C137" t="str">
            <v>قطعه نو</v>
          </cell>
          <cell r="N137" t="str">
            <v>وایر</v>
          </cell>
          <cell r="AC137" t="str">
            <v>1405/03/07</v>
          </cell>
        </row>
        <row r="138">
          <cell r="B138" t="str">
            <v>ابزار زنی</v>
          </cell>
          <cell r="C138" t="str">
            <v>قطعه نو</v>
          </cell>
          <cell r="N138" t="str">
            <v>وایر</v>
          </cell>
          <cell r="AC138" t="str">
            <v>1405/03/07</v>
          </cell>
        </row>
        <row r="139">
          <cell r="B139" t="str">
            <v>قالب پخت کلاچ پژو 405</v>
          </cell>
          <cell r="C139" t="str">
            <v>قالب تعمیری</v>
          </cell>
          <cell r="N139" t="str">
            <v>CNC</v>
          </cell>
          <cell r="AC139" t="str">
            <v>1405/03/07</v>
          </cell>
        </row>
        <row r="140">
          <cell r="B140" t="str">
            <v>پخت کلاچ پراید</v>
          </cell>
          <cell r="C140" t="str">
            <v>قالب تعمیری</v>
          </cell>
          <cell r="N140" t="str">
            <v>CNC</v>
          </cell>
          <cell r="AC140" t="str">
            <v>1405/03/07</v>
          </cell>
        </row>
        <row r="141">
          <cell r="B141" t="str">
            <v>پخت کلاچ پراید</v>
          </cell>
          <cell r="C141" t="str">
            <v>قالب تعمیری</v>
          </cell>
          <cell r="N141" t="str">
            <v>CNC</v>
          </cell>
          <cell r="AC141" t="str">
            <v>1405/03/09</v>
          </cell>
        </row>
        <row r="142">
          <cell r="B142" t="str">
            <v>قالب پخت کلاچ پژو 405</v>
          </cell>
          <cell r="C142" t="str">
            <v>قالب تعمیری</v>
          </cell>
          <cell r="N142" t="str">
            <v>CNC</v>
          </cell>
          <cell r="AC142" t="str">
            <v>1405/03/09</v>
          </cell>
        </row>
        <row r="143">
          <cell r="B143" t="str">
            <v>پین عقب L90 معمولی</v>
          </cell>
          <cell r="C143" t="str">
            <v>قطعه نو</v>
          </cell>
          <cell r="N143" t="str">
            <v>سری تراش</v>
          </cell>
          <cell r="AC143" t="str">
            <v>1405/03/09</v>
          </cell>
        </row>
        <row r="144">
          <cell r="B144" t="str">
            <v>دستگاه پشم فلز چینی</v>
          </cell>
          <cell r="C144" t="str">
            <v>قطعه نو</v>
          </cell>
          <cell r="N144" t="str">
            <v>فرز</v>
          </cell>
          <cell r="AC144" t="str">
            <v>1405/03/09</v>
          </cell>
        </row>
        <row r="145">
          <cell r="B145" t="str">
            <v>پخت کلاچ پراید</v>
          </cell>
          <cell r="C145" t="str">
            <v>قالب تعمیری</v>
          </cell>
          <cell r="N145" t="str">
            <v>فرز</v>
          </cell>
          <cell r="AC145" t="str">
            <v>1405/03/09</v>
          </cell>
        </row>
        <row r="146">
          <cell r="B146" t="str">
            <v>قالب جلو ریو</v>
          </cell>
          <cell r="C146" t="str">
            <v>قالب تعمیری</v>
          </cell>
          <cell r="N146" t="str">
            <v>مونتاژ</v>
          </cell>
          <cell r="AC146" t="str">
            <v>1405/03/09</v>
          </cell>
        </row>
        <row r="147">
          <cell r="B147" t="str">
            <v>ابزار زنی</v>
          </cell>
          <cell r="C147" t="str">
            <v>قطعه نو</v>
          </cell>
          <cell r="N147" t="str">
            <v>اره لنگ</v>
          </cell>
          <cell r="AC147" t="str">
            <v>1405/03/09</v>
          </cell>
        </row>
        <row r="148">
          <cell r="B148" t="str">
            <v>قالب پخت کلاچ پژو 405</v>
          </cell>
          <cell r="C148" t="str">
            <v>قالب تعمیری</v>
          </cell>
          <cell r="N148" t="str">
            <v>سنگ زنی</v>
          </cell>
          <cell r="AC148" t="str">
            <v>1405/03/09</v>
          </cell>
        </row>
        <row r="149">
          <cell r="B149" t="str">
            <v>دستگاه پشم فلز چینی</v>
          </cell>
          <cell r="C149" t="str">
            <v>قطعه نو</v>
          </cell>
          <cell r="N149" t="str">
            <v>سنگ زنی</v>
          </cell>
          <cell r="AC149" t="str">
            <v>1405/03/09</v>
          </cell>
        </row>
        <row r="150">
          <cell r="B150" t="str">
            <v>برش توری SAF</v>
          </cell>
          <cell r="C150" t="str">
            <v>قالب تعمیری</v>
          </cell>
          <cell r="N150" t="str">
            <v>سنگ زنی</v>
          </cell>
          <cell r="AC150" t="str">
            <v>1405/03/09</v>
          </cell>
        </row>
        <row r="151">
          <cell r="B151" t="str">
            <v>قالب پخت کلاچ پیکان</v>
          </cell>
          <cell r="C151" t="str">
            <v>قالب تعمیری</v>
          </cell>
          <cell r="N151" t="str">
            <v>سنگ زنی</v>
          </cell>
          <cell r="AC151" t="str">
            <v>1405/03/09</v>
          </cell>
        </row>
        <row r="152">
          <cell r="B152" t="str">
            <v>آغشته کاری</v>
          </cell>
          <cell r="C152" t="str">
            <v>قطعه نو</v>
          </cell>
          <cell r="N152" t="str">
            <v>تراش</v>
          </cell>
          <cell r="AC152" t="str">
            <v>1405/03/09</v>
          </cell>
        </row>
        <row r="153">
          <cell r="B153" t="str">
            <v xml:space="preserve">وایر کات </v>
          </cell>
          <cell r="C153" t="str">
            <v>دستگاه تعمیری</v>
          </cell>
          <cell r="N153" t="str">
            <v>تراش</v>
          </cell>
          <cell r="AC153" t="str">
            <v>1405/03/09</v>
          </cell>
        </row>
        <row r="154">
          <cell r="B154" t="str">
            <v>دریل رادیال</v>
          </cell>
          <cell r="C154" t="str">
            <v>دستگاه تعمیری</v>
          </cell>
          <cell r="N154" t="str">
            <v>تراش</v>
          </cell>
          <cell r="AC154" t="str">
            <v>1405/03/09</v>
          </cell>
        </row>
        <row r="155">
          <cell r="B155" t="str">
            <v>Hammer Mill Machine</v>
          </cell>
          <cell r="C155" t="str">
            <v>دستگاه نو</v>
          </cell>
          <cell r="N155" t="str">
            <v>فرز</v>
          </cell>
          <cell r="AC155" t="str">
            <v>1405/03/04</v>
          </cell>
        </row>
        <row r="156">
          <cell r="B156" t="str">
            <v>بمبوری</v>
          </cell>
          <cell r="C156" t="str">
            <v>قطعه تعمیری</v>
          </cell>
          <cell r="N156" t="str">
            <v>فرز</v>
          </cell>
          <cell r="AC156" t="str">
            <v>1405/03/04</v>
          </cell>
        </row>
        <row r="157">
          <cell r="B157" t="str">
            <v>ابزار زنی</v>
          </cell>
          <cell r="C157" t="str">
            <v>قطعه تعمیری</v>
          </cell>
          <cell r="N157" t="str">
            <v>تراش</v>
          </cell>
          <cell r="AC157" t="str">
            <v>1405/03/09</v>
          </cell>
        </row>
        <row r="158">
          <cell r="B158" t="str">
            <v xml:space="preserve">دستگاه بسته بندی </v>
          </cell>
          <cell r="C158" t="str">
            <v>قطعه تعمیری</v>
          </cell>
          <cell r="N158" t="str">
            <v>تراش</v>
          </cell>
          <cell r="AC158" t="str">
            <v>1405/03/09</v>
          </cell>
        </row>
        <row r="159">
          <cell r="B159" t="str">
            <v>آغشته کاری</v>
          </cell>
          <cell r="C159" t="str">
            <v>قطعه تعمیری</v>
          </cell>
          <cell r="N159" t="str">
            <v>وایر</v>
          </cell>
          <cell r="AC159" t="str">
            <v>1405/03/09</v>
          </cell>
        </row>
        <row r="160">
          <cell r="B160" t="str">
            <v>دستگاه CNC</v>
          </cell>
          <cell r="C160" t="str">
            <v>قطعه نو</v>
          </cell>
          <cell r="N160" t="str">
            <v>وایر</v>
          </cell>
          <cell r="AC160" t="str">
            <v>1405/03/09</v>
          </cell>
        </row>
        <row r="161">
          <cell r="B161" t="str">
            <v>دستگاه وایر 7604</v>
          </cell>
          <cell r="C161" t="str">
            <v>دستگاه تعمیری</v>
          </cell>
          <cell r="N161" t="str">
            <v>مونتاژ</v>
          </cell>
          <cell r="AC161" t="str">
            <v>1405/03/09</v>
          </cell>
        </row>
        <row r="162">
          <cell r="B162" t="str">
            <v>پخت کلاچ پراید</v>
          </cell>
          <cell r="C162" t="str">
            <v>قالب تعمیری</v>
          </cell>
          <cell r="N162" t="str">
            <v>مونتاژ</v>
          </cell>
          <cell r="AC162" t="str">
            <v>1405/03/09</v>
          </cell>
        </row>
        <row r="163">
          <cell r="B163" t="str">
            <v>قالب جلو ریو</v>
          </cell>
          <cell r="C163" t="str">
            <v>قالب تعمیری</v>
          </cell>
          <cell r="N163" t="str">
            <v>دریل رادیال</v>
          </cell>
          <cell r="AC163" t="str">
            <v>1405/03/09</v>
          </cell>
        </row>
        <row r="164">
          <cell r="B164" t="str">
            <v>قالب جلو ریو</v>
          </cell>
          <cell r="C164" t="str">
            <v>قالب تعمیری</v>
          </cell>
          <cell r="N164" t="str">
            <v>مونتاژ</v>
          </cell>
          <cell r="AC164" t="str">
            <v>1405/03/09</v>
          </cell>
        </row>
        <row r="165">
          <cell r="B165" t="str">
            <v>قالب پخت کلاچ پژو 405</v>
          </cell>
          <cell r="C165" t="str">
            <v>قالب تعمیری</v>
          </cell>
          <cell r="N165" t="str">
            <v>CNC</v>
          </cell>
          <cell r="AC165" t="str">
            <v>1405/03/10</v>
          </cell>
        </row>
        <row r="166">
          <cell r="B166" t="str">
            <v>شابلون پژو 405 دیسکی</v>
          </cell>
          <cell r="C166" t="str">
            <v>قطعه تعمیری</v>
          </cell>
          <cell r="N166" t="str">
            <v>CNC</v>
          </cell>
          <cell r="AC166" t="str">
            <v>1405/03/10</v>
          </cell>
        </row>
        <row r="167">
          <cell r="B167" t="str">
            <v>بمبوری</v>
          </cell>
          <cell r="C167" t="str">
            <v>قطعه تعمیری</v>
          </cell>
          <cell r="N167" t="str">
            <v>CNC</v>
          </cell>
          <cell r="AC167" t="str">
            <v>1405/03/10</v>
          </cell>
        </row>
        <row r="168">
          <cell r="B168" t="str">
            <v>دستگاه پرس</v>
          </cell>
          <cell r="C168" t="str">
            <v>قطعه تعمیری</v>
          </cell>
          <cell r="N168" t="str">
            <v>CNC</v>
          </cell>
          <cell r="AC168" t="str">
            <v>1405/03/09</v>
          </cell>
        </row>
        <row r="169">
          <cell r="B169" t="str">
            <v>دستگاه پرس 600 تن</v>
          </cell>
          <cell r="C169" t="str">
            <v>قطعه تعمیری</v>
          </cell>
          <cell r="N169" t="str">
            <v>فرز</v>
          </cell>
          <cell r="AC169" t="str">
            <v>1405/03/10</v>
          </cell>
        </row>
        <row r="170">
          <cell r="B170" t="str">
            <v>ابزار زنی</v>
          </cell>
          <cell r="C170" t="str">
            <v>قطعه نو</v>
          </cell>
          <cell r="N170" t="str">
            <v>اره لنگ</v>
          </cell>
          <cell r="AC170" t="str">
            <v>1405/03/10</v>
          </cell>
        </row>
        <row r="171">
          <cell r="B171" t="str">
            <v xml:space="preserve">پخت کلاچ پراید سکو </v>
          </cell>
          <cell r="C171" t="str">
            <v>قالب تعمیری</v>
          </cell>
          <cell r="N171" t="str">
            <v>مونتاژ</v>
          </cell>
          <cell r="AC171" t="str">
            <v>1405/03/10</v>
          </cell>
        </row>
        <row r="172">
          <cell r="B172" t="str">
            <v>قالب پخت کلاچ پیکان</v>
          </cell>
          <cell r="C172" t="str">
            <v>قالب تعمیری</v>
          </cell>
          <cell r="N172" t="str">
            <v>سنگ زنی</v>
          </cell>
          <cell r="AC172" t="str">
            <v>1405/03/10</v>
          </cell>
        </row>
        <row r="173">
          <cell r="B173" t="str">
            <v>پخت کلاچ پراید</v>
          </cell>
          <cell r="C173" t="str">
            <v>قالب تعمیری</v>
          </cell>
          <cell r="N173" t="str">
            <v>سنگ زنی</v>
          </cell>
          <cell r="AC173" t="str">
            <v>1405/03/10</v>
          </cell>
        </row>
        <row r="174">
          <cell r="B174" t="str">
            <v>دستگاه پشم فلز چینی</v>
          </cell>
          <cell r="C174" t="str">
            <v>قطعه نو</v>
          </cell>
          <cell r="N174" t="str">
            <v>فرز</v>
          </cell>
          <cell r="AC174" t="str">
            <v>1405/03/10</v>
          </cell>
        </row>
        <row r="175">
          <cell r="B175" t="str">
            <v>صنایع مس</v>
          </cell>
          <cell r="C175" t="str">
            <v>قطعه نو</v>
          </cell>
          <cell r="N175" t="str">
            <v>فرز</v>
          </cell>
          <cell r="AC175" t="str">
            <v>1405/03/10</v>
          </cell>
        </row>
        <row r="176">
          <cell r="B176" t="str">
            <v>ساب کلاچ</v>
          </cell>
          <cell r="C176" t="str">
            <v>قطعه نو</v>
          </cell>
          <cell r="N176" t="str">
            <v>فرز</v>
          </cell>
          <cell r="AC176" t="str">
            <v>1405/03/10</v>
          </cell>
        </row>
        <row r="177">
          <cell r="B177" t="str">
            <v>قالب پخت کلاچ پیکان</v>
          </cell>
          <cell r="C177" t="str">
            <v>قالب تعمیری</v>
          </cell>
          <cell r="N177" t="str">
            <v>فرز</v>
          </cell>
          <cell r="AC177" t="str">
            <v>1405/03/10</v>
          </cell>
        </row>
        <row r="178">
          <cell r="B178" t="str">
            <v>دستگاه پرس 600 تن</v>
          </cell>
          <cell r="C178" t="str">
            <v>قطعه تعمیری</v>
          </cell>
          <cell r="N178" t="str">
            <v>فرز</v>
          </cell>
          <cell r="AC178" t="str">
            <v>1405/03/11</v>
          </cell>
        </row>
        <row r="179">
          <cell r="B179" t="str">
            <v>قالب پخت کلاچ پیکان آرژانتینی</v>
          </cell>
          <cell r="C179" t="str">
            <v>قالب تعمیری</v>
          </cell>
          <cell r="N179" t="str">
            <v>وایر</v>
          </cell>
          <cell r="AC179" t="str">
            <v>1405/03/10</v>
          </cell>
        </row>
        <row r="180">
          <cell r="B180" t="str">
            <v>دستگاه CNC</v>
          </cell>
          <cell r="C180" t="str">
            <v>قطعه تعمیری</v>
          </cell>
          <cell r="N180" t="str">
            <v>وایر</v>
          </cell>
          <cell r="AC180" t="str">
            <v>1405/03/10</v>
          </cell>
        </row>
        <row r="181">
          <cell r="B181" t="str">
            <v>شرکت فرش</v>
          </cell>
          <cell r="C181" t="str">
            <v>قطعه تعمیری</v>
          </cell>
          <cell r="N181" t="str">
            <v>وایر</v>
          </cell>
          <cell r="AC181" t="str">
            <v>1405/03/10</v>
          </cell>
        </row>
        <row r="182">
          <cell r="B182" t="str">
            <v>شرکت فرش</v>
          </cell>
          <cell r="C182" t="str">
            <v>قطعه تعمیری</v>
          </cell>
          <cell r="N182" t="str">
            <v>سوپردریل</v>
          </cell>
          <cell r="AC182" t="str">
            <v>1405/03/10</v>
          </cell>
        </row>
        <row r="183">
          <cell r="B183" t="str">
            <v>کولر سالن</v>
          </cell>
          <cell r="C183" t="str">
            <v>قطعه تعمیری</v>
          </cell>
          <cell r="N183" t="str">
            <v>دریل رادیال</v>
          </cell>
          <cell r="AC183" t="str">
            <v>1405/03/10</v>
          </cell>
        </row>
        <row r="184">
          <cell r="B184" t="str">
            <v>آغشته کاری</v>
          </cell>
          <cell r="C184" t="str">
            <v>قطعه نو</v>
          </cell>
          <cell r="N184" t="str">
            <v>دریل رادیال</v>
          </cell>
          <cell r="AC184" t="str">
            <v>1405/03/10</v>
          </cell>
        </row>
        <row r="185">
          <cell r="B185" t="str">
            <v>قالب جلو ریو</v>
          </cell>
          <cell r="C185" t="str">
            <v>قالب تعمیری</v>
          </cell>
          <cell r="N185" t="str">
            <v>مونتاژ</v>
          </cell>
          <cell r="AC185" t="str">
            <v>1405/03/10</v>
          </cell>
        </row>
        <row r="186">
          <cell r="B186" t="str">
            <v xml:space="preserve">پخت کلاچ پراید سکو </v>
          </cell>
          <cell r="C186" t="str">
            <v>قالب تعمیری</v>
          </cell>
          <cell r="N186" t="str">
            <v>مونتاژ</v>
          </cell>
          <cell r="AC186" t="str">
            <v>1405/03/10</v>
          </cell>
        </row>
        <row r="187">
          <cell r="B187" t="str">
            <v>پخت کلاچ پیکان المانی</v>
          </cell>
          <cell r="C187" t="str">
            <v>قالب تعمیری</v>
          </cell>
          <cell r="N187" t="str">
            <v>مونتاژ</v>
          </cell>
          <cell r="AC187" t="str">
            <v>1405/03/10</v>
          </cell>
        </row>
        <row r="188">
          <cell r="B188" t="str">
            <v>پخت کلاچ پیکان انگلیسی</v>
          </cell>
          <cell r="C188" t="str">
            <v>قالب تعمیری</v>
          </cell>
          <cell r="N188" t="str">
            <v>مونتاژ</v>
          </cell>
          <cell r="AC188" t="str">
            <v>1405/03/10</v>
          </cell>
        </row>
        <row r="189">
          <cell r="B189" t="str">
            <v>پرس پخت کلاچ</v>
          </cell>
          <cell r="C189" t="str">
            <v>قطعه نو</v>
          </cell>
          <cell r="N189" t="str">
            <v>تراش</v>
          </cell>
          <cell r="AC189" t="str">
            <v>1405/03/10</v>
          </cell>
        </row>
        <row r="190">
          <cell r="B190" t="str">
            <v>برش جمعی عقب پیکان</v>
          </cell>
          <cell r="C190" t="str">
            <v>قطعه تعمیری</v>
          </cell>
          <cell r="N190" t="str">
            <v>تراش</v>
          </cell>
          <cell r="AC190" t="str">
            <v>1405/03/10</v>
          </cell>
        </row>
        <row r="191">
          <cell r="B191" t="str">
            <v>ویوینگ</v>
          </cell>
          <cell r="C191" t="str">
            <v>قطعه تعمیری</v>
          </cell>
          <cell r="N191" t="str">
            <v>تراش</v>
          </cell>
          <cell r="AC191" t="str">
            <v>1405/03/10</v>
          </cell>
        </row>
        <row r="192">
          <cell r="B192" t="str">
            <v>پین عقب L90 معمولی</v>
          </cell>
          <cell r="C192" t="str">
            <v>قطعه نو</v>
          </cell>
          <cell r="N192" t="str">
            <v>سری تراش</v>
          </cell>
          <cell r="AC192" t="str">
            <v>1405/03/11</v>
          </cell>
        </row>
        <row r="193">
          <cell r="B193" t="str">
            <v>ابزار زنی</v>
          </cell>
          <cell r="C193" t="str">
            <v>قطعه نو</v>
          </cell>
          <cell r="N193" t="str">
            <v>اره لنگ</v>
          </cell>
          <cell r="AC193" t="str">
            <v>1405/03/11</v>
          </cell>
        </row>
        <row r="194">
          <cell r="B194" t="str">
            <v>صنایع مس</v>
          </cell>
          <cell r="C194" t="str">
            <v>قطعه نو</v>
          </cell>
          <cell r="N194" t="str">
            <v>فرز</v>
          </cell>
          <cell r="AC194" t="str">
            <v>1405/03/11</v>
          </cell>
        </row>
        <row r="195">
          <cell r="B195" t="str">
            <v>پخت کلاچ پراید</v>
          </cell>
          <cell r="C195" t="str">
            <v>قالب تعمیری</v>
          </cell>
          <cell r="N195" t="str">
            <v>سنگ زنی</v>
          </cell>
          <cell r="AC195" t="str">
            <v>1405/03/11</v>
          </cell>
        </row>
        <row r="196">
          <cell r="B196" t="str">
            <v>قالب توری بادسان</v>
          </cell>
          <cell r="C196" t="str">
            <v>قالب تعمیری</v>
          </cell>
          <cell r="N196" t="str">
            <v>سنگ زنی</v>
          </cell>
          <cell r="AC196" t="str">
            <v>1405/03/11</v>
          </cell>
        </row>
        <row r="197">
          <cell r="B197" t="str">
            <v>بمبوری</v>
          </cell>
          <cell r="C197" t="str">
            <v>قطعه تعمیری</v>
          </cell>
          <cell r="N197" t="str">
            <v>CNC</v>
          </cell>
          <cell r="AC197" t="str">
            <v>1405/03/11</v>
          </cell>
        </row>
        <row r="198">
          <cell r="B198" t="str">
            <v>دستگاه پشم فلز چینی</v>
          </cell>
          <cell r="C198" t="str">
            <v>قطعه نو</v>
          </cell>
          <cell r="N198" t="str">
            <v>CNC</v>
          </cell>
          <cell r="AC198" t="str">
            <v>1405/03/11</v>
          </cell>
        </row>
        <row r="199">
          <cell r="B199" t="str">
            <v>دستگاه ساب الماسه</v>
          </cell>
          <cell r="C199" t="str">
            <v>قطعه نو</v>
          </cell>
          <cell r="N199" t="str">
            <v>تراش</v>
          </cell>
          <cell r="AC199" t="str">
            <v>1405/03/11</v>
          </cell>
        </row>
        <row r="200">
          <cell r="B200" t="str">
            <v>دریل یزدخواستی کلاچ</v>
          </cell>
          <cell r="C200" t="str">
            <v>قطعه نو</v>
          </cell>
          <cell r="N200" t="str">
            <v>تراش</v>
          </cell>
          <cell r="AC200" t="str">
            <v>1405/03/11</v>
          </cell>
        </row>
        <row r="201">
          <cell r="B201" t="str">
            <v>دستگاه چسب زنی</v>
          </cell>
          <cell r="C201" t="str">
            <v>قطعه تعمیری</v>
          </cell>
          <cell r="N201" t="str">
            <v>تراش</v>
          </cell>
          <cell r="AC201" t="str">
            <v>1405/03/11</v>
          </cell>
        </row>
        <row r="202">
          <cell r="B202" t="str">
            <v>ساب کلاچ</v>
          </cell>
          <cell r="C202" t="str">
            <v>قطعه نو</v>
          </cell>
          <cell r="N202" t="str">
            <v>فرز</v>
          </cell>
          <cell r="AC202" t="str">
            <v>1405/03/11</v>
          </cell>
        </row>
        <row r="203">
          <cell r="B203" t="str">
            <v>ساب کلاچ</v>
          </cell>
          <cell r="C203" t="str">
            <v>قطعه نو</v>
          </cell>
          <cell r="N203" t="str">
            <v>مونتاژ</v>
          </cell>
          <cell r="AC203" t="str">
            <v>1405/03/11</v>
          </cell>
        </row>
        <row r="204">
          <cell r="B204" t="str">
            <v>دستگاه مهر زنی</v>
          </cell>
          <cell r="C204" t="str">
            <v>قطعه تعمیری</v>
          </cell>
          <cell r="N204" t="str">
            <v>وایر</v>
          </cell>
          <cell r="AC204" t="str">
            <v>1405/03/11</v>
          </cell>
        </row>
        <row r="205">
          <cell r="B205" t="str">
            <v>دستگاه چسب زنی</v>
          </cell>
          <cell r="C205" t="str">
            <v>قطعه تعمیری</v>
          </cell>
          <cell r="N205" t="str">
            <v>وایر</v>
          </cell>
          <cell r="AC205" t="str">
            <v>1405/03/11</v>
          </cell>
        </row>
        <row r="206">
          <cell r="B206" t="str">
            <v>قلم ریو</v>
          </cell>
          <cell r="C206" t="str">
            <v>قطعه تعمیری</v>
          </cell>
          <cell r="N206" t="str">
            <v>وایر</v>
          </cell>
          <cell r="AC206" t="str">
            <v>1405/03/11</v>
          </cell>
        </row>
        <row r="207">
          <cell r="B207" t="str">
            <v>دستگاه چسب زنی</v>
          </cell>
          <cell r="C207" t="str">
            <v>قطعه تعمیری</v>
          </cell>
          <cell r="N207" t="str">
            <v>وایر</v>
          </cell>
          <cell r="AC207" t="str">
            <v>1405/03/11</v>
          </cell>
        </row>
        <row r="208">
          <cell r="B208" t="str">
            <v>آغشته کاری</v>
          </cell>
          <cell r="C208" t="str">
            <v>قطعه نو</v>
          </cell>
          <cell r="N208" t="str">
            <v>مونتاژ</v>
          </cell>
          <cell r="AC208" t="str">
            <v>1405/03/11</v>
          </cell>
        </row>
        <row r="209">
          <cell r="B209" t="str">
            <v>قالب پخت کلاچ پژو 405</v>
          </cell>
          <cell r="C209" t="str">
            <v>قالب تعمیری</v>
          </cell>
          <cell r="N209" t="str">
            <v>مونتاژ</v>
          </cell>
          <cell r="AC209" t="str">
            <v>1405/03/11</v>
          </cell>
        </row>
        <row r="210">
          <cell r="B210" t="str">
            <v>پخت کلاچ پیکان المانی</v>
          </cell>
          <cell r="C210" t="str">
            <v>قالب تعمیری</v>
          </cell>
          <cell r="N210" t="str">
            <v>مونتاژ</v>
          </cell>
          <cell r="AC210" t="str">
            <v>1405/03/11</v>
          </cell>
        </row>
        <row r="211">
          <cell r="B211" t="str">
            <v>پخت کلاچ تیبا راست</v>
          </cell>
          <cell r="C211" t="str">
            <v>قالب تعمیری</v>
          </cell>
          <cell r="N211" t="str">
            <v>مونتاژ</v>
          </cell>
          <cell r="AC211" t="str">
            <v>1405/03/11</v>
          </cell>
        </row>
        <row r="212">
          <cell r="B212" t="str">
            <v>قالب توری بادسان</v>
          </cell>
          <cell r="C212" t="str">
            <v>قالب تعمیری</v>
          </cell>
          <cell r="N212" t="str">
            <v>مونتاژ</v>
          </cell>
          <cell r="AC212" t="str">
            <v>1405/03/11</v>
          </cell>
        </row>
        <row r="213">
          <cell r="B213" t="str">
            <v>قالب توری بادسان</v>
          </cell>
          <cell r="C213" t="str">
            <v>قالب تعمیری</v>
          </cell>
          <cell r="N213" t="str">
            <v>مونتاژ</v>
          </cell>
          <cell r="AC213" t="str">
            <v>1405/03/11</v>
          </cell>
        </row>
        <row r="214">
          <cell r="B214" t="str">
            <v>پخت کلاچ پراید</v>
          </cell>
          <cell r="C214" t="str">
            <v>قالب تعمیری</v>
          </cell>
          <cell r="N214" t="str">
            <v>CNC</v>
          </cell>
          <cell r="AC214" t="str">
            <v>1405/03/11</v>
          </cell>
        </row>
        <row r="215">
          <cell r="B215" t="str">
            <v>پخت کلاچ پراید</v>
          </cell>
          <cell r="C215" t="str">
            <v>قالب تعمیری</v>
          </cell>
          <cell r="N215" t="str">
            <v>CNC</v>
          </cell>
          <cell r="AC215" t="str">
            <v>1405/03/10</v>
          </cell>
        </row>
        <row r="216">
          <cell r="B216" t="str">
            <v>دستگاه پشم فلز چینی</v>
          </cell>
          <cell r="C216" t="str">
            <v>قطعه نو</v>
          </cell>
          <cell r="N216" t="str">
            <v>CNC</v>
          </cell>
          <cell r="AC216" t="str">
            <v>1405/03/12</v>
          </cell>
        </row>
        <row r="217">
          <cell r="B217" t="str">
            <v>قالب پخت کلاچ پیکان</v>
          </cell>
          <cell r="C217" t="str">
            <v>قالب تعمیری</v>
          </cell>
          <cell r="N217" t="str">
            <v>CNC</v>
          </cell>
          <cell r="AC217" t="str">
            <v>1405/03/12</v>
          </cell>
        </row>
        <row r="218">
          <cell r="B218" t="str">
            <v>ابزار زنی</v>
          </cell>
          <cell r="C218" t="str">
            <v>قطعه نو</v>
          </cell>
          <cell r="N218" t="str">
            <v>اره لنگ</v>
          </cell>
          <cell r="AC218" t="str">
            <v>1405/03/12</v>
          </cell>
        </row>
        <row r="219">
          <cell r="B219" t="str">
            <v>دریل یزدخواستی کلاچ</v>
          </cell>
          <cell r="C219" t="str">
            <v>قطعه نو</v>
          </cell>
          <cell r="N219" t="str">
            <v>تراش</v>
          </cell>
          <cell r="AC219" t="str">
            <v>1405/03/12</v>
          </cell>
        </row>
        <row r="220">
          <cell r="B220" t="str">
            <v>دستگاه پرس 600 تن</v>
          </cell>
          <cell r="C220" t="str">
            <v>قطعه تعمیری</v>
          </cell>
          <cell r="N220" t="str">
            <v>فرز</v>
          </cell>
          <cell r="AC220" t="str">
            <v>1405/03/12</v>
          </cell>
        </row>
        <row r="221">
          <cell r="B221" t="str">
            <v>صنایع مس</v>
          </cell>
          <cell r="C221" t="str">
            <v>قطعه نو</v>
          </cell>
          <cell r="N221" t="str">
            <v>فرز</v>
          </cell>
          <cell r="AC221" t="str">
            <v>1405/03/12</v>
          </cell>
        </row>
        <row r="222">
          <cell r="B222" t="str">
            <v>دستگاه پشم فلز چینی</v>
          </cell>
          <cell r="C222" t="str">
            <v>قطعه نو</v>
          </cell>
          <cell r="N222" t="str">
            <v>فرز</v>
          </cell>
          <cell r="AC222" t="str">
            <v>1405/03/12</v>
          </cell>
        </row>
        <row r="223">
          <cell r="B223" t="str">
            <v>پین عقب ریو</v>
          </cell>
          <cell r="C223" t="str">
            <v>قطعه نو</v>
          </cell>
          <cell r="N223" t="str">
            <v>سری تراش</v>
          </cell>
          <cell r="AC223" t="str">
            <v>1405/03/12</v>
          </cell>
        </row>
        <row r="224">
          <cell r="B224" t="str">
            <v>دستگاه پشم فلز چینی</v>
          </cell>
          <cell r="C224" t="str">
            <v>قطعه نو</v>
          </cell>
          <cell r="N224" t="str">
            <v>تراش</v>
          </cell>
          <cell r="AC224" t="str">
            <v>1405/03/12</v>
          </cell>
        </row>
        <row r="225">
          <cell r="B225" t="str">
            <v>ساب کلاچ</v>
          </cell>
          <cell r="C225" t="str">
            <v>قطعه نو</v>
          </cell>
          <cell r="N225" t="str">
            <v>مونتاژ</v>
          </cell>
          <cell r="AC225" t="str">
            <v>1405/03/12</v>
          </cell>
        </row>
        <row r="226">
          <cell r="B226" t="str">
            <v>قالب شمشی عقب پیکان</v>
          </cell>
          <cell r="C226" t="str">
            <v>قالب نو</v>
          </cell>
          <cell r="N226" t="str">
            <v>فرز</v>
          </cell>
          <cell r="AC226" t="str">
            <v>1405/03/12</v>
          </cell>
        </row>
        <row r="227">
          <cell r="B227" t="str">
            <v>پخت کلاچ پراید</v>
          </cell>
          <cell r="C227" t="str">
            <v>قالب تعمیری</v>
          </cell>
          <cell r="N227" t="str">
            <v>CNC</v>
          </cell>
          <cell r="AC227" t="str">
            <v>1405/03/12</v>
          </cell>
        </row>
        <row r="228">
          <cell r="B228" t="str">
            <v>صنایع مس</v>
          </cell>
          <cell r="C228" t="str">
            <v>قطعه نو</v>
          </cell>
          <cell r="N228" t="str">
            <v>CNC</v>
          </cell>
          <cell r="AC228" t="str">
            <v>1405/03/12</v>
          </cell>
        </row>
        <row r="229">
          <cell r="B229" t="str">
            <v>پخت کلاچ پراید</v>
          </cell>
          <cell r="C229" t="str">
            <v>قالب تعمیری</v>
          </cell>
          <cell r="N229" t="str">
            <v>سنگ زنی</v>
          </cell>
          <cell r="AC229" t="str">
            <v>1405/03/12</v>
          </cell>
        </row>
        <row r="230">
          <cell r="B230" t="str">
            <v>قالب BPW تاجدار</v>
          </cell>
          <cell r="C230" t="str">
            <v>قالب تعمیری</v>
          </cell>
          <cell r="N230" t="str">
            <v>سنگ زنی</v>
          </cell>
          <cell r="AC230" t="str">
            <v>1405/03/12</v>
          </cell>
        </row>
        <row r="231">
          <cell r="B231" t="str">
            <v>قالب پخت کلاچ پژو 405</v>
          </cell>
          <cell r="C231" t="str">
            <v>قالب تعمیری</v>
          </cell>
          <cell r="N231" t="str">
            <v>سنگ زنی</v>
          </cell>
          <cell r="AC231" t="str">
            <v>1405/03/12</v>
          </cell>
        </row>
        <row r="232">
          <cell r="B232" t="str">
            <v>دستگاه مهر زنی</v>
          </cell>
          <cell r="C232" t="str">
            <v>قطعه تعمیری</v>
          </cell>
          <cell r="N232" t="str">
            <v>وایر</v>
          </cell>
          <cell r="AC232" t="str">
            <v>1405/03/12</v>
          </cell>
        </row>
        <row r="233">
          <cell r="B233" t="str">
            <v>قالب BPW تاجدار</v>
          </cell>
          <cell r="C233" t="str">
            <v>قالب تعمیری</v>
          </cell>
          <cell r="N233" t="str">
            <v>وایر</v>
          </cell>
          <cell r="AC233" t="str">
            <v>1405/03/12</v>
          </cell>
        </row>
        <row r="234">
          <cell r="B234" t="str">
            <v>پرس 50 تن</v>
          </cell>
          <cell r="C234" t="str">
            <v>قطعه نو</v>
          </cell>
          <cell r="N234" t="str">
            <v>وایر</v>
          </cell>
          <cell r="AC234" t="str">
            <v>1405/03/12</v>
          </cell>
        </row>
        <row r="235">
          <cell r="B235" t="str">
            <v>پخت کلاچ پیکان انگلیسی</v>
          </cell>
          <cell r="C235" t="str">
            <v>قالب تعمیری</v>
          </cell>
          <cell r="N235" t="str">
            <v>مونتاژ</v>
          </cell>
          <cell r="AC235" t="str">
            <v>1405/03/12</v>
          </cell>
        </row>
        <row r="236">
          <cell r="B236" t="str">
            <v>قالب پیلسان</v>
          </cell>
          <cell r="C236" t="str">
            <v>قالب تعمیری</v>
          </cell>
          <cell r="N236" t="str">
            <v>مونتاژ</v>
          </cell>
          <cell r="AC236" t="str">
            <v>1405/03/12</v>
          </cell>
        </row>
        <row r="237">
          <cell r="B237" t="str">
            <v>ساب کونیک</v>
          </cell>
          <cell r="C237" t="str">
            <v>قطعه تعمیری</v>
          </cell>
          <cell r="N237" t="str">
            <v>دریل رادیال</v>
          </cell>
          <cell r="AC237" t="str">
            <v>1405/03/12</v>
          </cell>
        </row>
        <row r="238">
          <cell r="B238" t="str">
            <v>ساب الماس</v>
          </cell>
          <cell r="C238" t="str">
            <v>قطعه تعمیری</v>
          </cell>
          <cell r="N238" t="str">
            <v>دریل رادیال</v>
          </cell>
          <cell r="AC238" t="str">
            <v>1405/03/12</v>
          </cell>
        </row>
        <row r="239">
          <cell r="B239" t="str">
            <v>قالب پخت کلاچ پیکان</v>
          </cell>
          <cell r="C239" t="str">
            <v>قالب تعمیری</v>
          </cell>
          <cell r="N239" t="str">
            <v>CNC</v>
          </cell>
          <cell r="AC239" t="str">
            <v>1405/03/13</v>
          </cell>
        </row>
        <row r="240">
          <cell r="B240" t="str">
            <v>صنایع مس</v>
          </cell>
          <cell r="C240" t="str">
            <v>قطعه نو</v>
          </cell>
          <cell r="N240" t="str">
            <v>CNC</v>
          </cell>
          <cell r="AC240" t="str">
            <v>1405/03/13</v>
          </cell>
        </row>
        <row r="241">
          <cell r="B241" t="str">
            <v>دستگاه پشم فلز چینی</v>
          </cell>
          <cell r="C241" t="str">
            <v>قطعه نو</v>
          </cell>
          <cell r="N241" t="str">
            <v>فرز</v>
          </cell>
          <cell r="AC241" t="str">
            <v>1405/03/13</v>
          </cell>
        </row>
        <row r="242">
          <cell r="B242" t="str">
            <v>قالب پخت کلاچ پژو 405</v>
          </cell>
          <cell r="C242" t="str">
            <v>قالب تعمیری</v>
          </cell>
          <cell r="N242" t="str">
            <v>فرز</v>
          </cell>
          <cell r="AC242" t="str">
            <v>1405/03/13</v>
          </cell>
        </row>
        <row r="243">
          <cell r="B243" t="str">
            <v>قالب پخت کلاچ پژو 405</v>
          </cell>
          <cell r="C243" t="str">
            <v>قالب تعمیری</v>
          </cell>
          <cell r="N243" t="str">
            <v>سنگ زنی</v>
          </cell>
          <cell r="AC243" t="str">
            <v>1405/03/13</v>
          </cell>
        </row>
        <row r="244">
          <cell r="B244" t="str">
            <v>دستگاه پشم فلز چینی</v>
          </cell>
          <cell r="C244" t="str">
            <v>قطعه نو</v>
          </cell>
          <cell r="N244" t="str">
            <v>CNC</v>
          </cell>
          <cell r="AC244" t="str">
            <v>1405/03/13</v>
          </cell>
        </row>
        <row r="245">
          <cell r="B245" t="str">
            <v>پین عقب ریو</v>
          </cell>
          <cell r="C245" t="str">
            <v>قطعه نو</v>
          </cell>
          <cell r="N245" t="str">
            <v>سری تراش</v>
          </cell>
          <cell r="AC245" t="str">
            <v>1405/03/13</v>
          </cell>
        </row>
        <row r="246">
          <cell r="B246" t="str">
            <v>دستگاه پشم فلز چینی</v>
          </cell>
          <cell r="C246" t="str">
            <v>قطعه نو</v>
          </cell>
          <cell r="N246" t="str">
            <v>تراش</v>
          </cell>
          <cell r="AC246" t="str">
            <v>1405/03/13</v>
          </cell>
        </row>
        <row r="247">
          <cell r="B247" t="str">
            <v>ابزار زنی</v>
          </cell>
          <cell r="C247" t="str">
            <v>قطعه نو</v>
          </cell>
          <cell r="N247" t="str">
            <v>اره لنگ</v>
          </cell>
          <cell r="AC247" t="str">
            <v>1405/03/13</v>
          </cell>
        </row>
        <row r="248">
          <cell r="B248" t="str">
            <v>دستگاه پشم فلز چینی</v>
          </cell>
          <cell r="C248" t="str">
            <v>قطعه نو</v>
          </cell>
          <cell r="N248" t="str">
            <v>مونتاژ</v>
          </cell>
          <cell r="AC248" t="str">
            <v>1405/03/13</v>
          </cell>
        </row>
        <row r="249">
          <cell r="B249" t="str">
            <v>کلمپ زنی</v>
          </cell>
          <cell r="C249" t="str">
            <v>دستگاه تعمیری</v>
          </cell>
          <cell r="N249" t="str">
            <v>فرز</v>
          </cell>
          <cell r="AC249" t="str">
            <v>1405/03/13</v>
          </cell>
        </row>
        <row r="250">
          <cell r="B250" t="str">
            <v>ویوینگ</v>
          </cell>
          <cell r="C250" t="str">
            <v>قطعه تعمیری</v>
          </cell>
          <cell r="N250" t="str">
            <v>فرز</v>
          </cell>
          <cell r="AC250" t="str">
            <v>1405/03/13</v>
          </cell>
        </row>
        <row r="251">
          <cell r="B251" t="str">
            <v>ابزار زنی</v>
          </cell>
          <cell r="C251" t="str">
            <v>قطعه نو</v>
          </cell>
          <cell r="N251" t="str">
            <v>اره لنگ</v>
          </cell>
          <cell r="AC251" t="str">
            <v>1405/03/13</v>
          </cell>
        </row>
        <row r="252">
          <cell r="B252" t="str">
            <v>دریل یزدخواستی کلاچ</v>
          </cell>
          <cell r="C252" t="str">
            <v>قطعه نو</v>
          </cell>
          <cell r="N252" t="str">
            <v>تراش</v>
          </cell>
          <cell r="AC252" t="str">
            <v>1405/03/13</v>
          </cell>
        </row>
        <row r="253">
          <cell r="B253" t="str">
            <v>شات پلاس</v>
          </cell>
          <cell r="C253" t="str">
            <v>قطعه تعمیری</v>
          </cell>
          <cell r="N253" t="str">
            <v>تراش</v>
          </cell>
          <cell r="AC253" t="str">
            <v>1405/03/13</v>
          </cell>
        </row>
        <row r="254">
          <cell r="B254" t="str">
            <v>ویوینگ</v>
          </cell>
          <cell r="C254" t="str">
            <v>قطعه تعمیری</v>
          </cell>
          <cell r="N254" t="str">
            <v>تراش</v>
          </cell>
          <cell r="AC254" t="str">
            <v>1405/03/13</v>
          </cell>
        </row>
        <row r="255">
          <cell r="B255" t="str">
            <v>دستگاه مهر زنی</v>
          </cell>
          <cell r="C255" t="str">
            <v>قطعه تعمیری</v>
          </cell>
          <cell r="N255" t="str">
            <v>وایر</v>
          </cell>
          <cell r="AC255" t="str">
            <v>1405/03/13</v>
          </cell>
        </row>
        <row r="256">
          <cell r="B256" t="str">
            <v>ویوینگ</v>
          </cell>
          <cell r="C256" t="str">
            <v>قطعه تعمیری</v>
          </cell>
          <cell r="N256" t="str">
            <v>وایر</v>
          </cell>
          <cell r="AC256" t="str">
            <v>1405/03/13</v>
          </cell>
        </row>
        <row r="257">
          <cell r="B257" t="str">
            <v>دستگاه مهر زنی</v>
          </cell>
          <cell r="C257" t="str">
            <v>قطعه تعمیری</v>
          </cell>
          <cell r="N257" t="str">
            <v>وایر</v>
          </cell>
          <cell r="AC257" t="str">
            <v>1405/03/13</v>
          </cell>
        </row>
        <row r="258">
          <cell r="B258" t="str">
            <v xml:space="preserve">پخت کلاچ پراید سکو </v>
          </cell>
          <cell r="C258" t="str">
            <v>قالب تعمیری</v>
          </cell>
          <cell r="N258" t="str">
            <v>مونتاژ</v>
          </cell>
          <cell r="AC258" t="str">
            <v>1405/03/13</v>
          </cell>
        </row>
        <row r="259">
          <cell r="B259" t="str">
            <v>پخت کلاچ 911 دور بزرگ</v>
          </cell>
          <cell r="C259" t="str">
            <v>قالب تعمیری</v>
          </cell>
          <cell r="N259" t="str">
            <v>مونتاژ</v>
          </cell>
          <cell r="AC259" t="str">
            <v>1405/03/13</v>
          </cell>
        </row>
        <row r="260">
          <cell r="B260" t="str">
            <v>قالب پخت کلاچ پیکان آرژانتینی</v>
          </cell>
          <cell r="C260" t="str">
            <v>قالب تعمیری</v>
          </cell>
          <cell r="N260" t="str">
            <v>مونتاژ</v>
          </cell>
          <cell r="AC260" t="str">
            <v>1405/03/13</v>
          </cell>
        </row>
        <row r="261">
          <cell r="B261" t="str">
            <v>پخت کلاچ 911 دور بزرگ</v>
          </cell>
          <cell r="C261" t="str">
            <v>قالب تعمیری</v>
          </cell>
          <cell r="N261" t="str">
            <v>مونتاژ</v>
          </cell>
          <cell r="AC261" t="str">
            <v>1405/03/13</v>
          </cell>
        </row>
        <row r="262">
          <cell r="B262" t="str">
            <v>قالب پخت کلاچ پیکان</v>
          </cell>
          <cell r="C262" t="str">
            <v>قالب تعمیری</v>
          </cell>
          <cell r="N262" t="str">
            <v>CNC</v>
          </cell>
          <cell r="AC262" t="str">
            <v>1405/03/16</v>
          </cell>
        </row>
        <row r="263">
          <cell r="B263" t="str">
            <v>پین عقب ریو</v>
          </cell>
          <cell r="C263" t="str">
            <v>قطعه نو</v>
          </cell>
          <cell r="N263" t="str">
            <v>سری تراش</v>
          </cell>
          <cell r="AC263" t="str">
            <v>1405/03/16</v>
          </cell>
        </row>
        <row r="264">
          <cell r="B264" t="str">
            <v>دستگاه پشم فلز چینی</v>
          </cell>
          <cell r="C264" t="str">
            <v>قطعه نو</v>
          </cell>
          <cell r="N264" t="str">
            <v>فرز</v>
          </cell>
          <cell r="AC264" t="str">
            <v>1405/03/16</v>
          </cell>
        </row>
        <row r="265">
          <cell r="B265" t="str">
            <v>قالب پخت کلاچ پژو 405</v>
          </cell>
          <cell r="C265" t="str">
            <v>قالب تعمیری</v>
          </cell>
          <cell r="N265" t="str">
            <v>فرز</v>
          </cell>
          <cell r="AC265" t="str">
            <v>1405/03/16</v>
          </cell>
        </row>
        <row r="266">
          <cell r="B266" t="str">
            <v>Hammer Mill Machine</v>
          </cell>
          <cell r="C266" t="str">
            <v>دستگاه نو</v>
          </cell>
          <cell r="N266" t="str">
            <v>مونتاژ</v>
          </cell>
          <cell r="AC266" t="str">
            <v>1405/03/16</v>
          </cell>
        </row>
        <row r="267">
          <cell r="B267" t="str">
            <v>دستگاه پشم فلز چینی</v>
          </cell>
          <cell r="C267" t="str">
            <v>قطعه نو</v>
          </cell>
          <cell r="N267" t="str">
            <v>CNC</v>
          </cell>
          <cell r="AC267" t="str">
            <v>1405/03/16</v>
          </cell>
        </row>
        <row r="268">
          <cell r="B268" t="str">
            <v>دستگاه CNC 7204</v>
          </cell>
          <cell r="C268" t="str">
            <v>دستگاه تعمیری</v>
          </cell>
          <cell r="N268" t="str">
            <v>مونتاژ</v>
          </cell>
          <cell r="AC268" t="str">
            <v>1405/03/16</v>
          </cell>
        </row>
        <row r="269">
          <cell r="B269" t="str">
            <v>شابلون پراید دیسکی</v>
          </cell>
          <cell r="C269" t="str">
            <v>قطعه تعمیری</v>
          </cell>
          <cell r="N269" t="str">
            <v>فرز</v>
          </cell>
          <cell r="AC269" t="str">
            <v>1405/03/16</v>
          </cell>
        </row>
        <row r="270">
          <cell r="B270" t="str">
            <v>دستگاه مهر زنی</v>
          </cell>
          <cell r="C270" t="str">
            <v>قطعه تعمیری</v>
          </cell>
          <cell r="N270" t="str">
            <v>فرز</v>
          </cell>
          <cell r="AC270" t="str">
            <v>1405/03/16</v>
          </cell>
        </row>
        <row r="271">
          <cell r="B271" t="str">
            <v>صنایع مس</v>
          </cell>
          <cell r="C271" t="str">
            <v>قطعه نو</v>
          </cell>
          <cell r="N271" t="str">
            <v>CNC</v>
          </cell>
          <cell r="AC271" t="str">
            <v>1405/03/16</v>
          </cell>
        </row>
        <row r="272">
          <cell r="B272" t="str">
            <v>دستگاه CNC 7203</v>
          </cell>
          <cell r="C272" t="str">
            <v>دستگاه تعمیری</v>
          </cell>
          <cell r="N272" t="str">
            <v>مونتاژ</v>
          </cell>
          <cell r="AC272" t="str">
            <v>1405/03/16</v>
          </cell>
        </row>
        <row r="273">
          <cell r="B273" t="str">
            <v>صنایع مس</v>
          </cell>
          <cell r="C273" t="str">
            <v>قطعه نو</v>
          </cell>
          <cell r="N273" t="str">
            <v>CNC</v>
          </cell>
          <cell r="AC273" t="str">
            <v>1405/03/16</v>
          </cell>
        </row>
        <row r="274">
          <cell r="B274" t="str">
            <v>قالب پخت کلاچ پیکان</v>
          </cell>
          <cell r="C274" t="str">
            <v>قالب تعمیری</v>
          </cell>
          <cell r="N274" t="str">
            <v>سنگ زنی</v>
          </cell>
          <cell r="AC274" t="str">
            <v>1405/03/16</v>
          </cell>
        </row>
        <row r="275">
          <cell r="B275" t="str">
            <v>ساب کلاچ</v>
          </cell>
          <cell r="C275" t="str">
            <v>قطعه نو</v>
          </cell>
          <cell r="N275" t="str">
            <v>سنگ زنی</v>
          </cell>
          <cell r="AC275" t="str">
            <v>1405/03/16</v>
          </cell>
        </row>
        <row r="276">
          <cell r="B276" t="str">
            <v>برش جمعی عقب ریو</v>
          </cell>
          <cell r="C276" t="str">
            <v>قطعه نو</v>
          </cell>
          <cell r="N276" t="str">
            <v>سنگ زنی</v>
          </cell>
          <cell r="AC276" t="str">
            <v>1405/03/16</v>
          </cell>
        </row>
        <row r="277">
          <cell r="B277" t="str">
            <v>دستگاه پشم فلز</v>
          </cell>
          <cell r="C277" t="str">
            <v>قطعه تعمیری</v>
          </cell>
          <cell r="N277" t="str">
            <v>تراش</v>
          </cell>
          <cell r="AC277" t="str">
            <v>1405/03/16</v>
          </cell>
        </row>
        <row r="278">
          <cell r="B278" t="str">
            <v>دریل یزدخواستی کلاچ</v>
          </cell>
          <cell r="C278" t="str">
            <v>قطعه نو</v>
          </cell>
          <cell r="N278" t="str">
            <v>تراش</v>
          </cell>
          <cell r="AC278" t="str">
            <v>1405/03/16</v>
          </cell>
        </row>
        <row r="279">
          <cell r="B279" t="str">
            <v>دریل یزدخواستی کلاچ</v>
          </cell>
          <cell r="C279" t="str">
            <v>قطعه نو</v>
          </cell>
          <cell r="N279" t="str">
            <v>تراش</v>
          </cell>
          <cell r="AC279" t="str">
            <v>1405/03/16</v>
          </cell>
        </row>
        <row r="280">
          <cell r="B280" t="str">
            <v>قالب پخت کلاچ پیکان آرژانتینی</v>
          </cell>
          <cell r="C280" t="str">
            <v>قالب تعمیری</v>
          </cell>
          <cell r="N280" t="str">
            <v>وایر</v>
          </cell>
          <cell r="AC280" t="str">
            <v>1405/03/16</v>
          </cell>
        </row>
        <row r="281">
          <cell r="B281" t="str">
            <v>دستگاه مهر زنی</v>
          </cell>
          <cell r="C281" t="str">
            <v>قطعه تعمیری</v>
          </cell>
          <cell r="N281" t="str">
            <v>وایر</v>
          </cell>
          <cell r="AC281" t="str">
            <v>1405/03/16</v>
          </cell>
        </row>
        <row r="282">
          <cell r="B282" t="str">
            <v>صنایع مس</v>
          </cell>
          <cell r="C282" t="str">
            <v>قطعه نو</v>
          </cell>
          <cell r="N282" t="str">
            <v>وایر</v>
          </cell>
          <cell r="AC282" t="str">
            <v>1405/03/16</v>
          </cell>
        </row>
        <row r="283">
          <cell r="B283" t="str">
            <v>دستگاه پرس 600 تن</v>
          </cell>
          <cell r="C283" t="str">
            <v>قطعه تعمیری</v>
          </cell>
          <cell r="N283" t="str">
            <v>وایر</v>
          </cell>
          <cell r="AC283" t="str">
            <v>1405/03/16</v>
          </cell>
        </row>
        <row r="284">
          <cell r="B284" t="str">
            <v>پخت کلاچ 911 دور بزرگ</v>
          </cell>
          <cell r="C284" t="str">
            <v>قالب تعمیری</v>
          </cell>
          <cell r="N284" t="str">
            <v>مونتاژ</v>
          </cell>
          <cell r="AC284" t="str">
            <v>1405/03/16</v>
          </cell>
        </row>
        <row r="285">
          <cell r="B285" t="str">
            <v xml:space="preserve">پخت کلاچ پراید سکو </v>
          </cell>
          <cell r="C285" t="str">
            <v>قالب تعمیری</v>
          </cell>
          <cell r="N285" t="str">
            <v>مونتاژ</v>
          </cell>
          <cell r="AC285" t="str">
            <v>1405/03/16</v>
          </cell>
        </row>
        <row r="286">
          <cell r="B286" t="str">
            <v>پخت کلاچ تیبا راست</v>
          </cell>
          <cell r="C286" t="str">
            <v>قالب تعمیری</v>
          </cell>
          <cell r="N286" t="str">
            <v>مونتاژ</v>
          </cell>
          <cell r="AC286" t="str">
            <v>1405/03/16</v>
          </cell>
        </row>
        <row r="287">
          <cell r="B287" t="str">
            <v>پخت کلاچ پیکان المانی</v>
          </cell>
          <cell r="C287" t="str">
            <v>قالب تعمیری</v>
          </cell>
          <cell r="N287" t="str">
            <v>مونتاژ</v>
          </cell>
          <cell r="AC287" t="str">
            <v>1405/03/16</v>
          </cell>
        </row>
        <row r="288">
          <cell r="B288" t="str">
            <v>پخت کلاچ پیکان انگلیسی</v>
          </cell>
          <cell r="C288" t="str">
            <v>قالب تعمیری</v>
          </cell>
          <cell r="N288" t="str">
            <v>مونتاژ</v>
          </cell>
          <cell r="AC288" t="str">
            <v>1405/03/16</v>
          </cell>
        </row>
        <row r="289">
          <cell r="B289" t="str">
            <v>قالب پخت کلاچ پیکان آرژانتینی</v>
          </cell>
          <cell r="C289" t="str">
            <v>قالب تعمیری</v>
          </cell>
          <cell r="N289" t="str">
            <v>مونتاژ</v>
          </cell>
          <cell r="AC289" t="str">
            <v>1405/03/16</v>
          </cell>
        </row>
        <row r="290">
          <cell r="B290" t="str">
            <v>قالب پخت کلاچ پیکان آرژانتینی</v>
          </cell>
          <cell r="C290" t="str">
            <v>قالب تعمیری</v>
          </cell>
          <cell r="N290" t="str">
            <v>دریل رادیال</v>
          </cell>
          <cell r="AC290" t="str">
            <v>1405/03/16</v>
          </cell>
        </row>
        <row r="291">
          <cell r="B291" t="str">
            <v>صنایع مس</v>
          </cell>
          <cell r="C291" t="str">
            <v>قطعه نو</v>
          </cell>
          <cell r="N291" t="str">
            <v>دریل رادیال</v>
          </cell>
          <cell r="AC291" t="str">
            <v>1405/03/16</v>
          </cell>
        </row>
        <row r="292">
          <cell r="B292" t="str">
            <v>ابزار زنی</v>
          </cell>
          <cell r="C292" t="str">
            <v>قطعه نو</v>
          </cell>
          <cell r="N292" t="str">
            <v>اره لنگ</v>
          </cell>
          <cell r="AC292" t="str">
            <v>1405/03/16</v>
          </cell>
        </row>
        <row r="293">
          <cell r="B293" t="str">
            <v>دستگاه پشم فلز چینی</v>
          </cell>
          <cell r="C293" t="str">
            <v>قطعه نو</v>
          </cell>
          <cell r="N293" t="str">
            <v>CNC</v>
          </cell>
          <cell r="AC293" t="str">
            <v>1405/03/17</v>
          </cell>
        </row>
        <row r="294">
          <cell r="B294" t="str">
            <v>قالب پخت کلاچ پیکان</v>
          </cell>
          <cell r="C294" t="str">
            <v>قالب تعمیری</v>
          </cell>
          <cell r="N294" t="str">
            <v>CNC</v>
          </cell>
          <cell r="AC294" t="str">
            <v>1405/03/17</v>
          </cell>
        </row>
        <row r="295">
          <cell r="B295" t="str">
            <v>پین عقب ریو</v>
          </cell>
          <cell r="C295" t="str">
            <v>قطعه نو</v>
          </cell>
          <cell r="N295" t="str">
            <v>سری تراش</v>
          </cell>
          <cell r="AC295" t="str">
            <v>1405/03/17</v>
          </cell>
        </row>
        <row r="296">
          <cell r="B296" t="str">
            <v>دستگاه پشم فلز چینی</v>
          </cell>
          <cell r="C296" t="str">
            <v>قطعه نو</v>
          </cell>
          <cell r="N296" t="str">
            <v>فرز</v>
          </cell>
          <cell r="AC296" t="str">
            <v>1405/03/17</v>
          </cell>
        </row>
        <row r="297">
          <cell r="B297" t="str">
            <v>پخت کلاچ پراید</v>
          </cell>
          <cell r="C297" t="str">
            <v>قالب تعمیری</v>
          </cell>
          <cell r="N297" t="str">
            <v>سنگ زنی</v>
          </cell>
          <cell r="AC297" t="str">
            <v>1405/03/17</v>
          </cell>
        </row>
        <row r="298">
          <cell r="B298" t="str">
            <v>قالب پخت کلاچ پژو 405</v>
          </cell>
          <cell r="C298" t="str">
            <v>قالب تعمیری</v>
          </cell>
          <cell r="N298" t="str">
            <v>فرز</v>
          </cell>
          <cell r="AC298" t="str">
            <v>1405/03/17</v>
          </cell>
        </row>
        <row r="299">
          <cell r="B299" t="str">
            <v>برش جمعی عقب ریو</v>
          </cell>
          <cell r="C299" t="str">
            <v>قطعه نو</v>
          </cell>
          <cell r="N299" t="str">
            <v>فرز</v>
          </cell>
          <cell r="AC299" t="str">
            <v>1405/03/17</v>
          </cell>
        </row>
        <row r="300">
          <cell r="B300" t="str">
            <v>پرس 50 تن</v>
          </cell>
          <cell r="C300" t="str">
            <v>قطعه نو</v>
          </cell>
          <cell r="N300" t="str">
            <v>تراش</v>
          </cell>
          <cell r="AC300" t="str">
            <v>1405/03/17</v>
          </cell>
        </row>
        <row r="301">
          <cell r="B301" t="str">
            <v>سری نقطه جوش</v>
          </cell>
          <cell r="C301" t="str">
            <v>قطعه تعمیری</v>
          </cell>
          <cell r="N301" t="str">
            <v>تراش</v>
          </cell>
          <cell r="AC301" t="str">
            <v>1405/03/17</v>
          </cell>
        </row>
        <row r="302">
          <cell r="B302" t="str">
            <v>ابزار زنی</v>
          </cell>
          <cell r="C302" t="str">
            <v>قطعه نو</v>
          </cell>
          <cell r="N302" t="str">
            <v>تراش</v>
          </cell>
          <cell r="AC302" t="str">
            <v>1405/03/17</v>
          </cell>
        </row>
        <row r="303">
          <cell r="B303" t="str">
            <v>ابزار زنی</v>
          </cell>
          <cell r="C303" t="str">
            <v>قطعه نو</v>
          </cell>
          <cell r="N303" t="str">
            <v>مونتاژ</v>
          </cell>
          <cell r="AC303" t="str">
            <v>1405/03/17</v>
          </cell>
        </row>
        <row r="304">
          <cell r="B304" t="str">
            <v>دستگاه مهر زنی</v>
          </cell>
          <cell r="C304" t="str">
            <v>قطعه تعمیری</v>
          </cell>
          <cell r="N304" t="str">
            <v>فرز</v>
          </cell>
          <cell r="AC304" t="str">
            <v>1405/03/17</v>
          </cell>
        </row>
        <row r="305">
          <cell r="B305" t="str">
            <v>کلمپ زنی</v>
          </cell>
          <cell r="C305" t="str">
            <v>دستگاه تعمیری</v>
          </cell>
          <cell r="N305" t="str">
            <v>فرز</v>
          </cell>
          <cell r="AC305" t="str">
            <v>1405/03/17</v>
          </cell>
        </row>
        <row r="306">
          <cell r="B306" t="str">
            <v>دستگاه ساب کلاچ</v>
          </cell>
          <cell r="C306" t="str">
            <v>قطعه تعمیری</v>
          </cell>
          <cell r="N306" t="str">
            <v>فرز</v>
          </cell>
          <cell r="AC306" t="str">
            <v>1405/03/17</v>
          </cell>
        </row>
        <row r="307">
          <cell r="B307" t="str">
            <v>دستگاه مهر زنی</v>
          </cell>
          <cell r="C307" t="str">
            <v>قطعه تعمیری</v>
          </cell>
          <cell r="N307" t="str">
            <v>مونتاژ</v>
          </cell>
          <cell r="AC307" t="str">
            <v>1405/03/17</v>
          </cell>
        </row>
        <row r="308">
          <cell r="B308" t="str">
            <v>دستگاه پشم فلز چینی</v>
          </cell>
          <cell r="C308" t="str">
            <v>قطعه نو</v>
          </cell>
          <cell r="N308" t="str">
            <v>مونتاژ</v>
          </cell>
          <cell r="AC308" t="str">
            <v>1405/03/17</v>
          </cell>
        </row>
        <row r="309">
          <cell r="B309" t="str">
            <v>ابزار زنی</v>
          </cell>
          <cell r="C309" t="str">
            <v>قطعه نو</v>
          </cell>
          <cell r="N309" t="str">
            <v>اره لنگ</v>
          </cell>
          <cell r="AC309" t="str">
            <v>1405/03/17</v>
          </cell>
        </row>
        <row r="310">
          <cell r="B310" t="str">
            <v>قالب پخت کلاچ پیکان آرژانتینی</v>
          </cell>
          <cell r="C310" t="str">
            <v>قالب تعمیری</v>
          </cell>
          <cell r="N310" t="str">
            <v>وایر</v>
          </cell>
          <cell r="AC310" t="str">
            <v>1405/03/17</v>
          </cell>
        </row>
        <row r="311">
          <cell r="B311" t="str">
            <v>قالب پخت کلاچ پیکان آرژانتینی</v>
          </cell>
          <cell r="C311" t="str">
            <v>قالب تعمیری</v>
          </cell>
          <cell r="N311" t="str">
            <v>وایر</v>
          </cell>
          <cell r="AC311" t="str">
            <v>1405/03/17</v>
          </cell>
        </row>
        <row r="312">
          <cell r="B312" t="str">
            <v>صنایع مس</v>
          </cell>
          <cell r="C312" t="str">
            <v>قطعه نو</v>
          </cell>
          <cell r="N312" t="str">
            <v>وایر</v>
          </cell>
          <cell r="AC312" t="str">
            <v>1405/03/17</v>
          </cell>
        </row>
        <row r="313">
          <cell r="B313" t="str">
            <v>دستگاه پرس 600 تن</v>
          </cell>
          <cell r="C313" t="str">
            <v>قطعه تعمیری</v>
          </cell>
          <cell r="N313" t="str">
            <v>وایر</v>
          </cell>
          <cell r="AC313" t="str">
            <v>1405/03/17</v>
          </cell>
        </row>
        <row r="314">
          <cell r="B314" t="str">
            <v>قالب سوراخکاری 70028</v>
          </cell>
          <cell r="C314" t="str">
            <v>قالب تعمیری</v>
          </cell>
          <cell r="N314" t="str">
            <v>وایر</v>
          </cell>
          <cell r="AC314" t="str">
            <v>1405/03/17</v>
          </cell>
        </row>
        <row r="315">
          <cell r="B315" t="str">
            <v>قالب جلو ریو</v>
          </cell>
          <cell r="C315" t="str">
            <v>قالب تعمیری</v>
          </cell>
          <cell r="N315" t="str">
            <v>مونتاژ</v>
          </cell>
          <cell r="AC315" t="str">
            <v>1405/03/17</v>
          </cell>
        </row>
        <row r="316">
          <cell r="B316" t="str">
            <v>قالب تیبا خزینه چپ</v>
          </cell>
          <cell r="C316" t="str">
            <v>قالب تعمیری</v>
          </cell>
          <cell r="N316" t="str">
            <v>مونتاژ</v>
          </cell>
          <cell r="AC316" t="str">
            <v>1405/03/17</v>
          </cell>
        </row>
        <row r="317">
          <cell r="B317" t="str">
            <v>قالب پخت کلاچ پیکان آرژانتینی</v>
          </cell>
          <cell r="C317" t="str">
            <v>قالب تعمیری</v>
          </cell>
          <cell r="N317" t="str">
            <v>مونتاژ</v>
          </cell>
          <cell r="AC317" t="str">
            <v>1405/03/17</v>
          </cell>
        </row>
        <row r="318">
          <cell r="B318" t="str">
            <v>ابزار زنی</v>
          </cell>
          <cell r="C318" t="str">
            <v>قطعه نو</v>
          </cell>
          <cell r="N318" t="str">
            <v>اره لنگ</v>
          </cell>
          <cell r="AC318" t="str">
            <v>1405/03/17</v>
          </cell>
        </row>
        <row r="319">
          <cell r="B319" t="str">
            <v>صنایع مس</v>
          </cell>
          <cell r="C319" t="str">
            <v>قطعه نو</v>
          </cell>
          <cell r="N319" t="str">
            <v>CNC</v>
          </cell>
          <cell r="AC319" t="str">
            <v>1405/03/17</v>
          </cell>
        </row>
        <row r="320">
          <cell r="B320" t="str">
            <v>دستگاه ساب کلاچ</v>
          </cell>
          <cell r="C320" t="str">
            <v>قطعه تعمیری</v>
          </cell>
          <cell r="N320" t="str">
            <v>فرز</v>
          </cell>
          <cell r="AC320" t="str">
            <v>1405/03/18</v>
          </cell>
        </row>
        <row r="321">
          <cell r="B321" t="str">
            <v>صنایع مس</v>
          </cell>
          <cell r="C321" t="str">
            <v>قطعه نو</v>
          </cell>
          <cell r="N321" t="str">
            <v>فرز</v>
          </cell>
          <cell r="AC321" t="str">
            <v>1405/03/18</v>
          </cell>
        </row>
        <row r="322">
          <cell r="B322" t="str">
            <v>قالب پخت کلاچ پژو 405</v>
          </cell>
          <cell r="C322" t="str">
            <v>قالب تعمیری</v>
          </cell>
          <cell r="N322" t="str">
            <v>CNC</v>
          </cell>
          <cell r="AC322" t="str">
            <v>1405/03/18</v>
          </cell>
        </row>
        <row r="323">
          <cell r="B323" t="str">
            <v>قالب سوراخکاری 70028</v>
          </cell>
          <cell r="C323" t="str">
            <v>قالب تعمیری</v>
          </cell>
          <cell r="N323" t="str">
            <v>CNC</v>
          </cell>
          <cell r="AC323" t="str">
            <v>1405/03/18</v>
          </cell>
        </row>
        <row r="324">
          <cell r="B324" t="str">
            <v>برش جمعی عقب ریو</v>
          </cell>
          <cell r="C324" t="str">
            <v>قطعه نو</v>
          </cell>
          <cell r="N324" t="str">
            <v>فرز</v>
          </cell>
          <cell r="AC324" t="str">
            <v>1405/03/18</v>
          </cell>
        </row>
        <row r="325">
          <cell r="B325" t="str">
            <v>شمش پراید</v>
          </cell>
          <cell r="C325" t="str">
            <v>قالب نو</v>
          </cell>
          <cell r="N325" t="str">
            <v>فرز</v>
          </cell>
          <cell r="AC325" t="str">
            <v>1405/03/18</v>
          </cell>
        </row>
        <row r="326">
          <cell r="B326" t="str">
            <v>قالب پخت کلاچ پیکان</v>
          </cell>
          <cell r="C326" t="str">
            <v>قالب تعمیری</v>
          </cell>
          <cell r="N326" t="str">
            <v>CNC</v>
          </cell>
          <cell r="AC326" t="str">
            <v>1405/03/18</v>
          </cell>
        </row>
        <row r="327">
          <cell r="B327" t="str">
            <v>قالب پخت کلاچ پیکان آرژانتینی</v>
          </cell>
          <cell r="C327" t="str">
            <v>قالب تعمیری</v>
          </cell>
          <cell r="N327" t="str">
            <v>CNC</v>
          </cell>
          <cell r="AC327" t="str">
            <v>1405/03/18</v>
          </cell>
        </row>
        <row r="328">
          <cell r="B328" t="str">
            <v>ابزار زنی</v>
          </cell>
          <cell r="C328" t="str">
            <v>قطعه نو</v>
          </cell>
          <cell r="N328" t="str">
            <v>اره لنگ</v>
          </cell>
          <cell r="AC328" t="str">
            <v>1405/03/18</v>
          </cell>
        </row>
        <row r="329">
          <cell r="B329" t="str">
            <v>شمش پراید</v>
          </cell>
          <cell r="C329" t="str">
            <v>قالب نو</v>
          </cell>
          <cell r="N329" t="str">
            <v>مونتاژ</v>
          </cell>
          <cell r="AC329" t="str">
            <v>1405/03/18</v>
          </cell>
        </row>
        <row r="330">
          <cell r="B330" t="str">
            <v>دستگاه پرس 600 تن</v>
          </cell>
          <cell r="C330" t="str">
            <v>قطعه تعمیری</v>
          </cell>
          <cell r="N330" t="str">
            <v>تراش</v>
          </cell>
          <cell r="AC330" t="str">
            <v>1405/03/18</v>
          </cell>
        </row>
        <row r="331">
          <cell r="B331" t="str">
            <v>پین عقب ریو</v>
          </cell>
          <cell r="C331" t="str">
            <v>قطعه نو</v>
          </cell>
          <cell r="N331" t="str">
            <v>سری تراش</v>
          </cell>
          <cell r="AC331" t="str">
            <v>1405/03/18</v>
          </cell>
        </row>
        <row r="332">
          <cell r="B332" t="str">
            <v>آغشته کاری</v>
          </cell>
          <cell r="C332" t="str">
            <v>قطعه نو</v>
          </cell>
          <cell r="N332" t="str">
            <v>تراش</v>
          </cell>
          <cell r="AC332" t="str">
            <v>1405/03/18</v>
          </cell>
        </row>
        <row r="333">
          <cell r="B333" t="str">
            <v>قالب توری پگاسوز</v>
          </cell>
          <cell r="C333" t="str">
            <v>قالب تعمیری</v>
          </cell>
          <cell r="N333" t="str">
            <v>وایر</v>
          </cell>
          <cell r="AC333" t="str">
            <v>1405/03/18</v>
          </cell>
        </row>
        <row r="334">
          <cell r="B334" t="str">
            <v>صنایع مس</v>
          </cell>
          <cell r="C334" t="str">
            <v>قطعه نو</v>
          </cell>
          <cell r="N334" t="str">
            <v>وایر</v>
          </cell>
          <cell r="AC334" t="str">
            <v>1405/03/18</v>
          </cell>
        </row>
        <row r="335">
          <cell r="B335" t="str">
            <v>آغشته کاری</v>
          </cell>
          <cell r="C335" t="str">
            <v>قطعه نو</v>
          </cell>
          <cell r="N335" t="str">
            <v>وایر</v>
          </cell>
          <cell r="AC335" t="str">
            <v>1405/03/18</v>
          </cell>
        </row>
        <row r="336">
          <cell r="B336" t="str">
            <v>قالب پخت کلاچ پیکان آرژانتینی</v>
          </cell>
          <cell r="C336" t="str">
            <v>قالب تعمیری</v>
          </cell>
          <cell r="N336" t="str">
            <v>وایر</v>
          </cell>
          <cell r="AC336" t="str">
            <v>1405/03/18</v>
          </cell>
        </row>
        <row r="337">
          <cell r="B337" t="str">
            <v>قالب جلو ریو</v>
          </cell>
          <cell r="C337" t="str">
            <v>قالب تعمیری</v>
          </cell>
          <cell r="N337" t="str">
            <v>مونتاژ</v>
          </cell>
          <cell r="AC337" t="str">
            <v>1405/03/18</v>
          </cell>
        </row>
        <row r="338">
          <cell r="B338" t="str">
            <v>کلاچ مینی بوس 309 سوراخدار</v>
          </cell>
          <cell r="C338" t="str">
            <v>قالب تعمیری</v>
          </cell>
          <cell r="N338" t="str">
            <v>مونتاژ</v>
          </cell>
          <cell r="AC338" t="str">
            <v>1405/03/18</v>
          </cell>
        </row>
        <row r="339">
          <cell r="B339" t="str">
            <v>دستگاه پشم فلز چینی</v>
          </cell>
          <cell r="C339" t="str">
            <v>قطعه نو</v>
          </cell>
          <cell r="N339" t="str">
            <v>مونتاژ</v>
          </cell>
          <cell r="AC339" t="str">
            <v>1405/03/18</v>
          </cell>
        </row>
        <row r="340">
          <cell r="B340" t="str">
            <v>صنایع مس</v>
          </cell>
          <cell r="C340" t="str">
            <v>قطعه نو</v>
          </cell>
          <cell r="N340" t="str">
            <v>مونتاژ</v>
          </cell>
          <cell r="AC340" t="str">
            <v>1405/03/18</v>
          </cell>
        </row>
        <row r="341">
          <cell r="B341" t="str">
            <v>پخت کلاچ پراید</v>
          </cell>
          <cell r="C341" t="str">
            <v>قالب تعمیری</v>
          </cell>
          <cell r="N341" t="str">
            <v>سنگ زنی</v>
          </cell>
          <cell r="AC341" t="str">
            <v>1405/03/18</v>
          </cell>
        </row>
        <row r="342">
          <cell r="B342" t="str">
            <v>شمش پراید</v>
          </cell>
          <cell r="C342" t="str">
            <v>قالب نو</v>
          </cell>
          <cell r="N342" t="str">
            <v>سنگ زنی</v>
          </cell>
          <cell r="AC342" t="str">
            <v>1405/03/18</v>
          </cell>
        </row>
        <row r="343">
          <cell r="B343" t="str">
            <v>پخت کلاچ پراید</v>
          </cell>
          <cell r="C343" t="str">
            <v>قالب تعمیری</v>
          </cell>
          <cell r="N343" t="str">
            <v>سنگ زنی</v>
          </cell>
          <cell r="AC343" t="str">
            <v>1405/03/18</v>
          </cell>
        </row>
        <row r="344">
          <cell r="B344" t="str">
            <v>قالب لودری 70028</v>
          </cell>
          <cell r="C344" t="str">
            <v>قالب تعمیری</v>
          </cell>
          <cell r="N344" t="str">
            <v>سنگ زنی</v>
          </cell>
          <cell r="AC344" t="str">
            <v>1405/03/18</v>
          </cell>
        </row>
        <row r="345">
          <cell r="B345" t="str">
            <v>Hammer Mill Machine</v>
          </cell>
          <cell r="C345" t="str">
            <v>دستگاه نو</v>
          </cell>
          <cell r="N345" t="str">
            <v>سنگ زنی</v>
          </cell>
          <cell r="AC345" t="str">
            <v>1405/03/18</v>
          </cell>
        </row>
        <row r="346">
          <cell r="B346" t="str">
            <v>قالب شمشی عقب پیکان</v>
          </cell>
          <cell r="C346" t="str">
            <v>قالب نو</v>
          </cell>
          <cell r="N346" t="str">
            <v>CNC</v>
          </cell>
          <cell r="AC346" t="str">
            <v>1405/03/19</v>
          </cell>
        </row>
        <row r="347">
          <cell r="B347" t="str">
            <v>قالب پخت کلاچ پژو 405</v>
          </cell>
          <cell r="C347" t="str">
            <v>قالب تعمیری</v>
          </cell>
          <cell r="N347" t="str">
            <v>CNC</v>
          </cell>
          <cell r="AC347" t="str">
            <v>1405/03/19</v>
          </cell>
        </row>
        <row r="348">
          <cell r="B348" t="str">
            <v>قالب پخت کلاچ پیکان آرژانتینی</v>
          </cell>
          <cell r="C348" t="str">
            <v>قالب تعمیری</v>
          </cell>
          <cell r="N348" t="str">
            <v>CNC</v>
          </cell>
          <cell r="AC348" t="str">
            <v>1405/03/19</v>
          </cell>
        </row>
        <row r="349">
          <cell r="B349" t="str">
            <v>پین عقب ریو</v>
          </cell>
          <cell r="C349" t="str">
            <v>قطعه نو</v>
          </cell>
          <cell r="N349" t="str">
            <v>سری تراش</v>
          </cell>
          <cell r="AC349" t="str">
            <v>1405/03/19</v>
          </cell>
        </row>
        <row r="350">
          <cell r="B350" t="str">
            <v>صنایع مس</v>
          </cell>
          <cell r="C350" t="str">
            <v>قطعه نو</v>
          </cell>
          <cell r="N350" t="str">
            <v>فرز</v>
          </cell>
          <cell r="AC350" t="str">
            <v>1405/03/19</v>
          </cell>
        </row>
        <row r="351">
          <cell r="B351" t="str">
            <v>Hammer Mill Machine</v>
          </cell>
          <cell r="C351" t="str">
            <v>دستگاه نو</v>
          </cell>
          <cell r="N351" t="str">
            <v>سنگ زنی</v>
          </cell>
          <cell r="AC351" t="str">
            <v>1405/03/19</v>
          </cell>
        </row>
        <row r="352">
          <cell r="B352" t="str">
            <v>شمش پراید</v>
          </cell>
          <cell r="C352" t="str">
            <v>قالب نو</v>
          </cell>
          <cell r="N352" t="str">
            <v>فرز</v>
          </cell>
          <cell r="AC352" t="str">
            <v>1405/03/19</v>
          </cell>
        </row>
        <row r="353">
          <cell r="B353" t="str">
            <v>دستگاه مهر زنی</v>
          </cell>
          <cell r="C353" t="str">
            <v>قطعه تعمیری</v>
          </cell>
          <cell r="N353" t="str">
            <v>وایر</v>
          </cell>
          <cell r="AC353" t="str">
            <v>1405/03/19</v>
          </cell>
        </row>
        <row r="354">
          <cell r="B354" t="str">
            <v>قالب پخت کلاچ پیکان آرژانتینی</v>
          </cell>
          <cell r="C354" t="str">
            <v>قالب تعمیری</v>
          </cell>
          <cell r="N354" t="str">
            <v>وایر</v>
          </cell>
          <cell r="AC354" t="str">
            <v>1405/03/19</v>
          </cell>
        </row>
        <row r="355">
          <cell r="B355" t="str">
            <v>دستگاه پشم فلز چینی</v>
          </cell>
          <cell r="C355" t="str">
            <v>قطعه نو</v>
          </cell>
          <cell r="N355" t="str">
            <v>فرز</v>
          </cell>
          <cell r="AC355" t="str">
            <v>1405/03/19</v>
          </cell>
        </row>
        <row r="356">
          <cell r="B356" t="str">
            <v>برش جمعی عقب ریو</v>
          </cell>
          <cell r="C356" t="str">
            <v>قطعه نو</v>
          </cell>
          <cell r="N356" t="str">
            <v>فرز</v>
          </cell>
          <cell r="AC356" t="str">
            <v>1405/03/19</v>
          </cell>
        </row>
        <row r="357">
          <cell r="B357" t="str">
            <v>ابزار زنی</v>
          </cell>
          <cell r="C357" t="str">
            <v>قطعه نو</v>
          </cell>
          <cell r="N357" t="str">
            <v>اره لنگ</v>
          </cell>
          <cell r="AC357" t="str">
            <v>1405/03/19</v>
          </cell>
        </row>
        <row r="358">
          <cell r="B358" t="str">
            <v>ساب سمباده ای</v>
          </cell>
          <cell r="C358" t="str">
            <v>قطعه تعمیری</v>
          </cell>
          <cell r="N358" t="str">
            <v>تراش</v>
          </cell>
          <cell r="AC358" t="str">
            <v>1405/03/19</v>
          </cell>
        </row>
        <row r="359">
          <cell r="B359" t="str">
            <v>ویوینگ</v>
          </cell>
          <cell r="C359" t="str">
            <v>قطعه تعمیری</v>
          </cell>
          <cell r="N359" t="str">
            <v>تراش</v>
          </cell>
          <cell r="AC359" t="str">
            <v>1405/03/19</v>
          </cell>
        </row>
        <row r="360">
          <cell r="B360" t="str">
            <v>ابزار زنی</v>
          </cell>
          <cell r="C360" t="str">
            <v>قطعه نو</v>
          </cell>
          <cell r="N360" t="str">
            <v>مونتاژ</v>
          </cell>
          <cell r="AC360" t="str">
            <v>1405/03/19</v>
          </cell>
        </row>
        <row r="361">
          <cell r="B361" t="str">
            <v>قالب پخت کلاچ پژو 405</v>
          </cell>
          <cell r="C361" t="str">
            <v>قالب تعمیری</v>
          </cell>
          <cell r="N361" t="str">
            <v>CNC</v>
          </cell>
          <cell r="AC361" t="str">
            <v>1405/03/20</v>
          </cell>
        </row>
        <row r="362">
          <cell r="B362" t="str">
            <v>قالب پخت کلاچ پیکان آرژانتینی</v>
          </cell>
          <cell r="C362" t="str">
            <v>قالب تعمیری</v>
          </cell>
          <cell r="N362" t="str">
            <v>CNC</v>
          </cell>
          <cell r="AC362" t="str">
            <v>1405/03/20</v>
          </cell>
        </row>
        <row r="363">
          <cell r="B363" t="str">
            <v>قالب شمشی عقب پیکان</v>
          </cell>
          <cell r="C363" t="str">
            <v>قالب نو</v>
          </cell>
          <cell r="N363" t="str">
            <v>CNC</v>
          </cell>
          <cell r="AC363" t="str">
            <v>1405/03/20</v>
          </cell>
        </row>
        <row r="364">
          <cell r="B364" t="str">
            <v>Hammer Mill Machine</v>
          </cell>
          <cell r="C364" t="str">
            <v>دستگاه نو</v>
          </cell>
          <cell r="N364" t="str">
            <v>سنگ زنی</v>
          </cell>
          <cell r="AC364" t="str">
            <v>1405/03/20</v>
          </cell>
        </row>
        <row r="365">
          <cell r="B365" t="str">
            <v>ابزار زنی</v>
          </cell>
          <cell r="C365" t="str">
            <v>قطعه نو</v>
          </cell>
          <cell r="N365" t="str">
            <v>تراش</v>
          </cell>
          <cell r="AC365" t="str">
            <v>1405/03/20</v>
          </cell>
        </row>
        <row r="366">
          <cell r="B366" t="str">
            <v>شمش پراید</v>
          </cell>
          <cell r="C366" t="str">
            <v>قالب نو</v>
          </cell>
          <cell r="N366" t="str">
            <v>فرز</v>
          </cell>
          <cell r="AC366" t="str">
            <v>1405/03/20</v>
          </cell>
        </row>
        <row r="367">
          <cell r="B367" t="str">
            <v>قالب پخت کلاچ پیکان آرژانتینی</v>
          </cell>
          <cell r="C367" t="str">
            <v>قالب تعمیری</v>
          </cell>
          <cell r="N367" t="str">
            <v>فرز</v>
          </cell>
          <cell r="AC367" t="str">
            <v>1405/03/20</v>
          </cell>
        </row>
        <row r="368">
          <cell r="B368" t="str">
            <v>پین عقب ریو</v>
          </cell>
          <cell r="C368" t="str">
            <v>قطعه نو</v>
          </cell>
          <cell r="N368" t="str">
            <v>سری تراش</v>
          </cell>
          <cell r="AC368" t="str">
            <v>1405/03/20</v>
          </cell>
        </row>
        <row r="369">
          <cell r="B369" t="str">
            <v>ساب سمباده ای</v>
          </cell>
          <cell r="C369" t="str">
            <v>قطعه نو</v>
          </cell>
          <cell r="N369" t="str">
            <v>تراش</v>
          </cell>
          <cell r="AC369" t="str">
            <v>1405/03/20</v>
          </cell>
        </row>
        <row r="370">
          <cell r="B370" t="str">
            <v>ابزار زنی</v>
          </cell>
          <cell r="C370" t="str">
            <v>قطعه نو</v>
          </cell>
          <cell r="N370" t="str">
            <v>اره لنگ</v>
          </cell>
          <cell r="AC370" t="str">
            <v>1405/03/20</v>
          </cell>
        </row>
        <row r="371">
          <cell r="B371" t="str">
            <v>ابزار زنی</v>
          </cell>
          <cell r="C371" t="str">
            <v>قطعه نو</v>
          </cell>
          <cell r="N371" t="str">
            <v>مونتاژ</v>
          </cell>
          <cell r="AC371" t="str">
            <v>1405/03/20</v>
          </cell>
        </row>
        <row r="372">
          <cell r="B372" t="str">
            <v>Hammer Mill Machine</v>
          </cell>
          <cell r="C372" t="str">
            <v>دستگاه نو</v>
          </cell>
          <cell r="N372" t="str">
            <v>وایر</v>
          </cell>
          <cell r="AC372" t="str">
            <v>1405/03/20</v>
          </cell>
        </row>
        <row r="373">
          <cell r="B373" t="str">
            <v>دستگاه مهر زنی</v>
          </cell>
          <cell r="C373" t="str">
            <v>قطعه تعمیری</v>
          </cell>
          <cell r="N373" t="str">
            <v>وایر</v>
          </cell>
          <cell r="AC373" t="str">
            <v>1405/03/20</v>
          </cell>
        </row>
        <row r="374">
          <cell r="B374" t="str">
            <v>دستگاه پشم فلز آلمانی</v>
          </cell>
          <cell r="C374" t="str">
            <v>قطعه نو</v>
          </cell>
          <cell r="N374" t="str">
            <v>وایر</v>
          </cell>
          <cell r="AC374" t="str">
            <v>1405/03/20</v>
          </cell>
        </row>
        <row r="375">
          <cell r="B375" t="str">
            <v>کلمپ زنی</v>
          </cell>
          <cell r="C375" t="str">
            <v>دستگاه تعمیری</v>
          </cell>
          <cell r="N375" t="str">
            <v>وایر</v>
          </cell>
          <cell r="AC375" t="str">
            <v>1405/03/20</v>
          </cell>
        </row>
        <row r="376">
          <cell r="B376" t="str">
            <v>Hammer Mill Machine</v>
          </cell>
          <cell r="C376" t="str">
            <v>دستگاه نو</v>
          </cell>
          <cell r="N376" t="str">
            <v>سوپردریل</v>
          </cell>
          <cell r="AC376" t="str">
            <v>1405/03/20</v>
          </cell>
        </row>
        <row r="377">
          <cell r="B377" t="str">
            <v>کلمپ زنی</v>
          </cell>
          <cell r="C377" t="str">
            <v>دستگاه تعمیری</v>
          </cell>
          <cell r="N377" t="str">
            <v>تراش</v>
          </cell>
          <cell r="AC377" t="str">
            <v>1405/03/20</v>
          </cell>
        </row>
        <row r="378">
          <cell r="B378" t="str">
            <v>کلمپ زنی</v>
          </cell>
          <cell r="C378" t="str">
            <v>دستگاه تعمیری</v>
          </cell>
          <cell r="N378" t="str">
            <v>تراش</v>
          </cell>
          <cell r="AC378" t="str">
            <v>1405/03/20</v>
          </cell>
        </row>
        <row r="379">
          <cell r="B379" t="str">
            <v>کلمپ زنی</v>
          </cell>
          <cell r="C379" t="str">
            <v>دستگاه تعمیری</v>
          </cell>
          <cell r="N379" t="str">
            <v>تراش</v>
          </cell>
          <cell r="AC379" t="str">
            <v>1405/03/20</v>
          </cell>
        </row>
        <row r="380">
          <cell r="B380" t="str">
            <v>Hammer Mill Machine</v>
          </cell>
          <cell r="C380" t="str">
            <v>دستگاه نو</v>
          </cell>
          <cell r="N380" t="str">
            <v>تراش</v>
          </cell>
          <cell r="AC380" t="str">
            <v>1405/03/20</v>
          </cell>
        </row>
        <row r="381">
          <cell r="B381" t="str">
            <v>دستگاه پشم فلز چینی</v>
          </cell>
          <cell r="C381" t="str">
            <v>قطعه نو</v>
          </cell>
          <cell r="N381" t="str">
            <v>فرز</v>
          </cell>
          <cell r="AC381" t="str">
            <v>1405/03/20</v>
          </cell>
        </row>
        <row r="382">
          <cell r="B382" t="str">
            <v>Hammer Mill Machine</v>
          </cell>
          <cell r="C382" t="str">
            <v>دستگاه نو</v>
          </cell>
          <cell r="N382" t="str">
            <v>CNC</v>
          </cell>
          <cell r="AC382" t="str">
            <v>1405/03/21</v>
          </cell>
        </row>
        <row r="383">
          <cell r="B383" t="str">
            <v>دستگاه توزین مواد</v>
          </cell>
          <cell r="C383" t="str">
            <v>قطعه تعمیری</v>
          </cell>
          <cell r="N383" t="str">
            <v>CNC</v>
          </cell>
          <cell r="AC383" t="str">
            <v>1405/03/21</v>
          </cell>
        </row>
        <row r="384">
          <cell r="B384" t="str">
            <v>دستگاه توزین مواد</v>
          </cell>
          <cell r="C384" t="str">
            <v>قطعه تعمیری</v>
          </cell>
          <cell r="N384" t="str">
            <v>CNC</v>
          </cell>
          <cell r="AC384" t="str">
            <v>1405/03/22</v>
          </cell>
        </row>
        <row r="385">
          <cell r="B385" t="str">
            <v>قالب پخت کلاچ پیکان آرژانتینی</v>
          </cell>
          <cell r="C385" t="str">
            <v>قالب تعمیری</v>
          </cell>
          <cell r="N385" t="str">
            <v>CNC</v>
          </cell>
          <cell r="AC385" t="str">
            <v>1405/03/21</v>
          </cell>
        </row>
        <row r="386">
          <cell r="B386" t="str">
            <v>ابزار زنی</v>
          </cell>
          <cell r="C386" t="str">
            <v>قطعه نو</v>
          </cell>
          <cell r="N386" t="str">
            <v>اره لنگ</v>
          </cell>
          <cell r="AC386" t="str">
            <v>1405/03/19</v>
          </cell>
        </row>
        <row r="387">
          <cell r="B387" t="str">
            <v>ابزار زنی</v>
          </cell>
          <cell r="C387" t="str">
            <v>قطعه نو</v>
          </cell>
          <cell r="N387" t="str">
            <v>اره لنگ</v>
          </cell>
          <cell r="AC387" t="str">
            <v>1405/03/19</v>
          </cell>
        </row>
        <row r="388">
          <cell r="B388" t="str">
            <v>ابزار زنی</v>
          </cell>
          <cell r="C388" t="str">
            <v>قطعه نو</v>
          </cell>
          <cell r="N388" t="str">
            <v>مونتاژ</v>
          </cell>
          <cell r="AC388" t="str">
            <v>1405/03/19</v>
          </cell>
        </row>
        <row r="389">
          <cell r="B389" t="str">
            <v>ابزار زنی</v>
          </cell>
          <cell r="C389" t="str">
            <v>قطعه نو</v>
          </cell>
          <cell r="N389" t="str">
            <v>مونتاژ</v>
          </cell>
          <cell r="AC389" t="str">
            <v>1405/03/21</v>
          </cell>
        </row>
        <row r="390">
          <cell r="B390" t="str">
            <v>اصول 5S</v>
          </cell>
          <cell r="C390" t="str">
            <v>نظافت</v>
          </cell>
          <cell r="N390" t="str">
            <v>نظافت</v>
          </cell>
          <cell r="AC390" t="str">
            <v>1405/03/21</v>
          </cell>
        </row>
        <row r="391">
          <cell r="B391" t="str">
            <v>ابزار زنی</v>
          </cell>
          <cell r="C391" t="str">
            <v>قطعه نو</v>
          </cell>
          <cell r="N391" t="str">
            <v>اره لنگ</v>
          </cell>
          <cell r="AC391" t="str">
            <v>1405/03/22</v>
          </cell>
        </row>
        <row r="392">
          <cell r="B392" t="str">
            <v>قالب پخت کلاچ پیکان آرژانتینی</v>
          </cell>
          <cell r="C392" t="str">
            <v>قالب تعمیری</v>
          </cell>
          <cell r="N392" t="str">
            <v>مونتاژ</v>
          </cell>
          <cell r="AC392" t="str">
            <v>1405/03/22</v>
          </cell>
        </row>
        <row r="393">
          <cell r="B393" t="str">
            <v>قالب پخت کلاچ پیکان آرژانتینی</v>
          </cell>
          <cell r="C393" t="str">
            <v>قالب تعمیری</v>
          </cell>
          <cell r="N393" t="str">
            <v>مونتاژ</v>
          </cell>
          <cell r="AC393" t="str">
            <v>1405/03/22</v>
          </cell>
        </row>
        <row r="394">
          <cell r="B394" t="str">
            <v>Hammer Mill Machine</v>
          </cell>
          <cell r="C394" t="str">
            <v>دستگاه نو</v>
          </cell>
          <cell r="N394" t="str">
            <v>سنگ زنی</v>
          </cell>
          <cell r="AC394" t="str">
            <v>1405/03/21</v>
          </cell>
        </row>
        <row r="395">
          <cell r="B395" t="str">
            <v>پخت کلاچ پراید</v>
          </cell>
          <cell r="C395" t="str">
            <v>قالب تعمیری</v>
          </cell>
          <cell r="N395" t="str">
            <v>سنگ زنی</v>
          </cell>
          <cell r="AC395" t="str">
            <v>1405/03/21</v>
          </cell>
        </row>
        <row r="396">
          <cell r="B396" t="str">
            <v>شمش پراید</v>
          </cell>
          <cell r="C396" t="str">
            <v>قالب نو</v>
          </cell>
          <cell r="N396" t="str">
            <v>سنگ زنی</v>
          </cell>
          <cell r="AC396" t="str">
            <v>1405/03/21</v>
          </cell>
        </row>
        <row r="397">
          <cell r="B397" t="str">
            <v>برش جمعی</v>
          </cell>
          <cell r="C397" t="str">
            <v>قطعه تعمیری</v>
          </cell>
          <cell r="N397" t="str">
            <v>تراش</v>
          </cell>
          <cell r="AC397" t="str">
            <v>1405/03/21</v>
          </cell>
        </row>
        <row r="398">
          <cell r="B398" t="str">
            <v>ابزار زنی</v>
          </cell>
          <cell r="C398" t="str">
            <v>قطعه نو</v>
          </cell>
          <cell r="N398" t="str">
            <v>مونتاژ</v>
          </cell>
          <cell r="AC398" t="str">
            <v>1405/03/21</v>
          </cell>
        </row>
        <row r="399">
          <cell r="B399" t="str">
            <v>اصول 5S</v>
          </cell>
          <cell r="C399" t="str">
            <v>نظافت</v>
          </cell>
          <cell r="N399" t="str">
            <v>نظافت</v>
          </cell>
          <cell r="AC399" t="str">
            <v>1405/03/21</v>
          </cell>
        </row>
        <row r="400">
          <cell r="B400" t="str">
            <v>ابزار زنی</v>
          </cell>
          <cell r="C400" t="str">
            <v>قطعه نو</v>
          </cell>
          <cell r="N400" t="str">
            <v>مونتاژ</v>
          </cell>
          <cell r="AC400" t="str">
            <v>1405/03/22</v>
          </cell>
        </row>
        <row r="401">
          <cell r="B401" t="str">
            <v>Hammer Mill Machine</v>
          </cell>
          <cell r="C401" t="str">
            <v>دستگاه نو</v>
          </cell>
          <cell r="N401" t="str">
            <v>وایر</v>
          </cell>
          <cell r="AC401" t="str">
            <v>1405/03/22</v>
          </cell>
        </row>
        <row r="402">
          <cell r="B402" t="str">
            <v>آغشته کاری</v>
          </cell>
          <cell r="C402" t="str">
            <v>قطعه تعمیری</v>
          </cell>
          <cell r="N402" t="str">
            <v>تراش</v>
          </cell>
          <cell r="AC402" t="str">
            <v>1405/03/22</v>
          </cell>
        </row>
        <row r="403">
          <cell r="B403" t="str">
            <v>آغشته کاری</v>
          </cell>
          <cell r="C403" t="str">
            <v>قطعه تعمیری</v>
          </cell>
          <cell r="N403" t="str">
            <v>مونتاژ</v>
          </cell>
          <cell r="AC403" t="str">
            <v>1405/03/22</v>
          </cell>
        </row>
        <row r="404">
          <cell r="B404" t="str">
            <v>کلمپ زنی</v>
          </cell>
          <cell r="C404" t="str">
            <v>دستگاه تعمیری</v>
          </cell>
          <cell r="N404" t="str">
            <v>مونتاژ</v>
          </cell>
          <cell r="AC404" t="str">
            <v>1405/03/19</v>
          </cell>
        </row>
        <row r="405">
          <cell r="B405" t="str">
            <v>ابزار زنی</v>
          </cell>
          <cell r="C405" t="str">
            <v>قطعه نو</v>
          </cell>
          <cell r="N405" t="str">
            <v>اره لنگ</v>
          </cell>
          <cell r="AC405" t="str">
            <v>1405/03/19</v>
          </cell>
        </row>
        <row r="406">
          <cell r="B406" t="str">
            <v>Hammer Mill Machine</v>
          </cell>
          <cell r="C406" t="str">
            <v>دستگاه نو</v>
          </cell>
          <cell r="N406" t="str">
            <v>مونتاژ</v>
          </cell>
          <cell r="AC406" t="str">
            <v>1405/03/20</v>
          </cell>
        </row>
        <row r="407">
          <cell r="B407" t="str">
            <v>Hammer Mill Machine</v>
          </cell>
          <cell r="C407" t="str">
            <v>دستگاه نو</v>
          </cell>
          <cell r="N407" t="str">
            <v>مونتاژ</v>
          </cell>
          <cell r="AC407" t="str">
            <v>1405/03/20</v>
          </cell>
        </row>
        <row r="408">
          <cell r="B408" t="str">
            <v>قالب پخت کلاچ پژو 405</v>
          </cell>
          <cell r="C408" t="str">
            <v>قالب تعمیری</v>
          </cell>
          <cell r="N408" t="str">
            <v>مونتاژ</v>
          </cell>
          <cell r="AC408" t="str">
            <v>1405/03/23</v>
          </cell>
        </row>
        <row r="409">
          <cell r="B409" t="str">
            <v>شمش پراید</v>
          </cell>
          <cell r="C409" t="str">
            <v>قالب نو</v>
          </cell>
          <cell r="N409" t="str">
            <v>دریل رادیال</v>
          </cell>
          <cell r="AC409" t="str">
            <v>1405/03/23</v>
          </cell>
        </row>
        <row r="410">
          <cell r="B410" t="str">
            <v>قالب تیبا خزینه چپ</v>
          </cell>
          <cell r="C410" t="str">
            <v>قالب تعمیری</v>
          </cell>
          <cell r="N410" t="str">
            <v>مونتاژ</v>
          </cell>
          <cell r="AC410" t="str">
            <v>1405/03/23</v>
          </cell>
        </row>
        <row r="411">
          <cell r="B411" t="str">
            <v>دستگاه پشم فلز آلمانی</v>
          </cell>
          <cell r="C411" t="str">
            <v>قطعه نو</v>
          </cell>
          <cell r="N411" t="str">
            <v>وایر</v>
          </cell>
          <cell r="AC411" t="str">
            <v>1405/03/21</v>
          </cell>
        </row>
        <row r="412">
          <cell r="B412" t="str">
            <v>Hammer Mill Machine</v>
          </cell>
          <cell r="C412" t="str">
            <v>دستگاه نو</v>
          </cell>
          <cell r="N412" t="str">
            <v>وایر</v>
          </cell>
          <cell r="AC412" t="str">
            <v>1405/03/21</v>
          </cell>
        </row>
        <row r="413">
          <cell r="B413" t="str">
            <v>کلمپ زنی</v>
          </cell>
          <cell r="C413" t="str">
            <v>دستگاه تعمیری</v>
          </cell>
          <cell r="N413" t="str">
            <v>مونتاژ</v>
          </cell>
          <cell r="AC413" t="str">
            <v>1405/03/23</v>
          </cell>
        </row>
        <row r="414">
          <cell r="B414" t="str">
            <v>قالب پخت کلاچ پیکان آرژانتینی</v>
          </cell>
          <cell r="C414" t="str">
            <v>قالب تعمیری</v>
          </cell>
          <cell r="N414" t="str">
            <v>مونتاژ</v>
          </cell>
          <cell r="AC414" t="str">
            <v>1405/03/23</v>
          </cell>
        </row>
        <row r="415">
          <cell r="B415" t="str">
            <v>قالب پخت کلاچ پیکان آرژانتینی</v>
          </cell>
          <cell r="C415" t="str">
            <v>قالب تعمیری</v>
          </cell>
          <cell r="N415" t="str">
            <v>مونتاژ</v>
          </cell>
          <cell r="AC415" t="str">
            <v>1405/03/23</v>
          </cell>
        </row>
        <row r="416">
          <cell r="B416" t="str">
            <v>صفحات 50*50 پخت کلاچ</v>
          </cell>
          <cell r="C416" t="str">
            <v>قالب تعمیری</v>
          </cell>
          <cell r="N416" t="str">
            <v>فرز</v>
          </cell>
          <cell r="AC416" t="str">
            <v>1405/03/21</v>
          </cell>
        </row>
        <row r="417">
          <cell r="B417" t="str">
            <v>کلمپ زنی</v>
          </cell>
          <cell r="C417" t="str">
            <v>دستگاه تعمیری</v>
          </cell>
          <cell r="N417" t="str">
            <v>دریل رادیال</v>
          </cell>
          <cell r="AC417" t="str">
            <v>1405/03/21</v>
          </cell>
        </row>
        <row r="418">
          <cell r="B418" t="str">
            <v>دستگاه پشم فلز آلمانی</v>
          </cell>
          <cell r="C418" t="str">
            <v>قطعه نو</v>
          </cell>
          <cell r="N418" t="str">
            <v>مونتاژ</v>
          </cell>
          <cell r="AC418" t="str">
            <v>1405/03/21</v>
          </cell>
        </row>
        <row r="419">
          <cell r="B419" t="str">
            <v>اصول 5S</v>
          </cell>
          <cell r="C419" t="str">
            <v>نظافت</v>
          </cell>
          <cell r="N419" t="str">
            <v>نظافت</v>
          </cell>
          <cell r="AC419" t="str">
            <v>1405/03/21</v>
          </cell>
        </row>
        <row r="420">
          <cell r="B420" t="str">
            <v>Hammer Mill Machine</v>
          </cell>
          <cell r="C420" t="str">
            <v>دستگاه نو</v>
          </cell>
          <cell r="N420" t="str">
            <v>دریل رادیال</v>
          </cell>
          <cell r="AC420" t="str">
            <v>1405/03/21</v>
          </cell>
        </row>
        <row r="421">
          <cell r="B421" t="str">
            <v>قالب پخت کلاچ پیکان آرژانتینی</v>
          </cell>
          <cell r="C421" t="str">
            <v>قالب تعمیری</v>
          </cell>
          <cell r="N421" t="str">
            <v>مونتاژ</v>
          </cell>
          <cell r="AC421" t="str">
            <v>1405/03/22</v>
          </cell>
        </row>
        <row r="422">
          <cell r="B422" t="str">
            <v>قالب پخت کلاچ پیکان آرژانتینی</v>
          </cell>
          <cell r="C422" t="str">
            <v>قالب تعمیری</v>
          </cell>
          <cell r="N422" t="str">
            <v>دریل رادیال</v>
          </cell>
          <cell r="AC422" t="str">
            <v>1405/03/22</v>
          </cell>
        </row>
        <row r="423">
          <cell r="B423" t="str">
            <v>قالب پخت کلاچ پژو 405</v>
          </cell>
          <cell r="C423" t="str">
            <v>قالب تعمیری</v>
          </cell>
          <cell r="N423" t="str">
            <v>مونتاژ</v>
          </cell>
          <cell r="AC423" t="str">
            <v>1405/03/22</v>
          </cell>
        </row>
        <row r="424">
          <cell r="B424" t="str">
            <v>پین عقب آلستوم</v>
          </cell>
          <cell r="C424" t="str">
            <v>قطعه نو</v>
          </cell>
          <cell r="N424" t="str">
            <v>سری تراش</v>
          </cell>
          <cell r="AC424" t="str">
            <v>1405/03/23</v>
          </cell>
        </row>
        <row r="425">
          <cell r="B425" t="str">
            <v>Hammer Mill Machine</v>
          </cell>
          <cell r="C425" t="str">
            <v>دستگاه نو</v>
          </cell>
          <cell r="N425" t="str">
            <v>CNC</v>
          </cell>
          <cell r="AC425" t="str">
            <v>1405/03/23</v>
          </cell>
        </row>
        <row r="426">
          <cell r="B426" t="str">
            <v>پخت کلاچ پراید</v>
          </cell>
          <cell r="C426" t="str">
            <v>قالب تعمیری</v>
          </cell>
          <cell r="N426" t="str">
            <v>CNC</v>
          </cell>
          <cell r="AC426" t="str">
            <v>1405/03/23</v>
          </cell>
        </row>
        <row r="427">
          <cell r="B427" t="str">
            <v>صفحات 50*50 پخت کلاچ</v>
          </cell>
          <cell r="C427" t="str">
            <v>قالب تعمیری</v>
          </cell>
          <cell r="N427" t="str">
            <v>فرز</v>
          </cell>
          <cell r="AC427" t="str">
            <v>1405/03/23</v>
          </cell>
        </row>
        <row r="428">
          <cell r="B428" t="str">
            <v>دستگاه پشم فلز چینی</v>
          </cell>
          <cell r="C428" t="str">
            <v>قطعه نو</v>
          </cell>
          <cell r="N428" t="str">
            <v>فرز</v>
          </cell>
          <cell r="AC428" t="str">
            <v>1405/03/23</v>
          </cell>
        </row>
        <row r="429">
          <cell r="B429" t="str">
            <v>دریل یزدخواستی کلاچ</v>
          </cell>
          <cell r="C429" t="str">
            <v>قطعه نو</v>
          </cell>
          <cell r="N429" t="str">
            <v>تراش</v>
          </cell>
          <cell r="AC429" t="str">
            <v>1405/03/23</v>
          </cell>
        </row>
        <row r="430">
          <cell r="B430" t="str">
            <v>قالب پخت کلاچ پژو 405</v>
          </cell>
          <cell r="C430" t="str">
            <v>قالب تعمیری</v>
          </cell>
          <cell r="N430" t="str">
            <v>تراش</v>
          </cell>
          <cell r="AC430" t="str">
            <v>1405/03/23</v>
          </cell>
        </row>
        <row r="431">
          <cell r="B431" t="str">
            <v>ابزار زنی</v>
          </cell>
          <cell r="C431" t="str">
            <v>قطعه نو</v>
          </cell>
          <cell r="N431" t="str">
            <v>تراش</v>
          </cell>
          <cell r="AC431" t="str">
            <v>1405/03/23</v>
          </cell>
        </row>
        <row r="432">
          <cell r="B432" t="str">
            <v>قالب توری پگاسوز</v>
          </cell>
          <cell r="C432" t="str">
            <v>قالب تعمیری</v>
          </cell>
          <cell r="N432" t="str">
            <v>مونتاژ</v>
          </cell>
          <cell r="AC432" t="str">
            <v>1405/03/23</v>
          </cell>
        </row>
        <row r="433">
          <cell r="B433" t="str">
            <v>ابزار زنی</v>
          </cell>
          <cell r="C433" t="str">
            <v>قطعه نو</v>
          </cell>
          <cell r="N433" t="str">
            <v>اره لنگ</v>
          </cell>
          <cell r="AC433" t="str">
            <v>1405/03/23</v>
          </cell>
        </row>
        <row r="434">
          <cell r="B434" t="str">
            <v>قالب نیسان آریا</v>
          </cell>
          <cell r="C434" t="str">
            <v>قالب نو</v>
          </cell>
          <cell r="N434" t="str">
            <v>مونتاژ</v>
          </cell>
          <cell r="AC434" t="str">
            <v>1405/03/23</v>
          </cell>
        </row>
        <row r="435">
          <cell r="B435" t="str">
            <v>ابزار زنی</v>
          </cell>
          <cell r="C435" t="str">
            <v>قطعه نو</v>
          </cell>
          <cell r="N435" t="str">
            <v>تراش</v>
          </cell>
          <cell r="AC435" t="str">
            <v>1405/03/23</v>
          </cell>
        </row>
        <row r="436">
          <cell r="B436" t="str">
            <v>ابزار زنی</v>
          </cell>
          <cell r="C436" t="str">
            <v>قطعه نو</v>
          </cell>
          <cell r="N436" t="str">
            <v>مونتاژ</v>
          </cell>
          <cell r="AC436" t="str">
            <v>1405/03/23</v>
          </cell>
        </row>
        <row r="437">
          <cell r="B437" t="str">
            <v>کلمپ زنی</v>
          </cell>
          <cell r="C437" t="str">
            <v>قطعه نو</v>
          </cell>
          <cell r="N437" t="str">
            <v>تراش</v>
          </cell>
          <cell r="AC437" t="str">
            <v>1405/03/23</v>
          </cell>
        </row>
        <row r="438">
          <cell r="B438" t="str">
            <v>دستگاه توزین مواد</v>
          </cell>
          <cell r="C438" t="str">
            <v>قطعه تعمیری</v>
          </cell>
          <cell r="N438" t="str">
            <v>CNC</v>
          </cell>
          <cell r="AC438" t="str">
            <v>1405/03/23</v>
          </cell>
        </row>
        <row r="439">
          <cell r="B439" t="str">
            <v>قالب توری پگاسوز</v>
          </cell>
          <cell r="C439" t="str">
            <v>قالب تعمیری</v>
          </cell>
          <cell r="N439" t="str">
            <v>CNC</v>
          </cell>
          <cell r="AC439" t="str">
            <v>1405/03/23</v>
          </cell>
        </row>
        <row r="440">
          <cell r="B440" t="str">
            <v>قالب پخت کلاچ پژو 405</v>
          </cell>
          <cell r="C440" t="str">
            <v>قالب تعمیری</v>
          </cell>
          <cell r="N440" t="str">
            <v>CNC</v>
          </cell>
          <cell r="AC440" t="str">
            <v>1405/03/23</v>
          </cell>
        </row>
        <row r="441">
          <cell r="B441" t="str">
            <v>شمش پراید</v>
          </cell>
          <cell r="C441" t="str">
            <v>قالب نو</v>
          </cell>
          <cell r="N441" t="str">
            <v>سنگ زنی</v>
          </cell>
          <cell r="AC441" t="str">
            <v>1405/03/22</v>
          </cell>
        </row>
        <row r="442">
          <cell r="B442" t="str">
            <v>پخت کلاچ پراید</v>
          </cell>
          <cell r="C442" t="str">
            <v>قالب تعمیری</v>
          </cell>
          <cell r="N442" t="str">
            <v>سنگ زنی</v>
          </cell>
          <cell r="AC442" t="str">
            <v>1405/03/22</v>
          </cell>
        </row>
        <row r="443">
          <cell r="B443" t="str">
            <v>قالب توری پگاسوز</v>
          </cell>
          <cell r="C443" t="str">
            <v>قالب تعمیری</v>
          </cell>
          <cell r="N443" t="str">
            <v>سنگ زنی</v>
          </cell>
          <cell r="AC443" t="str">
            <v>1405/03/23</v>
          </cell>
        </row>
        <row r="444">
          <cell r="B444" t="str">
            <v>قالب پخت کلاچ پیکان آرژانتینی</v>
          </cell>
          <cell r="C444" t="str">
            <v>قالب تعمیری</v>
          </cell>
          <cell r="N444" t="str">
            <v>سنگ زنی</v>
          </cell>
          <cell r="AC444" t="str">
            <v>1405/03/23</v>
          </cell>
        </row>
        <row r="445">
          <cell r="B445" t="str">
            <v>Hammer Mill Machine</v>
          </cell>
          <cell r="C445" t="str">
            <v>دستگاه نو</v>
          </cell>
          <cell r="N445" t="str">
            <v>وایر</v>
          </cell>
          <cell r="AC445" t="str">
            <v>1405/03/23</v>
          </cell>
        </row>
        <row r="446">
          <cell r="B446" t="str">
            <v>دستگاه پشم فلز آلمانی</v>
          </cell>
          <cell r="C446" t="str">
            <v>قطعه نو</v>
          </cell>
          <cell r="N446" t="str">
            <v>وایر</v>
          </cell>
          <cell r="AC446" t="str">
            <v>1405/03/23</v>
          </cell>
        </row>
        <row r="447">
          <cell r="B447" t="str">
            <v>برش آلستوم</v>
          </cell>
          <cell r="C447" t="str">
            <v>قالب تعمیری</v>
          </cell>
          <cell r="N447" t="str">
            <v>وایر</v>
          </cell>
          <cell r="AC447" t="str">
            <v>1405/03/23</v>
          </cell>
        </row>
        <row r="448">
          <cell r="B448" t="str">
            <v>قالب لودری 70021</v>
          </cell>
          <cell r="C448" t="str">
            <v>قالب تعمیری</v>
          </cell>
          <cell r="N448" t="str">
            <v>وایر</v>
          </cell>
          <cell r="AC448" t="str">
            <v>1405/03/23</v>
          </cell>
        </row>
        <row r="449">
          <cell r="B449" t="str">
            <v>دستگاه پرس 600 تن</v>
          </cell>
          <cell r="C449" t="str">
            <v>قطعه تعمیری</v>
          </cell>
          <cell r="N449" t="str">
            <v>وایر</v>
          </cell>
          <cell r="AC449" t="str">
            <v>1405/03/24</v>
          </cell>
        </row>
        <row r="450">
          <cell r="B450" t="str">
            <v>دستگاه پشم فلز آلمانی</v>
          </cell>
          <cell r="C450" t="str">
            <v>قطعه نو</v>
          </cell>
          <cell r="N450" t="str">
            <v>وایر</v>
          </cell>
          <cell r="AC450" t="str">
            <v>1405/03/24</v>
          </cell>
        </row>
        <row r="451">
          <cell r="B451" t="str">
            <v>Hammer Mill Machine</v>
          </cell>
          <cell r="C451" t="str">
            <v>دستگاه نو</v>
          </cell>
          <cell r="N451" t="str">
            <v>وایر</v>
          </cell>
          <cell r="AC451" t="str">
            <v>1405/03/24</v>
          </cell>
        </row>
        <row r="452">
          <cell r="B452" t="str">
            <v>کوبه نک قطاری</v>
          </cell>
          <cell r="C452" t="str">
            <v>قالب تعمیری</v>
          </cell>
          <cell r="N452" t="str">
            <v>وایر</v>
          </cell>
          <cell r="AC452" t="str">
            <v>1405/03/24</v>
          </cell>
        </row>
        <row r="453">
          <cell r="B453" t="str">
            <v>تیغ فرز</v>
          </cell>
          <cell r="C453" t="str">
            <v>قطعه تعمیری</v>
          </cell>
          <cell r="N453" t="str">
            <v>وایر</v>
          </cell>
          <cell r="AC453" t="str">
            <v>1405/03/24</v>
          </cell>
        </row>
        <row r="454">
          <cell r="B454" t="str">
            <v>نگهدارنده پلاک قالب</v>
          </cell>
          <cell r="C454" t="str">
            <v>قطعه نو</v>
          </cell>
          <cell r="N454" t="str">
            <v>وایر</v>
          </cell>
          <cell r="AC454" t="str">
            <v>1405/03/24</v>
          </cell>
        </row>
        <row r="455">
          <cell r="B455" t="str">
            <v>پخت کلاچ پراید</v>
          </cell>
          <cell r="C455" t="str">
            <v>قالب تعمیری</v>
          </cell>
          <cell r="N455" t="str">
            <v>CNC</v>
          </cell>
          <cell r="AC455" t="str">
            <v>1405/03/24</v>
          </cell>
        </row>
        <row r="456">
          <cell r="B456" t="str">
            <v>پخت کلاچ پراید</v>
          </cell>
          <cell r="C456" t="str">
            <v>قالب تعمیری</v>
          </cell>
          <cell r="N456" t="str">
            <v>CNC</v>
          </cell>
          <cell r="AC456" t="str">
            <v>1405/03/25</v>
          </cell>
        </row>
        <row r="457">
          <cell r="B457" t="str">
            <v>دستگاه پشم فلز چینی</v>
          </cell>
          <cell r="C457" t="str">
            <v>قطعه نو</v>
          </cell>
          <cell r="N457" t="str">
            <v>فرز</v>
          </cell>
          <cell r="AC457" t="str">
            <v>1405/03/24</v>
          </cell>
        </row>
        <row r="458">
          <cell r="B458" t="str">
            <v>شمش پراید</v>
          </cell>
          <cell r="C458" t="str">
            <v>قالب نو</v>
          </cell>
          <cell r="N458" t="str">
            <v>فرز</v>
          </cell>
          <cell r="AC458" t="str">
            <v>1405/03/24</v>
          </cell>
        </row>
        <row r="459">
          <cell r="B459" t="str">
            <v>صفحات 50*50 پخت کلاچ</v>
          </cell>
          <cell r="C459" t="str">
            <v>قالب تعمیری</v>
          </cell>
          <cell r="N459" t="str">
            <v>فرز</v>
          </cell>
          <cell r="AC459" t="str">
            <v>1405/03/24</v>
          </cell>
        </row>
        <row r="460">
          <cell r="B460" t="str">
            <v>قالب پخت کلاچ پژو 405</v>
          </cell>
          <cell r="C460" t="str">
            <v>قالب تعمیری</v>
          </cell>
          <cell r="N460" t="str">
            <v>CNC</v>
          </cell>
          <cell r="AC460" t="str">
            <v>1405/03/24</v>
          </cell>
        </row>
        <row r="461">
          <cell r="B461" t="str">
            <v>قالب پخت کلاچ پژو 405</v>
          </cell>
          <cell r="C461" t="str">
            <v>قالب تعمیری</v>
          </cell>
          <cell r="N461" t="str">
            <v>CNC</v>
          </cell>
          <cell r="AC461" t="str">
            <v>1405/03/25</v>
          </cell>
        </row>
        <row r="462">
          <cell r="B462" t="str">
            <v>قالب پخت کلاچ پژو 405</v>
          </cell>
          <cell r="C462" t="str">
            <v>قالب تعمیری</v>
          </cell>
          <cell r="N462" t="str">
            <v>CNC</v>
          </cell>
          <cell r="AC462" t="str">
            <v>1405/03/25</v>
          </cell>
        </row>
        <row r="463">
          <cell r="B463" t="str">
            <v>پین عقب آلستوم</v>
          </cell>
          <cell r="C463" t="str">
            <v>قطعه نو</v>
          </cell>
          <cell r="N463" t="str">
            <v>سری تراش</v>
          </cell>
          <cell r="AC463" t="str">
            <v>1405/03/24</v>
          </cell>
        </row>
        <row r="464">
          <cell r="B464" t="str">
            <v>پین عقب آلستوم</v>
          </cell>
          <cell r="C464" t="str">
            <v>قطعه نو</v>
          </cell>
          <cell r="N464" t="str">
            <v>سری تراش</v>
          </cell>
          <cell r="AC464" t="str">
            <v>1405/03/25</v>
          </cell>
        </row>
        <row r="465">
          <cell r="B465" t="str">
            <v>دستگاه پرس 600 تن</v>
          </cell>
          <cell r="C465" t="str">
            <v>قطعه تعمیری</v>
          </cell>
          <cell r="N465" t="str">
            <v>CNC</v>
          </cell>
          <cell r="AC465" t="str">
            <v>1405/03/24</v>
          </cell>
        </row>
        <row r="466">
          <cell r="B466" t="str">
            <v>قالب توری پگاسوز</v>
          </cell>
          <cell r="C466" t="str">
            <v>قالب تعمیری</v>
          </cell>
          <cell r="N466" t="str">
            <v>CNC</v>
          </cell>
          <cell r="AC466" t="str">
            <v>1405/03/25</v>
          </cell>
        </row>
        <row r="467">
          <cell r="B467" t="str">
            <v>دریل یزدخواستی کلاچ</v>
          </cell>
          <cell r="C467" t="str">
            <v>قطعه نو</v>
          </cell>
          <cell r="N467" t="str">
            <v>CNC</v>
          </cell>
          <cell r="AC467" t="str">
            <v>1405/03/25</v>
          </cell>
        </row>
        <row r="468">
          <cell r="B468" t="str">
            <v>ابزار زنی</v>
          </cell>
          <cell r="C468" t="str">
            <v>قطعه نو</v>
          </cell>
          <cell r="N468" t="str">
            <v>مونتاژ</v>
          </cell>
          <cell r="AC468" t="str">
            <v>1405/03/24</v>
          </cell>
        </row>
        <row r="469">
          <cell r="B469" t="str">
            <v>پرس پخت</v>
          </cell>
          <cell r="C469" t="str">
            <v>قطعه تعمیری</v>
          </cell>
          <cell r="N469" t="str">
            <v>تراش</v>
          </cell>
          <cell r="AC469" t="str">
            <v>1405/03/24</v>
          </cell>
        </row>
        <row r="470">
          <cell r="B470" t="str">
            <v>پرس پخت کلاچ</v>
          </cell>
          <cell r="C470" t="str">
            <v>قطعه تعمیری</v>
          </cell>
          <cell r="N470" t="str">
            <v>تراش</v>
          </cell>
          <cell r="AC470" t="str">
            <v>1405/03/24</v>
          </cell>
        </row>
        <row r="471">
          <cell r="B471" t="str">
            <v>پرس پخت کلاچ</v>
          </cell>
          <cell r="C471" t="str">
            <v>قطعه تعمیری</v>
          </cell>
          <cell r="N471" t="str">
            <v>تراش</v>
          </cell>
          <cell r="AC471" t="str">
            <v>1405/03/24</v>
          </cell>
        </row>
        <row r="472">
          <cell r="B472" t="str">
            <v>قالب پخت کلاچ پیکان آرژانتینی</v>
          </cell>
          <cell r="C472" t="str">
            <v>قالب تعمیری</v>
          </cell>
          <cell r="N472" t="str">
            <v>تراش</v>
          </cell>
          <cell r="AC472" t="str">
            <v>1405/03/24</v>
          </cell>
        </row>
        <row r="473">
          <cell r="B473" t="str">
            <v>Hammer Mill Machine</v>
          </cell>
          <cell r="C473" t="str">
            <v>دستگاه نو</v>
          </cell>
          <cell r="N473" t="str">
            <v>تراش</v>
          </cell>
          <cell r="AC473" t="str">
            <v>1405/03/25</v>
          </cell>
        </row>
        <row r="474">
          <cell r="B474" t="str">
            <v>ساب سمباده ای</v>
          </cell>
          <cell r="C474" t="str">
            <v>قطعه نو</v>
          </cell>
          <cell r="N474" t="str">
            <v>تراش</v>
          </cell>
          <cell r="AC474" t="str">
            <v>1405/03/25</v>
          </cell>
        </row>
        <row r="475">
          <cell r="B475" t="str">
            <v>ساب سمباده ای</v>
          </cell>
          <cell r="C475" t="str">
            <v>قطعه نو</v>
          </cell>
          <cell r="N475" t="str">
            <v>تراش</v>
          </cell>
          <cell r="AC475" t="str">
            <v>1405/03/25</v>
          </cell>
        </row>
        <row r="476">
          <cell r="B476" t="str">
            <v>دریل یزدخواستی کلاچ</v>
          </cell>
          <cell r="C476" t="str">
            <v>قطعه نو</v>
          </cell>
          <cell r="N476" t="str">
            <v>تراش</v>
          </cell>
          <cell r="AC476" t="str">
            <v>1405/03/25</v>
          </cell>
        </row>
        <row r="477">
          <cell r="B477" t="str">
            <v>قالب پخت کلاچ پیکان آرژانتینی</v>
          </cell>
          <cell r="C477" t="str">
            <v>قالب تعمیری</v>
          </cell>
          <cell r="N477" t="str">
            <v>تراش</v>
          </cell>
          <cell r="AC477" t="str">
            <v>1405/03/24</v>
          </cell>
        </row>
        <row r="478">
          <cell r="B478" t="str">
            <v>قالب پخت کلاچ پیکان آرژانتینی</v>
          </cell>
          <cell r="C478" t="str">
            <v>قالب تعمیری</v>
          </cell>
          <cell r="N478" t="str">
            <v>تراش</v>
          </cell>
          <cell r="AC478" t="str">
            <v>1405/03/24</v>
          </cell>
        </row>
        <row r="479">
          <cell r="B479" t="str">
            <v>سری نقطه جوش</v>
          </cell>
          <cell r="C479" t="str">
            <v>قطعه تعمیری</v>
          </cell>
          <cell r="N479" t="str">
            <v>تراش</v>
          </cell>
          <cell r="AC479" t="str">
            <v>1405/03/24</v>
          </cell>
        </row>
        <row r="480">
          <cell r="B480" t="str">
            <v>قالب پخت کلاچ پیکان آرژانتینی</v>
          </cell>
          <cell r="C480" t="str">
            <v>قالب تعمیری</v>
          </cell>
          <cell r="N480" t="str">
            <v>تراش</v>
          </cell>
          <cell r="AC480" t="str">
            <v>1405/03/25</v>
          </cell>
        </row>
        <row r="481">
          <cell r="B481" t="str">
            <v>قالب پخت کلاچ پژو 405</v>
          </cell>
          <cell r="C481" t="str">
            <v>قالب تعمیری</v>
          </cell>
          <cell r="N481" t="str">
            <v>تراش</v>
          </cell>
          <cell r="AC481" t="str">
            <v>1405/03/25</v>
          </cell>
        </row>
        <row r="482">
          <cell r="B482" t="str">
            <v>شمش پراید</v>
          </cell>
          <cell r="C482" t="str">
            <v>قالب نو</v>
          </cell>
          <cell r="N482" t="str">
            <v>مونتاژ</v>
          </cell>
          <cell r="AC482" t="str">
            <v>1405/03/24</v>
          </cell>
        </row>
        <row r="483">
          <cell r="B483" t="str">
            <v>قالب پخت کلاچ پیکان آرژانتینی</v>
          </cell>
          <cell r="C483" t="str">
            <v>قالب تعمیری</v>
          </cell>
          <cell r="N483" t="str">
            <v>مونتاژ</v>
          </cell>
          <cell r="AC483" t="str">
            <v>1405/03/24</v>
          </cell>
        </row>
        <row r="484">
          <cell r="B484" t="str">
            <v>قالب پخت کلاچ پیکان آرژانتینی</v>
          </cell>
          <cell r="C484" t="str">
            <v>قالب تعمیری</v>
          </cell>
          <cell r="N484" t="str">
            <v>فرز</v>
          </cell>
          <cell r="AC484" t="str">
            <v>1405/03/24</v>
          </cell>
        </row>
        <row r="485">
          <cell r="B485" t="str">
            <v>دستگاه مهر زنی</v>
          </cell>
          <cell r="C485" t="str">
            <v>قطعه تعمیری</v>
          </cell>
          <cell r="N485" t="str">
            <v>فرز</v>
          </cell>
          <cell r="AC485" t="str">
            <v>1405/03/25</v>
          </cell>
        </row>
        <row r="486">
          <cell r="B486" t="str">
            <v>قالب پخت کلاچ پژو 405</v>
          </cell>
          <cell r="C486" t="str">
            <v>قالب تعمیری</v>
          </cell>
          <cell r="N486" t="str">
            <v>مونتاژ</v>
          </cell>
          <cell r="AC486" t="str">
            <v>1405/03/25</v>
          </cell>
        </row>
        <row r="487">
          <cell r="B487" t="str">
            <v>پخت کلاچ پراید</v>
          </cell>
          <cell r="C487" t="str">
            <v>قالب تعمیری</v>
          </cell>
          <cell r="N487" t="str">
            <v>مونتاژ</v>
          </cell>
          <cell r="AC487" t="str">
            <v>1405/03/25</v>
          </cell>
        </row>
        <row r="488">
          <cell r="B488" t="str">
            <v>قالب پخت کلاچ پیکان آرژانتینی</v>
          </cell>
          <cell r="C488" t="str">
            <v>قالب تعمیری</v>
          </cell>
          <cell r="N488" t="str">
            <v>مونتاژ</v>
          </cell>
          <cell r="AC488" t="str">
            <v>1405/03/24</v>
          </cell>
        </row>
        <row r="489">
          <cell r="B489" t="str">
            <v>قالب پخت کلاچ پیکان آرژانتینی</v>
          </cell>
          <cell r="C489" t="str">
            <v>قالب تعمیری</v>
          </cell>
          <cell r="N489" t="str">
            <v>مونتاژ</v>
          </cell>
          <cell r="AC489" t="str">
            <v>1405/03/24</v>
          </cell>
        </row>
        <row r="490">
          <cell r="B490" t="str">
            <v>پخت کلاچ پراید</v>
          </cell>
          <cell r="C490" t="str">
            <v>قالب تعمیری</v>
          </cell>
          <cell r="N490" t="str">
            <v>اره لنگ</v>
          </cell>
          <cell r="AC490" t="str">
            <v>1405/03/24</v>
          </cell>
        </row>
        <row r="491">
          <cell r="B491" t="str">
            <v>قالب پخت کلاچ پژو 405</v>
          </cell>
          <cell r="C491" t="str">
            <v>قالب تعمیری</v>
          </cell>
          <cell r="N491" t="str">
            <v>مونتاژ</v>
          </cell>
          <cell r="AC491" t="str">
            <v>1405/03/24</v>
          </cell>
        </row>
        <row r="492">
          <cell r="B492" t="str">
            <v>دستگاه مهر زنی</v>
          </cell>
          <cell r="C492" t="str">
            <v>قطعه تعمیری</v>
          </cell>
          <cell r="N492" t="str">
            <v>مونتاژ</v>
          </cell>
          <cell r="AC492" t="str">
            <v>1405/03/25</v>
          </cell>
        </row>
        <row r="493">
          <cell r="B493" t="str">
            <v>پخت کلاچ پراید</v>
          </cell>
          <cell r="C493" t="str">
            <v>قالب تعمیری</v>
          </cell>
          <cell r="N493" t="str">
            <v>مونتاژ</v>
          </cell>
          <cell r="AC493" t="str">
            <v>1405/03/25</v>
          </cell>
        </row>
        <row r="494">
          <cell r="B494" t="str">
            <v>قالب پخت کلاچ پژو 405</v>
          </cell>
          <cell r="C494" t="str">
            <v>قالب تعمیری</v>
          </cell>
          <cell r="N494" t="str">
            <v>مونتاژ</v>
          </cell>
          <cell r="AC494" t="str">
            <v>1405/03/25</v>
          </cell>
        </row>
        <row r="495">
          <cell r="B495" t="str">
            <v>قالب پیلسان</v>
          </cell>
          <cell r="C495" t="str">
            <v>قالب تعمیری</v>
          </cell>
          <cell r="N495" t="str">
            <v>مونتاژ</v>
          </cell>
          <cell r="AC495" t="str">
            <v>1405/03/25</v>
          </cell>
        </row>
        <row r="496">
          <cell r="B496" t="str">
            <v>قالب لودری 70021</v>
          </cell>
          <cell r="C496" t="str">
            <v>قالب تعمیری</v>
          </cell>
          <cell r="N496" t="str">
            <v>سنگ زنی</v>
          </cell>
          <cell r="AC496" t="str">
            <v>1405/03/24</v>
          </cell>
        </row>
        <row r="497">
          <cell r="B497" t="str">
            <v>قالب پخت کلاچ پیکان آرژانتینی</v>
          </cell>
          <cell r="C497" t="str">
            <v>قالب تعمیری</v>
          </cell>
          <cell r="N497" t="str">
            <v>سنگ زنی</v>
          </cell>
          <cell r="AC497" t="str">
            <v>1405/03/24</v>
          </cell>
        </row>
        <row r="498">
          <cell r="B498" t="str">
            <v>قالب پخت کلاچ پژو 405</v>
          </cell>
          <cell r="C498" t="str">
            <v>قالب تعمیری</v>
          </cell>
          <cell r="N498" t="str">
            <v>سنگ زنی</v>
          </cell>
          <cell r="AC498" t="str">
            <v>1405/03/24</v>
          </cell>
        </row>
        <row r="499">
          <cell r="B499" t="str">
            <v>پخت کلاچ پراید</v>
          </cell>
          <cell r="C499" t="str">
            <v>قالب تعمیری</v>
          </cell>
          <cell r="N499" t="str">
            <v>سنگ زنی</v>
          </cell>
          <cell r="AC499" t="str">
            <v>1405/03/24</v>
          </cell>
        </row>
        <row r="500">
          <cell r="B500" t="str">
            <v>پخت کلاچ پراید</v>
          </cell>
          <cell r="C500" t="str">
            <v>قالب تعمیری</v>
          </cell>
          <cell r="N500" t="str">
            <v>سنگ زنی</v>
          </cell>
          <cell r="AC500" t="str">
            <v>1405/03/25</v>
          </cell>
        </row>
        <row r="501">
          <cell r="B501" t="str">
            <v>قالب پخت کلاچ پژو 405</v>
          </cell>
          <cell r="C501" t="str">
            <v>قالب تعمیری</v>
          </cell>
          <cell r="N501" t="str">
            <v>سنگ زنی</v>
          </cell>
          <cell r="AC501" t="str">
            <v>1405/03/25</v>
          </cell>
        </row>
        <row r="502">
          <cell r="B502" t="str">
            <v>قالب پیلسان</v>
          </cell>
          <cell r="C502" t="str">
            <v>قالب تعمیری</v>
          </cell>
          <cell r="N502" t="str">
            <v>سنگ زنی</v>
          </cell>
          <cell r="AC502" t="str">
            <v>1405/03/25</v>
          </cell>
        </row>
        <row r="503">
          <cell r="B503" t="str">
            <v>قالب پخت کلاچ پژو 405</v>
          </cell>
          <cell r="C503" t="str">
            <v>قالب تعمیری</v>
          </cell>
          <cell r="N503" t="str">
            <v>سنگ زنی</v>
          </cell>
          <cell r="AC503" t="str">
            <v>1405/03/25</v>
          </cell>
        </row>
        <row r="504">
          <cell r="B504" t="str">
            <v>قالب تیبا خزینه چپ</v>
          </cell>
          <cell r="C504" t="str">
            <v>قالب تعمیری</v>
          </cell>
          <cell r="N504" t="str">
            <v>مونتاژ</v>
          </cell>
          <cell r="AC504" t="str">
            <v>1405/03/24</v>
          </cell>
        </row>
        <row r="505">
          <cell r="B505" t="str">
            <v>قالب پخت کلاچ پیکان آرژانتینی</v>
          </cell>
          <cell r="C505" t="str">
            <v>قالب تعمیری</v>
          </cell>
          <cell r="N505" t="str">
            <v>دریل رادیال</v>
          </cell>
          <cell r="AC505" t="str">
            <v>1405/03/24</v>
          </cell>
        </row>
        <row r="506">
          <cell r="B506" t="str">
            <v>قالب پخت کلاچ پیکان آرژانتینی</v>
          </cell>
          <cell r="C506" t="str">
            <v>قالب تعمیری</v>
          </cell>
          <cell r="N506" t="str">
            <v>مونتاژ</v>
          </cell>
          <cell r="AC506" t="str">
            <v>1405/03/24</v>
          </cell>
        </row>
        <row r="507">
          <cell r="B507" t="str">
            <v>کلمپ زنی</v>
          </cell>
          <cell r="C507" t="str">
            <v>قطعه نو</v>
          </cell>
          <cell r="N507" t="str">
            <v>مونتاژ</v>
          </cell>
          <cell r="AC507" t="str">
            <v>1405/03/24</v>
          </cell>
        </row>
        <row r="508">
          <cell r="B508" t="str">
            <v>قالب پخت کلاچ پیکان آرژانتینی</v>
          </cell>
          <cell r="C508" t="str">
            <v>قالب تعمیری</v>
          </cell>
          <cell r="N508" t="str">
            <v>مونتاژ</v>
          </cell>
          <cell r="AC508" t="str">
            <v>1405/03/24</v>
          </cell>
        </row>
        <row r="509">
          <cell r="B509" t="str">
            <v>پخت کلاچ هوو</v>
          </cell>
          <cell r="C509" t="str">
            <v>قالب تعمیری</v>
          </cell>
          <cell r="N509" t="str">
            <v>مونتاژ</v>
          </cell>
          <cell r="AC509" t="str">
            <v>1405/03/24</v>
          </cell>
        </row>
        <row r="510">
          <cell r="B510" t="str">
            <v>پخت کلاچ ده تن سوراخدار</v>
          </cell>
          <cell r="C510" t="str">
            <v>قالب تعمیری</v>
          </cell>
          <cell r="N510" t="str">
            <v>مونتاژ</v>
          </cell>
          <cell r="AC510" t="str">
            <v>1405/03/24</v>
          </cell>
        </row>
        <row r="511">
          <cell r="B511" t="str">
            <v>قطاری باری</v>
          </cell>
          <cell r="C511" t="str">
            <v>قالب تعمیری</v>
          </cell>
          <cell r="N511" t="str">
            <v>مونتاژ</v>
          </cell>
          <cell r="AC511" t="str">
            <v>1405/03/24</v>
          </cell>
        </row>
        <row r="512">
          <cell r="B512" t="str">
            <v>شمش پراید</v>
          </cell>
          <cell r="C512" t="str">
            <v>قالب نو</v>
          </cell>
          <cell r="N512" t="str">
            <v>فرز</v>
          </cell>
          <cell r="AC512" t="str">
            <v>1405/03/26</v>
          </cell>
        </row>
        <row r="513">
          <cell r="B513" t="str">
            <v>پین عقب پژو 405</v>
          </cell>
          <cell r="C513" t="str">
            <v>قطعه نو</v>
          </cell>
          <cell r="N513" t="str">
            <v>سری تراش</v>
          </cell>
          <cell r="AC513" t="str">
            <v>1405/03/26</v>
          </cell>
        </row>
        <row r="514">
          <cell r="B514" t="str">
            <v>دریل یزدخواستی کلاچ</v>
          </cell>
          <cell r="C514" t="str">
            <v>قطعه نو</v>
          </cell>
          <cell r="N514" t="str">
            <v>CNC</v>
          </cell>
          <cell r="AC514" t="str">
            <v>1405/03/26</v>
          </cell>
        </row>
        <row r="515">
          <cell r="B515" t="str">
            <v>قالب پخت کلاچ پژو 405</v>
          </cell>
          <cell r="C515" t="str">
            <v>قالب تعمیری</v>
          </cell>
          <cell r="N515" t="str">
            <v>تراش</v>
          </cell>
          <cell r="AC515" t="str">
            <v>1405/03/26</v>
          </cell>
        </row>
        <row r="516">
          <cell r="B516" t="str">
            <v>پخت کلاچ پراید</v>
          </cell>
          <cell r="C516" t="str">
            <v>قالب تعمیری</v>
          </cell>
          <cell r="N516" t="str">
            <v>تراش</v>
          </cell>
          <cell r="AC516" t="str">
            <v>1405/03/26</v>
          </cell>
        </row>
        <row r="517">
          <cell r="B517" t="str">
            <v>صفحات 50*50 پخت کلاچ</v>
          </cell>
          <cell r="C517" t="str">
            <v>قالب تعمیری</v>
          </cell>
          <cell r="N517" t="str">
            <v>فرز</v>
          </cell>
          <cell r="AC517" t="str">
            <v>1405/03/26</v>
          </cell>
        </row>
        <row r="518">
          <cell r="B518" t="str">
            <v>پخت عقب پژو 405 شمشی پایه کوتاه</v>
          </cell>
          <cell r="C518" t="str">
            <v>قالب نو</v>
          </cell>
          <cell r="N518" t="str">
            <v>فرز</v>
          </cell>
          <cell r="AC518" t="str">
            <v>1405/03/26</v>
          </cell>
        </row>
        <row r="519">
          <cell r="B519" t="str">
            <v>پرس پخت کلاچ</v>
          </cell>
          <cell r="C519" t="str">
            <v>قطعه تعمیری</v>
          </cell>
          <cell r="N519" t="str">
            <v>تراش</v>
          </cell>
          <cell r="AC519" t="str">
            <v>1405/03/26</v>
          </cell>
        </row>
        <row r="520">
          <cell r="B520" t="str">
            <v>دستگاه CNC</v>
          </cell>
          <cell r="C520" t="str">
            <v>قطعه نو</v>
          </cell>
          <cell r="N520" t="str">
            <v>تراش</v>
          </cell>
          <cell r="AC520" t="str">
            <v>1405/03/26</v>
          </cell>
        </row>
        <row r="521">
          <cell r="B521" t="str">
            <v>قالب پخت کلاچ پیکان آرژانتینی</v>
          </cell>
          <cell r="C521" t="str">
            <v>قالب تعمیری</v>
          </cell>
          <cell r="N521" t="str">
            <v>تراش</v>
          </cell>
          <cell r="AC521" t="str">
            <v>1405/03/26</v>
          </cell>
        </row>
        <row r="522">
          <cell r="B522" t="str">
            <v>قالب پخت کلاچ پژو 405</v>
          </cell>
          <cell r="C522" t="str">
            <v>قالب تعمیری</v>
          </cell>
          <cell r="N522" t="str">
            <v>سنگ زنی</v>
          </cell>
          <cell r="AC522" t="str">
            <v>1405/03/26</v>
          </cell>
        </row>
        <row r="523">
          <cell r="B523" t="str">
            <v>شیم پژو 405</v>
          </cell>
          <cell r="C523" t="str">
            <v>قالب تعمیری</v>
          </cell>
          <cell r="N523" t="str">
            <v>سنگ زنی</v>
          </cell>
          <cell r="AC523" t="str">
            <v>1405/03/26</v>
          </cell>
        </row>
        <row r="524">
          <cell r="B524" t="str">
            <v>صفحات 50*50 پخت کلاچ</v>
          </cell>
          <cell r="C524" t="str">
            <v>قالب تعمیری</v>
          </cell>
          <cell r="N524" t="str">
            <v>سنگ زنی</v>
          </cell>
          <cell r="AC524" t="str">
            <v>1405/03/26</v>
          </cell>
        </row>
        <row r="525">
          <cell r="B525" t="str">
            <v>پخت کلاچ پراید</v>
          </cell>
          <cell r="C525" t="str">
            <v>قالب تعمیری</v>
          </cell>
          <cell r="N525" t="str">
            <v>مونتاژ</v>
          </cell>
          <cell r="AC525" t="str">
            <v>1405/03/26</v>
          </cell>
        </row>
        <row r="526">
          <cell r="B526" t="str">
            <v>پخت کلاچ پراید</v>
          </cell>
          <cell r="C526" t="str">
            <v>قالب تعمیری</v>
          </cell>
          <cell r="N526" t="str">
            <v>فرز</v>
          </cell>
          <cell r="AC526" t="str">
            <v>1405/03/26</v>
          </cell>
        </row>
        <row r="527">
          <cell r="B527" t="str">
            <v>Hammer Mill Machine</v>
          </cell>
          <cell r="C527" t="str">
            <v>دستگاه نو</v>
          </cell>
          <cell r="N527" t="str">
            <v>فرز</v>
          </cell>
          <cell r="AC527" t="str">
            <v>1405/03/26</v>
          </cell>
        </row>
        <row r="528">
          <cell r="B528" t="str">
            <v>قالب پخت کلاچ پژو 405</v>
          </cell>
          <cell r="C528" t="str">
            <v>قالب تعمیری</v>
          </cell>
          <cell r="N528" t="str">
            <v>مونتاژ</v>
          </cell>
          <cell r="AC528" t="str">
            <v>1405/03/26</v>
          </cell>
        </row>
        <row r="529">
          <cell r="B529" t="str">
            <v>stop</v>
          </cell>
          <cell r="C529" t="str">
            <v>قطعه نو</v>
          </cell>
          <cell r="N529" t="str">
            <v>اره لنگ</v>
          </cell>
          <cell r="AC529" t="str">
            <v>1405/03/26</v>
          </cell>
        </row>
        <row r="530">
          <cell r="B530" t="str">
            <v>قالب پخت کلاچ پژو 405</v>
          </cell>
          <cell r="C530" t="str">
            <v>قالب تعمیری</v>
          </cell>
          <cell r="N530" t="str">
            <v>مونتاژ</v>
          </cell>
          <cell r="AC530" t="str">
            <v>1405/03/26</v>
          </cell>
        </row>
        <row r="531">
          <cell r="B531" t="str">
            <v>شیم ریو</v>
          </cell>
          <cell r="C531" t="str">
            <v>قالب تعمیری</v>
          </cell>
          <cell r="N531" t="str">
            <v>مونتاژ</v>
          </cell>
          <cell r="AC531" t="str">
            <v>1405/03/26</v>
          </cell>
        </row>
        <row r="532">
          <cell r="B532" t="str">
            <v>قالب پخت کلاچ پژو 405</v>
          </cell>
          <cell r="C532" t="str">
            <v>قالب تعمیری</v>
          </cell>
          <cell r="N532" t="str">
            <v>مونتاژ</v>
          </cell>
          <cell r="AC532" t="str">
            <v>1405/03/26</v>
          </cell>
        </row>
        <row r="533">
          <cell r="B533" t="str">
            <v>دستگاه پرس 600 تن</v>
          </cell>
          <cell r="C533" t="str">
            <v>قطعه تعمیری</v>
          </cell>
          <cell r="N533" t="str">
            <v>وایر</v>
          </cell>
          <cell r="AC533" t="str">
            <v>1405/03/26</v>
          </cell>
        </row>
        <row r="534">
          <cell r="B534" t="str">
            <v>دستگاه پشم فلز</v>
          </cell>
          <cell r="C534" t="str">
            <v>قطعه نو</v>
          </cell>
          <cell r="N534" t="str">
            <v>وایر</v>
          </cell>
          <cell r="AC534" t="str">
            <v>1405/03/26</v>
          </cell>
        </row>
        <row r="535">
          <cell r="B535" t="str">
            <v>نگهدارنده پلاک قالب</v>
          </cell>
          <cell r="C535" t="str">
            <v>قطعه نو</v>
          </cell>
          <cell r="N535" t="str">
            <v>وایر</v>
          </cell>
          <cell r="AC535" t="str">
            <v>1405/03/26</v>
          </cell>
        </row>
        <row r="536">
          <cell r="B536" t="str">
            <v>کوبه نک قطاری</v>
          </cell>
          <cell r="C536" t="str">
            <v>قالب تعمیری</v>
          </cell>
          <cell r="N536" t="str">
            <v>وایر</v>
          </cell>
          <cell r="AC536" t="str">
            <v>1405/03/26</v>
          </cell>
        </row>
        <row r="537">
          <cell r="B537" t="str">
            <v>قلم پژو 405</v>
          </cell>
          <cell r="C537" t="str">
            <v>قطعه تعمیری</v>
          </cell>
          <cell r="N537" t="str">
            <v>وایر</v>
          </cell>
          <cell r="AC537" t="str">
            <v>1405/03/26</v>
          </cell>
        </row>
        <row r="538">
          <cell r="B538" t="str">
            <v>قالب پخت کلاچ پیکان آرژانتینی</v>
          </cell>
          <cell r="C538" t="str">
            <v>قالب تعمیری</v>
          </cell>
          <cell r="N538" t="str">
            <v>دریل رادیال</v>
          </cell>
          <cell r="AC538" t="str">
            <v>1405/03/25</v>
          </cell>
        </row>
        <row r="539">
          <cell r="B539" t="str">
            <v>قالب پخت کلاچ پژو 405</v>
          </cell>
          <cell r="C539" t="str">
            <v>قالب تعمیری</v>
          </cell>
          <cell r="N539" t="str">
            <v>مونتاژ</v>
          </cell>
          <cell r="AC539" t="str">
            <v>1405/03/25</v>
          </cell>
        </row>
        <row r="540">
          <cell r="B540" t="str">
            <v>پخت کلاچ پراید</v>
          </cell>
          <cell r="C540" t="str">
            <v>قالب تعمیری</v>
          </cell>
          <cell r="N540" t="str">
            <v>مونتاژ</v>
          </cell>
          <cell r="AC540" t="str">
            <v>1405/03/25</v>
          </cell>
        </row>
        <row r="541">
          <cell r="B541" t="str">
            <v>قالب پیلسان</v>
          </cell>
          <cell r="C541" t="str">
            <v>قالب تعمیری</v>
          </cell>
          <cell r="N541" t="str">
            <v>دریل رادیال</v>
          </cell>
          <cell r="AC541" t="str">
            <v>1405/03/25</v>
          </cell>
        </row>
        <row r="542">
          <cell r="B542" t="str">
            <v>پخت کلاچ هوو</v>
          </cell>
          <cell r="C542" t="str">
            <v>قالب تعمیری</v>
          </cell>
          <cell r="N542" t="str">
            <v>مونتاژ</v>
          </cell>
          <cell r="AC542" t="str">
            <v>1405/03/26</v>
          </cell>
        </row>
        <row r="543">
          <cell r="B543" t="str">
            <v>پخت کلاچ ده تن سوراخدار</v>
          </cell>
          <cell r="C543" t="str">
            <v>قالب تعمیری</v>
          </cell>
          <cell r="N543" t="str">
            <v>مونتاژ</v>
          </cell>
          <cell r="AC543" t="str">
            <v>1405/03/26</v>
          </cell>
        </row>
        <row r="544">
          <cell r="B544" t="str">
            <v>قالب پخت کلاچ پژو 405</v>
          </cell>
          <cell r="C544" t="str">
            <v>قالب تعمیری</v>
          </cell>
          <cell r="N544" t="str">
            <v>دریل رادیال</v>
          </cell>
          <cell r="AC544" t="str">
            <v>1405/03/26</v>
          </cell>
        </row>
        <row r="545">
          <cell r="B545" t="str">
            <v>قالب پخت کلاچ پژو 405</v>
          </cell>
          <cell r="C545" t="str">
            <v>قالب تعمیری</v>
          </cell>
          <cell r="N545" t="str">
            <v>دریل رادیال</v>
          </cell>
          <cell r="AC545" t="str">
            <v>1405/03/26</v>
          </cell>
        </row>
        <row r="546">
          <cell r="B546" t="str">
            <v>قالب پخت کلاچ پژو 405</v>
          </cell>
          <cell r="C546" t="str">
            <v>قالب تعمیری</v>
          </cell>
          <cell r="N546" t="str">
            <v>CNC</v>
          </cell>
          <cell r="AC546" t="str">
            <v>1405/03/26</v>
          </cell>
        </row>
        <row r="547">
          <cell r="B547" t="str">
            <v>دریل یزدخواستی کلاچ</v>
          </cell>
          <cell r="C547" t="str">
            <v>قطعه نو</v>
          </cell>
          <cell r="N547" t="str">
            <v>CNC</v>
          </cell>
          <cell r="AC547" t="str">
            <v>1405/03/27</v>
          </cell>
        </row>
        <row r="548">
          <cell r="B548" t="str">
            <v>دریل یزدخواستی کلاچ</v>
          </cell>
          <cell r="C548" t="str">
            <v>قطعه نو</v>
          </cell>
          <cell r="N548" t="str">
            <v>CNC</v>
          </cell>
          <cell r="AC548" t="str">
            <v>1405/03/27</v>
          </cell>
        </row>
        <row r="549">
          <cell r="B549" t="str">
            <v>قالب پخت کلاچ پژو 405</v>
          </cell>
          <cell r="C549" t="str">
            <v>قالب تعمیری</v>
          </cell>
          <cell r="N549" t="str">
            <v>CNC</v>
          </cell>
          <cell r="AC549" t="str">
            <v>1405/03/27</v>
          </cell>
        </row>
        <row r="550">
          <cell r="B550" t="str">
            <v>پین عقب پژو 405</v>
          </cell>
          <cell r="C550" t="str">
            <v>قطعه نو</v>
          </cell>
          <cell r="N550" t="str">
            <v>سری تراش</v>
          </cell>
          <cell r="AC550" t="str">
            <v>1405/03/27</v>
          </cell>
        </row>
        <row r="551">
          <cell r="B551" t="str">
            <v>قالب پخت کلاچ پژو 405</v>
          </cell>
          <cell r="C551" t="str">
            <v>قالب تعمیری</v>
          </cell>
          <cell r="N551" t="str">
            <v>سنگ زنی</v>
          </cell>
          <cell r="AC551" t="str">
            <v>1405/03/27</v>
          </cell>
        </row>
        <row r="552">
          <cell r="B552" t="str">
            <v>صفحات 50*50 پخت کلاچ</v>
          </cell>
          <cell r="C552" t="str">
            <v>قالب تعمیری</v>
          </cell>
          <cell r="N552" t="str">
            <v>سنگ زنی</v>
          </cell>
          <cell r="AC552" t="str">
            <v>1405/03/27</v>
          </cell>
        </row>
        <row r="553">
          <cell r="B553" t="str">
            <v>دریل یزدخواستی کلاچ</v>
          </cell>
          <cell r="C553" t="str">
            <v>قطعه نو</v>
          </cell>
          <cell r="N553" t="str">
            <v>تراش</v>
          </cell>
          <cell r="AC553" t="str">
            <v>1405/03/27</v>
          </cell>
        </row>
        <row r="554">
          <cell r="B554" t="str">
            <v>قالب پخت کلاچ پژو 405</v>
          </cell>
          <cell r="C554" t="str">
            <v>قالب تعمیری</v>
          </cell>
          <cell r="N554" t="str">
            <v>تراش</v>
          </cell>
          <cell r="AC554" t="str">
            <v>1405/03/27</v>
          </cell>
        </row>
        <row r="555">
          <cell r="B555" t="str">
            <v>دریل یزدخواستی کلاچ</v>
          </cell>
          <cell r="C555" t="str">
            <v>قطعه تعمیری</v>
          </cell>
          <cell r="N555" t="str">
            <v>تراش</v>
          </cell>
          <cell r="AC555" t="str">
            <v>1405/03/27</v>
          </cell>
        </row>
        <row r="556">
          <cell r="B556" t="str">
            <v>قالب پخت کلاچ پژو 405</v>
          </cell>
          <cell r="C556" t="str">
            <v>قالب تعمیری</v>
          </cell>
          <cell r="N556" t="str">
            <v>CNC</v>
          </cell>
          <cell r="AC556" t="str">
            <v>1405/03/27</v>
          </cell>
        </row>
        <row r="557">
          <cell r="B557" t="str">
            <v>قالب پخت کلاچ پژو 405</v>
          </cell>
          <cell r="C557" t="str">
            <v>قالب تعمیری</v>
          </cell>
          <cell r="N557" t="str">
            <v>CNC</v>
          </cell>
          <cell r="AC557" t="str">
            <v>1405/03/27</v>
          </cell>
        </row>
        <row r="558">
          <cell r="B558" t="str">
            <v>پخت کلاچ پراید</v>
          </cell>
          <cell r="C558" t="str">
            <v>قالب تعمیری</v>
          </cell>
          <cell r="N558" t="str">
            <v>CNC</v>
          </cell>
          <cell r="AC558" t="str">
            <v>1405/03/27</v>
          </cell>
        </row>
        <row r="559">
          <cell r="B559" t="str">
            <v>قالب پخت کلاچ پژو 405</v>
          </cell>
          <cell r="C559" t="str">
            <v>قالب تعمیری</v>
          </cell>
          <cell r="N559" t="str">
            <v>تراش</v>
          </cell>
          <cell r="AC559" t="str">
            <v>1405/03/27</v>
          </cell>
        </row>
        <row r="560">
          <cell r="B560" t="str">
            <v>پخت کلاچ پراید</v>
          </cell>
          <cell r="C560" t="str">
            <v>قالب تعمیری</v>
          </cell>
          <cell r="N560" t="str">
            <v>تراش</v>
          </cell>
          <cell r="AC560" t="str">
            <v>1405/03/27</v>
          </cell>
        </row>
        <row r="561">
          <cell r="B561" t="str">
            <v>پخت کلاچ پراید</v>
          </cell>
          <cell r="C561" t="str">
            <v>قالب تعمیری</v>
          </cell>
          <cell r="N561" t="str">
            <v>تراش</v>
          </cell>
          <cell r="AC561" t="str">
            <v>1405/03/27</v>
          </cell>
        </row>
        <row r="562">
          <cell r="B562" t="str">
            <v>Hammer Mill Machine</v>
          </cell>
          <cell r="C562" t="str">
            <v>دستگاه نو</v>
          </cell>
          <cell r="N562" t="str">
            <v>فرز</v>
          </cell>
          <cell r="AC562" t="str">
            <v>1405/03/27</v>
          </cell>
        </row>
        <row r="563">
          <cell r="B563" t="str">
            <v>قالب پخت کلاچ پیکان آرژانتینی</v>
          </cell>
          <cell r="C563" t="str">
            <v>قالب تعمیری</v>
          </cell>
          <cell r="N563" t="str">
            <v>مونتاژ</v>
          </cell>
          <cell r="AC563" t="str">
            <v>1405/03/27</v>
          </cell>
        </row>
        <row r="564">
          <cell r="B564" t="str">
            <v>قالب پخت کلاچ پیکان آرژانتینی</v>
          </cell>
          <cell r="C564" t="str">
            <v>قالب تعمیری</v>
          </cell>
          <cell r="N564" t="str">
            <v>مونتاژ</v>
          </cell>
          <cell r="AC564" t="str">
            <v>1405/03/27</v>
          </cell>
        </row>
        <row r="565">
          <cell r="B565" t="str">
            <v>پخت کلاچ پراید</v>
          </cell>
          <cell r="C565" t="str">
            <v>قالب تعمیری</v>
          </cell>
          <cell r="N565" t="str">
            <v>مونتاژ</v>
          </cell>
          <cell r="AC565" t="str">
            <v>1405/03/27</v>
          </cell>
        </row>
        <row r="566">
          <cell r="B566" t="str">
            <v>پخت کلاچ ده تن سوراخدار</v>
          </cell>
          <cell r="C566" t="str">
            <v>قالب تعمیری</v>
          </cell>
          <cell r="N566" t="str">
            <v>مونتاژ</v>
          </cell>
          <cell r="AC566" t="str">
            <v>1405/03/27</v>
          </cell>
        </row>
        <row r="567">
          <cell r="B567" t="str">
            <v>پخت کلاچ هوو</v>
          </cell>
          <cell r="C567" t="str">
            <v>قالب تعمیری</v>
          </cell>
          <cell r="N567" t="str">
            <v>مونتاژ</v>
          </cell>
          <cell r="AC567" t="str">
            <v>1405/03/27</v>
          </cell>
        </row>
        <row r="568">
          <cell r="B568" t="str">
            <v>قالب پخت کلاچ پژو 405</v>
          </cell>
          <cell r="C568" t="str">
            <v>قالب تعمیری</v>
          </cell>
          <cell r="N568" t="str">
            <v>مونتاژ</v>
          </cell>
          <cell r="AC568" t="str">
            <v>1405/03/27</v>
          </cell>
        </row>
        <row r="569">
          <cell r="B569" t="str">
            <v>پخت کلاچ پراید</v>
          </cell>
          <cell r="C569" t="str">
            <v>قالب تعمیری</v>
          </cell>
          <cell r="N569" t="str">
            <v>مونتاژ</v>
          </cell>
          <cell r="AC569" t="str">
            <v>1405/03/27</v>
          </cell>
        </row>
        <row r="570">
          <cell r="B570" t="str">
            <v>پخت کلاچ ده تن سوراخدار</v>
          </cell>
          <cell r="C570" t="str">
            <v>قالب تعمیری</v>
          </cell>
          <cell r="N570" t="str">
            <v>مونتاژ</v>
          </cell>
          <cell r="AC570" t="str">
            <v>1405/03/27</v>
          </cell>
        </row>
        <row r="571">
          <cell r="B571" t="str">
            <v>پخت کلاچ هوو</v>
          </cell>
          <cell r="C571" t="str">
            <v>قالب تعمیری</v>
          </cell>
          <cell r="N571" t="str">
            <v>مونتاژ</v>
          </cell>
          <cell r="AC571" t="str">
            <v>1405/03/27</v>
          </cell>
        </row>
        <row r="572">
          <cell r="B572" t="str">
            <v>قالب پخت کلاچ پژو 405</v>
          </cell>
          <cell r="C572" t="str">
            <v>قالب تعمیری</v>
          </cell>
          <cell r="N572" t="str">
            <v>مونتاژ</v>
          </cell>
          <cell r="AC572" t="str">
            <v>1405/03/27</v>
          </cell>
        </row>
        <row r="573">
          <cell r="B573" t="str">
            <v>پخت کلاچ پراید</v>
          </cell>
          <cell r="C573" t="str">
            <v>قالب تعمیری</v>
          </cell>
          <cell r="N573" t="str">
            <v>مونتاژ</v>
          </cell>
          <cell r="AC573" t="str">
            <v>1405/03/27</v>
          </cell>
        </row>
        <row r="574">
          <cell r="B574" t="str">
            <v>قالب پخت کلاچ پژو 405</v>
          </cell>
          <cell r="C574" t="str">
            <v>قالب تعمیری</v>
          </cell>
          <cell r="N574" t="str">
            <v>مونتاژ</v>
          </cell>
          <cell r="AC574" t="str">
            <v>1405/03/27</v>
          </cell>
        </row>
        <row r="575">
          <cell r="B575" t="str">
            <v>پخت کلاچ پراید</v>
          </cell>
          <cell r="C575" t="str">
            <v>قالب تعمیری</v>
          </cell>
          <cell r="N575" t="str">
            <v>دریل رادیال</v>
          </cell>
          <cell r="AC575" t="str">
            <v>1405/03/27</v>
          </cell>
        </row>
        <row r="576">
          <cell r="B576" t="str">
            <v>دستگاه پرس 600 تن</v>
          </cell>
          <cell r="C576" t="str">
            <v>قطعه تعمیری</v>
          </cell>
          <cell r="N576" t="str">
            <v>وایر</v>
          </cell>
          <cell r="AC576" t="str">
            <v>1405/03/27</v>
          </cell>
        </row>
        <row r="577">
          <cell r="B577" t="str">
            <v>قالب پخت کلاچ پژو 405</v>
          </cell>
          <cell r="C577" t="str">
            <v>قالب تعمیری</v>
          </cell>
          <cell r="N577" t="str">
            <v>وایر</v>
          </cell>
          <cell r="AC577" t="str">
            <v>1405/03/27</v>
          </cell>
        </row>
        <row r="578">
          <cell r="B578" t="str">
            <v>پخت کلاچ پراید</v>
          </cell>
          <cell r="C578" t="str">
            <v>قالب تعمیری</v>
          </cell>
          <cell r="N578" t="str">
            <v>وایر</v>
          </cell>
          <cell r="AC578" t="str">
            <v>1405/03/27</v>
          </cell>
        </row>
        <row r="579">
          <cell r="B579" t="str">
            <v>نگهدارنده پلاک قالب</v>
          </cell>
          <cell r="C579" t="str">
            <v>قطعه نو</v>
          </cell>
          <cell r="N579" t="str">
            <v>وایر</v>
          </cell>
          <cell r="AC579" t="str">
            <v>1405/03/27</v>
          </cell>
        </row>
        <row r="580">
          <cell r="B580" t="str">
            <v>قالب پخت کلاچ پژو 405</v>
          </cell>
          <cell r="C580" t="str">
            <v>قالب تعمیری</v>
          </cell>
          <cell r="N580" t="str">
            <v>سوپردریل</v>
          </cell>
          <cell r="AC580" t="str">
            <v>1405/03/27</v>
          </cell>
        </row>
        <row r="581">
          <cell r="B581" t="str">
            <v>شمش پراید</v>
          </cell>
          <cell r="C581" t="str">
            <v>قالب نو</v>
          </cell>
          <cell r="N581" t="str">
            <v>فرز</v>
          </cell>
          <cell r="AC581" t="str">
            <v>1405/03/27</v>
          </cell>
        </row>
        <row r="582">
          <cell r="B582" t="str">
            <v>دریل یزدخواستی کلاچ</v>
          </cell>
          <cell r="C582" t="str">
            <v>قطعه نو</v>
          </cell>
          <cell r="N582" t="str">
            <v>CNC</v>
          </cell>
          <cell r="AC582" t="str">
            <v>1405/03/28</v>
          </cell>
        </row>
        <row r="583">
          <cell r="B583" t="str">
            <v>قالب پخت کلاچ پژو 405</v>
          </cell>
          <cell r="C583" t="str">
            <v>قالب تعمیری</v>
          </cell>
          <cell r="N583" t="str">
            <v>CNC</v>
          </cell>
          <cell r="AC583" t="str">
            <v>1405/03/28</v>
          </cell>
        </row>
        <row r="584">
          <cell r="B584" t="str">
            <v>صفحات 50*50 پخت کلاچ</v>
          </cell>
          <cell r="C584" t="str">
            <v>قالب تعمیری</v>
          </cell>
          <cell r="N584" t="str">
            <v>سنگ زنی</v>
          </cell>
          <cell r="AC584" t="str">
            <v>1405/03/28</v>
          </cell>
        </row>
        <row r="585">
          <cell r="B585" t="str">
            <v>پین عقب پژو 405</v>
          </cell>
          <cell r="C585" t="str">
            <v>قطعه نو</v>
          </cell>
          <cell r="N585" t="str">
            <v>سری تراش</v>
          </cell>
          <cell r="AC585" t="str">
            <v>1405/03/28</v>
          </cell>
        </row>
        <row r="586">
          <cell r="B586" t="str">
            <v>Hammer Mill Machine</v>
          </cell>
          <cell r="C586" t="str">
            <v>دستگاه نو</v>
          </cell>
          <cell r="N586" t="str">
            <v>تراش</v>
          </cell>
          <cell r="AC586" t="str">
            <v>1405/03/28</v>
          </cell>
        </row>
        <row r="587">
          <cell r="B587" t="str">
            <v>پخت عقب پژو 405 شمشی پایه کوتاه</v>
          </cell>
          <cell r="C587" t="str">
            <v>قالب نو</v>
          </cell>
          <cell r="N587" t="str">
            <v>فرز</v>
          </cell>
          <cell r="AC587" t="str">
            <v>1405/03/27</v>
          </cell>
        </row>
        <row r="588">
          <cell r="B588" t="str">
            <v>پخت عقب پژو 405 شمشی پایه کوتاه</v>
          </cell>
          <cell r="C588" t="str">
            <v>قالب نو</v>
          </cell>
          <cell r="N588" t="str">
            <v>فرز</v>
          </cell>
          <cell r="AC588" t="str">
            <v>1405/03/27</v>
          </cell>
        </row>
        <row r="589">
          <cell r="B589" t="str">
            <v>صفحات 50*50 پخت کلاچ</v>
          </cell>
          <cell r="C589" t="str">
            <v>قالب تعمیری</v>
          </cell>
          <cell r="N589" t="str">
            <v>فرز</v>
          </cell>
          <cell r="AC589" t="str">
            <v>1405/03/28</v>
          </cell>
        </row>
        <row r="590">
          <cell r="B590" t="str">
            <v>پخت عقب پژو 405 شمشی پایه کوتاه</v>
          </cell>
          <cell r="C590" t="str">
            <v>قالب نو</v>
          </cell>
          <cell r="N590" t="str">
            <v>مونتاژ</v>
          </cell>
          <cell r="AC590" t="str">
            <v>1405/03/28</v>
          </cell>
        </row>
        <row r="591">
          <cell r="B591" t="str">
            <v>ابزار زنی</v>
          </cell>
          <cell r="C591" t="str">
            <v>قطعه تعمیری</v>
          </cell>
          <cell r="N591" t="str">
            <v>فرز</v>
          </cell>
          <cell r="AC591" t="str">
            <v>1405/03/28</v>
          </cell>
        </row>
        <row r="592">
          <cell r="B592" t="str">
            <v>ویوینگ</v>
          </cell>
          <cell r="C592" t="str">
            <v>قطعه تعمیری</v>
          </cell>
          <cell r="N592" t="str">
            <v>فرز</v>
          </cell>
          <cell r="AC592" t="str">
            <v>1405/03/28</v>
          </cell>
        </row>
        <row r="593">
          <cell r="B593" t="str">
            <v>اصول 5S</v>
          </cell>
          <cell r="C593" t="str">
            <v>نظافت</v>
          </cell>
          <cell r="N593" t="str">
            <v>نظافت</v>
          </cell>
          <cell r="AC593" t="str">
            <v>1405/03/28</v>
          </cell>
        </row>
        <row r="594">
          <cell r="B594" t="str">
            <v>پخت کلاچ پراید</v>
          </cell>
          <cell r="C594" t="str">
            <v>قالب تعمیری</v>
          </cell>
          <cell r="N594" t="str">
            <v>مونتاژ</v>
          </cell>
          <cell r="AC594" t="str">
            <v>1405/03/28</v>
          </cell>
        </row>
        <row r="595">
          <cell r="B595" t="str">
            <v>قالب پخت کلاچ پیکان</v>
          </cell>
          <cell r="C595" t="str">
            <v>قالب تعمیری</v>
          </cell>
          <cell r="N595" t="str">
            <v>مونتاژ</v>
          </cell>
          <cell r="AC595" t="str">
            <v>1405/03/28</v>
          </cell>
        </row>
        <row r="596">
          <cell r="B596" t="str">
            <v>ابزار زنی</v>
          </cell>
          <cell r="C596" t="str">
            <v>قطعه نو</v>
          </cell>
          <cell r="N596" t="str">
            <v>اره لنگ</v>
          </cell>
          <cell r="AC596" t="str">
            <v>1405/03/28</v>
          </cell>
        </row>
        <row r="597">
          <cell r="B597" t="str">
            <v>اصول 5S</v>
          </cell>
          <cell r="C597" t="str">
            <v>نظافت</v>
          </cell>
          <cell r="N597" t="str">
            <v>نظافت</v>
          </cell>
          <cell r="AC597" t="str">
            <v>1405/03/28</v>
          </cell>
        </row>
        <row r="598">
          <cell r="B598" t="str">
            <v>دریل یزدخواستی کلاچ</v>
          </cell>
          <cell r="C598" t="str">
            <v>قطعه نو</v>
          </cell>
          <cell r="N598" t="str">
            <v>تراش</v>
          </cell>
          <cell r="AC598" t="str">
            <v>1405/03/28</v>
          </cell>
        </row>
        <row r="599">
          <cell r="B599" t="str">
            <v>دریل یزدخواستی کلاچ</v>
          </cell>
          <cell r="C599" t="str">
            <v>قطعه نو</v>
          </cell>
          <cell r="N599" t="str">
            <v>تراش</v>
          </cell>
          <cell r="AC599" t="str">
            <v>1405/03/28</v>
          </cell>
        </row>
        <row r="600">
          <cell r="B600" t="str">
            <v>اصول 5S</v>
          </cell>
          <cell r="C600" t="str">
            <v>نظافت</v>
          </cell>
          <cell r="N600" t="str">
            <v>نظافت</v>
          </cell>
          <cell r="AC600" t="str">
            <v>1405/03/28</v>
          </cell>
        </row>
        <row r="601">
          <cell r="B601" t="str">
            <v>دستگاه سنگ مغناطیسی</v>
          </cell>
          <cell r="C601" t="str">
            <v>دستگاه تعمیری</v>
          </cell>
          <cell r="N601" t="str">
            <v>تراش</v>
          </cell>
          <cell r="AC601" t="str">
            <v>1405/03/29</v>
          </cell>
        </row>
        <row r="602">
          <cell r="B602" t="str">
            <v>دریل یزدخواستی کلاچ</v>
          </cell>
          <cell r="C602" t="str">
            <v>قطعه نو</v>
          </cell>
          <cell r="N602" t="str">
            <v>تراش</v>
          </cell>
          <cell r="AC602" t="str">
            <v>1405/03/29</v>
          </cell>
        </row>
        <row r="603">
          <cell r="B603" t="str">
            <v>پخت عقب پژو 405 شمشی پایه کوتاه</v>
          </cell>
          <cell r="C603" t="str">
            <v>قالب نو</v>
          </cell>
          <cell r="N603" t="str">
            <v>دریل رادیال</v>
          </cell>
          <cell r="AC603" t="str">
            <v>1405/03/28</v>
          </cell>
        </row>
        <row r="604">
          <cell r="B604" t="str">
            <v>قالب پخت کلاچ پیکان</v>
          </cell>
          <cell r="C604" t="str">
            <v>قالب تعمیری</v>
          </cell>
          <cell r="N604" t="str">
            <v>مونتاژ</v>
          </cell>
          <cell r="AC604" t="str">
            <v>1405/03/28</v>
          </cell>
        </row>
        <row r="605">
          <cell r="B605" t="str">
            <v>اصول 5S</v>
          </cell>
          <cell r="C605" t="str">
            <v>نظافت</v>
          </cell>
          <cell r="N605" t="str">
            <v>نظافت</v>
          </cell>
          <cell r="AC605" t="str">
            <v>1405/03/28</v>
          </cell>
        </row>
        <row r="606">
          <cell r="B606" t="str">
            <v>دستگاه پرس 600 تن</v>
          </cell>
          <cell r="C606" t="str">
            <v>قطعه تعمیری</v>
          </cell>
          <cell r="N606" t="str">
            <v>دریل رادیال</v>
          </cell>
          <cell r="AC606" t="str">
            <v>1405/03/29</v>
          </cell>
        </row>
        <row r="607">
          <cell r="B607" t="str">
            <v>قالب پخت کلاچ پژو 405</v>
          </cell>
          <cell r="C607" t="str">
            <v>قالب تعمیری</v>
          </cell>
          <cell r="N607" t="str">
            <v>دریل رادیال</v>
          </cell>
          <cell r="AC607" t="str">
            <v>1405/03/29</v>
          </cell>
        </row>
        <row r="608">
          <cell r="B608" t="str">
            <v>دستگاه پرس 600 تن</v>
          </cell>
          <cell r="C608" t="str">
            <v>قطعه تعمیری</v>
          </cell>
          <cell r="N608" t="str">
            <v>فرز</v>
          </cell>
          <cell r="AC608" t="str">
            <v>1405/03/29</v>
          </cell>
        </row>
        <row r="609">
          <cell r="B609" t="str">
            <v>پخت کلاچ پراید</v>
          </cell>
          <cell r="C609" t="str">
            <v>قالب تعمیری</v>
          </cell>
          <cell r="N609" t="str">
            <v>مونتاژ</v>
          </cell>
          <cell r="AC609" t="str">
            <v>1405/03/29</v>
          </cell>
        </row>
        <row r="610">
          <cell r="B610" t="str">
            <v>تیغ فرز</v>
          </cell>
          <cell r="C610" t="str">
            <v>قطعه تعمیری</v>
          </cell>
          <cell r="N610" t="str">
            <v>وایر</v>
          </cell>
          <cell r="AC610" t="str">
            <v>1405/03/28</v>
          </cell>
        </row>
        <row r="611">
          <cell r="B611" t="str">
            <v>دریل یزدخواستی کلاچ</v>
          </cell>
          <cell r="C611" t="str">
            <v>قطعه نو</v>
          </cell>
          <cell r="N611" t="str">
            <v>وایر</v>
          </cell>
          <cell r="AC611" t="str">
            <v>1405/03/28</v>
          </cell>
        </row>
        <row r="612">
          <cell r="B612" t="str">
            <v>پخت کلاچ پراید</v>
          </cell>
          <cell r="C612" t="str">
            <v>قالب تعمیری</v>
          </cell>
          <cell r="N612" t="str">
            <v>وایر</v>
          </cell>
          <cell r="AC612" t="str">
            <v>1405/03/28</v>
          </cell>
        </row>
        <row r="613">
          <cell r="B613" t="str">
            <v>قالب پخت کلاچ پژو 405</v>
          </cell>
          <cell r="C613" t="str">
            <v>قالب تعمیری</v>
          </cell>
          <cell r="N613" t="str">
            <v>وایر</v>
          </cell>
          <cell r="AC613" t="str">
            <v>1405/03/28</v>
          </cell>
        </row>
        <row r="614">
          <cell r="B614" t="str">
            <v>دریل یزدخواستی کلاچ</v>
          </cell>
          <cell r="C614" t="str">
            <v>قطعه نو</v>
          </cell>
          <cell r="N614" t="str">
            <v>وایر</v>
          </cell>
          <cell r="AC614" t="str">
            <v>1405/03/28</v>
          </cell>
        </row>
        <row r="615">
          <cell r="B615" t="str">
            <v>کوبه نک قطاری</v>
          </cell>
          <cell r="C615" t="str">
            <v>قالب تعمیری</v>
          </cell>
          <cell r="N615" t="str">
            <v>وایر</v>
          </cell>
          <cell r="AC615" t="str">
            <v>1405/03/28</v>
          </cell>
        </row>
        <row r="616">
          <cell r="B616" t="str">
            <v>نگهدارنده پلاک قالب</v>
          </cell>
          <cell r="C616" t="str">
            <v>قطعه نو</v>
          </cell>
          <cell r="N616" t="str">
            <v>وایر</v>
          </cell>
          <cell r="AC616" t="str">
            <v>1405/03/28</v>
          </cell>
        </row>
        <row r="617">
          <cell r="B617" t="str">
            <v>پخت کلاچ پراید</v>
          </cell>
          <cell r="C617" t="str">
            <v>قالب تعمیری</v>
          </cell>
          <cell r="N617" t="str">
            <v>CNC</v>
          </cell>
          <cell r="AC617" t="str">
            <v>1405/03/28</v>
          </cell>
        </row>
        <row r="618">
          <cell r="B618" t="str">
            <v>دستگاه پرس پخت</v>
          </cell>
          <cell r="C618" t="str">
            <v>قطعه تعمیری</v>
          </cell>
          <cell r="N618" t="str">
            <v>تراش</v>
          </cell>
          <cell r="AC618" t="str">
            <v>1405/03/28</v>
          </cell>
        </row>
        <row r="619">
          <cell r="B619" t="str">
            <v>دستگاه پشم فلز چینی</v>
          </cell>
          <cell r="C619" t="str">
            <v>قطعه نو</v>
          </cell>
          <cell r="N619" t="str">
            <v>تراش</v>
          </cell>
          <cell r="AC619" t="str">
            <v>1405/03/30</v>
          </cell>
        </row>
        <row r="620">
          <cell r="B620" t="str">
            <v>قالب پخت کلاچ پژو 405</v>
          </cell>
          <cell r="C620" t="str">
            <v>قالب تعمیری</v>
          </cell>
          <cell r="N620" t="str">
            <v>CNC</v>
          </cell>
          <cell r="AC620" t="str">
            <v>1405/03/30</v>
          </cell>
        </row>
        <row r="621">
          <cell r="B621" t="str">
            <v>پخت کلاچ پراید</v>
          </cell>
          <cell r="C621" t="str">
            <v>قالب تعمیری</v>
          </cell>
          <cell r="N621" t="str">
            <v>CNC</v>
          </cell>
          <cell r="AC621" t="str">
            <v>1405/03/30</v>
          </cell>
        </row>
        <row r="622">
          <cell r="B622" t="str">
            <v>قالب پخت کلاچ پژو 405</v>
          </cell>
          <cell r="C622" t="str">
            <v>قالب تعمیری</v>
          </cell>
          <cell r="N622" t="str">
            <v>CNC</v>
          </cell>
          <cell r="AC622" t="str">
            <v>1405/03/30</v>
          </cell>
        </row>
        <row r="623">
          <cell r="B623" t="str">
            <v>دریل یزدخواستی کلاچ</v>
          </cell>
          <cell r="C623" t="str">
            <v>قطعه نو</v>
          </cell>
          <cell r="N623" t="str">
            <v>CNC</v>
          </cell>
          <cell r="AC623" t="str">
            <v>1405/03/30</v>
          </cell>
        </row>
        <row r="624">
          <cell r="B624" t="str">
            <v>دستگاه پشم فلز چینی</v>
          </cell>
          <cell r="C624" t="str">
            <v>قطعه نو</v>
          </cell>
          <cell r="N624" t="str">
            <v>فرز</v>
          </cell>
          <cell r="AC624" t="str">
            <v>1405/03/30</v>
          </cell>
        </row>
        <row r="625">
          <cell r="B625" t="str">
            <v>دستگاه پشم فلز چینی</v>
          </cell>
          <cell r="C625" t="str">
            <v>قطعه نو</v>
          </cell>
          <cell r="N625" t="str">
            <v>مونتاژ</v>
          </cell>
          <cell r="AC625" t="str">
            <v>1405/03/30</v>
          </cell>
        </row>
        <row r="626">
          <cell r="B626" t="str">
            <v>صفحات 50*50 پخت کلاچ</v>
          </cell>
          <cell r="C626" t="str">
            <v>قالب تعمیری</v>
          </cell>
          <cell r="N626" t="str">
            <v>سنگ زنی</v>
          </cell>
          <cell r="AC626" t="str">
            <v>1405/03/30</v>
          </cell>
        </row>
        <row r="627">
          <cell r="B627" t="str">
            <v>پین عقب پژو 405</v>
          </cell>
          <cell r="C627" t="str">
            <v>قطعه نو</v>
          </cell>
          <cell r="N627" t="str">
            <v>سری تراش</v>
          </cell>
          <cell r="AC627" t="str">
            <v>1405/03/30</v>
          </cell>
        </row>
        <row r="628">
          <cell r="B628" t="str">
            <v>دستگاه پشم فلز چینی</v>
          </cell>
          <cell r="C628" t="str">
            <v>قطعه نو</v>
          </cell>
          <cell r="N628" t="str">
            <v>مونتاژ</v>
          </cell>
          <cell r="AC628" t="str">
            <v>1405/03/30</v>
          </cell>
        </row>
        <row r="629">
          <cell r="B629" t="str">
            <v>دریل یزدخواستی کلاچ</v>
          </cell>
          <cell r="C629" t="str">
            <v>قطعه نو</v>
          </cell>
          <cell r="N629" t="str">
            <v>تراش</v>
          </cell>
          <cell r="AC629" t="str">
            <v>1405/03/30</v>
          </cell>
        </row>
        <row r="630">
          <cell r="B630" t="str">
            <v>آغشته کاری</v>
          </cell>
          <cell r="C630" t="str">
            <v>قطعه تعمیری</v>
          </cell>
          <cell r="N630" t="str">
            <v>تراش</v>
          </cell>
          <cell r="AC630" t="str">
            <v>1405/03/30</v>
          </cell>
        </row>
        <row r="631">
          <cell r="B631" t="str">
            <v>صفحه 45*45</v>
          </cell>
          <cell r="C631" t="str">
            <v>قالب نو</v>
          </cell>
          <cell r="N631" t="str">
            <v>فرز</v>
          </cell>
          <cell r="AC631" t="str">
            <v>1405/03/30</v>
          </cell>
        </row>
        <row r="632">
          <cell r="B632" t="str">
            <v>دستگاه پشم فلز چینی</v>
          </cell>
          <cell r="C632" t="str">
            <v>قطعه نو</v>
          </cell>
          <cell r="N632" t="str">
            <v>تراش</v>
          </cell>
          <cell r="AC632" t="str">
            <v>1405/03/30</v>
          </cell>
        </row>
        <row r="633">
          <cell r="B633" t="str">
            <v>دستگاه سنگ مغناطیسی</v>
          </cell>
          <cell r="C633" t="str">
            <v>دستگاه تعمیری</v>
          </cell>
          <cell r="N633" t="str">
            <v>تراش</v>
          </cell>
          <cell r="AC633" t="str">
            <v>1405/03/30</v>
          </cell>
        </row>
        <row r="634">
          <cell r="B634" t="str">
            <v>سری نقطه جوش</v>
          </cell>
          <cell r="C634" t="str">
            <v>قطعه تعمیری</v>
          </cell>
          <cell r="N634" t="str">
            <v>تراش</v>
          </cell>
          <cell r="AC634" t="str">
            <v>1405/03/30</v>
          </cell>
        </row>
        <row r="635">
          <cell r="B635" t="str">
            <v>قالب پخت کلاچ پیکان</v>
          </cell>
          <cell r="C635" t="str">
            <v>قالب تعمیری</v>
          </cell>
          <cell r="N635" t="str">
            <v>وایر</v>
          </cell>
          <cell r="AC635" t="str">
            <v>1405/03/30</v>
          </cell>
        </row>
        <row r="636">
          <cell r="B636" t="str">
            <v>نگهدارنده پلاک قالب</v>
          </cell>
          <cell r="C636" t="str">
            <v>قطعه نو</v>
          </cell>
          <cell r="N636" t="str">
            <v>وایر</v>
          </cell>
          <cell r="AC636" t="str">
            <v>1405/03/30</v>
          </cell>
        </row>
        <row r="637">
          <cell r="B637" t="str">
            <v>کوبه نک قطاری</v>
          </cell>
          <cell r="C637" t="str">
            <v>قالب تعمیری</v>
          </cell>
          <cell r="N637" t="str">
            <v>وایر</v>
          </cell>
          <cell r="AC637" t="str">
            <v>1405/03/30</v>
          </cell>
        </row>
        <row r="638">
          <cell r="B638" t="str">
            <v>Hammer Mill Machine</v>
          </cell>
          <cell r="C638" t="str">
            <v>دستگاه نو</v>
          </cell>
          <cell r="N638" t="str">
            <v>سوپردریل</v>
          </cell>
          <cell r="AC638" t="str">
            <v>1405/03/30</v>
          </cell>
        </row>
        <row r="639">
          <cell r="B639" t="str">
            <v>پخت کلاچ ایویکو سوراخدار</v>
          </cell>
          <cell r="C639" t="str">
            <v>قالب تعمیری</v>
          </cell>
          <cell r="N639" t="str">
            <v>مونتاژ</v>
          </cell>
          <cell r="AC639" t="str">
            <v>1405/03/30</v>
          </cell>
        </row>
        <row r="640">
          <cell r="B640" t="str">
            <v>دستگاه پشم فلز چینی</v>
          </cell>
          <cell r="C640" t="str">
            <v>قطعه تعمیری</v>
          </cell>
          <cell r="N640" t="str">
            <v>مونتاژ</v>
          </cell>
          <cell r="AC640" t="str">
            <v>1405/03/30</v>
          </cell>
        </row>
        <row r="641">
          <cell r="B641" t="str">
            <v>دستگاه پشم فلز چینی</v>
          </cell>
          <cell r="C641" t="str">
            <v>قطعه تعمیری</v>
          </cell>
          <cell r="N641" t="str">
            <v>اره لنگ</v>
          </cell>
          <cell r="AC641" t="str">
            <v>1405/03/30</v>
          </cell>
        </row>
        <row r="642">
          <cell r="B642" t="str">
            <v>دستگاه مهر زنی</v>
          </cell>
          <cell r="C642" t="str">
            <v>قطعه تعمیری</v>
          </cell>
          <cell r="N642" t="str">
            <v>دریل رادیال</v>
          </cell>
          <cell r="AC642" t="str">
            <v>1405/03/30</v>
          </cell>
        </row>
        <row r="643">
          <cell r="B643" t="str">
            <v>Hammer Mill Machine</v>
          </cell>
          <cell r="C643" t="str">
            <v>دستگاه نو</v>
          </cell>
          <cell r="N643" t="str">
            <v>دریل رادیال</v>
          </cell>
          <cell r="AC643" t="str">
            <v>1405/03/30</v>
          </cell>
        </row>
        <row r="644">
          <cell r="B644" t="str">
            <v>دستگاه پرس 600 تن</v>
          </cell>
          <cell r="C644" t="str">
            <v>قطعه تعمیری</v>
          </cell>
          <cell r="N644" t="str">
            <v>فرز</v>
          </cell>
          <cell r="AC644" t="str">
            <v>1405/03/30</v>
          </cell>
        </row>
        <row r="645">
          <cell r="B645" t="str">
            <v>پخت کلاچ پراید</v>
          </cell>
          <cell r="C645" t="str">
            <v>قالب تعمیری</v>
          </cell>
          <cell r="N645" t="str">
            <v>مونتاژ</v>
          </cell>
          <cell r="AC645" t="str">
            <v>1405/03/30</v>
          </cell>
        </row>
        <row r="646">
          <cell r="B646" t="str">
            <v>Hammer Mill Machine</v>
          </cell>
          <cell r="C646" t="str">
            <v>دستگاه نو</v>
          </cell>
          <cell r="N646" t="str">
            <v>دریل رادیال</v>
          </cell>
          <cell r="AC646" t="str">
            <v>1405/03/30</v>
          </cell>
        </row>
        <row r="647">
          <cell r="B647" t="str">
            <v>دستگاه سنگ مغناطیسی</v>
          </cell>
          <cell r="C647" t="str">
            <v>دستگاه تعمیری</v>
          </cell>
          <cell r="N647" t="str">
            <v>مونتاژ</v>
          </cell>
          <cell r="AC647" t="str">
            <v>1405/03/30</v>
          </cell>
        </row>
        <row r="648">
          <cell r="B648" t="str">
            <v>پخت کلاچ ایویکو سوراخدار</v>
          </cell>
          <cell r="C648" t="str">
            <v>قالب تعمیری</v>
          </cell>
          <cell r="N648" t="str">
            <v>مونتاژ</v>
          </cell>
          <cell r="AC648" t="str">
            <v>1405/03/30</v>
          </cell>
        </row>
        <row r="649">
          <cell r="B649" t="str">
            <v>دستگاه پرس</v>
          </cell>
          <cell r="C649" t="str">
            <v>قطعه تعمیری</v>
          </cell>
          <cell r="N649" t="str">
            <v>دریل رادیال</v>
          </cell>
          <cell r="AC649" t="str">
            <v>1405/03/30</v>
          </cell>
        </row>
        <row r="650">
          <cell r="B650" t="str">
            <v>پخت کلاچ ایویکو سوراخدار</v>
          </cell>
          <cell r="C650" t="str">
            <v>قالب تعمیری</v>
          </cell>
          <cell r="N650" t="str">
            <v>مونتاژ</v>
          </cell>
          <cell r="AC650" t="str">
            <v>1405/03/30</v>
          </cell>
        </row>
        <row r="651">
          <cell r="B651" t="str">
            <v>قالب پخت کلاچ پیکان</v>
          </cell>
          <cell r="C651" t="str">
            <v>قالب تعمیری</v>
          </cell>
          <cell r="N651" t="str">
            <v>مونتاژ</v>
          </cell>
          <cell r="AC651" t="str">
            <v>1405/03/31</v>
          </cell>
        </row>
        <row r="652">
          <cell r="B652" t="str">
            <v>قالب پخت کلاچ پژو 405</v>
          </cell>
          <cell r="C652" t="str">
            <v>قالب تعمیری</v>
          </cell>
          <cell r="N652" t="str">
            <v>مونتاژ</v>
          </cell>
          <cell r="AC652" t="str">
            <v>1405/03/31</v>
          </cell>
        </row>
        <row r="653">
          <cell r="B653" t="str">
            <v>دستگاه پرس 600 تن</v>
          </cell>
          <cell r="C653" t="str">
            <v>قطعه تعمیری</v>
          </cell>
          <cell r="N653" t="str">
            <v>دریل رادیال</v>
          </cell>
          <cell r="AC653" t="str">
            <v>1405/03/31</v>
          </cell>
        </row>
        <row r="654">
          <cell r="B654" t="str">
            <v>برش جمعی عقب ریو</v>
          </cell>
          <cell r="C654" t="str">
            <v>قطعه نو</v>
          </cell>
          <cell r="N654" t="str">
            <v>فرز</v>
          </cell>
          <cell r="AC654" t="str">
            <v>1405/03/31</v>
          </cell>
        </row>
        <row r="655">
          <cell r="B655" t="str">
            <v>صفحات 50*50 پخت کلاچ</v>
          </cell>
          <cell r="C655" t="str">
            <v>قالب تعمیری</v>
          </cell>
          <cell r="N655" t="str">
            <v>سنگ زنی</v>
          </cell>
          <cell r="AC655" t="str">
            <v>1405/03/31</v>
          </cell>
        </row>
        <row r="656">
          <cell r="B656" t="str">
            <v>قالب پخت کلاچ پیکان آرژانتینی</v>
          </cell>
          <cell r="C656" t="str">
            <v>قالب تعمیری</v>
          </cell>
          <cell r="N656" t="str">
            <v>سنگ زنی</v>
          </cell>
          <cell r="AC656" t="str">
            <v>1405/03/31</v>
          </cell>
        </row>
        <row r="657">
          <cell r="B657" t="str">
            <v>صفحه 45*45</v>
          </cell>
          <cell r="C657" t="str">
            <v>قالب نو</v>
          </cell>
          <cell r="N657" t="str">
            <v>فرز</v>
          </cell>
          <cell r="AC657" t="str">
            <v>1405/03/31</v>
          </cell>
        </row>
        <row r="658">
          <cell r="B658" t="str">
            <v>صفحه 25*30*50</v>
          </cell>
          <cell r="C658" t="str">
            <v>قالب نو</v>
          </cell>
          <cell r="N658" t="str">
            <v>فرز</v>
          </cell>
          <cell r="AC658" t="str">
            <v>1405/03/31</v>
          </cell>
        </row>
        <row r="659">
          <cell r="B659" t="str">
            <v>دستگاه پشم فلز چینی</v>
          </cell>
          <cell r="C659" t="str">
            <v>قطعه نو</v>
          </cell>
          <cell r="N659" t="str">
            <v>مونتاژ</v>
          </cell>
          <cell r="AC659" t="str">
            <v>1405/03/31</v>
          </cell>
        </row>
        <row r="660">
          <cell r="B660" t="str">
            <v>پخت کلاچ پراید</v>
          </cell>
          <cell r="C660" t="str">
            <v>قالب تعمیری</v>
          </cell>
          <cell r="N660" t="str">
            <v>CNC</v>
          </cell>
          <cell r="AC660" t="str">
            <v>1405/03/31</v>
          </cell>
        </row>
        <row r="661">
          <cell r="B661" t="str">
            <v>دریل یزدخواستی کلاچ</v>
          </cell>
          <cell r="C661" t="str">
            <v>قطعه نو</v>
          </cell>
          <cell r="N661" t="str">
            <v>CNC</v>
          </cell>
          <cell r="AC661" t="str">
            <v>1405/03/31</v>
          </cell>
        </row>
        <row r="662">
          <cell r="B662" t="str">
            <v>دریل یزدخواستی کلاچ</v>
          </cell>
          <cell r="C662" t="str">
            <v>قطعه نو</v>
          </cell>
          <cell r="N662" t="str">
            <v>CNC</v>
          </cell>
          <cell r="AC662" t="str">
            <v>1405/03/31</v>
          </cell>
        </row>
        <row r="663">
          <cell r="B663" t="str">
            <v>دریل یزدخواستی کلاچ</v>
          </cell>
          <cell r="C663" t="str">
            <v>قطعه نو</v>
          </cell>
          <cell r="N663" t="str">
            <v>تراش</v>
          </cell>
          <cell r="AC663" t="str">
            <v>1405/03/31</v>
          </cell>
        </row>
        <row r="664">
          <cell r="B664" t="str">
            <v>دستگاه ساب الماسه</v>
          </cell>
          <cell r="C664" t="str">
            <v>قطعه تعمیری</v>
          </cell>
          <cell r="N664" t="str">
            <v>تراش</v>
          </cell>
          <cell r="AC664" t="str">
            <v>1405/03/31</v>
          </cell>
        </row>
        <row r="665">
          <cell r="B665" t="str">
            <v>دستگاه ساب الماسه</v>
          </cell>
          <cell r="C665" t="str">
            <v>قطعه تعمیری</v>
          </cell>
          <cell r="N665" t="str">
            <v>تراش</v>
          </cell>
          <cell r="AC665" t="str">
            <v>1405/03/31</v>
          </cell>
        </row>
        <row r="666">
          <cell r="B666" t="str">
            <v>نگهدارنده پلاک قالب</v>
          </cell>
          <cell r="C666" t="str">
            <v>قطعه نو</v>
          </cell>
          <cell r="N666" t="str">
            <v>وایر</v>
          </cell>
          <cell r="AC666" t="str">
            <v>1405/03/31</v>
          </cell>
        </row>
        <row r="667">
          <cell r="B667" t="str">
            <v>دستگاه پشم فلز چینی</v>
          </cell>
          <cell r="C667" t="str">
            <v>قطعه نو</v>
          </cell>
          <cell r="N667" t="str">
            <v>وایر</v>
          </cell>
          <cell r="AC667" t="str">
            <v>1405/03/31</v>
          </cell>
        </row>
        <row r="668">
          <cell r="B668" t="str">
            <v>Hammer Mill Machine</v>
          </cell>
          <cell r="C668" t="str">
            <v>دستگاه نو</v>
          </cell>
          <cell r="N668" t="str">
            <v>سوپردریل</v>
          </cell>
          <cell r="AC668" t="str">
            <v>1405/03/31</v>
          </cell>
        </row>
        <row r="669">
          <cell r="B669" t="str">
            <v>دستگاه پشم فلز چینی</v>
          </cell>
          <cell r="C669" t="str">
            <v>قطعه نو</v>
          </cell>
          <cell r="N669" t="str">
            <v>وایر</v>
          </cell>
          <cell r="AC669" t="str">
            <v>1405/03/31</v>
          </cell>
        </row>
        <row r="670">
          <cell r="B670" t="str">
            <v>دستگاه پشم فلز چینی</v>
          </cell>
          <cell r="C670" t="str">
            <v>قطعه تعمیری</v>
          </cell>
          <cell r="N670" t="str">
            <v>اره لنگ</v>
          </cell>
          <cell r="AC670" t="str">
            <v>1405/03/31</v>
          </cell>
        </row>
        <row r="671">
          <cell r="B671" t="str">
            <v>قالب پخت کلاچ پیکان</v>
          </cell>
          <cell r="C671" t="str">
            <v>قالب تعمیری</v>
          </cell>
          <cell r="N671" t="str">
            <v>مونتاژ</v>
          </cell>
          <cell r="AC671" t="str">
            <v>1405/03/31</v>
          </cell>
        </row>
        <row r="672">
          <cell r="B672" t="str">
            <v>قالب پخت کلاچ پژو 405</v>
          </cell>
          <cell r="C672" t="str">
            <v>قالب تعمیری</v>
          </cell>
          <cell r="N672" t="str">
            <v>مونتاژ</v>
          </cell>
          <cell r="AC672" t="str">
            <v>1405/03/31</v>
          </cell>
        </row>
        <row r="673">
          <cell r="B673" t="str">
            <v>دستگاه پرس 600 تن</v>
          </cell>
          <cell r="C673" t="str">
            <v>قطعه تعمیری</v>
          </cell>
          <cell r="N673" t="str">
            <v>مونتاژ</v>
          </cell>
          <cell r="AC673" t="str">
            <v>1405/03/31</v>
          </cell>
        </row>
        <row r="674">
          <cell r="B674" t="str">
            <v>قالب پخت کلاچ پیکان</v>
          </cell>
          <cell r="C674" t="str">
            <v>قالب تعمیری</v>
          </cell>
          <cell r="N674" t="str">
            <v>تراش</v>
          </cell>
          <cell r="AC674" t="str">
            <v>1405/03/31</v>
          </cell>
        </row>
        <row r="675">
          <cell r="B675" t="str">
            <v>پخت کلاچ ایویکو سوراخدار</v>
          </cell>
          <cell r="C675" t="str">
            <v>قالب تعمیری</v>
          </cell>
          <cell r="N675" t="str">
            <v>تراش</v>
          </cell>
          <cell r="AC675" t="str">
            <v>1405/03/31</v>
          </cell>
        </row>
        <row r="676">
          <cell r="B676" t="str">
            <v>دستگاه پشم فلز چینی</v>
          </cell>
          <cell r="C676" t="str">
            <v>قطعه تعمیری</v>
          </cell>
          <cell r="N676" t="str">
            <v>تراش</v>
          </cell>
          <cell r="AC676" t="str">
            <v>1405/03/31</v>
          </cell>
        </row>
        <row r="677">
          <cell r="B677" t="str">
            <v>قالب پخت کلاچ پژو 405</v>
          </cell>
          <cell r="C677" t="str">
            <v>قالب تعمیری</v>
          </cell>
          <cell r="N677" t="str">
            <v>CNC</v>
          </cell>
          <cell r="AC677" t="str">
            <v>1405/03/31</v>
          </cell>
        </row>
        <row r="678">
          <cell r="B678" t="str">
            <v>قالب پخت کلاچ پژو 405</v>
          </cell>
          <cell r="C678" t="str">
            <v>قالب تعمیری</v>
          </cell>
          <cell r="N678" t="str">
            <v>CNC</v>
          </cell>
          <cell r="AC678" t="str">
            <v>1405/03/31</v>
          </cell>
        </row>
        <row r="679">
          <cell r="B679"/>
          <cell r="C679"/>
          <cell r="N679"/>
          <cell r="AC679"/>
        </row>
        <row r="680">
          <cell r="B680"/>
          <cell r="C680"/>
          <cell r="N680"/>
          <cell r="AC680"/>
        </row>
        <row r="681">
          <cell r="B681"/>
          <cell r="C681"/>
          <cell r="N681"/>
          <cell r="AC681"/>
        </row>
        <row r="682">
          <cell r="B682"/>
          <cell r="C682"/>
          <cell r="N682"/>
          <cell r="AC682"/>
        </row>
        <row r="683">
          <cell r="B683"/>
          <cell r="C683"/>
          <cell r="N683"/>
          <cell r="AC683"/>
        </row>
        <row r="684">
          <cell r="B684"/>
          <cell r="C684"/>
          <cell r="N684"/>
          <cell r="AC684"/>
        </row>
        <row r="685">
          <cell r="B685"/>
          <cell r="C685"/>
          <cell r="N685"/>
          <cell r="AC685"/>
        </row>
        <row r="686">
          <cell r="B686"/>
          <cell r="C686"/>
          <cell r="N686"/>
          <cell r="AC686"/>
        </row>
        <row r="687">
          <cell r="B687"/>
          <cell r="C687"/>
          <cell r="N687"/>
          <cell r="AC687"/>
        </row>
        <row r="688">
          <cell r="B688"/>
          <cell r="C688"/>
          <cell r="N688"/>
          <cell r="AC688"/>
        </row>
        <row r="689">
          <cell r="B689"/>
          <cell r="C689"/>
          <cell r="N689"/>
          <cell r="AC689"/>
        </row>
        <row r="690">
          <cell r="B690"/>
          <cell r="C690"/>
          <cell r="N690"/>
          <cell r="AC690"/>
        </row>
        <row r="691">
          <cell r="B691"/>
          <cell r="C691"/>
          <cell r="N691"/>
          <cell r="AC691"/>
        </row>
        <row r="692">
          <cell r="B692"/>
          <cell r="C692"/>
          <cell r="N692"/>
          <cell r="AC692"/>
        </row>
        <row r="693">
          <cell r="B693"/>
          <cell r="C693"/>
          <cell r="N693"/>
          <cell r="AC693"/>
        </row>
        <row r="694">
          <cell r="B694"/>
          <cell r="C694"/>
          <cell r="N694"/>
          <cell r="AC694"/>
        </row>
        <row r="695">
          <cell r="B695"/>
          <cell r="C695"/>
          <cell r="N695"/>
          <cell r="AC695"/>
        </row>
        <row r="696">
          <cell r="B696"/>
          <cell r="C696"/>
          <cell r="N696"/>
          <cell r="AC696"/>
        </row>
        <row r="697">
          <cell r="B697"/>
          <cell r="C697"/>
          <cell r="N697"/>
          <cell r="AC697"/>
        </row>
        <row r="698">
          <cell r="B698"/>
          <cell r="C698"/>
          <cell r="N698"/>
          <cell r="AC698"/>
        </row>
        <row r="699">
          <cell r="B699"/>
          <cell r="C699"/>
          <cell r="N699"/>
          <cell r="AC699"/>
        </row>
        <row r="700">
          <cell r="B700"/>
          <cell r="C700"/>
          <cell r="N700"/>
          <cell r="AC700"/>
        </row>
        <row r="701">
          <cell r="B701"/>
          <cell r="C701"/>
          <cell r="N701"/>
          <cell r="AC701"/>
        </row>
        <row r="702">
          <cell r="B702"/>
          <cell r="C702"/>
          <cell r="N702"/>
          <cell r="AC702"/>
        </row>
        <row r="703">
          <cell r="B703"/>
          <cell r="C703"/>
          <cell r="N703"/>
          <cell r="AC703"/>
        </row>
        <row r="704">
          <cell r="B704"/>
          <cell r="C704"/>
          <cell r="N704"/>
          <cell r="AC704"/>
        </row>
        <row r="705">
          <cell r="B705"/>
          <cell r="C705"/>
          <cell r="N705"/>
          <cell r="AC705"/>
        </row>
        <row r="706">
          <cell r="B706"/>
          <cell r="C706"/>
          <cell r="N706"/>
          <cell r="AC706"/>
        </row>
        <row r="707">
          <cell r="B707"/>
          <cell r="C707"/>
          <cell r="N707"/>
          <cell r="AC707"/>
        </row>
        <row r="708">
          <cell r="B708"/>
          <cell r="C708"/>
          <cell r="N708"/>
          <cell r="AC708"/>
        </row>
        <row r="709">
          <cell r="B709"/>
          <cell r="C709"/>
          <cell r="N709"/>
          <cell r="AC709"/>
        </row>
        <row r="710">
          <cell r="B710"/>
          <cell r="C710"/>
          <cell r="N710"/>
          <cell r="AC710"/>
        </row>
        <row r="711">
          <cell r="B711"/>
          <cell r="C711"/>
          <cell r="N711"/>
          <cell r="AC711"/>
        </row>
        <row r="712">
          <cell r="B712"/>
          <cell r="C712"/>
          <cell r="N712"/>
          <cell r="AC712"/>
        </row>
        <row r="713">
          <cell r="B713"/>
          <cell r="C713"/>
          <cell r="N713"/>
          <cell r="AC713"/>
        </row>
        <row r="714">
          <cell r="B714"/>
          <cell r="C714"/>
          <cell r="N714"/>
          <cell r="AC714"/>
        </row>
        <row r="715">
          <cell r="B715"/>
          <cell r="C715"/>
          <cell r="N715"/>
          <cell r="AC715"/>
        </row>
        <row r="716">
          <cell r="B716"/>
          <cell r="C716"/>
          <cell r="N716"/>
          <cell r="AC716"/>
        </row>
        <row r="717">
          <cell r="B717"/>
          <cell r="C717"/>
          <cell r="N717"/>
          <cell r="AC717"/>
        </row>
        <row r="718">
          <cell r="B718"/>
          <cell r="C718"/>
          <cell r="N718"/>
          <cell r="AC718"/>
        </row>
        <row r="719">
          <cell r="B719"/>
          <cell r="C719"/>
          <cell r="N719"/>
          <cell r="AC719"/>
        </row>
        <row r="720">
          <cell r="B720"/>
          <cell r="C720"/>
          <cell r="N720"/>
          <cell r="AC720"/>
        </row>
        <row r="721">
          <cell r="B721"/>
          <cell r="C721"/>
          <cell r="N721"/>
          <cell r="AC721"/>
        </row>
        <row r="722">
          <cell r="B722"/>
          <cell r="C722"/>
          <cell r="N722"/>
          <cell r="AC722"/>
        </row>
        <row r="723">
          <cell r="B723"/>
          <cell r="C723"/>
          <cell r="N723"/>
          <cell r="AC723"/>
        </row>
        <row r="724">
          <cell r="B724"/>
          <cell r="C724"/>
          <cell r="N724"/>
          <cell r="AC724"/>
        </row>
        <row r="725">
          <cell r="B725"/>
          <cell r="C725"/>
          <cell r="N725"/>
          <cell r="AC725"/>
        </row>
        <row r="726">
          <cell r="B726"/>
          <cell r="C726"/>
          <cell r="N726"/>
          <cell r="AC726"/>
        </row>
        <row r="727">
          <cell r="B727"/>
          <cell r="C727"/>
          <cell r="N727"/>
          <cell r="AC727"/>
        </row>
        <row r="728">
          <cell r="B728"/>
          <cell r="C728"/>
          <cell r="N728"/>
          <cell r="AC728"/>
        </row>
        <row r="729">
          <cell r="B729"/>
          <cell r="C729"/>
          <cell r="N729"/>
          <cell r="AC729"/>
        </row>
        <row r="730">
          <cell r="B730"/>
          <cell r="C730"/>
          <cell r="N730"/>
          <cell r="AC730"/>
        </row>
        <row r="731">
          <cell r="B731"/>
          <cell r="C731"/>
          <cell r="N731"/>
          <cell r="AC731"/>
        </row>
        <row r="732">
          <cell r="B732"/>
          <cell r="C732"/>
          <cell r="N732"/>
          <cell r="AC732"/>
        </row>
        <row r="733">
          <cell r="B733"/>
          <cell r="C733"/>
          <cell r="N733"/>
          <cell r="AC733"/>
        </row>
        <row r="734">
          <cell r="B734"/>
          <cell r="C734"/>
          <cell r="N734"/>
          <cell r="AC734"/>
        </row>
        <row r="735">
          <cell r="B735"/>
          <cell r="C735"/>
          <cell r="N735"/>
          <cell r="AC735"/>
        </row>
        <row r="736">
          <cell r="B736"/>
          <cell r="C736"/>
          <cell r="N736"/>
          <cell r="AC736"/>
        </row>
        <row r="737">
          <cell r="B737"/>
          <cell r="C737"/>
          <cell r="N737"/>
          <cell r="AC737"/>
        </row>
        <row r="738">
          <cell r="B738"/>
          <cell r="C738"/>
          <cell r="N738"/>
          <cell r="AC738"/>
        </row>
        <row r="739">
          <cell r="B739"/>
          <cell r="C739"/>
          <cell r="N739"/>
          <cell r="AC739"/>
        </row>
        <row r="740">
          <cell r="B740"/>
          <cell r="C740"/>
          <cell r="N740"/>
          <cell r="AC740"/>
        </row>
        <row r="741">
          <cell r="B741"/>
          <cell r="C741"/>
          <cell r="N741"/>
          <cell r="AC741"/>
        </row>
        <row r="742">
          <cell r="B742"/>
          <cell r="C742"/>
          <cell r="N742"/>
          <cell r="AC742"/>
        </row>
        <row r="743">
          <cell r="B743"/>
          <cell r="C743"/>
          <cell r="N743"/>
          <cell r="AC743"/>
        </row>
        <row r="744">
          <cell r="B744"/>
          <cell r="C744"/>
          <cell r="N744"/>
          <cell r="AC744"/>
        </row>
        <row r="745">
          <cell r="B745"/>
          <cell r="C745"/>
          <cell r="N745"/>
          <cell r="AC745"/>
        </row>
        <row r="746">
          <cell r="B746"/>
          <cell r="C746"/>
          <cell r="N746"/>
          <cell r="AC746"/>
        </row>
        <row r="747">
          <cell r="B747"/>
          <cell r="C747"/>
          <cell r="N747"/>
          <cell r="AC747"/>
        </row>
        <row r="748">
          <cell r="B748"/>
          <cell r="C748"/>
          <cell r="N748"/>
          <cell r="AC748"/>
        </row>
        <row r="749">
          <cell r="B749"/>
          <cell r="C749"/>
          <cell r="N749"/>
          <cell r="AC749"/>
        </row>
        <row r="750">
          <cell r="B750"/>
          <cell r="C750"/>
          <cell r="N750"/>
          <cell r="AC750"/>
        </row>
        <row r="751">
          <cell r="B751"/>
          <cell r="C751"/>
          <cell r="N751"/>
          <cell r="AC751"/>
        </row>
        <row r="752">
          <cell r="B752"/>
          <cell r="C752"/>
          <cell r="N752"/>
          <cell r="AC752"/>
        </row>
        <row r="753">
          <cell r="B753"/>
          <cell r="C753"/>
          <cell r="N753"/>
          <cell r="AC753"/>
        </row>
        <row r="754">
          <cell r="B754"/>
          <cell r="C754"/>
          <cell r="N754"/>
          <cell r="AC754"/>
        </row>
        <row r="755">
          <cell r="B755"/>
          <cell r="C755"/>
          <cell r="N755"/>
          <cell r="AC755"/>
        </row>
        <row r="756">
          <cell r="B756"/>
          <cell r="C756"/>
          <cell r="N756"/>
          <cell r="AC756"/>
        </row>
        <row r="757">
          <cell r="B757"/>
          <cell r="C757"/>
          <cell r="N757"/>
          <cell r="AC757"/>
        </row>
        <row r="758">
          <cell r="B758"/>
          <cell r="C758"/>
          <cell r="N758"/>
          <cell r="AC758"/>
        </row>
        <row r="759">
          <cell r="B759"/>
          <cell r="C759"/>
          <cell r="N759"/>
          <cell r="AC759"/>
        </row>
        <row r="760">
          <cell r="B760"/>
          <cell r="C760"/>
          <cell r="N760"/>
          <cell r="AC760"/>
        </row>
        <row r="761">
          <cell r="B761"/>
          <cell r="C761"/>
          <cell r="N761"/>
          <cell r="AC761"/>
        </row>
        <row r="762">
          <cell r="B762"/>
          <cell r="C762"/>
          <cell r="N762"/>
          <cell r="AC762"/>
        </row>
        <row r="763">
          <cell r="B763"/>
          <cell r="C763"/>
          <cell r="N763"/>
          <cell r="AC763"/>
        </row>
        <row r="764">
          <cell r="B764"/>
          <cell r="C764"/>
          <cell r="N764"/>
          <cell r="AC764"/>
        </row>
        <row r="765">
          <cell r="B765"/>
          <cell r="C765"/>
          <cell r="N765"/>
          <cell r="AC765"/>
        </row>
        <row r="766">
          <cell r="B766"/>
          <cell r="C766"/>
          <cell r="N766"/>
          <cell r="AC766"/>
        </row>
        <row r="767">
          <cell r="B767"/>
          <cell r="C767"/>
          <cell r="N767"/>
          <cell r="AC767"/>
        </row>
        <row r="768">
          <cell r="B768"/>
          <cell r="C768"/>
          <cell r="N768"/>
          <cell r="AC768"/>
        </row>
        <row r="769">
          <cell r="B769"/>
          <cell r="C769"/>
          <cell r="N769"/>
          <cell r="AC769"/>
        </row>
        <row r="770">
          <cell r="B770"/>
          <cell r="C770"/>
          <cell r="N770"/>
          <cell r="AC770"/>
        </row>
        <row r="771">
          <cell r="B771"/>
          <cell r="C771"/>
          <cell r="N771"/>
          <cell r="AC771"/>
        </row>
        <row r="772">
          <cell r="B772"/>
          <cell r="C772"/>
          <cell r="N772"/>
          <cell r="AC772"/>
        </row>
        <row r="773">
          <cell r="B773"/>
          <cell r="C773"/>
          <cell r="N773"/>
          <cell r="AC773"/>
        </row>
        <row r="774">
          <cell r="B774"/>
          <cell r="C774"/>
          <cell r="N774"/>
          <cell r="AC774"/>
        </row>
        <row r="775">
          <cell r="B775"/>
          <cell r="C775"/>
          <cell r="N775"/>
          <cell r="AC775"/>
        </row>
        <row r="776">
          <cell r="B776"/>
          <cell r="C776"/>
          <cell r="N776"/>
          <cell r="AC776"/>
        </row>
        <row r="777">
          <cell r="B777"/>
          <cell r="C777"/>
          <cell r="N777"/>
          <cell r="AC777"/>
        </row>
        <row r="778">
          <cell r="B778"/>
          <cell r="C778"/>
          <cell r="N778"/>
          <cell r="AC778"/>
        </row>
        <row r="779">
          <cell r="B779"/>
          <cell r="C779"/>
          <cell r="N779"/>
          <cell r="AC779"/>
        </row>
        <row r="780">
          <cell r="B780"/>
          <cell r="C780"/>
          <cell r="N780"/>
          <cell r="AC780"/>
        </row>
        <row r="781">
          <cell r="B781"/>
          <cell r="C781"/>
          <cell r="N781"/>
          <cell r="AC781"/>
        </row>
        <row r="782">
          <cell r="B782"/>
          <cell r="C782"/>
          <cell r="N782"/>
          <cell r="AC782"/>
        </row>
        <row r="783">
          <cell r="B783"/>
          <cell r="C783"/>
          <cell r="N783"/>
          <cell r="AC783"/>
        </row>
        <row r="784">
          <cell r="B784"/>
          <cell r="C784"/>
          <cell r="N784"/>
          <cell r="AC784"/>
        </row>
        <row r="785">
          <cell r="B785"/>
          <cell r="C785"/>
          <cell r="N785"/>
          <cell r="AC785"/>
        </row>
        <row r="786">
          <cell r="B786"/>
          <cell r="C786"/>
          <cell r="N786"/>
          <cell r="AC786"/>
        </row>
        <row r="787">
          <cell r="B787"/>
          <cell r="C787"/>
          <cell r="N787"/>
          <cell r="AC787"/>
        </row>
        <row r="788">
          <cell r="B788"/>
          <cell r="C788"/>
          <cell r="N788"/>
          <cell r="AC788"/>
        </row>
        <row r="789">
          <cell r="B789"/>
          <cell r="C789"/>
          <cell r="N789"/>
          <cell r="AC789"/>
        </row>
        <row r="790">
          <cell r="B790"/>
          <cell r="C790"/>
          <cell r="N790"/>
          <cell r="AC790"/>
        </row>
        <row r="791">
          <cell r="B791"/>
          <cell r="C791"/>
          <cell r="N791"/>
          <cell r="AC791"/>
        </row>
        <row r="792">
          <cell r="B792"/>
          <cell r="C792"/>
          <cell r="N792"/>
          <cell r="AC792"/>
        </row>
        <row r="793">
          <cell r="B793"/>
          <cell r="C793"/>
          <cell r="N793"/>
          <cell r="AC793"/>
        </row>
        <row r="794">
          <cell r="B794"/>
          <cell r="C794"/>
          <cell r="N794"/>
          <cell r="AC794"/>
        </row>
        <row r="795">
          <cell r="B795"/>
          <cell r="C795"/>
          <cell r="N795"/>
          <cell r="AC795"/>
        </row>
        <row r="796">
          <cell r="B796"/>
          <cell r="C796"/>
          <cell r="N796"/>
          <cell r="AC796"/>
        </row>
        <row r="797">
          <cell r="B797"/>
          <cell r="C797"/>
          <cell r="N797"/>
          <cell r="AC797"/>
        </row>
        <row r="798">
          <cell r="B798"/>
          <cell r="C798"/>
          <cell r="N798"/>
          <cell r="AC798"/>
        </row>
        <row r="799">
          <cell r="B799"/>
          <cell r="C799"/>
          <cell r="N799"/>
          <cell r="AC799"/>
        </row>
        <row r="800">
          <cell r="B800"/>
          <cell r="C800"/>
          <cell r="N800"/>
          <cell r="AC800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  <sheetName val="1تیر"/>
    </sheetNames>
    <sheetDataSet>
      <sheetData sheetId="0"/>
      <sheetData sheetId="1"/>
      <sheetData sheetId="2">
        <row r="4">
          <cell r="B4" t="str">
            <v>شابلون پژو 405 دیسکی</v>
          </cell>
        </row>
      </sheetData>
      <sheetData sheetId="3">
        <row r="4">
          <cell r="B4" t="str">
            <v>نگهدارنده پلاک قالب</v>
          </cell>
          <cell r="C4" t="str">
            <v>قطعه نو</v>
          </cell>
          <cell r="N4" t="str">
            <v>وایر</v>
          </cell>
          <cell r="AC4" t="str">
            <v>1405/04/01</v>
          </cell>
        </row>
        <row r="5">
          <cell r="B5" t="str">
            <v>برش جمعی عقب ریو</v>
          </cell>
          <cell r="C5" t="str">
            <v>قطعه نو</v>
          </cell>
          <cell r="N5" t="str">
            <v>مونتاژ</v>
          </cell>
          <cell r="AC5" t="str">
            <v>1405/04/01</v>
          </cell>
        </row>
        <row r="6">
          <cell r="B6" t="str">
            <v>دستگاه پشم فلز چینی</v>
          </cell>
          <cell r="C6" t="str">
            <v>قطعه تعمیری</v>
          </cell>
          <cell r="N6" t="str">
            <v>مونتاژ</v>
          </cell>
          <cell r="AC6" t="str">
            <v>1405/04/01</v>
          </cell>
        </row>
        <row r="7">
          <cell r="B7" t="str">
            <v>دستگاه پشم فلز چینی</v>
          </cell>
          <cell r="C7" t="str">
            <v>قطعه تعمیری</v>
          </cell>
          <cell r="N7" t="str">
            <v>فرز</v>
          </cell>
          <cell r="AC7" t="str">
            <v>1405/04/01</v>
          </cell>
        </row>
        <row r="8">
          <cell r="B8" t="str">
            <v>دریل یزدخواستی کلاچ</v>
          </cell>
          <cell r="C8" t="str">
            <v>قطعه نو</v>
          </cell>
          <cell r="N8" t="str">
            <v>CNC</v>
          </cell>
          <cell r="AC8" t="str">
            <v>1405/04/01</v>
          </cell>
        </row>
        <row r="9">
          <cell r="B9" t="str">
            <v>صفحات 50*50 پخت کلاچ</v>
          </cell>
          <cell r="C9" t="str">
            <v>قالب تعمیری</v>
          </cell>
          <cell r="N9" t="str">
            <v>سنگ زنی</v>
          </cell>
          <cell r="AC9" t="str">
            <v>1405/04/01</v>
          </cell>
        </row>
        <row r="10">
          <cell r="B10" t="str">
            <v>دستگاه چسب زنی</v>
          </cell>
          <cell r="C10" t="str">
            <v>قطعه تعمیری</v>
          </cell>
          <cell r="N10" t="str">
            <v>سنگ زنی</v>
          </cell>
          <cell r="AC10" t="str">
            <v>1405/04/01</v>
          </cell>
        </row>
        <row r="11">
          <cell r="B11" t="str">
            <v>Hammer Mill Machine</v>
          </cell>
          <cell r="C11" t="str">
            <v>دستگاه نو</v>
          </cell>
          <cell r="N11" t="str">
            <v>دریل رادیال</v>
          </cell>
          <cell r="AC11" t="str">
            <v>1405/04/01</v>
          </cell>
        </row>
        <row r="12">
          <cell r="B12" t="str">
            <v>پخت کلاچ پراید</v>
          </cell>
          <cell r="C12" t="str">
            <v>قالب تعمیری</v>
          </cell>
          <cell r="N12" t="str">
            <v>مونتاژ</v>
          </cell>
          <cell r="AC12" t="str">
            <v>1405/04/01</v>
          </cell>
        </row>
        <row r="13">
          <cell r="B13" t="str">
            <v>قالب پخت کلاچ پیکان</v>
          </cell>
          <cell r="C13" t="str">
            <v>قالب تعمیری</v>
          </cell>
          <cell r="N13" t="str">
            <v>مونتاژ</v>
          </cell>
          <cell r="AC13" t="str">
            <v>1405/04/01</v>
          </cell>
        </row>
        <row r="14">
          <cell r="B14" t="str">
            <v>پخت کلاچ پراید</v>
          </cell>
          <cell r="C14" t="str">
            <v>قالب تعمیری</v>
          </cell>
          <cell r="N14" t="str">
            <v>مونتاژ</v>
          </cell>
          <cell r="AC14" t="str">
            <v>1405/04/01</v>
          </cell>
        </row>
        <row r="15">
          <cell r="B15" t="str">
            <v>قالب پخت کلاچ پیکان</v>
          </cell>
          <cell r="C15" t="str">
            <v>قالب تعمیری</v>
          </cell>
          <cell r="N15" t="str">
            <v>مونتاژ</v>
          </cell>
          <cell r="AC15" t="str">
            <v>1405/04/01</v>
          </cell>
        </row>
        <row r="16">
          <cell r="B16" t="str">
            <v>دستگاه پشم فلز چینی</v>
          </cell>
          <cell r="C16" t="str">
            <v>قطعه تعمیری</v>
          </cell>
          <cell r="N16" t="str">
            <v>اره لنگ</v>
          </cell>
          <cell r="AC16" t="str">
            <v>1405/04/01</v>
          </cell>
        </row>
        <row r="17">
          <cell r="B17" t="str">
            <v>ماشین پژو پارس سفید</v>
          </cell>
          <cell r="C17" t="str">
            <v>قطعه تعمیری</v>
          </cell>
          <cell r="N17" t="str">
            <v>تراش</v>
          </cell>
          <cell r="AC17" t="str">
            <v>1405/04/01</v>
          </cell>
        </row>
        <row r="18">
          <cell r="B18" t="str">
            <v>ساب الماسه</v>
          </cell>
          <cell r="C18" t="str">
            <v>قطعه تعمیری</v>
          </cell>
          <cell r="N18" t="str">
            <v>تراش</v>
          </cell>
          <cell r="AC18" t="str">
            <v>1405/04/01</v>
          </cell>
        </row>
        <row r="19">
          <cell r="B19" t="str">
            <v>موتور</v>
          </cell>
          <cell r="C19" t="str">
            <v>قطعه تعمیری</v>
          </cell>
          <cell r="N19" t="str">
            <v>تراش</v>
          </cell>
          <cell r="AC19" t="str">
            <v>1405/04/01</v>
          </cell>
        </row>
        <row r="20">
          <cell r="B20" t="str">
            <v>قالب پخت کلاچ پیکان</v>
          </cell>
          <cell r="C20" t="str">
            <v>قالب تعمیری</v>
          </cell>
          <cell r="N20" t="str">
            <v>تراش</v>
          </cell>
          <cell r="AC20" t="str">
            <v>1405/04/01</v>
          </cell>
        </row>
        <row r="21">
          <cell r="B21" t="str">
            <v>صفحه 25*30*50</v>
          </cell>
          <cell r="C21" t="str">
            <v>قالب نو</v>
          </cell>
          <cell r="N21" t="str">
            <v>فرز</v>
          </cell>
          <cell r="AC21" t="str">
            <v>1405/04/01</v>
          </cell>
        </row>
        <row r="22">
          <cell r="B22" t="str">
            <v>کلمپ زنی</v>
          </cell>
          <cell r="C22" t="str">
            <v>دستگاه تعمیری</v>
          </cell>
          <cell r="N22" t="str">
            <v>فرز</v>
          </cell>
          <cell r="AC22" t="str">
            <v>1405/04/01</v>
          </cell>
        </row>
        <row r="23">
          <cell r="B23" t="str">
            <v>دستگاه مهر زنی</v>
          </cell>
          <cell r="C23" t="str">
            <v>قطعه نو</v>
          </cell>
          <cell r="N23" t="str">
            <v>تراش</v>
          </cell>
          <cell r="AC23" t="str">
            <v>1405/04/01</v>
          </cell>
        </row>
        <row r="24">
          <cell r="B24" t="str">
            <v>دستگاه پشم فلز چینی</v>
          </cell>
          <cell r="C24" t="str">
            <v>قطعه تعمیری</v>
          </cell>
          <cell r="N24" t="str">
            <v>تراش</v>
          </cell>
          <cell r="AC24" t="str">
            <v>1405/04/01</v>
          </cell>
        </row>
        <row r="25">
          <cell r="B25" t="str">
            <v>پخت کلاچ پراید</v>
          </cell>
          <cell r="C25" t="str">
            <v>قالب تعمیری</v>
          </cell>
          <cell r="N25" t="str">
            <v>تراش</v>
          </cell>
          <cell r="AC25" t="str">
            <v>1405/04/01</v>
          </cell>
        </row>
        <row r="26">
          <cell r="B26" t="str">
            <v>صفحه 25*30*50</v>
          </cell>
          <cell r="C26" t="str">
            <v>قالب نو</v>
          </cell>
          <cell r="N26" t="str">
            <v>فرز</v>
          </cell>
          <cell r="AC26" t="str">
            <v>1405/04/02</v>
          </cell>
        </row>
        <row r="27">
          <cell r="B27" t="str">
            <v>کلمپ زنی</v>
          </cell>
          <cell r="C27" t="str">
            <v>دستگاه تعمیری</v>
          </cell>
          <cell r="N27" t="str">
            <v>فرز</v>
          </cell>
          <cell r="AC27" t="str">
            <v>1405/04/02</v>
          </cell>
        </row>
        <row r="28">
          <cell r="B28" t="str">
            <v>برش جمعی عقب ریو</v>
          </cell>
          <cell r="C28" t="str">
            <v>قطعه نو</v>
          </cell>
          <cell r="N28" t="str">
            <v>تراش</v>
          </cell>
          <cell r="AC28" t="str">
            <v>1405/04/02</v>
          </cell>
        </row>
        <row r="29">
          <cell r="B29" t="str">
            <v>پخت کلاچ پراید</v>
          </cell>
          <cell r="C29" t="str">
            <v>قالب تعمیری</v>
          </cell>
          <cell r="N29" t="str">
            <v>CNC</v>
          </cell>
          <cell r="AC29" t="str">
            <v>1405/04/02</v>
          </cell>
        </row>
        <row r="30">
          <cell r="B30" t="str">
            <v>دریل یزدخواستی کلاچ</v>
          </cell>
          <cell r="C30" t="str">
            <v>قطعه نو</v>
          </cell>
          <cell r="N30" t="str">
            <v>تراش</v>
          </cell>
          <cell r="AC30" t="str">
            <v>1405/04/02</v>
          </cell>
        </row>
        <row r="31">
          <cell r="B31" t="str">
            <v>دریل یزدخواستی کلاچ</v>
          </cell>
          <cell r="C31" t="str">
            <v>قطعه نو</v>
          </cell>
          <cell r="N31" t="str">
            <v>تراش</v>
          </cell>
          <cell r="AC31" t="str">
            <v>1405/04/02</v>
          </cell>
        </row>
        <row r="32">
          <cell r="B32" t="str">
            <v>دریل یزدخواستی کلاچ</v>
          </cell>
          <cell r="C32" t="str">
            <v>قطعه نو</v>
          </cell>
          <cell r="N32" t="str">
            <v>CNC</v>
          </cell>
          <cell r="AC32" t="str">
            <v>1405/04/02</v>
          </cell>
        </row>
        <row r="33">
          <cell r="B33" t="str">
            <v>دستگاه مهر زنی</v>
          </cell>
          <cell r="C33" t="str">
            <v>قطعه نو</v>
          </cell>
          <cell r="N33" t="str">
            <v>وایر</v>
          </cell>
          <cell r="AC33" t="str">
            <v>1405/04/02</v>
          </cell>
        </row>
        <row r="34">
          <cell r="B34" t="str">
            <v>دستگاه چسب زنی</v>
          </cell>
          <cell r="C34" t="str">
            <v>قطعه تعمیری</v>
          </cell>
          <cell r="N34" t="str">
            <v>وایر</v>
          </cell>
          <cell r="AC34" t="str">
            <v>1405/04/02</v>
          </cell>
        </row>
        <row r="35">
          <cell r="B35" t="str">
            <v>نگهدارنده پلاک قالب</v>
          </cell>
          <cell r="C35" t="str">
            <v>قطعه نو</v>
          </cell>
          <cell r="N35" t="str">
            <v>وایر</v>
          </cell>
          <cell r="AC35" t="str">
            <v>1405/04/02</v>
          </cell>
        </row>
        <row r="36">
          <cell r="B36" t="str">
            <v>قالب عقب F12</v>
          </cell>
          <cell r="C36" t="str">
            <v>قالب نو</v>
          </cell>
          <cell r="N36" t="str">
            <v>فرز</v>
          </cell>
          <cell r="AC36" t="str">
            <v>1405/04/02</v>
          </cell>
        </row>
        <row r="37">
          <cell r="B37" t="str">
            <v>دستگاه پرس پخت</v>
          </cell>
          <cell r="C37" t="str">
            <v>قطعه تعمیری</v>
          </cell>
          <cell r="N37" t="str">
            <v>دریل رادیال</v>
          </cell>
          <cell r="AC37" t="str">
            <v>1405/04/02</v>
          </cell>
        </row>
        <row r="38">
          <cell r="B38" t="str">
            <v>دستگاه پرس پخت</v>
          </cell>
          <cell r="C38" t="str">
            <v>قطعه تعمیری</v>
          </cell>
          <cell r="N38" t="str">
            <v>مونتاژ</v>
          </cell>
          <cell r="AC38" t="str">
            <v>1405/04/02</v>
          </cell>
        </row>
        <row r="39">
          <cell r="B39" t="str">
            <v>دستگاه پرس پخت</v>
          </cell>
          <cell r="C39" t="str">
            <v>قطعه تعمیری</v>
          </cell>
          <cell r="N39" t="str">
            <v>مونتاژ</v>
          </cell>
          <cell r="AC39" t="str">
            <v>1405/04/02</v>
          </cell>
        </row>
        <row r="40">
          <cell r="B40" t="str">
            <v>صفحات 50*50 پخت کلاچ</v>
          </cell>
          <cell r="C40" t="str">
            <v>قالب تعمیری</v>
          </cell>
          <cell r="N40" t="str">
            <v>سنگ زنی</v>
          </cell>
          <cell r="AC40" t="str">
            <v>1405/04/02</v>
          </cell>
        </row>
        <row r="41">
          <cell r="B41" t="str">
            <v>دستگاه چسب زنی</v>
          </cell>
          <cell r="C41" t="str">
            <v>قطعه تعمیری</v>
          </cell>
          <cell r="N41" t="str">
            <v>سنگ زنی</v>
          </cell>
          <cell r="AC41" t="str">
            <v>1405/04/02</v>
          </cell>
        </row>
        <row r="42">
          <cell r="B42" t="str">
            <v>پخت کلاچ پراید</v>
          </cell>
          <cell r="C42" t="str">
            <v>قالب تعمیری</v>
          </cell>
          <cell r="N42" t="str">
            <v>سنگ زنی</v>
          </cell>
          <cell r="AC42" t="str">
            <v>1405/04/02</v>
          </cell>
        </row>
        <row r="43">
          <cell r="B43" t="str">
            <v>قالب ترابوزا</v>
          </cell>
          <cell r="C43" t="str">
            <v>قالب تعمیری</v>
          </cell>
          <cell r="N43" t="str">
            <v>سنگ زنی</v>
          </cell>
          <cell r="AC43" t="str">
            <v>1405/04/02</v>
          </cell>
        </row>
        <row r="44">
          <cell r="B44" t="str">
            <v>پخت کلاچ پراید</v>
          </cell>
          <cell r="C44" t="str">
            <v>قالب تعمیری</v>
          </cell>
          <cell r="N44" t="str">
            <v>مونتاژ</v>
          </cell>
          <cell r="AC44" t="str">
            <v>1405/04/02</v>
          </cell>
        </row>
        <row r="45">
          <cell r="B45" t="str">
            <v>پخت کلاچ پراید</v>
          </cell>
          <cell r="C45" t="str">
            <v>قالب تعمیری</v>
          </cell>
          <cell r="N45" t="str">
            <v>مونتاژ</v>
          </cell>
          <cell r="AC45" t="str">
            <v>1405/04/02</v>
          </cell>
        </row>
        <row r="46">
          <cell r="B46" t="str">
            <v xml:space="preserve">پخت کلاچ پراید سکو </v>
          </cell>
          <cell r="C46" t="str">
            <v>قالب تعمیری</v>
          </cell>
          <cell r="N46" t="str">
            <v>مونتاژ</v>
          </cell>
          <cell r="AC46" t="str">
            <v>1405/04/02</v>
          </cell>
        </row>
        <row r="47">
          <cell r="B47" t="str">
            <v>قالب پخت کلاچ پیکان</v>
          </cell>
          <cell r="C47" t="str">
            <v>قالب تعمیری</v>
          </cell>
          <cell r="N47" t="str">
            <v>مونتاژ</v>
          </cell>
          <cell r="AC47" t="str">
            <v>1405/04/02</v>
          </cell>
        </row>
        <row r="48">
          <cell r="B48" t="str">
            <v>پخت کلاچ پراید</v>
          </cell>
          <cell r="C48" t="str">
            <v>قالب تعمیری</v>
          </cell>
          <cell r="N48" t="str">
            <v>مونتاژ</v>
          </cell>
          <cell r="AC48" t="str">
            <v>1405/04/02</v>
          </cell>
        </row>
        <row r="49">
          <cell r="B49" t="str">
            <v>پخت کلاچ پراید</v>
          </cell>
          <cell r="C49" t="str">
            <v>قالب تعمیری</v>
          </cell>
          <cell r="N49" t="str">
            <v>مونتاژ</v>
          </cell>
          <cell r="AC49" t="str">
            <v>1405/04/02</v>
          </cell>
        </row>
        <row r="50">
          <cell r="B50" t="str">
            <v>پخت کلاچ پراید</v>
          </cell>
          <cell r="C50" t="str">
            <v>قالب تعمیری</v>
          </cell>
          <cell r="N50" t="str">
            <v>مونتاژ</v>
          </cell>
          <cell r="AC50" t="str">
            <v>1405/04/02</v>
          </cell>
        </row>
        <row r="51">
          <cell r="B51" t="str">
            <v xml:space="preserve">پخت کلاچ پراید سکو </v>
          </cell>
          <cell r="C51" t="str">
            <v>قالب تعمیری</v>
          </cell>
          <cell r="N51" t="str">
            <v>مونتاژ</v>
          </cell>
          <cell r="AC51" t="str">
            <v>1405/04/02</v>
          </cell>
        </row>
        <row r="52">
          <cell r="B52" t="str">
            <v>قالب پخت کلاچ پیکان</v>
          </cell>
          <cell r="C52" t="str">
            <v>قالب تعمیری</v>
          </cell>
          <cell r="N52" t="str">
            <v>مونتاژ</v>
          </cell>
          <cell r="AC52" t="str">
            <v>1405/04/02</v>
          </cell>
        </row>
        <row r="53">
          <cell r="B53" t="str">
            <v>پخت کلاچ پراید</v>
          </cell>
          <cell r="C53" t="str">
            <v>قالب تعمیری</v>
          </cell>
          <cell r="N53" t="str">
            <v>مونتاژ</v>
          </cell>
          <cell r="AC53" t="str">
            <v>1405/04/02</v>
          </cell>
        </row>
        <row r="54">
          <cell r="B54" t="str">
            <v>پخت کلاچ پراید</v>
          </cell>
          <cell r="C54" t="str">
            <v>قالب تعمیری</v>
          </cell>
          <cell r="N54" t="str">
            <v>CNC</v>
          </cell>
          <cell r="AC54" t="str">
            <v>1405/04/06</v>
          </cell>
        </row>
        <row r="55">
          <cell r="B55" t="str">
            <v>پخت کلاچ پراید</v>
          </cell>
          <cell r="C55" t="str">
            <v>قالب تعمیری</v>
          </cell>
          <cell r="N55" t="str">
            <v>CNC</v>
          </cell>
          <cell r="AC55" t="str">
            <v>1405/04/06</v>
          </cell>
        </row>
        <row r="56">
          <cell r="B56" t="str">
            <v>قالب پخت کلاچ پیکان</v>
          </cell>
          <cell r="C56" t="str">
            <v>قالب تعمیری</v>
          </cell>
          <cell r="N56" t="str">
            <v>CNC</v>
          </cell>
          <cell r="AC56" t="str">
            <v>1405/04/06</v>
          </cell>
        </row>
        <row r="57">
          <cell r="B57" t="str">
            <v>قالب عقب F12</v>
          </cell>
          <cell r="C57" t="str">
            <v>قالب نو</v>
          </cell>
          <cell r="N57" t="str">
            <v>فرز</v>
          </cell>
          <cell r="AC57" t="str">
            <v>1405/04/06</v>
          </cell>
        </row>
        <row r="58">
          <cell r="B58" t="str">
            <v>پخت کلاچ پراید</v>
          </cell>
          <cell r="C58" t="str">
            <v>قالب تعمیری</v>
          </cell>
          <cell r="N58" t="str">
            <v>CNC</v>
          </cell>
          <cell r="AC58" t="str">
            <v>1405/04/06</v>
          </cell>
        </row>
        <row r="59">
          <cell r="B59" t="str">
            <v>پخت کلاچ پراید</v>
          </cell>
          <cell r="C59" t="str">
            <v>قالب تعمیری</v>
          </cell>
          <cell r="N59" t="str">
            <v>CNC</v>
          </cell>
          <cell r="AC59" t="str">
            <v>1405/04/06</v>
          </cell>
        </row>
        <row r="60">
          <cell r="B60" t="str">
            <v>کلمپ زنی</v>
          </cell>
          <cell r="C60" t="str">
            <v>دستگاه تعمیری</v>
          </cell>
          <cell r="N60" t="str">
            <v>فرز</v>
          </cell>
          <cell r="AC60" t="str">
            <v>1405/04/06</v>
          </cell>
        </row>
        <row r="61">
          <cell r="B61" t="str">
            <v>دستگاه پرس پخت</v>
          </cell>
          <cell r="C61" t="str">
            <v>قطعه تعمیری</v>
          </cell>
          <cell r="N61" t="str">
            <v>فرز</v>
          </cell>
          <cell r="AC61" t="str">
            <v>1405/04/06</v>
          </cell>
        </row>
        <row r="62">
          <cell r="B62" t="str">
            <v>دستگاه پرس پخت</v>
          </cell>
          <cell r="C62" t="str">
            <v>قطعه تعمیری</v>
          </cell>
          <cell r="N62" t="str">
            <v>فرز</v>
          </cell>
          <cell r="AC62" t="str">
            <v>1405/04/07</v>
          </cell>
        </row>
        <row r="63">
          <cell r="B63" t="str">
            <v>پخت کلاچ پراید</v>
          </cell>
          <cell r="C63" t="str">
            <v>قالب تعمیری</v>
          </cell>
          <cell r="N63" t="str">
            <v>مونتاژ</v>
          </cell>
          <cell r="AC63" t="str">
            <v>1405/04/06</v>
          </cell>
        </row>
        <row r="64">
          <cell r="B64" t="str">
            <v>پایه پرچ لنت نیسان</v>
          </cell>
          <cell r="C64" t="str">
            <v>قطعه نو</v>
          </cell>
          <cell r="N64" t="str">
            <v>اره لنگ</v>
          </cell>
          <cell r="AC64" t="str">
            <v>1405/04/06</v>
          </cell>
        </row>
        <row r="65">
          <cell r="B65" t="str">
            <v>قالب عقب F12</v>
          </cell>
          <cell r="C65" t="str">
            <v>قالب نو</v>
          </cell>
          <cell r="N65" t="str">
            <v>فرز</v>
          </cell>
          <cell r="AC65" t="str">
            <v>1405/04/07</v>
          </cell>
        </row>
        <row r="66">
          <cell r="B66" t="str">
            <v>قالب پخت کلاچ پیکان</v>
          </cell>
          <cell r="C66" t="str">
            <v>قالب تعمیری</v>
          </cell>
          <cell r="N66" t="str">
            <v>مونتاژ</v>
          </cell>
          <cell r="AC66" t="str">
            <v>1405/04/06</v>
          </cell>
        </row>
        <row r="67">
          <cell r="B67" t="str">
            <v>شمش پراید</v>
          </cell>
          <cell r="C67" t="str">
            <v>قالب نو</v>
          </cell>
          <cell r="N67" t="str">
            <v>مونتاژ</v>
          </cell>
          <cell r="AC67" t="str">
            <v>1405/04/07</v>
          </cell>
        </row>
        <row r="68">
          <cell r="B68" t="str">
            <v>قالب پخت کلاچ پیکان</v>
          </cell>
          <cell r="C68" t="str">
            <v>قالب تعمیری</v>
          </cell>
          <cell r="N68" t="str">
            <v>مونتاژ</v>
          </cell>
          <cell r="AC68" t="str">
            <v>1405/04/07</v>
          </cell>
        </row>
        <row r="69">
          <cell r="B69" t="str">
            <v>قالب پخت کلاچ پیکان</v>
          </cell>
          <cell r="C69" t="str">
            <v>قالب تعمیری</v>
          </cell>
          <cell r="N69" t="str">
            <v>مونتاژ</v>
          </cell>
          <cell r="AC69" t="str">
            <v>1405/04/07</v>
          </cell>
        </row>
        <row r="70">
          <cell r="B70" t="str">
            <v>پخت کلاچ ایویکو سوراخدار</v>
          </cell>
          <cell r="C70" t="str">
            <v>قالب تعمیری</v>
          </cell>
          <cell r="N70" t="str">
            <v>مونتاژ</v>
          </cell>
          <cell r="AC70" t="str">
            <v>1405/04/06</v>
          </cell>
        </row>
        <row r="71">
          <cell r="B71" t="str">
            <v>دستگاه پرس پخت</v>
          </cell>
          <cell r="C71" t="str">
            <v>قطعه تعمیری</v>
          </cell>
          <cell r="N71" t="str">
            <v>دریل رادیال</v>
          </cell>
          <cell r="AC71" t="str">
            <v>1405/04/06</v>
          </cell>
        </row>
        <row r="72">
          <cell r="B72" t="str">
            <v>پخت کلاچ پراید</v>
          </cell>
          <cell r="C72" t="str">
            <v>قالب تعمیری</v>
          </cell>
          <cell r="N72" t="str">
            <v>مونتاژ</v>
          </cell>
          <cell r="AC72" t="str">
            <v>1405/04/06</v>
          </cell>
        </row>
        <row r="73">
          <cell r="B73" t="str">
            <v>تخته لنت صنعتی</v>
          </cell>
          <cell r="C73" t="str">
            <v>قطعه تعمیری</v>
          </cell>
          <cell r="N73" t="str">
            <v>دریل رادیال</v>
          </cell>
          <cell r="AC73" t="str">
            <v>1405/04/06</v>
          </cell>
        </row>
        <row r="74">
          <cell r="B74" t="str">
            <v>پخت کلاچ پراید</v>
          </cell>
          <cell r="C74" t="str">
            <v>قالب تعمیری</v>
          </cell>
          <cell r="N74" t="str">
            <v>مونتاژ</v>
          </cell>
          <cell r="AC74" t="str">
            <v>1405/04/06</v>
          </cell>
        </row>
        <row r="75">
          <cell r="B75" t="str">
            <v>پخت کلاچ پراید</v>
          </cell>
          <cell r="C75" t="str">
            <v>قالب تعمیری</v>
          </cell>
          <cell r="N75" t="str">
            <v>مونتاژ</v>
          </cell>
          <cell r="AC75" t="str">
            <v>1405/04/07</v>
          </cell>
        </row>
        <row r="76">
          <cell r="B76" t="str">
            <v>قالب پخت کلاچ پیکان</v>
          </cell>
          <cell r="C76" t="str">
            <v>قالب تعمیری</v>
          </cell>
          <cell r="N76" t="str">
            <v>مونتاژ</v>
          </cell>
          <cell r="AC76" t="str">
            <v>1405/04/07</v>
          </cell>
        </row>
        <row r="77">
          <cell r="B77" t="str">
            <v>صفحه 25*30*50</v>
          </cell>
          <cell r="C77" t="str">
            <v>قالب نو</v>
          </cell>
          <cell r="N77" t="str">
            <v>فرز</v>
          </cell>
          <cell r="AC77" t="str">
            <v>1405/04/06</v>
          </cell>
        </row>
        <row r="78">
          <cell r="B78" t="str">
            <v>سوراخکاری پیلسان</v>
          </cell>
          <cell r="C78" t="str">
            <v>قطعه نو</v>
          </cell>
          <cell r="N78" t="str">
            <v>فرز</v>
          </cell>
          <cell r="AC78" t="str">
            <v>1405/04/06</v>
          </cell>
        </row>
        <row r="79">
          <cell r="B79" t="str">
            <v>سوراخکاری پیلسان</v>
          </cell>
          <cell r="C79" t="str">
            <v>قطعه نو</v>
          </cell>
          <cell r="N79" t="str">
            <v>فرز</v>
          </cell>
          <cell r="AC79" t="str">
            <v>1405/04/07</v>
          </cell>
        </row>
        <row r="80">
          <cell r="B80" t="str">
            <v>دریل یزدخواستی کلاچ</v>
          </cell>
          <cell r="C80" t="str">
            <v>قطعه نو</v>
          </cell>
          <cell r="N80" t="str">
            <v>تراش</v>
          </cell>
          <cell r="AC80" t="str">
            <v>1405/04/06</v>
          </cell>
        </row>
        <row r="81">
          <cell r="B81" t="str">
            <v>دریل یزدخواستی کلاچ</v>
          </cell>
          <cell r="C81" t="str">
            <v>قطعه نو</v>
          </cell>
          <cell r="N81" t="str">
            <v>تراش</v>
          </cell>
          <cell r="AC81" t="str">
            <v>1405/04/06</v>
          </cell>
        </row>
        <row r="82">
          <cell r="B82" t="str">
            <v>پخت کلاچ پراید</v>
          </cell>
          <cell r="C82" t="str">
            <v>قالب تعمیری</v>
          </cell>
          <cell r="N82" t="str">
            <v>تراش</v>
          </cell>
          <cell r="AC82" t="str">
            <v>1405/04/06</v>
          </cell>
        </row>
        <row r="83">
          <cell r="B83" t="str">
            <v>پایه پرچ لنت نیسان</v>
          </cell>
          <cell r="C83" t="str">
            <v>قطعه نو</v>
          </cell>
          <cell r="N83" t="str">
            <v>تراش</v>
          </cell>
          <cell r="AC83" t="str">
            <v>1405/04/07</v>
          </cell>
        </row>
        <row r="84">
          <cell r="B84" t="str">
            <v>قالب پخت کلاچ پیکان</v>
          </cell>
          <cell r="C84" t="str">
            <v>قالب تعمیری</v>
          </cell>
          <cell r="N84" t="str">
            <v>تراش</v>
          </cell>
          <cell r="AC84" t="str">
            <v>1405/04/07</v>
          </cell>
        </row>
        <row r="85">
          <cell r="B85" t="str">
            <v>قالب پخت کلاچ پیکان</v>
          </cell>
          <cell r="C85" t="str">
            <v>قالب تعمیری</v>
          </cell>
          <cell r="N85" t="str">
            <v>تراش</v>
          </cell>
          <cell r="AC85" t="str">
            <v>1405/04/07</v>
          </cell>
        </row>
        <row r="86">
          <cell r="B86" t="str">
            <v>ساب سمباده ای</v>
          </cell>
          <cell r="C86" t="str">
            <v>قطعه تعمیری</v>
          </cell>
          <cell r="N86" t="str">
            <v>تراش</v>
          </cell>
          <cell r="AC86" t="str">
            <v>1405/04/07</v>
          </cell>
        </row>
        <row r="87">
          <cell r="B87" t="str">
            <v>دستگاه چسب زنی</v>
          </cell>
          <cell r="C87" t="str">
            <v>قطعه تعمیری</v>
          </cell>
          <cell r="N87" t="str">
            <v>وایر</v>
          </cell>
          <cell r="AC87" t="str">
            <v>1405/04/06</v>
          </cell>
        </row>
        <row r="88">
          <cell r="B88" t="str">
            <v>دستگاه چسب زنی</v>
          </cell>
          <cell r="C88" t="str">
            <v>قطعه تعمیری</v>
          </cell>
          <cell r="N88" t="str">
            <v>وایر</v>
          </cell>
          <cell r="AC88" t="str">
            <v>1405/04/06</v>
          </cell>
        </row>
        <row r="89">
          <cell r="B89" t="str">
            <v>نگهدارنده پلاک قالب</v>
          </cell>
          <cell r="C89" t="str">
            <v>قطعه نو</v>
          </cell>
          <cell r="N89" t="str">
            <v>وایر</v>
          </cell>
          <cell r="AC89" t="str">
            <v>1405/04/06</v>
          </cell>
        </row>
        <row r="90">
          <cell r="B90" t="str">
            <v>دستگاه چسب زنی</v>
          </cell>
          <cell r="C90" t="str">
            <v>قطعه تعمیری</v>
          </cell>
          <cell r="N90" t="str">
            <v>وایر</v>
          </cell>
          <cell r="AC90" t="str">
            <v>1405/04/07</v>
          </cell>
        </row>
        <row r="91">
          <cell r="B91" t="str">
            <v>نگهدارنده پلاک قالب</v>
          </cell>
          <cell r="C91" t="str">
            <v>قطعه نو</v>
          </cell>
          <cell r="N91" t="str">
            <v>وایر</v>
          </cell>
          <cell r="AC91" t="str">
            <v>1405/04/07</v>
          </cell>
        </row>
        <row r="92">
          <cell r="B92" t="str">
            <v>قالب عقب F12</v>
          </cell>
          <cell r="C92" t="str">
            <v>قالب نو</v>
          </cell>
          <cell r="N92" t="str">
            <v>سوپردریل</v>
          </cell>
          <cell r="AC92" t="str">
            <v>1405/04/07</v>
          </cell>
        </row>
        <row r="93">
          <cell r="B93" t="str">
            <v>دریل یزدخواستی کلاچ</v>
          </cell>
          <cell r="C93" t="str">
            <v>قطعه نو</v>
          </cell>
          <cell r="N93" t="str">
            <v>CNC</v>
          </cell>
          <cell r="AC93" t="str">
            <v>1405/04/06</v>
          </cell>
        </row>
        <row r="94">
          <cell r="B94" t="str">
            <v>دریل یزدخواستی کلاچ</v>
          </cell>
          <cell r="C94" t="str">
            <v>قطعه نو</v>
          </cell>
          <cell r="N94" t="str">
            <v>CNC</v>
          </cell>
          <cell r="AC94" t="str">
            <v>1405/04/07</v>
          </cell>
        </row>
        <row r="95">
          <cell r="B95" t="str">
            <v>قالب توری پگاسوز</v>
          </cell>
          <cell r="C95" t="str">
            <v>قالب نو</v>
          </cell>
          <cell r="N95" t="str">
            <v>CNC</v>
          </cell>
          <cell r="AC95" t="str">
            <v>1405/04/07</v>
          </cell>
        </row>
        <row r="96">
          <cell r="B96" t="str">
            <v>دریل یزدخواستی کلاچ</v>
          </cell>
          <cell r="C96" t="str">
            <v>قطعه نو</v>
          </cell>
          <cell r="N96" t="str">
            <v>CNC</v>
          </cell>
          <cell r="AC96" t="str">
            <v>1405/04/07</v>
          </cell>
        </row>
        <row r="97">
          <cell r="B97" t="str">
            <v>دستگاه برش جمعی</v>
          </cell>
          <cell r="C97" t="str">
            <v>قطعه تعمیری</v>
          </cell>
          <cell r="N97" t="str">
            <v>تراش</v>
          </cell>
          <cell r="AC97" t="str">
            <v>1405/04/06</v>
          </cell>
        </row>
        <row r="98">
          <cell r="B98" t="str">
            <v>پخت کلاچ پراید</v>
          </cell>
          <cell r="C98" t="str">
            <v>قالب تعمیری</v>
          </cell>
          <cell r="N98" t="str">
            <v>تراش</v>
          </cell>
          <cell r="AC98" t="str">
            <v>1405/04/06</v>
          </cell>
        </row>
        <row r="99">
          <cell r="B99" t="str">
            <v>سری نقطه جوش</v>
          </cell>
          <cell r="C99" t="str">
            <v>قطعه تعمیری</v>
          </cell>
          <cell r="N99" t="str">
            <v>تراش</v>
          </cell>
          <cell r="AC99" t="str">
            <v>1405/04/07</v>
          </cell>
        </row>
        <row r="100">
          <cell r="B100" t="str">
            <v>آغشته کاری</v>
          </cell>
          <cell r="C100" t="str">
            <v>قطعه تعمیری</v>
          </cell>
          <cell r="N100" t="str">
            <v>تراش</v>
          </cell>
          <cell r="AC100" t="str">
            <v>1405/04/07</v>
          </cell>
        </row>
        <row r="101">
          <cell r="B101" t="str">
            <v>لیفتراک</v>
          </cell>
          <cell r="C101" t="str">
            <v>قطعه نو</v>
          </cell>
          <cell r="N101" t="str">
            <v>تراش</v>
          </cell>
          <cell r="AC101" t="str">
            <v>1405/04/07</v>
          </cell>
        </row>
        <row r="102">
          <cell r="B102" t="str">
            <v>پخت کلاچ پراید</v>
          </cell>
          <cell r="C102" t="str">
            <v>قالب تعمیری</v>
          </cell>
          <cell r="N102" t="str">
            <v>تراش</v>
          </cell>
          <cell r="AC102" t="str">
            <v>1405/04/07</v>
          </cell>
        </row>
        <row r="103">
          <cell r="B103" t="str">
            <v>صفحات 50*50 پخت کلاچ</v>
          </cell>
          <cell r="C103" t="str">
            <v>قالب تعمیری</v>
          </cell>
          <cell r="N103" t="str">
            <v>سنگ زنی</v>
          </cell>
          <cell r="AC103" t="str">
            <v>1405/04/06</v>
          </cell>
        </row>
        <row r="104">
          <cell r="B104" t="str">
            <v>قالب ترابوزا</v>
          </cell>
          <cell r="C104" t="str">
            <v>قالب تعمیری</v>
          </cell>
          <cell r="N104" t="str">
            <v>سنگ زنی</v>
          </cell>
          <cell r="AC104" t="str">
            <v>1405/04/06</v>
          </cell>
        </row>
        <row r="105">
          <cell r="B105" t="str">
            <v>قالب SAF توری</v>
          </cell>
          <cell r="C105" t="str">
            <v>قالب تعمیری</v>
          </cell>
          <cell r="N105" t="str">
            <v>سنگ زنی</v>
          </cell>
          <cell r="AC105" t="str">
            <v>1405/04/06</v>
          </cell>
        </row>
        <row r="106">
          <cell r="B106" t="str">
            <v>قالب SAF توری</v>
          </cell>
          <cell r="C106" t="str">
            <v>قالب تعمیری</v>
          </cell>
          <cell r="N106" t="str">
            <v>سنگ زنی</v>
          </cell>
          <cell r="AC106" t="str">
            <v>1405/04/06</v>
          </cell>
        </row>
        <row r="107">
          <cell r="B107" t="str">
            <v>قالب برش میدل باس</v>
          </cell>
          <cell r="C107" t="str">
            <v>قالب تعمیری</v>
          </cell>
          <cell r="N107" t="str">
            <v>سنگ زنی</v>
          </cell>
          <cell r="AC107" t="str">
            <v>1405/04/06</v>
          </cell>
        </row>
        <row r="108">
          <cell r="B108" t="str">
            <v>قالب برش میدل باس</v>
          </cell>
          <cell r="C108" t="str">
            <v>قالب تعمیری</v>
          </cell>
          <cell r="N108" t="str">
            <v>سنگ زنی</v>
          </cell>
          <cell r="AC108" t="str">
            <v>1405/04/06</v>
          </cell>
        </row>
        <row r="109">
          <cell r="B109" t="str">
            <v>صفحات 50*50 پخت کلاچ</v>
          </cell>
          <cell r="C109" t="str">
            <v>قالب تعمیری</v>
          </cell>
          <cell r="N109" t="str">
            <v>سنگ زنی</v>
          </cell>
          <cell r="AC109" t="str">
            <v>1405/04/07</v>
          </cell>
        </row>
        <row r="110">
          <cell r="B110" t="str">
            <v>قالب پخت کلاچ پیکان</v>
          </cell>
          <cell r="C110" t="str">
            <v>قالب تعمیری</v>
          </cell>
          <cell r="N110" t="str">
            <v>سنگ زنی</v>
          </cell>
          <cell r="AC110" t="str">
            <v>1405/04/07</v>
          </cell>
        </row>
        <row r="111">
          <cell r="B111" t="str">
            <v>سوراخکاری پیلسان</v>
          </cell>
          <cell r="C111" t="str">
            <v>قطعه نو</v>
          </cell>
          <cell r="N111" t="str">
            <v>سنگ زنی</v>
          </cell>
          <cell r="AC111" t="str">
            <v>1405/04/07</v>
          </cell>
        </row>
        <row r="112">
          <cell r="B112" t="str">
            <v>سوراخکاری پیلسان</v>
          </cell>
          <cell r="C112" t="str">
            <v>قطعه نو</v>
          </cell>
          <cell r="N112" t="str">
            <v>سنگ زنی</v>
          </cell>
          <cell r="AC112" t="str">
            <v>1405/04/07</v>
          </cell>
        </row>
        <row r="113">
          <cell r="B113" t="str">
            <v>پخت کلاچ پراید</v>
          </cell>
          <cell r="C113" t="str">
            <v>قالب تعمیری</v>
          </cell>
          <cell r="N113" t="str">
            <v>CNC</v>
          </cell>
          <cell r="AC113" t="str">
            <v>1405/04/07</v>
          </cell>
        </row>
        <row r="114">
          <cell r="B114" t="str">
            <v>قالب پخت کلاچ پیکان</v>
          </cell>
          <cell r="C114" t="str">
            <v>قالب تعمیری</v>
          </cell>
          <cell r="N114" t="str">
            <v>CNC</v>
          </cell>
          <cell r="AC114" t="str">
            <v>1405/04/07</v>
          </cell>
        </row>
        <row r="115">
          <cell r="B115" t="str">
            <v>دستگاه پرس 600 تن</v>
          </cell>
          <cell r="C115" t="str">
            <v>قطعه نو</v>
          </cell>
          <cell r="N115" t="str">
            <v>تراش</v>
          </cell>
          <cell r="AC115" t="str">
            <v>1405/04/08</v>
          </cell>
        </row>
        <row r="116">
          <cell r="B116" t="str">
            <v>دریل یزدخواستی کلاچ</v>
          </cell>
          <cell r="C116" t="str">
            <v>قطعه نو</v>
          </cell>
          <cell r="N116" t="str">
            <v>CNC</v>
          </cell>
          <cell r="AC116" t="str">
            <v>1405/04/08</v>
          </cell>
        </row>
        <row r="117">
          <cell r="B117" t="str">
            <v>قالب پخت کلاچ پژو 405</v>
          </cell>
          <cell r="C117" t="str">
            <v>قالب تعمیری</v>
          </cell>
          <cell r="N117" t="str">
            <v>CNC</v>
          </cell>
          <cell r="AC117" t="str">
            <v>1405/04/08</v>
          </cell>
        </row>
        <row r="118">
          <cell r="B118" t="str">
            <v>قالب پخت کلاچ پیکان آرژانتینی</v>
          </cell>
          <cell r="C118" t="str">
            <v>قالب تعمیری</v>
          </cell>
          <cell r="N118" t="str">
            <v>CNC</v>
          </cell>
          <cell r="AC118" t="str">
            <v>1405/04/08</v>
          </cell>
        </row>
        <row r="119">
          <cell r="B119" t="str">
            <v>قالب پخت کلاچ پیکان آرژانتینی</v>
          </cell>
          <cell r="C119" t="str">
            <v>قالب تعمیری</v>
          </cell>
          <cell r="N119" t="str">
            <v>CNC</v>
          </cell>
          <cell r="AC119" t="str">
            <v>1405/04/08</v>
          </cell>
        </row>
        <row r="120">
          <cell r="B120" t="str">
            <v>پخت کلاچ پراید</v>
          </cell>
          <cell r="C120" t="str">
            <v>قالب تعمیری</v>
          </cell>
          <cell r="N120" t="str">
            <v>CNC</v>
          </cell>
          <cell r="AC120" t="str">
            <v>1405/04/08</v>
          </cell>
        </row>
        <row r="121">
          <cell r="B121" t="str">
            <v>کلمپ زنی</v>
          </cell>
          <cell r="C121" t="str">
            <v>دستگاه تعمیری</v>
          </cell>
          <cell r="N121" t="str">
            <v>فرز</v>
          </cell>
          <cell r="AC121" t="str">
            <v>1405/04/08</v>
          </cell>
        </row>
        <row r="122">
          <cell r="B122" t="str">
            <v>قالب ولوو سوپر</v>
          </cell>
          <cell r="C122" t="str">
            <v>قالب تعمیری</v>
          </cell>
          <cell r="N122" t="str">
            <v>فرز</v>
          </cell>
          <cell r="AC122" t="str">
            <v>1405/04/08</v>
          </cell>
        </row>
        <row r="123">
          <cell r="B123" t="str">
            <v>سوراخکاری پیلسان</v>
          </cell>
          <cell r="C123" t="str">
            <v>قطعه نو</v>
          </cell>
          <cell r="N123" t="str">
            <v>فرز</v>
          </cell>
          <cell r="AC123" t="str">
            <v>1405/04/08</v>
          </cell>
        </row>
        <row r="124">
          <cell r="B124" t="str">
            <v>قالب ترابوزا</v>
          </cell>
          <cell r="C124" t="str">
            <v>قالب تعمیری</v>
          </cell>
          <cell r="N124" t="str">
            <v>فرز</v>
          </cell>
          <cell r="AC124" t="str">
            <v>1405/04/08</v>
          </cell>
        </row>
        <row r="125">
          <cell r="B125" t="str">
            <v>شیم پژو 405</v>
          </cell>
          <cell r="C125" t="str">
            <v>قالب تعمیری</v>
          </cell>
          <cell r="N125" t="str">
            <v>مونتاژ</v>
          </cell>
          <cell r="AC125" t="str">
            <v>1405/04/08</v>
          </cell>
        </row>
        <row r="126">
          <cell r="B126" t="str">
            <v>قالب لودری 70021</v>
          </cell>
          <cell r="C126" t="str">
            <v>قالب تعمیری</v>
          </cell>
          <cell r="N126" t="str">
            <v>مونتاژ</v>
          </cell>
          <cell r="AC126" t="str">
            <v>1405/04/08</v>
          </cell>
        </row>
        <row r="127">
          <cell r="B127" t="str">
            <v xml:space="preserve">دستگاه جوشکاری </v>
          </cell>
          <cell r="C127" t="str">
            <v>قطعه تعمیری</v>
          </cell>
          <cell r="N127" t="str">
            <v>مونتاژ</v>
          </cell>
          <cell r="AC127" t="str">
            <v>1405/04/08</v>
          </cell>
        </row>
        <row r="128">
          <cell r="B128" t="str">
            <v>پخت کلاچ پراید</v>
          </cell>
          <cell r="C128" t="str">
            <v>قالب تعمیری</v>
          </cell>
          <cell r="N128" t="str">
            <v>مونتاژ</v>
          </cell>
          <cell r="AC128" t="str">
            <v>1405/04/08</v>
          </cell>
        </row>
        <row r="129">
          <cell r="B129" t="str">
            <v>قالب پخت کلاچ پیکان آرژانتینی</v>
          </cell>
          <cell r="C129" t="str">
            <v>قالب تعمیری</v>
          </cell>
          <cell r="N129" t="str">
            <v>مونتاژ</v>
          </cell>
          <cell r="AC129" t="str">
            <v>1405/04/08</v>
          </cell>
        </row>
        <row r="130">
          <cell r="B130" t="str">
            <v>دستگاه مهر زنی</v>
          </cell>
          <cell r="C130" t="str">
            <v>قطعه تعمیری</v>
          </cell>
          <cell r="N130" t="str">
            <v>دریل رادیال</v>
          </cell>
          <cell r="AC130" t="str">
            <v>1405/04/08</v>
          </cell>
        </row>
        <row r="131">
          <cell r="B131" t="str">
            <v>پخت کلاچ پراید</v>
          </cell>
          <cell r="C131" t="str">
            <v>قالب تعمیری</v>
          </cell>
          <cell r="N131" t="str">
            <v>مونتاژ</v>
          </cell>
          <cell r="AC131" t="str">
            <v>1405/04/08</v>
          </cell>
        </row>
        <row r="132">
          <cell r="B132" t="str">
            <v>قالب پخت کلاچ پیکان آرژانتینی</v>
          </cell>
          <cell r="C132" t="str">
            <v>قالب تعمیری</v>
          </cell>
          <cell r="N132" t="str">
            <v>مونتاژ</v>
          </cell>
          <cell r="AC132" t="str">
            <v>1405/04/08</v>
          </cell>
        </row>
        <row r="133">
          <cell r="B133" t="str">
            <v>پخت کلاچ پراید</v>
          </cell>
          <cell r="C133" t="str">
            <v>قالب تعمیری</v>
          </cell>
          <cell r="N133" t="str">
            <v>تراش</v>
          </cell>
          <cell r="AC133" t="str">
            <v>1405/04/08</v>
          </cell>
        </row>
        <row r="134">
          <cell r="B134" t="str">
            <v>دستگاه برش جمعی</v>
          </cell>
          <cell r="C134" t="str">
            <v>قطعه تعمیری</v>
          </cell>
          <cell r="N134" t="str">
            <v>تراش</v>
          </cell>
          <cell r="AC134" t="str">
            <v>1405/04/08</v>
          </cell>
        </row>
        <row r="135">
          <cell r="B135" t="str">
            <v>Hammer Mill Machine</v>
          </cell>
          <cell r="C135" t="str">
            <v>دستگاه نو</v>
          </cell>
          <cell r="N135" t="str">
            <v>تراش</v>
          </cell>
          <cell r="AC135" t="str">
            <v>1405/04/08</v>
          </cell>
        </row>
        <row r="136">
          <cell r="B136" t="str">
            <v>Hammer Mill Machine</v>
          </cell>
          <cell r="C136" t="str">
            <v>دستگاه نو</v>
          </cell>
          <cell r="N136" t="str">
            <v>تراش</v>
          </cell>
          <cell r="AC136" t="str">
            <v>1405/04/08</v>
          </cell>
        </row>
        <row r="137">
          <cell r="B137" t="str">
            <v>دستگاه پرس پخت</v>
          </cell>
          <cell r="C137" t="str">
            <v>قطعه تعمیری</v>
          </cell>
          <cell r="N137" t="str">
            <v>تراش</v>
          </cell>
          <cell r="AC137" t="str">
            <v>1405/04/08</v>
          </cell>
        </row>
        <row r="138">
          <cell r="B138" t="str">
            <v>صفحات 50*50 پخت کلاچ</v>
          </cell>
          <cell r="C138" t="str">
            <v>قالب تعمیری</v>
          </cell>
          <cell r="N138" t="str">
            <v>سنگ زنی</v>
          </cell>
          <cell r="AC138" t="str">
            <v>1405/04/08</v>
          </cell>
        </row>
        <row r="139">
          <cell r="B139" t="str">
            <v>قالب لودری 70021</v>
          </cell>
          <cell r="C139" t="str">
            <v>قالب تعمیری</v>
          </cell>
          <cell r="N139" t="str">
            <v>سنگ زنی</v>
          </cell>
          <cell r="AC139" t="str">
            <v>1405/04/08</v>
          </cell>
        </row>
        <row r="140">
          <cell r="B140" t="str">
            <v>قالب لودری 70021</v>
          </cell>
          <cell r="C140" t="str">
            <v>قالب تعمیری</v>
          </cell>
          <cell r="N140" t="str">
            <v>سنگ زنی</v>
          </cell>
          <cell r="AC140" t="str">
            <v>1405/04/08</v>
          </cell>
        </row>
        <row r="141">
          <cell r="B141" t="str">
            <v>قالب کوبه نک SAF</v>
          </cell>
          <cell r="C141" t="str">
            <v>قالب تعمیری</v>
          </cell>
          <cell r="N141" t="str">
            <v>سنگ زنی</v>
          </cell>
          <cell r="AC141" t="str">
            <v>1405/04/08</v>
          </cell>
        </row>
        <row r="142">
          <cell r="B142" t="str">
            <v>قالب توری پگاسوز</v>
          </cell>
          <cell r="C142" t="str">
            <v>قالب نو</v>
          </cell>
          <cell r="N142" t="str">
            <v>سنگ زنی</v>
          </cell>
          <cell r="AC142" t="str">
            <v>1405/04/08</v>
          </cell>
        </row>
        <row r="143">
          <cell r="B143" t="str">
            <v>قالب ترابوزا</v>
          </cell>
          <cell r="C143" t="str">
            <v>قالب تعمیری</v>
          </cell>
          <cell r="N143" t="str">
            <v>سنگ زنی</v>
          </cell>
          <cell r="AC143" t="str">
            <v>1405/04/08</v>
          </cell>
        </row>
        <row r="144">
          <cell r="B144" t="str">
            <v>دستگاه چسب زنی</v>
          </cell>
          <cell r="C144" t="str">
            <v>قطعه تعمیری</v>
          </cell>
          <cell r="N144" t="str">
            <v>وایر</v>
          </cell>
          <cell r="AC144" t="str">
            <v>1405/04/08</v>
          </cell>
        </row>
        <row r="145">
          <cell r="B145" t="str">
            <v>پخت کلاچ پراید</v>
          </cell>
          <cell r="C145" t="str">
            <v>قالب تعمیری</v>
          </cell>
          <cell r="N145" t="str">
            <v>وایر</v>
          </cell>
          <cell r="AC145" t="str">
            <v>1405/04/08</v>
          </cell>
        </row>
        <row r="146">
          <cell r="B146" t="str">
            <v>نگهدارنده پلاک قالب</v>
          </cell>
          <cell r="C146" t="str">
            <v>قطعه نو</v>
          </cell>
          <cell r="N146" t="str">
            <v>وایر</v>
          </cell>
          <cell r="AC146" t="str">
            <v>1405/04/08</v>
          </cell>
        </row>
        <row r="147">
          <cell r="B147" t="str">
            <v>قالب ولوو سوپر</v>
          </cell>
          <cell r="C147" t="str">
            <v>قالب تعمیری</v>
          </cell>
          <cell r="N147" t="str">
            <v>وایر</v>
          </cell>
          <cell r="AC147" t="str">
            <v>1405/04/08</v>
          </cell>
        </row>
        <row r="148">
          <cell r="B148" t="str">
            <v>قالب ولوو سوپر</v>
          </cell>
          <cell r="C148" t="str">
            <v>قالب تعمیری</v>
          </cell>
          <cell r="N148" t="str">
            <v>وایر</v>
          </cell>
          <cell r="AC148" t="str">
            <v>1405/04/08</v>
          </cell>
        </row>
        <row r="149">
          <cell r="B149" t="str">
            <v>دستگاه برش جمعی</v>
          </cell>
          <cell r="C149" t="str">
            <v>قطعه تعمیری</v>
          </cell>
          <cell r="N149" t="str">
            <v>وایر</v>
          </cell>
          <cell r="AC149" t="str">
            <v>1405/04/08</v>
          </cell>
        </row>
        <row r="150">
          <cell r="B150" t="str">
            <v>دستگاه چسب زنی</v>
          </cell>
          <cell r="C150" t="str">
            <v>قطعه تعمیری</v>
          </cell>
          <cell r="N150" t="str">
            <v>وایر</v>
          </cell>
          <cell r="AC150" t="str">
            <v>1405/04/08</v>
          </cell>
        </row>
        <row r="151">
          <cell r="B151" t="str">
            <v>قالب ولوو سوپر</v>
          </cell>
          <cell r="C151" t="str">
            <v>قالب تعمیری</v>
          </cell>
          <cell r="N151" t="str">
            <v>فرز</v>
          </cell>
          <cell r="AC151" t="str">
            <v>1405/04/09</v>
          </cell>
        </row>
        <row r="152">
          <cell r="B152" t="str">
            <v>قالب ترابوزا</v>
          </cell>
          <cell r="C152" t="str">
            <v>قالب تعمیری</v>
          </cell>
          <cell r="N152" t="str">
            <v>فرز</v>
          </cell>
          <cell r="AC152" t="str">
            <v>1405/04/09</v>
          </cell>
        </row>
        <row r="153">
          <cell r="B153" t="str">
            <v>قالب پخت کلاچ پژو 405</v>
          </cell>
          <cell r="C153" t="str">
            <v>قالب تعمیری</v>
          </cell>
          <cell r="N153" t="str">
            <v>CNC</v>
          </cell>
          <cell r="AC153" t="str">
            <v>1405/04/09</v>
          </cell>
        </row>
        <row r="154">
          <cell r="B154" t="str">
            <v>پخت کلاچ پراید</v>
          </cell>
          <cell r="C154" t="str">
            <v>قالب تعمیری</v>
          </cell>
          <cell r="N154" t="str">
            <v>CNC</v>
          </cell>
          <cell r="AC154" t="str">
            <v>1405/04/09</v>
          </cell>
        </row>
        <row r="155">
          <cell r="B155" t="str">
            <v>پخت کلاچ پراید</v>
          </cell>
          <cell r="C155" t="str">
            <v>قالب تعمیری</v>
          </cell>
          <cell r="N155" t="str">
            <v>CNC</v>
          </cell>
          <cell r="AC155" t="str">
            <v>1405/04/09</v>
          </cell>
        </row>
        <row r="156">
          <cell r="B156" t="str">
            <v>دریل یزدخواستی کلاچ</v>
          </cell>
          <cell r="C156" t="str">
            <v>قطعه نو</v>
          </cell>
          <cell r="N156" t="str">
            <v>CNC</v>
          </cell>
          <cell r="AC156" t="str">
            <v>1405/04/09</v>
          </cell>
        </row>
        <row r="157">
          <cell r="B157" t="str">
            <v>Hammer Mill Machine</v>
          </cell>
          <cell r="C157" t="str">
            <v>دستگاه نو</v>
          </cell>
          <cell r="N157" t="str">
            <v>تراش</v>
          </cell>
          <cell r="AC157" t="str">
            <v>1405/04/09</v>
          </cell>
        </row>
        <row r="158">
          <cell r="B158" t="str">
            <v>قالب پخت کلاچ پیکان آرژانتینی</v>
          </cell>
          <cell r="C158" t="str">
            <v>قالب تعمیری</v>
          </cell>
          <cell r="N158" t="str">
            <v>تراش</v>
          </cell>
          <cell r="AC158" t="str">
            <v>1405/04/09</v>
          </cell>
        </row>
        <row r="159">
          <cell r="B159" t="str">
            <v>دستگاه پرس 600 تن</v>
          </cell>
          <cell r="C159" t="str">
            <v>قطعه نو</v>
          </cell>
          <cell r="N159" t="str">
            <v>تراش</v>
          </cell>
          <cell r="AC159" t="str">
            <v>1405/04/09</v>
          </cell>
        </row>
        <row r="160">
          <cell r="B160" t="str">
            <v>ساب کونیک</v>
          </cell>
          <cell r="C160" t="str">
            <v>قطعه تعمیری</v>
          </cell>
          <cell r="N160" t="str">
            <v>تراش</v>
          </cell>
          <cell r="AC160" t="str">
            <v>1405/04/09</v>
          </cell>
        </row>
        <row r="161">
          <cell r="B161" t="str">
            <v>ساب سمباده ای</v>
          </cell>
          <cell r="C161" t="str">
            <v>قطعه تعمیری</v>
          </cell>
          <cell r="N161" t="str">
            <v>تراش</v>
          </cell>
          <cell r="AC161" t="str">
            <v>1405/04/09</v>
          </cell>
        </row>
        <row r="162">
          <cell r="B162" t="str">
            <v>دستگاه پشم فلز چینی</v>
          </cell>
          <cell r="C162" t="str">
            <v>قطعه تعمیری</v>
          </cell>
          <cell r="N162" t="str">
            <v>مونتاژ</v>
          </cell>
          <cell r="AC162" t="str">
            <v>1405/04/09</v>
          </cell>
        </row>
        <row r="163">
          <cell r="B163" t="str">
            <v>قالب پخت کلاچ پیکان آرژانتینی</v>
          </cell>
          <cell r="C163" t="str">
            <v>قالب تعمیری</v>
          </cell>
          <cell r="N163" t="str">
            <v>مونتاژ</v>
          </cell>
          <cell r="AC163" t="str">
            <v>1405/04/09</v>
          </cell>
        </row>
        <row r="164">
          <cell r="B164" t="str">
            <v>قالب فوتون 107</v>
          </cell>
          <cell r="C164" t="str">
            <v>قالب تعمیری</v>
          </cell>
          <cell r="N164" t="str">
            <v>مونتاژ</v>
          </cell>
          <cell r="AC164" t="str">
            <v>1405/04/09</v>
          </cell>
        </row>
        <row r="165">
          <cell r="B165" t="str">
            <v>قالب ترابوزا</v>
          </cell>
          <cell r="C165" t="str">
            <v>قالب تعمیری</v>
          </cell>
          <cell r="N165" t="str">
            <v>سنگ زنی</v>
          </cell>
          <cell r="AC165" t="str">
            <v>1405/04/09</v>
          </cell>
        </row>
        <row r="166">
          <cell r="B166" t="str">
            <v>صفحات 50*50 پخت کلاچ</v>
          </cell>
          <cell r="C166" t="str">
            <v>قالب تعمیری</v>
          </cell>
          <cell r="N166" t="str">
            <v>سنگ زنی</v>
          </cell>
          <cell r="AC166" t="str">
            <v>1405/04/09</v>
          </cell>
        </row>
        <row r="167">
          <cell r="B167" t="str">
            <v>پخت کلاچ پراید</v>
          </cell>
          <cell r="C167" t="str">
            <v>قالب تعمیری</v>
          </cell>
          <cell r="N167" t="str">
            <v>سنگ زنی</v>
          </cell>
          <cell r="AC167" t="str">
            <v>1405/04/09</v>
          </cell>
        </row>
        <row r="168">
          <cell r="B168" t="str">
            <v>قالب کوبه نک SAF</v>
          </cell>
          <cell r="C168" t="str">
            <v>قالب تعمیری</v>
          </cell>
          <cell r="N168" t="str">
            <v>سنگ زنی</v>
          </cell>
          <cell r="AC168" t="str">
            <v>1405/04/09</v>
          </cell>
        </row>
        <row r="169">
          <cell r="B169" t="str">
            <v>قالب پخت کلاچ پیکان آرژانتینی</v>
          </cell>
          <cell r="C169" t="str">
            <v>قالب تعمیری</v>
          </cell>
          <cell r="N169" t="str">
            <v>مونتاژ</v>
          </cell>
          <cell r="AC169" t="str">
            <v>1405/04/09</v>
          </cell>
        </row>
        <row r="170">
          <cell r="B170" t="str">
            <v>قالب پخت کلاچ تیبا چپ</v>
          </cell>
          <cell r="C170" t="str">
            <v>قالب تعمیری</v>
          </cell>
          <cell r="N170" t="str">
            <v>مونتاژ</v>
          </cell>
          <cell r="AC170" t="str">
            <v>1405/04/09</v>
          </cell>
        </row>
        <row r="171">
          <cell r="B171" t="str">
            <v>دستگاه پرس پخت</v>
          </cell>
          <cell r="C171" t="str">
            <v>قطعه تعمیری</v>
          </cell>
          <cell r="N171" t="str">
            <v>دریل رادیال</v>
          </cell>
          <cell r="AC171" t="str">
            <v>1405/04/09</v>
          </cell>
        </row>
        <row r="172">
          <cell r="B172" t="str">
            <v>شمش پراید</v>
          </cell>
          <cell r="C172" t="str">
            <v>قالب نو</v>
          </cell>
          <cell r="N172" t="str">
            <v>دریل رادیال</v>
          </cell>
          <cell r="AC172" t="str">
            <v>1405/04/09</v>
          </cell>
        </row>
        <row r="173">
          <cell r="B173" t="str">
            <v>پخت کلاچ پراید</v>
          </cell>
          <cell r="C173" t="str">
            <v>قالب تعمیری</v>
          </cell>
          <cell r="N173" t="str">
            <v>مونتاژ</v>
          </cell>
          <cell r="AC173" t="str">
            <v>1405/04/09</v>
          </cell>
        </row>
        <row r="174">
          <cell r="B174" t="str">
            <v>پخت کلاچ پراید</v>
          </cell>
          <cell r="C174" t="str">
            <v>قالب تعمیری</v>
          </cell>
          <cell r="N174" t="str">
            <v>دریل رادیال</v>
          </cell>
          <cell r="AC174" t="str">
            <v>1405/04/09</v>
          </cell>
        </row>
        <row r="175">
          <cell r="B175" t="str">
            <v>قالب پخت کلاچ پیکان آرژانتینی</v>
          </cell>
          <cell r="C175" t="str">
            <v>قالب تعمیری</v>
          </cell>
          <cell r="N175" t="str">
            <v>مونتاژ</v>
          </cell>
          <cell r="AC175" t="str">
            <v>1405/04/09</v>
          </cell>
        </row>
        <row r="176">
          <cell r="B176" t="str">
            <v xml:space="preserve">پخت کلاچ پراید سکو </v>
          </cell>
          <cell r="C176" t="str">
            <v>قالب تعمیری</v>
          </cell>
          <cell r="N176" t="str">
            <v>مونتاژ</v>
          </cell>
          <cell r="AC176" t="str">
            <v>1405/04/09</v>
          </cell>
        </row>
        <row r="177">
          <cell r="B177" t="str">
            <v>قالب فوتون 107</v>
          </cell>
          <cell r="C177" t="str">
            <v>قالب تعمیری</v>
          </cell>
          <cell r="N177" t="str">
            <v>مونتاژ</v>
          </cell>
          <cell r="AC177" t="str">
            <v>1405/04/09</v>
          </cell>
        </row>
        <row r="178">
          <cell r="B178" t="str">
            <v>قالب عقب F12</v>
          </cell>
          <cell r="C178" t="str">
            <v>قالب نو</v>
          </cell>
          <cell r="N178" t="str">
            <v>فرز</v>
          </cell>
          <cell r="AC178" t="str">
            <v>1405/04/07</v>
          </cell>
        </row>
        <row r="179">
          <cell r="B179" t="str">
            <v xml:space="preserve">قالب پخت کلاچ پیکان </v>
          </cell>
          <cell r="C179" t="str">
            <v>قالب تعمیری</v>
          </cell>
          <cell r="N179" t="str">
            <v>مونتاژ</v>
          </cell>
          <cell r="AC179" t="str">
            <v>1405/04/07</v>
          </cell>
        </row>
        <row r="180">
          <cell r="B180" t="str">
            <v>قالب توری پگاسوز</v>
          </cell>
          <cell r="C180" t="str">
            <v>قالب نو</v>
          </cell>
          <cell r="N180" t="str">
            <v>فرز</v>
          </cell>
          <cell r="AC180" t="str">
            <v>1405/04/07</v>
          </cell>
        </row>
        <row r="181">
          <cell r="B181" t="str">
            <v>قالب ولوو سوپر</v>
          </cell>
          <cell r="C181" t="str">
            <v>قالب تعمیری</v>
          </cell>
          <cell r="N181" t="str">
            <v>وایر</v>
          </cell>
          <cell r="AC181" t="str">
            <v>1405/04/09</v>
          </cell>
        </row>
        <row r="182">
          <cell r="B182" t="str">
            <v>پخت کلاچ پراید</v>
          </cell>
          <cell r="C182" t="str">
            <v>قالب تعمیری</v>
          </cell>
          <cell r="N182" t="str">
            <v>وایر</v>
          </cell>
          <cell r="AC182" t="str">
            <v>1405/04/09</v>
          </cell>
        </row>
        <row r="183">
          <cell r="B183" t="str">
            <v>دستگاه چسب زنی</v>
          </cell>
          <cell r="C183" t="str">
            <v>قطعه تعمیری</v>
          </cell>
          <cell r="N183" t="str">
            <v>وایر</v>
          </cell>
          <cell r="AC183" t="str">
            <v>1405/04/09</v>
          </cell>
        </row>
        <row r="184">
          <cell r="B184" t="str">
            <v>قالب ولوو سوپر</v>
          </cell>
          <cell r="C184" t="str">
            <v>قالب تعمیری</v>
          </cell>
          <cell r="N184" t="str">
            <v>وایر</v>
          </cell>
          <cell r="AC184" t="str">
            <v>1405/04/09</v>
          </cell>
        </row>
        <row r="185">
          <cell r="B185" t="str">
            <v>دستگاه فرز</v>
          </cell>
          <cell r="C185" t="str">
            <v>قطعه تعمیری</v>
          </cell>
          <cell r="N185" t="str">
            <v>وایر</v>
          </cell>
          <cell r="AC185" t="str">
            <v>1405/04/09</v>
          </cell>
        </row>
        <row r="186">
          <cell r="B186" t="str">
            <v>قالب ولوو سوپر</v>
          </cell>
          <cell r="C186" t="str">
            <v>قالب تعمیری</v>
          </cell>
          <cell r="N186" t="str">
            <v>فرز</v>
          </cell>
          <cell r="AC186" t="str">
            <v>1405/04/10</v>
          </cell>
        </row>
        <row r="187">
          <cell r="B187" t="str">
            <v>قالب ترابوزا</v>
          </cell>
          <cell r="C187" t="str">
            <v>قالب تعمیری</v>
          </cell>
          <cell r="N187" t="str">
            <v>فرز</v>
          </cell>
          <cell r="AC187" t="str">
            <v>1405/04/10</v>
          </cell>
        </row>
        <row r="188">
          <cell r="B188" t="str">
            <v>قالب پخت کلاچ پژو 405</v>
          </cell>
          <cell r="C188" t="str">
            <v>قالب تعمیری</v>
          </cell>
          <cell r="N188" t="str">
            <v>CNC</v>
          </cell>
          <cell r="AC188" t="str">
            <v>1405/04/10</v>
          </cell>
        </row>
        <row r="189">
          <cell r="B189" t="str">
            <v>قالب پخت کلاچ پژو 405</v>
          </cell>
          <cell r="C189" t="str">
            <v>قالب تعمیری</v>
          </cell>
          <cell r="N189" t="str">
            <v>CNC</v>
          </cell>
          <cell r="AC189" t="str">
            <v>1405/04/10</v>
          </cell>
        </row>
        <row r="190">
          <cell r="B190" t="str">
            <v>پخت کلاچ پراید</v>
          </cell>
          <cell r="C190" t="str">
            <v>قالب تعمیری</v>
          </cell>
          <cell r="N190" t="str">
            <v>CNC</v>
          </cell>
          <cell r="AC190" t="str">
            <v>1405/04/10</v>
          </cell>
        </row>
        <row r="191">
          <cell r="B191" t="str">
            <v>قالب پخت کلاچ پژو 405</v>
          </cell>
          <cell r="C191" t="str">
            <v>قالب تعمیری</v>
          </cell>
          <cell r="N191" t="str">
            <v>CNC</v>
          </cell>
          <cell r="AC191" t="str">
            <v>1405/04/10</v>
          </cell>
        </row>
        <row r="192">
          <cell r="B192" t="str">
            <v>پخت کلاچ پراید</v>
          </cell>
          <cell r="C192" t="str">
            <v>قالب تعمیری</v>
          </cell>
          <cell r="N192" t="str">
            <v>CNC</v>
          </cell>
          <cell r="AC192" t="str">
            <v>1405/04/10</v>
          </cell>
        </row>
        <row r="193">
          <cell r="B193" t="str">
            <v>قالب پخت کلاچ پژو 405</v>
          </cell>
          <cell r="C193" t="str">
            <v>قالب تعمیری</v>
          </cell>
          <cell r="N193" t="str">
            <v>تراش</v>
          </cell>
          <cell r="AC193" t="str">
            <v>1405/04/10</v>
          </cell>
        </row>
        <row r="194">
          <cell r="B194" t="str">
            <v>Hammer Mill Machine</v>
          </cell>
          <cell r="C194" t="str">
            <v>دستگاه نو</v>
          </cell>
          <cell r="N194" t="str">
            <v>مونتاژ</v>
          </cell>
          <cell r="AC194" t="str">
            <v>1405/04/10</v>
          </cell>
        </row>
        <row r="195">
          <cell r="B195" t="str">
            <v>دریل یزدخواستی کلاچ</v>
          </cell>
          <cell r="C195" t="str">
            <v>قطعه نو</v>
          </cell>
          <cell r="N195" t="str">
            <v>CNC</v>
          </cell>
          <cell r="AC195" t="str">
            <v>1405/04/10</v>
          </cell>
        </row>
        <row r="196">
          <cell r="B196" t="str">
            <v>Hammer Mill Machine</v>
          </cell>
          <cell r="C196" t="str">
            <v>دستگاه نو</v>
          </cell>
          <cell r="N196" t="str">
            <v>CNC</v>
          </cell>
          <cell r="AC196" t="str">
            <v>1405/04/10</v>
          </cell>
        </row>
        <row r="197">
          <cell r="B197" t="str">
            <v>دستگاه پرس 600 تن</v>
          </cell>
          <cell r="C197" t="str">
            <v>قطعه نو</v>
          </cell>
          <cell r="N197" t="str">
            <v>تراش</v>
          </cell>
          <cell r="AC197" t="str">
            <v>1405/04/10</v>
          </cell>
        </row>
        <row r="198">
          <cell r="B198" t="str">
            <v>ساب کونیک</v>
          </cell>
          <cell r="C198" t="str">
            <v>قطعه تعمیری</v>
          </cell>
          <cell r="N198" t="str">
            <v>تراش</v>
          </cell>
          <cell r="AC198" t="str">
            <v>1405/04/10</v>
          </cell>
        </row>
        <row r="199">
          <cell r="B199" t="str">
            <v>دستگاه پشم فلز آلمانی</v>
          </cell>
          <cell r="C199" t="str">
            <v>قطعه تعمیری</v>
          </cell>
          <cell r="N199" t="str">
            <v>تراش</v>
          </cell>
          <cell r="AC199" t="str">
            <v>1405/04/10</v>
          </cell>
        </row>
        <row r="200">
          <cell r="B200" t="str">
            <v>دستگاه پشم فلز چینی</v>
          </cell>
          <cell r="C200" t="str">
            <v>قطعه تعمیری</v>
          </cell>
          <cell r="N200" t="str">
            <v>تراش</v>
          </cell>
          <cell r="AC200" t="str">
            <v>1405/04/10</v>
          </cell>
        </row>
        <row r="201">
          <cell r="B201" t="str">
            <v>صفحات 50*50 پخت کلاچ</v>
          </cell>
          <cell r="C201" t="str">
            <v>قالب تعمیری</v>
          </cell>
          <cell r="N201" t="str">
            <v>سنگ زنی</v>
          </cell>
          <cell r="AC201" t="str">
            <v>1405/04/10</v>
          </cell>
        </row>
        <row r="202">
          <cell r="B202" t="str">
            <v>قالب ترابوزا</v>
          </cell>
          <cell r="C202" t="str">
            <v>قالب تعمیری</v>
          </cell>
          <cell r="N202" t="str">
            <v>سنگ زنی</v>
          </cell>
          <cell r="AC202" t="str">
            <v>1405/04/10</v>
          </cell>
        </row>
        <row r="203">
          <cell r="B203" t="str">
            <v>قالب ولوو سوپر</v>
          </cell>
          <cell r="C203" t="str">
            <v>قالب تعمیری</v>
          </cell>
          <cell r="N203" t="str">
            <v>سنگ زنی</v>
          </cell>
          <cell r="AC203" t="str">
            <v>1405/04/10</v>
          </cell>
        </row>
        <row r="204">
          <cell r="B204" t="str">
            <v>پخت کلاچ پراید</v>
          </cell>
          <cell r="C204" t="str">
            <v>قالب تعمیری</v>
          </cell>
          <cell r="N204" t="str">
            <v>سنگ زنی</v>
          </cell>
          <cell r="AC204" t="str">
            <v>1405/04/10</v>
          </cell>
        </row>
        <row r="205">
          <cell r="B205" t="str">
            <v>پخت کلاچ پراید</v>
          </cell>
          <cell r="C205" t="str">
            <v>قالب تعمیری</v>
          </cell>
          <cell r="N205" t="str">
            <v>سنگ زنی</v>
          </cell>
          <cell r="AC205" t="str">
            <v>1405/04/10</v>
          </cell>
        </row>
        <row r="206">
          <cell r="B206" t="str">
            <v xml:space="preserve">پخت کلاچ پراید سکو </v>
          </cell>
          <cell r="C206" t="str">
            <v>قالب تعمیری</v>
          </cell>
          <cell r="N206" t="str">
            <v>مونتاژ</v>
          </cell>
          <cell r="AC206" t="str">
            <v>1405/04/10</v>
          </cell>
        </row>
        <row r="207">
          <cell r="B207" t="str">
            <v>قالب فوتون 107</v>
          </cell>
          <cell r="C207" t="str">
            <v>قالب تعمیری</v>
          </cell>
          <cell r="N207" t="str">
            <v>مونتاژ</v>
          </cell>
          <cell r="AC207" t="str">
            <v>1405/04/10</v>
          </cell>
        </row>
        <row r="208">
          <cell r="B208" t="str">
            <v>پخت کلاچ ده تن</v>
          </cell>
          <cell r="C208" t="str">
            <v>قالب تعمیری</v>
          </cell>
          <cell r="N208" t="str">
            <v>مونتاژ</v>
          </cell>
          <cell r="AC208" t="str">
            <v>1405/04/10</v>
          </cell>
        </row>
        <row r="209">
          <cell r="B209" t="str">
            <v>ویوینگ</v>
          </cell>
          <cell r="C209" t="str">
            <v>قطعه تعمیری</v>
          </cell>
          <cell r="N209" t="str">
            <v>فرز</v>
          </cell>
          <cell r="AC209" t="str">
            <v>1405/04/10</v>
          </cell>
        </row>
        <row r="210">
          <cell r="B210" t="str">
            <v xml:space="preserve">قالب پخت کلاچ پیکان </v>
          </cell>
          <cell r="C210" t="str">
            <v>قالب تعمیری</v>
          </cell>
          <cell r="N210" t="str">
            <v>مونتاژ</v>
          </cell>
          <cell r="AC210" t="str">
            <v>1405/04/10</v>
          </cell>
        </row>
        <row r="211">
          <cell r="B211" t="str">
            <v>قالب فوتون 107</v>
          </cell>
          <cell r="C211" t="str">
            <v>قالب تعمیری</v>
          </cell>
          <cell r="N211" t="str">
            <v>مونتاژ</v>
          </cell>
          <cell r="AC211" t="str">
            <v>1405/04/10</v>
          </cell>
        </row>
        <row r="212">
          <cell r="B212" t="str">
            <v>قالب فوتون 107</v>
          </cell>
          <cell r="C212" t="str">
            <v>قالب تعمیری</v>
          </cell>
          <cell r="N212" t="str">
            <v>مونتاژ</v>
          </cell>
          <cell r="AC212" t="str">
            <v>1405/04/10</v>
          </cell>
        </row>
        <row r="213">
          <cell r="B213" t="str">
            <v>قالب فوتون 107</v>
          </cell>
          <cell r="C213" t="str">
            <v>قالب تعمیری</v>
          </cell>
          <cell r="N213" t="str">
            <v>مونتاژ</v>
          </cell>
          <cell r="AC213" t="str">
            <v>1405/04/10</v>
          </cell>
        </row>
        <row r="214">
          <cell r="B214" t="str">
            <v>قالب فوتون 107</v>
          </cell>
          <cell r="C214" t="str">
            <v>قالب تعمیری</v>
          </cell>
          <cell r="N214" t="str">
            <v>اره لنگ</v>
          </cell>
          <cell r="AC214" t="str">
            <v>1405/04/10</v>
          </cell>
        </row>
        <row r="215">
          <cell r="B215" t="str">
            <v>قالب ولوو سوپر</v>
          </cell>
          <cell r="C215" t="str">
            <v>قالب تعمیری</v>
          </cell>
          <cell r="N215" t="str">
            <v>وایر</v>
          </cell>
          <cell r="AC215" t="str">
            <v>1405/04/10</v>
          </cell>
        </row>
        <row r="216">
          <cell r="B216" t="str">
            <v xml:space="preserve">قالب پخت کلاچ پیکان </v>
          </cell>
          <cell r="C216" t="str">
            <v>قالب تعمیری</v>
          </cell>
          <cell r="N216" t="str">
            <v>وایر</v>
          </cell>
          <cell r="AC216" t="str">
            <v>1405/04/10</v>
          </cell>
        </row>
        <row r="217">
          <cell r="B217" t="str">
            <v xml:space="preserve">قالب پخت کلاچ پیکان </v>
          </cell>
          <cell r="C217" t="str">
            <v>قالب تعمیری</v>
          </cell>
          <cell r="N217" t="str">
            <v>وایر</v>
          </cell>
          <cell r="AC217" t="str">
            <v>1405/04/10</v>
          </cell>
        </row>
        <row r="218">
          <cell r="B218" t="str">
            <v>قالب توری پگاسوز</v>
          </cell>
          <cell r="C218" t="str">
            <v>قالب نو</v>
          </cell>
          <cell r="N218" t="str">
            <v>وایر</v>
          </cell>
          <cell r="AC218" t="str">
            <v>1405/04/10</v>
          </cell>
        </row>
        <row r="219">
          <cell r="B219" t="str">
            <v>پخت کلاچ پراید</v>
          </cell>
          <cell r="C219" t="str">
            <v>قالب تعمیری</v>
          </cell>
          <cell r="N219" t="str">
            <v>مونتاژ</v>
          </cell>
          <cell r="AC219" t="str">
            <v>1405/04/10</v>
          </cell>
        </row>
        <row r="220">
          <cell r="B220" t="str">
            <v xml:space="preserve">قالب پخت کلاچ پیکان </v>
          </cell>
          <cell r="C220" t="str">
            <v>قالب تعمیری</v>
          </cell>
          <cell r="N220" t="str">
            <v>مونتاژ</v>
          </cell>
          <cell r="AC220" t="str">
            <v>1405/04/10</v>
          </cell>
        </row>
        <row r="221">
          <cell r="B221" t="str">
            <v>دستگاه مهر زنی</v>
          </cell>
          <cell r="C221" t="str">
            <v>قطعه تعمیری</v>
          </cell>
          <cell r="N221" t="str">
            <v>دریل رادیال</v>
          </cell>
          <cell r="AC221" t="str">
            <v>1405/04/10</v>
          </cell>
        </row>
        <row r="222">
          <cell r="B222" t="str">
            <v>قالب پخت کلاچ پژو 405</v>
          </cell>
          <cell r="C222" t="str">
            <v>قالب تعمیری</v>
          </cell>
          <cell r="N222" t="str">
            <v>مونتاژ</v>
          </cell>
          <cell r="AC222" t="str">
            <v>1405/04/10</v>
          </cell>
        </row>
        <row r="223">
          <cell r="B223" t="str">
            <v>پخت کلاچ ده تن</v>
          </cell>
          <cell r="C223" t="str">
            <v>قالب تعمیری</v>
          </cell>
          <cell r="N223" t="str">
            <v>دریل رادیال</v>
          </cell>
          <cell r="AC223" t="str">
            <v>1405/04/10</v>
          </cell>
        </row>
        <row r="224">
          <cell r="B224" t="str">
            <v>پخت کلاچ پراید</v>
          </cell>
          <cell r="C224" t="str">
            <v>قالب تعمیری</v>
          </cell>
          <cell r="N224" t="str">
            <v>مونتاژ</v>
          </cell>
          <cell r="AC224" t="str">
            <v>1405/04/10</v>
          </cell>
        </row>
        <row r="225">
          <cell r="B225" t="str">
            <v>پخت کلاچ ده تن</v>
          </cell>
          <cell r="C225" t="str">
            <v>قالب تعمیری</v>
          </cell>
          <cell r="N225" t="str">
            <v>مونتاژ</v>
          </cell>
          <cell r="AC225" t="str">
            <v>1405/04/10</v>
          </cell>
        </row>
        <row r="226">
          <cell r="B226" t="str">
            <v>پخت کلاچ پراید</v>
          </cell>
          <cell r="C226" t="str">
            <v>قالب تعمیری</v>
          </cell>
          <cell r="N226" t="str">
            <v>CNC</v>
          </cell>
          <cell r="AC226" t="str">
            <v>1405/04/11</v>
          </cell>
        </row>
        <row r="227">
          <cell r="B227" t="str">
            <v>قالب ترابوزا</v>
          </cell>
          <cell r="C227" t="str">
            <v>قالب تعمیری</v>
          </cell>
          <cell r="N227" t="str">
            <v>فرز</v>
          </cell>
          <cell r="AC227" t="str">
            <v>1405/04/11</v>
          </cell>
        </row>
        <row r="228">
          <cell r="B228" t="str">
            <v>Hammer Mill Machine</v>
          </cell>
          <cell r="C228" t="str">
            <v>دستگاه نو</v>
          </cell>
          <cell r="N228" t="str">
            <v>CNC</v>
          </cell>
          <cell r="AC228" t="str">
            <v>1405/04/11</v>
          </cell>
        </row>
        <row r="229">
          <cell r="B229" t="str">
            <v>پخت کلاچ ده تن</v>
          </cell>
          <cell r="C229" t="str">
            <v>قالب تعمیری</v>
          </cell>
          <cell r="N229" t="str">
            <v>CNC</v>
          </cell>
          <cell r="AC229" t="str">
            <v>1405/04/11</v>
          </cell>
        </row>
        <row r="230">
          <cell r="B230" t="str">
            <v>پخت کلاچ ده تن</v>
          </cell>
          <cell r="C230" t="str">
            <v>قالب تعمیری</v>
          </cell>
          <cell r="N230" t="str">
            <v>CNC</v>
          </cell>
          <cell r="AC230" t="str">
            <v>1405/04/12</v>
          </cell>
        </row>
        <row r="231">
          <cell r="B231" t="str">
            <v>صفحات 50*50 پخت کلاچ</v>
          </cell>
          <cell r="C231" t="str">
            <v>قالب تعمیری</v>
          </cell>
          <cell r="N231" t="str">
            <v>سنگ زنی</v>
          </cell>
          <cell r="AC231" t="str">
            <v>1405/04/11</v>
          </cell>
        </row>
        <row r="232">
          <cell r="B232" t="str">
            <v>قالب ترابوزا</v>
          </cell>
          <cell r="C232" t="str">
            <v>قالب تعمیری</v>
          </cell>
          <cell r="N232" t="str">
            <v>سنگ زنی</v>
          </cell>
          <cell r="AC232" t="str">
            <v>1405/04/11</v>
          </cell>
        </row>
        <row r="233">
          <cell r="B233" t="str">
            <v>قالب ولوو سوپر</v>
          </cell>
          <cell r="C233" t="str">
            <v>قالب تعمیری</v>
          </cell>
          <cell r="N233" t="str">
            <v>سنگ زنی</v>
          </cell>
          <cell r="AC233" t="str">
            <v>1405/04/11</v>
          </cell>
        </row>
        <row r="234">
          <cell r="B234" t="str">
            <v>Hammer Mill Machine</v>
          </cell>
          <cell r="C234" t="str">
            <v>دستگاه نو</v>
          </cell>
          <cell r="N234" t="str">
            <v>تراش</v>
          </cell>
          <cell r="AC234" t="str">
            <v>1405/04/11</v>
          </cell>
        </row>
        <row r="235">
          <cell r="B235" t="str">
            <v>پخت کلاچ پراید</v>
          </cell>
          <cell r="C235" t="str">
            <v>قالب تعمیری</v>
          </cell>
          <cell r="N235" t="str">
            <v>تراش</v>
          </cell>
          <cell r="AC235" t="str">
            <v>1405/04/11</v>
          </cell>
        </row>
        <row r="236">
          <cell r="B236" t="str">
            <v>سری نقطه جوش</v>
          </cell>
          <cell r="C236" t="str">
            <v>قطعه تعمیری</v>
          </cell>
          <cell r="N236" t="str">
            <v>تراش</v>
          </cell>
          <cell r="AC236" t="str">
            <v>1405/04/11</v>
          </cell>
        </row>
        <row r="237">
          <cell r="B237" t="str">
            <v>پخت کلاچ پراید</v>
          </cell>
          <cell r="C237" t="str">
            <v>قالب تعمیری</v>
          </cell>
          <cell r="N237" t="str">
            <v>تراش</v>
          </cell>
          <cell r="AC237" t="str">
            <v>1405/04/11</v>
          </cell>
        </row>
        <row r="238">
          <cell r="B238" t="str">
            <v>دستگاه پشم فلز</v>
          </cell>
          <cell r="C238" t="str">
            <v>قطعه تعمیری</v>
          </cell>
          <cell r="N238" t="str">
            <v>وایر</v>
          </cell>
          <cell r="AC238" t="str">
            <v>1405/04/11</v>
          </cell>
        </row>
        <row r="239">
          <cell r="B239" t="str">
            <v xml:space="preserve">قالب پخت کلاچ پیکان </v>
          </cell>
          <cell r="C239" t="str">
            <v>قالب تعمیری</v>
          </cell>
          <cell r="N239" t="str">
            <v>وایر</v>
          </cell>
          <cell r="AC239" t="str">
            <v>1405/04/11</v>
          </cell>
        </row>
        <row r="240">
          <cell r="B240" t="str">
            <v xml:space="preserve">قالب پخت کلاچ پیکان </v>
          </cell>
          <cell r="C240" t="str">
            <v>قالب تعمیری</v>
          </cell>
          <cell r="N240" t="str">
            <v>وایر</v>
          </cell>
          <cell r="AC240" t="str">
            <v>1405/04/11</v>
          </cell>
        </row>
        <row r="241">
          <cell r="B241" t="str">
            <v xml:space="preserve">قالب پخت کلاچ پیکان </v>
          </cell>
          <cell r="C241" t="str">
            <v>قالب تعمیری</v>
          </cell>
          <cell r="N241" t="str">
            <v>وایر</v>
          </cell>
          <cell r="AC241" t="str">
            <v>1405/04/11</v>
          </cell>
        </row>
        <row r="242">
          <cell r="B242" t="str">
            <v>پخت کلاچ پراید</v>
          </cell>
          <cell r="C242" t="str">
            <v>قالب تعمیری</v>
          </cell>
          <cell r="N242" t="str">
            <v>مونتاژ</v>
          </cell>
          <cell r="AC242" t="str">
            <v>1405/04/11</v>
          </cell>
        </row>
        <row r="243">
          <cell r="B243" t="str">
            <v>پخت کلاچ پراید</v>
          </cell>
          <cell r="C243" t="str">
            <v>قالب تعمیری</v>
          </cell>
          <cell r="N243" t="str">
            <v>مونتاژ</v>
          </cell>
          <cell r="AC243" t="str">
            <v>1405/04/11</v>
          </cell>
        </row>
        <row r="244">
          <cell r="B244" t="str">
            <v>قالب پخت کلاچ پژو 405</v>
          </cell>
          <cell r="C244" t="str">
            <v>قالب تعمیری</v>
          </cell>
          <cell r="N244" t="str">
            <v>مونتاژ</v>
          </cell>
          <cell r="AC244" t="str">
            <v>1405/04/11</v>
          </cell>
        </row>
        <row r="245">
          <cell r="B245" t="str">
            <v>اصول 5S</v>
          </cell>
          <cell r="C245" t="str">
            <v>نظافت</v>
          </cell>
          <cell r="N245" t="str">
            <v>نظافت</v>
          </cell>
          <cell r="AC245" t="str">
            <v>1405/04/11</v>
          </cell>
        </row>
        <row r="246">
          <cell r="B246" t="str">
            <v>پخت کلاچ پژو 206 TU5</v>
          </cell>
          <cell r="C246" t="str">
            <v>قالب تعمیری</v>
          </cell>
          <cell r="N246" t="str">
            <v>مونتاژ</v>
          </cell>
          <cell r="AC246" t="str">
            <v>1405/04/12</v>
          </cell>
        </row>
        <row r="247">
          <cell r="B247" t="str">
            <v>پخت کلاچ پراید</v>
          </cell>
          <cell r="C247" t="str">
            <v>قالب تعمیری</v>
          </cell>
          <cell r="N247" t="str">
            <v>مونتاژ</v>
          </cell>
          <cell r="AC247" t="str">
            <v>1405/04/12</v>
          </cell>
        </row>
        <row r="248">
          <cell r="B248" t="str">
            <v>قالب پخت کلاچ پژو 405</v>
          </cell>
          <cell r="C248" t="str">
            <v>قالب تعمیری</v>
          </cell>
          <cell r="N248" t="str">
            <v>مونتاژ</v>
          </cell>
          <cell r="AC248" t="str">
            <v>1405/04/12</v>
          </cell>
        </row>
        <row r="249">
          <cell r="B249" t="str">
            <v>شیرینگ</v>
          </cell>
          <cell r="C249" t="str">
            <v>قطعه تعمیری</v>
          </cell>
          <cell r="N249" t="str">
            <v>دریل رادیال</v>
          </cell>
          <cell r="AC249" t="str">
            <v>1405/04/11</v>
          </cell>
        </row>
        <row r="250">
          <cell r="B250" t="str">
            <v>دستگاه پشم فلز</v>
          </cell>
          <cell r="C250" t="str">
            <v>قطعه تعمیری</v>
          </cell>
          <cell r="N250" t="str">
            <v>دریل رادیال</v>
          </cell>
          <cell r="AC250" t="str">
            <v>1405/04/11</v>
          </cell>
        </row>
        <row r="251">
          <cell r="B251" t="str">
            <v>پخت کلاچ پژو 206 TU5</v>
          </cell>
          <cell r="C251" t="str">
            <v>قالب تعمیری</v>
          </cell>
          <cell r="N251" t="str">
            <v>مونتاژ</v>
          </cell>
          <cell r="AC251" t="str">
            <v>1405/04/11</v>
          </cell>
        </row>
        <row r="252">
          <cell r="B252" t="str">
            <v>پخت کلاچ FH</v>
          </cell>
          <cell r="C252" t="str">
            <v>قالب تعمیری</v>
          </cell>
          <cell r="N252" t="str">
            <v>مونتاژ</v>
          </cell>
          <cell r="AC252" t="str">
            <v>1405/04/11</v>
          </cell>
        </row>
        <row r="253">
          <cell r="B253" t="str">
            <v>پخت کلاچ ده تن</v>
          </cell>
          <cell r="C253" t="str">
            <v>قالب تعمیری</v>
          </cell>
          <cell r="N253" t="str">
            <v>مونتاژ</v>
          </cell>
          <cell r="AC253" t="str">
            <v>1405/04/11</v>
          </cell>
        </row>
        <row r="254">
          <cell r="B254" t="str">
            <v>پخت کلاچ پژو 206 TU5</v>
          </cell>
          <cell r="C254" t="str">
            <v>قالب تعمیری</v>
          </cell>
          <cell r="N254" t="str">
            <v>مونتاژ</v>
          </cell>
          <cell r="AC254" t="str">
            <v>1405/04/12</v>
          </cell>
        </row>
        <row r="255">
          <cell r="B255" t="str">
            <v>پخت کلاچ پراید</v>
          </cell>
          <cell r="C255" t="str">
            <v>قالب تعمیری</v>
          </cell>
          <cell r="N255" t="str">
            <v>سنگ زنی</v>
          </cell>
          <cell r="AC255" t="str">
            <v>1405/04/12</v>
          </cell>
        </row>
        <row r="256">
          <cell r="B256" t="str">
            <v>پخت کلاچ پراید</v>
          </cell>
          <cell r="C256" t="str">
            <v>قالب تعمیری</v>
          </cell>
          <cell r="N256" t="str">
            <v>تراش</v>
          </cell>
          <cell r="AC256" t="str">
            <v>1405/04/12</v>
          </cell>
        </row>
        <row r="257">
          <cell r="B257" t="str">
            <v>صفحات 50*50 پخت کلاچ</v>
          </cell>
          <cell r="C257" t="str">
            <v>قالب تعمیری</v>
          </cell>
          <cell r="N257" t="str">
            <v>سنگ زنی</v>
          </cell>
          <cell r="AC257" t="str">
            <v>1405/04/13</v>
          </cell>
        </row>
        <row r="258">
          <cell r="B258" t="str">
            <v>پخت کلاچ پژو 206 TU5</v>
          </cell>
          <cell r="C258" t="str">
            <v>قالب تعمیری</v>
          </cell>
          <cell r="N258" t="str">
            <v>سنگ زنی</v>
          </cell>
          <cell r="AC258" t="str">
            <v>1405/04/13</v>
          </cell>
        </row>
        <row r="259">
          <cell r="B259" t="str">
            <v>پخت کلاچ پراید</v>
          </cell>
          <cell r="C259" t="str">
            <v>قالب تعمیری</v>
          </cell>
          <cell r="N259" t="str">
            <v>سنگ زنی</v>
          </cell>
          <cell r="AC259" t="str">
            <v>1405/04/13</v>
          </cell>
        </row>
        <row r="260">
          <cell r="B260" t="str">
            <v>پخت کلاچ پژو 206 TU5</v>
          </cell>
          <cell r="C260" t="str">
            <v>قالب تعمیری</v>
          </cell>
          <cell r="N260" t="str">
            <v>سنگ زنی</v>
          </cell>
          <cell r="AC260" t="str">
            <v>1405/04/13</v>
          </cell>
        </row>
        <row r="261">
          <cell r="B261" t="str">
            <v>دستگاه پشم فلز</v>
          </cell>
          <cell r="C261" t="str">
            <v>قطعه تعمیری</v>
          </cell>
          <cell r="N261" t="str">
            <v>سنگ زنی</v>
          </cell>
          <cell r="AC261" t="str">
            <v>1405/04/13</v>
          </cell>
        </row>
        <row r="262">
          <cell r="B262" t="str">
            <v>پخت کلاچ پراید</v>
          </cell>
          <cell r="C262" t="str">
            <v>قالب تعمیری</v>
          </cell>
          <cell r="N262" t="str">
            <v>تراش</v>
          </cell>
          <cell r="AC262" t="str">
            <v>1405/04/13</v>
          </cell>
        </row>
        <row r="263">
          <cell r="B263" t="str">
            <v>پخت کلاچ پراید</v>
          </cell>
          <cell r="C263" t="str">
            <v>قالب تعمیری</v>
          </cell>
          <cell r="N263" t="str">
            <v>تراش</v>
          </cell>
          <cell r="AC263" t="str">
            <v>1405/04/13</v>
          </cell>
        </row>
        <row r="264">
          <cell r="B264" t="str">
            <v>دستگاه پرس پخت</v>
          </cell>
          <cell r="C264" t="str">
            <v>قطعه تعمیری</v>
          </cell>
          <cell r="N264" t="str">
            <v>فرز</v>
          </cell>
          <cell r="AC264" t="str">
            <v>1405/04/13</v>
          </cell>
        </row>
        <row r="265">
          <cell r="B265" t="str">
            <v>صفحه قالب یدک
700*500*65</v>
          </cell>
          <cell r="C265" t="str">
            <v>قطعه نو</v>
          </cell>
          <cell r="N265" t="str">
            <v>فرز</v>
          </cell>
          <cell r="AC265" t="str">
            <v>1405/04/13</v>
          </cell>
        </row>
        <row r="266">
          <cell r="B266" t="str">
            <v>پخت کلاچ پراید</v>
          </cell>
          <cell r="C266" t="str">
            <v>قالب تعمیری</v>
          </cell>
          <cell r="N266" t="str">
            <v>مونتاژ</v>
          </cell>
          <cell r="AC266" t="str">
            <v>1405/04/13</v>
          </cell>
        </row>
        <row r="267">
          <cell r="B267" t="str">
            <v>پخت کلاچ پراید</v>
          </cell>
          <cell r="C267" t="str">
            <v>قالب تعمیری</v>
          </cell>
          <cell r="N267" t="str">
            <v>مونتاژ</v>
          </cell>
          <cell r="AC267" t="str">
            <v>1405/04/13</v>
          </cell>
        </row>
        <row r="268">
          <cell r="B268" t="str">
            <v>قالب پخت کلاچ پژو 405</v>
          </cell>
          <cell r="C268" t="str">
            <v>قالب تعمیری</v>
          </cell>
          <cell r="N268" t="str">
            <v>مونتاژ</v>
          </cell>
          <cell r="AC268" t="str">
            <v>1405/04/13</v>
          </cell>
        </row>
        <row r="269">
          <cell r="B269" t="str">
            <v>قالب پخت کلاچ پژو 405</v>
          </cell>
          <cell r="C269" t="str">
            <v>قالب تعمیری</v>
          </cell>
          <cell r="N269" t="str">
            <v>مونتاژ</v>
          </cell>
          <cell r="AC269" t="str">
            <v>1405/04/13</v>
          </cell>
        </row>
        <row r="270">
          <cell r="B270" t="str">
            <v>قالب توری پگاسوز</v>
          </cell>
          <cell r="C270" t="str">
            <v>قالب نو</v>
          </cell>
          <cell r="N270" t="str">
            <v>سنگ زنی</v>
          </cell>
          <cell r="AC270" t="str">
            <v>1405/04/13</v>
          </cell>
        </row>
        <row r="271">
          <cell r="B271" t="str">
            <v>پخت کلاچ ده تن</v>
          </cell>
          <cell r="C271" t="str">
            <v>قالب تعمیری</v>
          </cell>
          <cell r="N271" t="str">
            <v>مونتاژ</v>
          </cell>
          <cell r="AC271" t="str">
            <v>1405/04/13</v>
          </cell>
        </row>
        <row r="272">
          <cell r="B272" t="str">
            <v>پخت کلاچ پراید</v>
          </cell>
          <cell r="C272" t="str">
            <v>قالب تعمیری</v>
          </cell>
          <cell r="N272" t="str">
            <v>فرز</v>
          </cell>
          <cell r="AC272" t="str">
            <v>1405/04/13</v>
          </cell>
        </row>
        <row r="273">
          <cell r="B273" t="str">
            <v>پخت کلاچ پراید</v>
          </cell>
          <cell r="C273" t="str">
            <v>قالب تعمیری</v>
          </cell>
          <cell r="N273" t="str">
            <v>مونتاژ</v>
          </cell>
          <cell r="AC273" t="str">
            <v>1405/04/13</v>
          </cell>
        </row>
        <row r="274">
          <cell r="B274" t="str">
            <v>قالب پخت کلاچ پژو 405</v>
          </cell>
          <cell r="C274" t="str">
            <v>قالب تعمیری</v>
          </cell>
          <cell r="N274" t="str">
            <v>مونتاژ</v>
          </cell>
          <cell r="AC274" t="str">
            <v>1405/04/13</v>
          </cell>
        </row>
        <row r="275">
          <cell r="B275" t="str">
            <v>قالب پخت کلاچ پژو 405</v>
          </cell>
          <cell r="C275" t="str">
            <v>قالب تعمیری</v>
          </cell>
          <cell r="N275" t="str">
            <v>مونتاژ</v>
          </cell>
          <cell r="AC275" t="str">
            <v>1405/04/13</v>
          </cell>
        </row>
        <row r="276">
          <cell r="B276" t="str">
            <v>پخت کلاچ پراید</v>
          </cell>
          <cell r="C276" t="str">
            <v>قالب تعمیری</v>
          </cell>
          <cell r="N276" t="str">
            <v>مونتاژ</v>
          </cell>
          <cell r="AC276" t="str">
            <v>1405/04/13</v>
          </cell>
        </row>
        <row r="277">
          <cell r="B277" t="str">
            <v>تخته لنت صنعتی</v>
          </cell>
          <cell r="C277" t="str">
            <v>قطعه تعمیری</v>
          </cell>
          <cell r="N277" t="str">
            <v>دریل رادیال</v>
          </cell>
          <cell r="AC277" t="str">
            <v>1405/04/13</v>
          </cell>
        </row>
        <row r="278">
          <cell r="B278" t="str">
            <v>موتور</v>
          </cell>
          <cell r="C278" t="str">
            <v>قطعه تعمیری</v>
          </cell>
          <cell r="N278" t="str">
            <v>دریل رادیال</v>
          </cell>
          <cell r="AC278" t="str">
            <v>1405/04/13</v>
          </cell>
        </row>
        <row r="279">
          <cell r="B279" t="str">
            <v>قالب پخت کلاچ پژو 405</v>
          </cell>
          <cell r="C279" t="str">
            <v>قالب تعمیری</v>
          </cell>
          <cell r="N279" t="str">
            <v>مونتاژ</v>
          </cell>
          <cell r="AC279" t="str">
            <v>1405/04/14</v>
          </cell>
        </row>
        <row r="280">
          <cell r="B280" t="str">
            <v>پخت کلاچ FH</v>
          </cell>
          <cell r="C280" t="str">
            <v>قالب تعمیری</v>
          </cell>
          <cell r="N280" t="str">
            <v>مونتاژ</v>
          </cell>
          <cell r="AC280" t="str">
            <v>1405/04/14</v>
          </cell>
        </row>
        <row r="281">
          <cell r="B281" t="str">
            <v>قالب ترابوزا</v>
          </cell>
          <cell r="C281" t="str">
            <v>قالب تعمیری</v>
          </cell>
          <cell r="N281" t="str">
            <v>مونتاژ</v>
          </cell>
          <cell r="AC281" t="str">
            <v>1405/04/14</v>
          </cell>
        </row>
        <row r="282">
          <cell r="B282" t="str">
            <v>قالب پخت کلاچ تیبا چپ</v>
          </cell>
          <cell r="C282" t="str">
            <v>قالب تعمیری</v>
          </cell>
          <cell r="N282" t="str">
            <v>مونتاژ</v>
          </cell>
          <cell r="AC282" t="str">
            <v>1405/04/14</v>
          </cell>
        </row>
        <row r="283">
          <cell r="B283" t="str">
            <v>سوراخکاری پیلسان</v>
          </cell>
          <cell r="C283" t="str">
            <v>قطعه نو</v>
          </cell>
          <cell r="N283" t="str">
            <v>CNC</v>
          </cell>
          <cell r="AC283" t="str">
            <v>1405/04/13</v>
          </cell>
        </row>
        <row r="284">
          <cell r="B284" t="str">
            <v xml:space="preserve">قالب پخت کلاچ پیکان </v>
          </cell>
          <cell r="C284" t="str">
            <v>قالب تعمیری</v>
          </cell>
          <cell r="N284" t="str">
            <v>CNC</v>
          </cell>
          <cell r="AC284" t="str">
            <v>1405/04/13</v>
          </cell>
        </row>
        <row r="285">
          <cell r="B285" t="str">
            <v xml:space="preserve">قالب پخت کلاچ پیکان </v>
          </cell>
          <cell r="C285" t="str">
            <v>قالب تعمیری</v>
          </cell>
          <cell r="N285" t="str">
            <v>CNC</v>
          </cell>
          <cell r="AC285" t="str">
            <v>1405/04/13</v>
          </cell>
        </row>
        <row r="286">
          <cell r="B286" t="str">
            <v>قالب پخت کلاچ پژو 405</v>
          </cell>
          <cell r="C286" t="str">
            <v>قالب تعمیری</v>
          </cell>
          <cell r="N286" t="str">
            <v>تراش</v>
          </cell>
          <cell r="AC286" t="str">
            <v>1405/04/13</v>
          </cell>
        </row>
        <row r="287">
          <cell r="B287" t="str">
            <v>قالب پخت کلاچ پژو 405</v>
          </cell>
          <cell r="C287" t="str">
            <v>قالب تعمیری</v>
          </cell>
          <cell r="N287" t="str">
            <v>تراش</v>
          </cell>
          <cell r="AC287" t="str">
            <v>1405/04/13</v>
          </cell>
        </row>
        <row r="288">
          <cell r="B288" t="str">
            <v>قالب پخت کلاچ پژو 405</v>
          </cell>
          <cell r="C288" t="str">
            <v>قالب تعمیری</v>
          </cell>
          <cell r="N288" t="str">
            <v>تراش</v>
          </cell>
          <cell r="AC288" t="str">
            <v>1405/04/13</v>
          </cell>
        </row>
        <row r="289">
          <cell r="B289" t="str">
            <v>دستگاه سوپر دریل</v>
          </cell>
          <cell r="C289" t="str">
            <v>قطعه نو</v>
          </cell>
          <cell r="N289" t="str">
            <v>تراش</v>
          </cell>
          <cell r="AC289" t="str">
            <v>1405/04/13</v>
          </cell>
        </row>
        <row r="290">
          <cell r="B290" t="str">
            <v>دستگاه پشم فلز</v>
          </cell>
          <cell r="C290" t="str">
            <v>قطعه تعمیری</v>
          </cell>
          <cell r="N290" t="str">
            <v>وایر</v>
          </cell>
          <cell r="AC290" t="str">
            <v>1405/04/13</v>
          </cell>
        </row>
        <row r="291">
          <cell r="B291" t="str">
            <v>دستگاه پشم فلز</v>
          </cell>
          <cell r="C291" t="str">
            <v>قطعه تعمیری</v>
          </cell>
          <cell r="N291" t="str">
            <v>وایر</v>
          </cell>
          <cell r="AC291" t="str">
            <v>1405/04/13</v>
          </cell>
        </row>
        <row r="292">
          <cell r="B292" t="str">
            <v xml:space="preserve">قالب پخت کلاچ پیکان </v>
          </cell>
          <cell r="C292" t="str">
            <v>قالب تعمیری</v>
          </cell>
          <cell r="N292" t="str">
            <v>وایر</v>
          </cell>
          <cell r="AC292" t="str">
            <v>1405/04/13</v>
          </cell>
        </row>
        <row r="293">
          <cell r="B293" t="str">
            <v>Hammer Mill Machine</v>
          </cell>
          <cell r="C293" t="str">
            <v>دستگاه نو</v>
          </cell>
          <cell r="N293" t="str">
            <v>وایر</v>
          </cell>
          <cell r="AC293" t="str">
            <v>1405/04/13</v>
          </cell>
        </row>
        <row r="294">
          <cell r="B294" t="str">
            <v>پایه پرچ لنت نیسان</v>
          </cell>
          <cell r="C294" t="str">
            <v>قطعه نو</v>
          </cell>
          <cell r="N294" t="str">
            <v>وایر</v>
          </cell>
          <cell r="AC294" t="str">
            <v>1405/04/13</v>
          </cell>
        </row>
        <row r="295">
          <cell r="B295" t="str">
            <v>دستگاه پشم فلز</v>
          </cell>
          <cell r="C295" t="str">
            <v>قطعه تعمیری</v>
          </cell>
          <cell r="N295" t="str">
            <v>وایر</v>
          </cell>
          <cell r="AC295" t="str">
            <v>1405/04/13</v>
          </cell>
        </row>
        <row r="296">
          <cell r="B296" t="str">
            <v xml:space="preserve">قالب پخت کلاچ پیکان </v>
          </cell>
          <cell r="C296" t="str">
            <v>قالب تعمیری</v>
          </cell>
          <cell r="N296" t="str">
            <v>CNC</v>
          </cell>
          <cell r="AC296" t="str">
            <v>1405/04/14</v>
          </cell>
        </row>
        <row r="297">
          <cell r="B297" t="str">
            <v xml:space="preserve">قالب پخت کلاچ پیکان </v>
          </cell>
          <cell r="C297" t="str">
            <v>قالب تعمیری</v>
          </cell>
          <cell r="N297" t="str">
            <v>CNC</v>
          </cell>
          <cell r="AC297" t="str">
            <v>1405/04/14</v>
          </cell>
        </row>
        <row r="298">
          <cell r="B298" t="str">
            <v>دستگاه پرس پخت</v>
          </cell>
          <cell r="C298" t="str">
            <v>قطعه تعمیری</v>
          </cell>
          <cell r="N298" t="str">
            <v>فرز</v>
          </cell>
          <cell r="AC298" t="str">
            <v>1405/04/14</v>
          </cell>
        </row>
        <row r="299">
          <cell r="B299" t="str">
            <v>سوراخکاری پیلسان</v>
          </cell>
          <cell r="C299" t="str">
            <v>قطعه نو</v>
          </cell>
          <cell r="N299" t="str">
            <v>CNC</v>
          </cell>
          <cell r="AC299" t="str">
            <v>1405/04/14</v>
          </cell>
        </row>
        <row r="300">
          <cell r="B300" t="str">
            <v>سوراخکاری پیلسان</v>
          </cell>
          <cell r="C300" t="str">
            <v>قطعه نو</v>
          </cell>
          <cell r="N300" t="str">
            <v>CNC</v>
          </cell>
          <cell r="AC300" t="str">
            <v>1405/04/14</v>
          </cell>
        </row>
        <row r="301">
          <cell r="B301" t="str">
            <v>شیرینگ</v>
          </cell>
          <cell r="C301" t="str">
            <v>قطعه تعمیری</v>
          </cell>
          <cell r="N301" t="str">
            <v>دریل رادیال</v>
          </cell>
          <cell r="AC301" t="str">
            <v>1405/04/11</v>
          </cell>
        </row>
        <row r="302">
          <cell r="B302" t="str">
            <v>دستگاه پشم فلز</v>
          </cell>
          <cell r="C302" t="str">
            <v>قطعه تعمیری</v>
          </cell>
          <cell r="N302" t="str">
            <v>دریل رادیال</v>
          </cell>
          <cell r="AC302" t="str">
            <v>1405/04/11</v>
          </cell>
        </row>
        <row r="303">
          <cell r="B303" t="str">
            <v>پخت کلاچ پژو 206 TU5</v>
          </cell>
          <cell r="C303" t="str">
            <v>قالب تعمیری</v>
          </cell>
          <cell r="N303" t="str">
            <v>مونتاژ</v>
          </cell>
          <cell r="AC303" t="str">
            <v>1405/04/11</v>
          </cell>
        </row>
        <row r="304">
          <cell r="B304" t="str">
            <v>پخت کلاچ FH</v>
          </cell>
          <cell r="C304" t="str">
            <v>قالب تعمیری</v>
          </cell>
          <cell r="N304" t="str">
            <v>مونتاژ</v>
          </cell>
          <cell r="AC304" t="str">
            <v>1405/04/11</v>
          </cell>
        </row>
        <row r="305">
          <cell r="B305" t="str">
            <v>پخت کلاچ ده تن</v>
          </cell>
          <cell r="C305" t="str">
            <v>قالب تعمیری</v>
          </cell>
          <cell r="N305" t="str">
            <v>مونتاژ</v>
          </cell>
          <cell r="AC305" t="str">
            <v>1405/04/11</v>
          </cell>
        </row>
        <row r="306">
          <cell r="B306" t="str">
            <v>پخت کلاچ پراید</v>
          </cell>
          <cell r="C306" t="str">
            <v>قالب تعمیری</v>
          </cell>
          <cell r="N306" t="str">
            <v>تراش</v>
          </cell>
          <cell r="AC306" t="str">
            <v>1405/04/14</v>
          </cell>
        </row>
        <row r="307">
          <cell r="B307" t="str">
            <v>پخت کلاچ ده تن</v>
          </cell>
          <cell r="C307" t="str">
            <v>قالب تعمیری</v>
          </cell>
          <cell r="N307" t="str">
            <v>تراش</v>
          </cell>
          <cell r="AC307" t="str">
            <v>1405/04/14</v>
          </cell>
        </row>
        <row r="308">
          <cell r="B308" t="str">
            <v>صفحات 50*50 پخت کلاچ</v>
          </cell>
          <cell r="C308" t="str">
            <v>قالب تعمیری</v>
          </cell>
          <cell r="N308" t="str">
            <v>سنگ زنی</v>
          </cell>
          <cell r="AC308" t="str">
            <v>1405/04/14</v>
          </cell>
        </row>
        <row r="309">
          <cell r="B309" t="str">
            <v>قالب برش میدل باس</v>
          </cell>
          <cell r="C309" t="str">
            <v>قالب تعمیری</v>
          </cell>
          <cell r="N309" t="str">
            <v>سنگ زنی</v>
          </cell>
          <cell r="AC309" t="str">
            <v>1405/04/14</v>
          </cell>
        </row>
        <row r="310">
          <cell r="B310" t="str">
            <v>پخت کلاچ پراید</v>
          </cell>
          <cell r="C310" t="str">
            <v>قالب تعمیری</v>
          </cell>
          <cell r="N310" t="str">
            <v>سنگ زنی</v>
          </cell>
          <cell r="AC310" t="str">
            <v>1405/04/14</v>
          </cell>
        </row>
        <row r="311">
          <cell r="B311" t="str">
            <v xml:space="preserve">قالب پخت کلاچ پیکان </v>
          </cell>
          <cell r="C311" t="str">
            <v>قالب تعمیری</v>
          </cell>
          <cell r="N311" t="str">
            <v>سنگ زنی</v>
          </cell>
          <cell r="AC311" t="str">
            <v>1405/04/14</v>
          </cell>
        </row>
        <row r="312">
          <cell r="B312" t="str">
            <v>قالب پخت کلاچ پژو 405</v>
          </cell>
          <cell r="C312" t="str">
            <v>قالب تعمیری</v>
          </cell>
          <cell r="N312" t="str">
            <v>دریل رادیال</v>
          </cell>
          <cell r="AC312" t="str">
            <v>1405/04/14</v>
          </cell>
        </row>
        <row r="313">
          <cell r="B313" t="str">
            <v>ویوینگ</v>
          </cell>
          <cell r="C313" t="str">
            <v>قطعه تعمیری</v>
          </cell>
          <cell r="N313" t="str">
            <v>فرز</v>
          </cell>
          <cell r="AC313" t="str">
            <v>1405/04/14</v>
          </cell>
        </row>
        <row r="314">
          <cell r="B314" t="str">
            <v>قالب پخت کلاچ پژو 405</v>
          </cell>
          <cell r="C314" t="str">
            <v>قالب تعمیری</v>
          </cell>
          <cell r="N314" t="str">
            <v>مونتاژ</v>
          </cell>
          <cell r="AC314" t="str">
            <v>1405/04/14</v>
          </cell>
        </row>
        <row r="315">
          <cell r="B315" t="str">
            <v xml:space="preserve">قالب پخت کلاچ پیکان </v>
          </cell>
          <cell r="C315" t="str">
            <v>قالب تعمیری</v>
          </cell>
          <cell r="N315" t="str">
            <v>مونتاژ</v>
          </cell>
          <cell r="AC315" t="str">
            <v>1405/04/14</v>
          </cell>
        </row>
        <row r="316">
          <cell r="B316" t="str">
            <v>قالب ترابوزا</v>
          </cell>
          <cell r="C316" t="str">
            <v>قالب تعمیری</v>
          </cell>
          <cell r="N316" t="str">
            <v>مونتاژ</v>
          </cell>
          <cell r="AC316" t="str">
            <v>1405/04/14</v>
          </cell>
        </row>
        <row r="317">
          <cell r="B317" t="str">
            <v>ویوینگ</v>
          </cell>
          <cell r="C317" t="str">
            <v>قطعه تعمیری</v>
          </cell>
          <cell r="N317" t="str">
            <v>تراش</v>
          </cell>
          <cell r="AC317" t="str">
            <v>1405/04/14</v>
          </cell>
        </row>
        <row r="318">
          <cell r="B318" t="str">
            <v>ویوینگ</v>
          </cell>
          <cell r="C318" t="str">
            <v>قطعه نو</v>
          </cell>
          <cell r="N318" t="str">
            <v>تراش</v>
          </cell>
          <cell r="AC318" t="str">
            <v>1405/04/14</v>
          </cell>
        </row>
        <row r="319">
          <cell r="B319" t="str">
            <v>ویوینگ</v>
          </cell>
          <cell r="C319" t="str">
            <v>قطعه نو</v>
          </cell>
          <cell r="N319" t="str">
            <v>تراش</v>
          </cell>
          <cell r="AC319" t="str">
            <v>1405/04/14</v>
          </cell>
        </row>
        <row r="320">
          <cell r="B320" t="str">
            <v>ویوینگ</v>
          </cell>
          <cell r="C320" t="str">
            <v>قطعه تعمیری</v>
          </cell>
          <cell r="N320" t="str">
            <v>تراش</v>
          </cell>
          <cell r="AC320" t="str">
            <v>1405/04/14</v>
          </cell>
        </row>
        <row r="321">
          <cell r="B321" t="str">
            <v xml:space="preserve">قالب پخت کلاچ پیکان </v>
          </cell>
          <cell r="C321" t="str">
            <v>قالب تعمیری</v>
          </cell>
          <cell r="N321" t="str">
            <v>تراش</v>
          </cell>
          <cell r="AC321" t="str">
            <v>1405/04/14</v>
          </cell>
        </row>
        <row r="322">
          <cell r="B322" t="str">
            <v>همزن مواد</v>
          </cell>
          <cell r="C322" t="str">
            <v>قطعه تعمیری</v>
          </cell>
          <cell r="N322" t="str">
            <v>تراش</v>
          </cell>
          <cell r="AC322" t="str">
            <v>1405/04/14</v>
          </cell>
        </row>
        <row r="323">
          <cell r="B323" t="str">
            <v>دستگاه پشم فلز</v>
          </cell>
          <cell r="C323" t="str">
            <v>قطعه تعمیری</v>
          </cell>
          <cell r="N323" t="str">
            <v>وایر</v>
          </cell>
          <cell r="AC323" t="str">
            <v>1405/04/14</v>
          </cell>
        </row>
        <row r="324">
          <cell r="B324" t="str">
            <v>دستگاه پشم فلز</v>
          </cell>
          <cell r="C324" t="str">
            <v>قطعه تعمیری</v>
          </cell>
          <cell r="N324" t="str">
            <v>وایر</v>
          </cell>
          <cell r="AC324" t="str">
            <v>1405/04/14</v>
          </cell>
        </row>
        <row r="325">
          <cell r="B325" t="str">
            <v>پایه پرچ لنت نیسان</v>
          </cell>
          <cell r="C325" t="str">
            <v>قطعه نو</v>
          </cell>
          <cell r="N325" t="str">
            <v>وایر</v>
          </cell>
          <cell r="AC325" t="str">
            <v>1405/04/14</v>
          </cell>
        </row>
        <row r="326">
          <cell r="B326" t="str">
            <v>Hammer Mill Machine</v>
          </cell>
          <cell r="C326" t="str">
            <v>دستگاه نو</v>
          </cell>
          <cell r="N326" t="str">
            <v>وایر</v>
          </cell>
          <cell r="AC326" t="str">
            <v>1405/04/14</v>
          </cell>
        </row>
        <row r="327">
          <cell r="B327" t="str">
            <v>ویوینگ</v>
          </cell>
          <cell r="C327" t="str">
            <v>قطعه نو</v>
          </cell>
          <cell r="N327" t="str">
            <v>وایر</v>
          </cell>
          <cell r="AC327" t="str">
            <v>1405/04/14</v>
          </cell>
        </row>
        <row r="328">
          <cell r="B328" t="str">
            <v>قالب پخت کلاچ پژو 405</v>
          </cell>
          <cell r="C328" t="str">
            <v>قالب تعمیری</v>
          </cell>
          <cell r="N328" t="str">
            <v>وایر</v>
          </cell>
          <cell r="AC328" t="str">
            <v>1405/04/14</v>
          </cell>
        </row>
        <row r="329">
          <cell r="B329" t="str">
            <v>قالب پخت کلاچ پژو 405</v>
          </cell>
          <cell r="C329" t="str">
            <v>قالب تعمیری</v>
          </cell>
          <cell r="N329" t="str">
            <v>مونتاژ</v>
          </cell>
          <cell r="AC329" t="str">
            <v>1405/04/14</v>
          </cell>
        </row>
        <row r="330">
          <cell r="B330" t="str">
            <v>قالب ترابوزا</v>
          </cell>
          <cell r="C330" t="str">
            <v>قالب تعمیری</v>
          </cell>
          <cell r="N330" t="str">
            <v>اره لنگ</v>
          </cell>
          <cell r="AC330" t="str">
            <v>1405/04/14</v>
          </cell>
        </row>
        <row r="331">
          <cell r="B331" t="str">
            <v>قالب پخت کلاچ تیبا چپ</v>
          </cell>
          <cell r="C331" t="str">
            <v>قالب تعمیری</v>
          </cell>
          <cell r="N331" t="str">
            <v>مونتاژ</v>
          </cell>
          <cell r="AC331" t="str">
            <v>1405/04/14</v>
          </cell>
        </row>
        <row r="332">
          <cell r="B332" t="str">
            <v>قالب پخت کلاچ پژو 405</v>
          </cell>
          <cell r="C332" t="str">
            <v>قالب تعمیری</v>
          </cell>
          <cell r="N332" t="str">
            <v>مونتاژ</v>
          </cell>
          <cell r="AC332" t="str">
            <v>1405/04/14</v>
          </cell>
        </row>
        <row r="333">
          <cell r="B333" t="str">
            <v>پخت کلاچ FH</v>
          </cell>
          <cell r="C333" t="str">
            <v>قالب تعمیری</v>
          </cell>
          <cell r="N333" t="str">
            <v>مونتاژ</v>
          </cell>
          <cell r="AC333" t="str">
            <v>1405/04/15</v>
          </cell>
        </row>
        <row r="334">
          <cell r="B334" t="str">
            <v>پخت کلاچ FH</v>
          </cell>
          <cell r="C334" t="str">
            <v>قالب تعمیری</v>
          </cell>
          <cell r="N334" t="str">
            <v>مونتاژ</v>
          </cell>
          <cell r="AC334" t="str">
            <v>1405/04/15</v>
          </cell>
        </row>
        <row r="335">
          <cell r="B335" t="str">
            <v xml:space="preserve">قالب پخت کلاچ پیکان </v>
          </cell>
          <cell r="C335" t="str">
            <v>قالب تعمیری</v>
          </cell>
          <cell r="N335" t="str">
            <v>CNC</v>
          </cell>
          <cell r="AC335" t="str">
            <v>1405/04/15</v>
          </cell>
        </row>
        <row r="336">
          <cell r="B336" t="str">
            <v>صفحه قالب یدک
700*500*65</v>
          </cell>
          <cell r="C336" t="str">
            <v>قطعه نو</v>
          </cell>
          <cell r="N336" t="str">
            <v>فرز</v>
          </cell>
          <cell r="AC336" t="str">
            <v>1405/04/15</v>
          </cell>
        </row>
        <row r="337">
          <cell r="B337" t="str">
            <v>صفحه قالب یدک
700*500*65</v>
          </cell>
          <cell r="C337" t="str">
            <v>قطعه نو</v>
          </cell>
          <cell r="N337" t="str">
            <v>فرز</v>
          </cell>
          <cell r="AC337" t="str">
            <v>1405/04/14</v>
          </cell>
        </row>
        <row r="338">
          <cell r="B338" t="str">
            <v xml:space="preserve">قالب پخت کلاچ پیکان </v>
          </cell>
          <cell r="C338" t="str">
            <v>قالب تعمیری</v>
          </cell>
          <cell r="N338" t="str">
            <v>تراش</v>
          </cell>
          <cell r="AC338" t="str">
            <v>1405/04/15</v>
          </cell>
        </row>
        <row r="339">
          <cell r="B339" t="str">
            <v xml:space="preserve">قالب پخت کلاچ پیکان </v>
          </cell>
          <cell r="C339" t="str">
            <v>قالب تعمیری</v>
          </cell>
          <cell r="N339" t="str">
            <v>تراش</v>
          </cell>
          <cell r="AC339" t="str">
            <v>1405/04/15</v>
          </cell>
        </row>
        <row r="340">
          <cell r="B340" t="str">
            <v>صفحات 50*50 پخت کلاچ</v>
          </cell>
          <cell r="C340" t="str">
            <v>قالب تعمیری</v>
          </cell>
          <cell r="N340" t="str">
            <v>سنگ زنی</v>
          </cell>
          <cell r="AC340" t="str">
            <v>1405/04/15</v>
          </cell>
        </row>
        <row r="341">
          <cell r="B341" t="str">
            <v xml:space="preserve">قالب پخت کلاچ پیکان </v>
          </cell>
          <cell r="C341" t="str">
            <v>قالب تعمیری</v>
          </cell>
          <cell r="N341" t="str">
            <v>سنگ زنی</v>
          </cell>
          <cell r="AC341" t="str">
            <v>1405/04/15</v>
          </cell>
        </row>
        <row r="342">
          <cell r="B342" t="str">
            <v xml:space="preserve">قالب پخت کلاچ پیکان </v>
          </cell>
          <cell r="C342" t="str">
            <v>قالب تعمیری</v>
          </cell>
          <cell r="N342" t="str">
            <v>CNC</v>
          </cell>
          <cell r="AC342" t="str">
            <v>1405/04/15</v>
          </cell>
        </row>
        <row r="343">
          <cell r="B343" t="str">
            <v>قالب پخت کلاچ پژو 405</v>
          </cell>
          <cell r="C343" t="str">
            <v>قالب تعمیری</v>
          </cell>
          <cell r="N343" t="str">
            <v>CNC</v>
          </cell>
          <cell r="AC343" t="str">
            <v>1405/04/15</v>
          </cell>
        </row>
        <row r="344">
          <cell r="B344" t="str">
            <v>سوراخکاری پیلسان</v>
          </cell>
          <cell r="C344" t="str">
            <v>قطعه نو</v>
          </cell>
          <cell r="N344" t="str">
            <v>CNC</v>
          </cell>
          <cell r="AC344" t="str">
            <v>1405/04/15</v>
          </cell>
        </row>
        <row r="345">
          <cell r="B345" t="str">
            <v>دستگاه پرس 600 تن</v>
          </cell>
          <cell r="C345" t="str">
            <v>قطعه نو</v>
          </cell>
          <cell r="N345" t="str">
            <v>CNC</v>
          </cell>
          <cell r="AC345" t="str">
            <v>1405/04/15</v>
          </cell>
        </row>
        <row r="346">
          <cell r="B346" t="str">
            <v>پخت کلاچ FH</v>
          </cell>
          <cell r="C346" t="str">
            <v>قالب تعمیری</v>
          </cell>
          <cell r="N346" t="str">
            <v>مونتاژ</v>
          </cell>
          <cell r="AC346" t="str">
            <v>1405/04/15</v>
          </cell>
        </row>
        <row r="347">
          <cell r="B347" t="str">
            <v xml:space="preserve">قالب پخت کلاچ پیکان </v>
          </cell>
          <cell r="C347" t="str">
            <v>قالب تعمیری</v>
          </cell>
          <cell r="N347" t="str">
            <v>مونتاژ</v>
          </cell>
          <cell r="AC347" t="str">
            <v>1405/04/15</v>
          </cell>
        </row>
        <row r="348">
          <cell r="B348" t="str">
            <v>قالب پخت کلاچ پژو 405</v>
          </cell>
          <cell r="C348" t="str">
            <v>قالب تعمیری</v>
          </cell>
          <cell r="N348" t="str">
            <v>مونتاژ</v>
          </cell>
          <cell r="AC348" t="str">
            <v>1405/04/15</v>
          </cell>
        </row>
        <row r="349">
          <cell r="B349" t="str">
            <v xml:space="preserve">قالب پخت کلاچ پیکان </v>
          </cell>
          <cell r="C349" t="str">
            <v>قالب تعمیری</v>
          </cell>
          <cell r="N349" t="str">
            <v>مونتاژ</v>
          </cell>
          <cell r="AC349" t="str">
            <v>1405/04/15</v>
          </cell>
        </row>
        <row r="350">
          <cell r="B350" t="str">
            <v>قالب پخت کلاچ پژو 405</v>
          </cell>
          <cell r="C350" t="str">
            <v>قالب تعمیری</v>
          </cell>
          <cell r="N350" t="str">
            <v>مونتاژ</v>
          </cell>
          <cell r="AC350" t="str">
            <v>1405/04/15</v>
          </cell>
        </row>
        <row r="351">
          <cell r="B351" t="str">
            <v>قالب ترابوزا</v>
          </cell>
          <cell r="C351" t="str">
            <v>قالب تعمیری</v>
          </cell>
          <cell r="N351" t="str">
            <v>مونتاژ</v>
          </cell>
          <cell r="AC351" t="str">
            <v>1405/04/15</v>
          </cell>
        </row>
        <row r="352">
          <cell r="B352" t="str">
            <v xml:space="preserve">قالب پخت کلاچ پیکان </v>
          </cell>
          <cell r="C352" t="str">
            <v>قالب تعمیری</v>
          </cell>
          <cell r="N352" t="str">
            <v>دریل رادیال</v>
          </cell>
          <cell r="AC352" t="str">
            <v>1405/04/15</v>
          </cell>
        </row>
        <row r="353">
          <cell r="B353" t="str">
            <v>ساب الماسه</v>
          </cell>
          <cell r="C353" t="str">
            <v>قطعه تعمیری</v>
          </cell>
          <cell r="N353" t="str">
            <v>دریل رادیال</v>
          </cell>
          <cell r="AC353" t="str">
            <v>1405/04/15</v>
          </cell>
        </row>
        <row r="354">
          <cell r="B354" t="str">
            <v>ساب الماسه</v>
          </cell>
          <cell r="C354" t="str">
            <v>قطعه تعمیری</v>
          </cell>
          <cell r="N354" t="str">
            <v>مونتاژ</v>
          </cell>
          <cell r="AC354" t="str">
            <v>1405/04/15</v>
          </cell>
        </row>
        <row r="355">
          <cell r="B355" t="str">
            <v>دستگاه پشم فلز</v>
          </cell>
          <cell r="C355" t="str">
            <v>قطعه تعمیری</v>
          </cell>
          <cell r="N355" t="str">
            <v>وایر</v>
          </cell>
          <cell r="AC355" t="str">
            <v>1405/04/15</v>
          </cell>
        </row>
        <row r="356">
          <cell r="B356" t="str">
            <v>دستگاه پشم فلز</v>
          </cell>
          <cell r="C356" t="str">
            <v>قطعه تعمیری</v>
          </cell>
          <cell r="N356" t="str">
            <v>وایر</v>
          </cell>
          <cell r="AC356" t="str">
            <v>1405/04/15</v>
          </cell>
        </row>
        <row r="357">
          <cell r="B357" t="str">
            <v>قالب پخت کلاچ پژو 405</v>
          </cell>
          <cell r="C357" t="str">
            <v>قالب تعمیری</v>
          </cell>
          <cell r="N357" t="str">
            <v>وایر</v>
          </cell>
          <cell r="AC357" t="str">
            <v>1405/04/15</v>
          </cell>
        </row>
        <row r="358">
          <cell r="B358" t="str">
            <v>ویوینگ</v>
          </cell>
          <cell r="C358" t="str">
            <v>قطعه نو</v>
          </cell>
          <cell r="N358" t="str">
            <v>وایر</v>
          </cell>
          <cell r="AC358" t="str">
            <v>1405/04/15</v>
          </cell>
        </row>
        <row r="359">
          <cell r="B359" t="str">
            <v>کلمپ زنی</v>
          </cell>
          <cell r="C359" t="str">
            <v>دستگاه تعمیری</v>
          </cell>
          <cell r="N359" t="str">
            <v>وایر</v>
          </cell>
          <cell r="AC359" t="str">
            <v>1405/04/15</v>
          </cell>
        </row>
        <row r="360">
          <cell r="B360" t="str">
            <v>قالب ترابوزا</v>
          </cell>
          <cell r="C360" t="str">
            <v>قالب تعمیری</v>
          </cell>
          <cell r="N360" t="str">
            <v>تراش</v>
          </cell>
          <cell r="AC360" t="str">
            <v>1405/04/15</v>
          </cell>
        </row>
        <row r="361">
          <cell r="B361" t="str">
            <v>قالب پخت کلاچ پژو 405</v>
          </cell>
          <cell r="C361" t="str">
            <v>قالب تعمیری</v>
          </cell>
          <cell r="N361" t="str">
            <v>تراش</v>
          </cell>
          <cell r="AC361" t="str">
            <v>1405/04/15</v>
          </cell>
        </row>
        <row r="362">
          <cell r="B362" t="str">
            <v>ساب الماسه</v>
          </cell>
          <cell r="C362" t="str">
            <v>قطعه تعمیری</v>
          </cell>
          <cell r="N362" t="str">
            <v>تراش</v>
          </cell>
          <cell r="AC362" t="str">
            <v>1405/04/15</v>
          </cell>
        </row>
        <row r="363">
          <cell r="B363" t="str">
            <v>ساب الماسه</v>
          </cell>
          <cell r="C363" t="str">
            <v>قطعه تعمیری</v>
          </cell>
          <cell r="N363" t="str">
            <v>تراش</v>
          </cell>
          <cell r="AC363" t="str">
            <v>1405/04/15</v>
          </cell>
        </row>
        <row r="364">
          <cell r="B364" t="str">
            <v>ساب الماسه</v>
          </cell>
          <cell r="C364" t="str">
            <v>قطعه نو</v>
          </cell>
          <cell r="N364" t="str">
            <v>تراش</v>
          </cell>
          <cell r="AC364" t="str">
            <v>1405/04/15</v>
          </cell>
        </row>
        <row r="365">
          <cell r="B365" t="str">
            <v>پخت کلاچ FH</v>
          </cell>
          <cell r="C365" t="str">
            <v>قالب تعمیری</v>
          </cell>
          <cell r="N365" t="str">
            <v>مونتاژ</v>
          </cell>
          <cell r="AC365" t="str">
            <v>1405/04/15</v>
          </cell>
        </row>
        <row r="366">
          <cell r="B366" t="str">
            <v>پخت کلاچ FH</v>
          </cell>
          <cell r="C366" t="str">
            <v>قالب تعمیری</v>
          </cell>
          <cell r="N366" t="str">
            <v>مونتاژ</v>
          </cell>
          <cell r="AC366" t="str">
            <v>1405/04/15</v>
          </cell>
        </row>
        <row r="367">
          <cell r="B367" t="str">
            <v>قالب پخت کلاچ پژو 405</v>
          </cell>
          <cell r="C367" t="str">
            <v>قالب تعمیری</v>
          </cell>
          <cell r="N367" t="str">
            <v>مونتاژ</v>
          </cell>
          <cell r="AC367" t="str">
            <v>1405/04/15</v>
          </cell>
        </row>
        <row r="368">
          <cell r="B368" t="str">
            <v>قالب پخت کلاچ پژو 405</v>
          </cell>
          <cell r="C368" t="str">
            <v>قالب تعمیری</v>
          </cell>
          <cell r="N368" t="str">
            <v>مونتاژ</v>
          </cell>
          <cell r="AC368" t="str">
            <v>1405/04/15</v>
          </cell>
        </row>
        <row r="369">
          <cell r="B369" t="str">
            <v>قالب پخت کلاچ پیکان</v>
          </cell>
          <cell r="C369" t="str">
            <v>قالب تعمیری</v>
          </cell>
          <cell r="N369" t="str">
            <v>مونتاژ</v>
          </cell>
          <cell r="AC369" t="str">
            <v>1405/04/15</v>
          </cell>
        </row>
        <row r="370">
          <cell r="B370" t="str">
            <v>پخت کلاچ پراید</v>
          </cell>
          <cell r="C370" t="str">
            <v>قالب تعمیری</v>
          </cell>
          <cell r="N370" t="str">
            <v>CNC</v>
          </cell>
          <cell r="AC370" t="str">
            <v>1405/04/16</v>
          </cell>
        </row>
        <row r="371">
          <cell r="B371" t="str">
            <v>پخت کلاچ پراید</v>
          </cell>
          <cell r="C371" t="str">
            <v>قالب تعمیری</v>
          </cell>
          <cell r="N371" t="str">
            <v>CNC</v>
          </cell>
          <cell r="AC371" t="str">
            <v>1405/04/16</v>
          </cell>
        </row>
        <row r="372">
          <cell r="B372" t="str">
            <v>دستگاه پرس 600 تن</v>
          </cell>
          <cell r="C372" t="str">
            <v>قطعه نو</v>
          </cell>
          <cell r="N372" t="str">
            <v>CNC</v>
          </cell>
          <cell r="AC372" t="str">
            <v>1405/04/16</v>
          </cell>
        </row>
        <row r="373">
          <cell r="B373" t="str">
            <v xml:space="preserve">قالب پخت کلاچ پیکان </v>
          </cell>
          <cell r="C373" t="str">
            <v>قالب تعمیری</v>
          </cell>
          <cell r="N373" t="str">
            <v>CNC</v>
          </cell>
          <cell r="AC373" t="str">
            <v>1405/04/16</v>
          </cell>
        </row>
        <row r="374">
          <cell r="B374" t="str">
            <v>دستگاه پرس 600 تن</v>
          </cell>
          <cell r="C374" t="str">
            <v>قطعه نو</v>
          </cell>
          <cell r="N374" t="str">
            <v>مونتاژ</v>
          </cell>
          <cell r="AC374" t="str">
            <v>1405/04/16</v>
          </cell>
        </row>
        <row r="375">
          <cell r="B375" t="str">
            <v>صفحات 50*50 پخت کلاچ</v>
          </cell>
          <cell r="C375" t="str">
            <v>قالب تعمیری</v>
          </cell>
          <cell r="N375" t="str">
            <v>سنگ زنی</v>
          </cell>
          <cell r="AC375" t="str">
            <v>1405/04/16</v>
          </cell>
        </row>
        <row r="376">
          <cell r="B376" t="str">
            <v>سوراخکاری پیلسان</v>
          </cell>
          <cell r="C376" t="str">
            <v>قطعه نو</v>
          </cell>
          <cell r="N376" t="str">
            <v>سنگ زنی</v>
          </cell>
          <cell r="AC376" t="str">
            <v>1405/04/16</v>
          </cell>
        </row>
        <row r="377">
          <cell r="B377" t="str">
            <v>صفحه قالب یدک
700*500*65</v>
          </cell>
          <cell r="C377" t="str">
            <v>قطعه نو</v>
          </cell>
          <cell r="N377" t="str">
            <v>فرز</v>
          </cell>
          <cell r="AC377" t="str">
            <v>1405/04/16</v>
          </cell>
        </row>
        <row r="378">
          <cell r="B378" t="str">
            <v>دستگاه برش جمعی</v>
          </cell>
          <cell r="C378" t="str">
            <v>دستگاه نو</v>
          </cell>
          <cell r="N378" t="str">
            <v>فرز</v>
          </cell>
          <cell r="AC378" t="str">
            <v>1405/04/16</v>
          </cell>
        </row>
        <row r="379">
          <cell r="B379" t="str">
            <v>دستگاه پرس پخت</v>
          </cell>
          <cell r="C379" t="str">
            <v>قطعه تعمیری</v>
          </cell>
          <cell r="N379" t="str">
            <v>فرز</v>
          </cell>
          <cell r="AC379" t="str">
            <v>1405/04/16</v>
          </cell>
        </row>
        <row r="380">
          <cell r="B380" t="str">
            <v>لیفتراک</v>
          </cell>
          <cell r="C380" t="str">
            <v>قطعه تعمیری</v>
          </cell>
          <cell r="N380" t="str">
            <v>تراش</v>
          </cell>
          <cell r="AC380" t="str">
            <v>1405/04/16</v>
          </cell>
        </row>
        <row r="381">
          <cell r="B381" t="str">
            <v>قالب پخت کلاچ پژو 405</v>
          </cell>
          <cell r="C381" t="str">
            <v>قالب تعمیری</v>
          </cell>
          <cell r="N381" t="str">
            <v>تراش</v>
          </cell>
          <cell r="AC381" t="str">
            <v>1405/04/16</v>
          </cell>
        </row>
        <row r="382">
          <cell r="B382" t="str">
            <v>دستگاه پرس پخت</v>
          </cell>
          <cell r="C382" t="str">
            <v>قطعه تعمیری</v>
          </cell>
          <cell r="N382" t="str">
            <v>تراش</v>
          </cell>
          <cell r="AC382" t="str">
            <v>1405/04/16</v>
          </cell>
        </row>
        <row r="383">
          <cell r="B383" t="str">
            <v xml:space="preserve">قالب پخت کلاچ پیکان </v>
          </cell>
          <cell r="C383" t="str">
            <v>قالب تعمیری</v>
          </cell>
          <cell r="N383" t="str">
            <v>تراش</v>
          </cell>
          <cell r="AC383" t="str">
            <v>1405/04/16</v>
          </cell>
        </row>
        <row r="384">
          <cell r="B384" t="str">
            <v>دستگاه پرس پخت</v>
          </cell>
          <cell r="C384" t="str">
            <v>قطعه تعمیری</v>
          </cell>
          <cell r="N384" t="str">
            <v>تراش</v>
          </cell>
          <cell r="AC384" t="str">
            <v>1405/04/16</v>
          </cell>
        </row>
        <row r="385">
          <cell r="B385" t="str">
            <v>سری نقطه جوش</v>
          </cell>
          <cell r="C385" t="str">
            <v>قطعه تعمیری</v>
          </cell>
          <cell r="N385" t="str">
            <v>تراش</v>
          </cell>
          <cell r="AC385" t="str">
            <v>1405/04/16</v>
          </cell>
        </row>
        <row r="386">
          <cell r="B386" t="str">
            <v>دستگاه پشم فلز</v>
          </cell>
          <cell r="C386" t="str">
            <v>قطعه تعمیری</v>
          </cell>
          <cell r="N386" t="str">
            <v>وایر</v>
          </cell>
          <cell r="AC386" t="str">
            <v>1405/04/16</v>
          </cell>
        </row>
        <row r="387">
          <cell r="B387" t="str">
            <v>قالب پخت کلاچ پژو 405</v>
          </cell>
          <cell r="C387" t="str">
            <v>قالب تعمیری</v>
          </cell>
          <cell r="N387" t="str">
            <v>وایر</v>
          </cell>
          <cell r="AC387" t="str">
            <v>1405/04/16</v>
          </cell>
        </row>
        <row r="388">
          <cell r="B388" t="str">
            <v>کلمپ زنی</v>
          </cell>
          <cell r="C388" t="str">
            <v>دستگاه تعمیری</v>
          </cell>
          <cell r="N388" t="str">
            <v>وایر</v>
          </cell>
          <cell r="AC388" t="str">
            <v>1405/04/16</v>
          </cell>
        </row>
        <row r="389">
          <cell r="B389" t="str">
            <v>دستگاه پشم فلز</v>
          </cell>
          <cell r="C389" t="str">
            <v>قطعه تعمیری</v>
          </cell>
          <cell r="N389" t="str">
            <v>وایر</v>
          </cell>
          <cell r="AC389" t="str">
            <v>1405/04/16</v>
          </cell>
        </row>
        <row r="390">
          <cell r="B390" t="str">
            <v>دستگاه پشم فلز</v>
          </cell>
          <cell r="C390" t="str">
            <v>قطعه تعمیری</v>
          </cell>
          <cell r="N390" t="str">
            <v>وایر</v>
          </cell>
          <cell r="AC390" t="str">
            <v>1405/04/16</v>
          </cell>
        </row>
        <row r="391">
          <cell r="B391" t="str">
            <v>پرچ ریو</v>
          </cell>
          <cell r="C391" t="str">
            <v>قطعه تعمیری</v>
          </cell>
          <cell r="N391" t="str">
            <v>وایر</v>
          </cell>
          <cell r="AC391" t="str">
            <v>1405/04/16</v>
          </cell>
        </row>
        <row r="392">
          <cell r="B392" t="str">
            <v xml:space="preserve">قالب پخت کلاچ پیکان </v>
          </cell>
          <cell r="C392" t="str">
            <v>قالب تعمیری</v>
          </cell>
          <cell r="N392" t="str">
            <v>مونتاژ</v>
          </cell>
          <cell r="AC392" t="str">
            <v>1405/04/16</v>
          </cell>
        </row>
        <row r="393">
          <cell r="B393" t="str">
            <v>پخت کلاچ پراید</v>
          </cell>
          <cell r="C393" t="str">
            <v>قالب تعمیری</v>
          </cell>
          <cell r="N393" t="str">
            <v>مونتاژ</v>
          </cell>
          <cell r="AC393" t="str">
            <v>1405/04/16</v>
          </cell>
        </row>
        <row r="394">
          <cell r="B394" t="str">
            <v>قالب پخت کلاچ پژو 405</v>
          </cell>
          <cell r="C394" t="str">
            <v>قالب تعمیری</v>
          </cell>
          <cell r="N394" t="str">
            <v>مونتاژ</v>
          </cell>
          <cell r="AC394" t="str">
            <v>1405/04/16</v>
          </cell>
        </row>
        <row r="395">
          <cell r="B395" t="str">
            <v>ویوینگ</v>
          </cell>
          <cell r="C395" t="str">
            <v>قطعه نو</v>
          </cell>
          <cell r="N395" t="str">
            <v>مونتاژ</v>
          </cell>
          <cell r="AC395" t="str">
            <v>1405/04/16</v>
          </cell>
        </row>
        <row r="396">
          <cell r="B396" t="str">
            <v>سوراخکاری پیلسان</v>
          </cell>
          <cell r="C396" t="str">
            <v>قطعه نو</v>
          </cell>
          <cell r="N396" t="str">
            <v>دریل رادیال</v>
          </cell>
          <cell r="AC396" t="str">
            <v>1405/04/16</v>
          </cell>
        </row>
        <row r="397">
          <cell r="B397" t="str">
            <v>دستگاه پرس 600 تن</v>
          </cell>
          <cell r="C397" t="str">
            <v>قطعه نو</v>
          </cell>
          <cell r="N397" t="str">
            <v>مونتاژ</v>
          </cell>
          <cell r="AC397" t="str">
            <v>1405/04/16</v>
          </cell>
        </row>
        <row r="398">
          <cell r="B398" t="str">
            <v xml:space="preserve">قالب پخت کلاچ پیکان </v>
          </cell>
          <cell r="C398" t="str">
            <v>قالب تعمیری</v>
          </cell>
          <cell r="N398" t="str">
            <v>مونتاژ</v>
          </cell>
          <cell r="AC398" t="str">
            <v>1405/04/16</v>
          </cell>
        </row>
        <row r="399">
          <cell r="B399" t="str">
            <v>پخت کلاچ پراید</v>
          </cell>
          <cell r="C399" t="str">
            <v>قالب تعمیری</v>
          </cell>
          <cell r="N399" t="str">
            <v>مونتاژ</v>
          </cell>
          <cell r="AC399" t="str">
            <v>1405/04/16</v>
          </cell>
        </row>
        <row r="400">
          <cell r="B400" t="str">
            <v>قالب پخت کلاچ پژو 405</v>
          </cell>
          <cell r="C400" t="str">
            <v>قالب تعمیری</v>
          </cell>
          <cell r="N400" t="str">
            <v>مونتاژ</v>
          </cell>
          <cell r="AC400" t="str">
            <v>1405/04/16</v>
          </cell>
        </row>
        <row r="401">
          <cell r="B401" t="str">
            <v>قالب ترابوزا</v>
          </cell>
          <cell r="C401" t="str">
            <v>قالب تعمیری</v>
          </cell>
          <cell r="N401" t="str">
            <v>مونتاژ</v>
          </cell>
          <cell r="AC401" t="str">
            <v>1405/04/16</v>
          </cell>
        </row>
        <row r="402">
          <cell r="B402" t="str">
            <v>سوراخکاری پیلسان</v>
          </cell>
          <cell r="C402" t="str">
            <v>قطعه نو</v>
          </cell>
          <cell r="N402" t="str">
            <v>دریل رادیال</v>
          </cell>
          <cell r="AC402" t="str">
            <v>1405/04/16</v>
          </cell>
        </row>
        <row r="403">
          <cell r="B403" t="str">
            <v xml:space="preserve">قالب پخت کلاچ پیکان </v>
          </cell>
          <cell r="C403" t="str">
            <v>قالب تعمیری</v>
          </cell>
          <cell r="N403" t="str">
            <v>CNC</v>
          </cell>
          <cell r="AC403" t="str">
            <v>1405/04/17</v>
          </cell>
        </row>
        <row r="404">
          <cell r="B404" t="str">
            <v>دستگاه پرس 600 تن</v>
          </cell>
          <cell r="C404" t="str">
            <v>قطعه نو</v>
          </cell>
          <cell r="N404" t="str">
            <v>مونتاژ</v>
          </cell>
          <cell r="AC404" t="str">
            <v>1405/04/17</v>
          </cell>
        </row>
        <row r="405">
          <cell r="B405" t="str">
            <v>صفحه قالب یدک
700*500*65</v>
          </cell>
          <cell r="C405" t="str">
            <v>قطعه نو</v>
          </cell>
          <cell r="N405" t="str">
            <v>فرز</v>
          </cell>
          <cell r="AC405" t="str">
            <v>1405/04/17</v>
          </cell>
        </row>
        <row r="406">
          <cell r="B406" t="str">
            <v>صفحات 50*50 پخت کلاچ</v>
          </cell>
          <cell r="C406" t="str">
            <v>قالب تعمیری</v>
          </cell>
          <cell r="N406" t="str">
            <v>سنگ زنی</v>
          </cell>
          <cell r="AC406" t="str">
            <v>1405/04/17</v>
          </cell>
        </row>
        <row r="407">
          <cell r="B407" t="str">
            <v>پخت کلاچ پراید</v>
          </cell>
          <cell r="C407" t="str">
            <v>قالب تعمیری</v>
          </cell>
          <cell r="N407" t="str">
            <v>CNC</v>
          </cell>
          <cell r="AC407" t="str">
            <v>1405/04/17</v>
          </cell>
        </row>
        <row r="408">
          <cell r="B408" t="str">
            <v>قالب پخت کلاچ پژو 405</v>
          </cell>
          <cell r="C408" t="str">
            <v>قالب تعمیری</v>
          </cell>
          <cell r="N408" t="str">
            <v>CNC</v>
          </cell>
          <cell r="AC408" t="str">
            <v>1405/04/17</v>
          </cell>
        </row>
        <row r="409">
          <cell r="B409" t="str">
            <v>قالب پخت کلاچ پژو 405</v>
          </cell>
          <cell r="C409" t="str">
            <v>قالب تعمیری</v>
          </cell>
          <cell r="N409" t="str">
            <v>CNC</v>
          </cell>
          <cell r="AC409" t="str">
            <v>1405/04/17</v>
          </cell>
        </row>
        <row r="410">
          <cell r="B410" t="str">
            <v>قالب پخت کلاچ پژو 405</v>
          </cell>
          <cell r="C410" t="str">
            <v>قالب تعمیری</v>
          </cell>
          <cell r="N410" t="str">
            <v>CNC</v>
          </cell>
          <cell r="AC410" t="str">
            <v>1405/04/17</v>
          </cell>
        </row>
        <row r="411">
          <cell r="B411" t="str">
            <v>دستگاه برش جمعی</v>
          </cell>
          <cell r="C411" t="str">
            <v>قطعه تعمیری</v>
          </cell>
          <cell r="N411" t="str">
            <v>تراش</v>
          </cell>
          <cell r="AC411" t="str">
            <v>1405/04/17</v>
          </cell>
        </row>
        <row r="412">
          <cell r="B412" t="str">
            <v>قالب پخت کلاچ پژو 405</v>
          </cell>
          <cell r="C412" t="str">
            <v>قالب تعمیری</v>
          </cell>
          <cell r="N412" t="str">
            <v>تراش</v>
          </cell>
          <cell r="AC412" t="str">
            <v>1405/04/17</v>
          </cell>
        </row>
        <row r="413">
          <cell r="B413" t="str">
            <v>ویوینگ</v>
          </cell>
          <cell r="C413" t="str">
            <v>قطعه نو</v>
          </cell>
          <cell r="N413" t="str">
            <v>تراش</v>
          </cell>
          <cell r="AC413" t="str">
            <v>1405/04/17</v>
          </cell>
        </row>
        <row r="414">
          <cell r="B414" t="str">
            <v>ویوینگ</v>
          </cell>
          <cell r="C414" t="str">
            <v>قطعه نو</v>
          </cell>
          <cell r="N414" t="str">
            <v>دریل رادیال</v>
          </cell>
          <cell r="AC414" t="str">
            <v>1405/04/17</v>
          </cell>
        </row>
        <row r="415">
          <cell r="B415" t="str">
            <v>پخت کلاچ پژو 206 TU5</v>
          </cell>
          <cell r="C415" t="str">
            <v>قالب تعمیری</v>
          </cell>
          <cell r="N415" t="str">
            <v>مونتاژ</v>
          </cell>
          <cell r="AC415" t="str">
            <v>1405/04/17</v>
          </cell>
        </row>
        <row r="416">
          <cell r="B416" t="str">
            <v xml:space="preserve">قالب پخت کلاچ پیکان </v>
          </cell>
          <cell r="C416" t="str">
            <v>قالب تعمیری</v>
          </cell>
          <cell r="N416" t="str">
            <v>مونتاژ</v>
          </cell>
          <cell r="AC416" t="str">
            <v>1405/04/17</v>
          </cell>
        </row>
        <row r="417">
          <cell r="B417" t="str">
            <v>ویوینگ</v>
          </cell>
          <cell r="C417" t="str">
            <v>قطعه نو</v>
          </cell>
          <cell r="N417" t="str">
            <v>مونتاژ</v>
          </cell>
          <cell r="AC417" t="str">
            <v>1405/04/17</v>
          </cell>
        </row>
        <row r="418">
          <cell r="B418" t="str">
            <v>قالب ترابوزا</v>
          </cell>
          <cell r="C418" t="str">
            <v>قالب تعمیری</v>
          </cell>
          <cell r="N418" t="str">
            <v>مونتاژ</v>
          </cell>
          <cell r="AC418" t="str">
            <v>1405/04/17</v>
          </cell>
        </row>
        <row r="419">
          <cell r="B419" t="str">
            <v>قالب پخت کلاچ پژو 405</v>
          </cell>
          <cell r="C419" t="str">
            <v>قالب تعمیری</v>
          </cell>
          <cell r="N419" t="str">
            <v>CNC</v>
          </cell>
          <cell r="AC419" t="str">
            <v>1405/04/18</v>
          </cell>
        </row>
        <row r="420">
          <cell r="B420" t="str">
            <v>قالب پخت کلاچ پژو 405</v>
          </cell>
          <cell r="C420" t="str">
            <v>قالب تعمیری</v>
          </cell>
          <cell r="N420" t="str">
            <v>CNC</v>
          </cell>
          <cell r="AC420" t="str">
            <v>1405/04/18</v>
          </cell>
        </row>
        <row r="421">
          <cell r="B421" t="str">
            <v>قالب پخت SAF</v>
          </cell>
          <cell r="C421" t="str">
            <v>قالب نو</v>
          </cell>
          <cell r="N421" t="str">
            <v>CNC</v>
          </cell>
          <cell r="AC421" t="str">
            <v>1405/04/18</v>
          </cell>
        </row>
        <row r="422">
          <cell r="B422" t="str">
            <v>دستگاه پرس پخت</v>
          </cell>
          <cell r="C422" t="str">
            <v>قطعه تعمیری</v>
          </cell>
          <cell r="N422" t="str">
            <v>فرز</v>
          </cell>
          <cell r="AC422" t="str">
            <v>1405/04/17</v>
          </cell>
        </row>
        <row r="423">
          <cell r="B423" t="str">
            <v>صفحه قالب یدک
700*500*65</v>
          </cell>
          <cell r="C423" t="str">
            <v>قطعه نو</v>
          </cell>
          <cell r="N423" t="str">
            <v>فرز</v>
          </cell>
          <cell r="AC423" t="str">
            <v>1405/04/18</v>
          </cell>
        </row>
        <row r="424">
          <cell r="B424" t="str">
            <v>صفحات 50*50 پخت کلاچ</v>
          </cell>
          <cell r="C424" t="str">
            <v>قالب تعمیری</v>
          </cell>
          <cell r="N424" t="str">
            <v>سنگ زنی</v>
          </cell>
          <cell r="AC424" t="str">
            <v>1405/04/18</v>
          </cell>
        </row>
        <row r="425">
          <cell r="B425" t="str">
            <v>قالب پخت کلاچ پژو 405</v>
          </cell>
          <cell r="C425" t="str">
            <v>قالب تعمیری</v>
          </cell>
          <cell r="N425" t="str">
            <v>سنگ زنی</v>
          </cell>
          <cell r="AC425" t="str">
            <v>1405/04/18</v>
          </cell>
        </row>
        <row r="426">
          <cell r="B426" t="str">
            <v>قالب پخت SAF</v>
          </cell>
          <cell r="C426" t="str">
            <v>قالب نو</v>
          </cell>
          <cell r="N426" t="str">
            <v>مونتاژ</v>
          </cell>
          <cell r="AC426" t="str">
            <v>1405/04/18</v>
          </cell>
        </row>
        <row r="427">
          <cell r="B427" t="str">
            <v>قالب پخت کلاچ پژو 405</v>
          </cell>
          <cell r="C427" t="str">
            <v>قالب تعمیری</v>
          </cell>
          <cell r="N427" t="str">
            <v>مونتاژ</v>
          </cell>
          <cell r="AC427" t="str">
            <v>1405/04/18</v>
          </cell>
        </row>
        <row r="428">
          <cell r="B428" t="str">
            <v>اصول 5S</v>
          </cell>
          <cell r="C428" t="str">
            <v>نظافت</v>
          </cell>
          <cell r="N428" t="str">
            <v>نظافت</v>
          </cell>
          <cell r="AC428" t="str">
            <v>1405/04/18</v>
          </cell>
        </row>
        <row r="429">
          <cell r="B429" t="str">
            <v>قالب پخت کلاچ پژو 405</v>
          </cell>
          <cell r="C429" t="str">
            <v>قالب تعمیری</v>
          </cell>
          <cell r="N429" t="str">
            <v>تراش</v>
          </cell>
          <cell r="AC429" t="str">
            <v>1405/04/18</v>
          </cell>
        </row>
        <row r="430">
          <cell r="B430" t="str">
            <v>قالب ترابوزا</v>
          </cell>
          <cell r="C430" t="str">
            <v>قالب تعمیری</v>
          </cell>
          <cell r="N430" t="str">
            <v>تراش</v>
          </cell>
          <cell r="AC430" t="str">
            <v>1405/04/18</v>
          </cell>
        </row>
        <row r="431">
          <cell r="B431" t="str">
            <v>قالب پخت کلاچ پژو 405</v>
          </cell>
          <cell r="C431" t="str">
            <v>قالب تعمیری</v>
          </cell>
          <cell r="N431" t="str">
            <v>تراش</v>
          </cell>
          <cell r="AC431" t="str">
            <v>1405/04/18</v>
          </cell>
        </row>
        <row r="432">
          <cell r="B432" t="str">
            <v>اصول 5S</v>
          </cell>
          <cell r="C432" t="str">
            <v>نظافت</v>
          </cell>
          <cell r="N432" t="str">
            <v>نظافت</v>
          </cell>
          <cell r="AC432" t="str">
            <v>1405/04/18</v>
          </cell>
        </row>
        <row r="433">
          <cell r="B433" t="str">
            <v>قالب ترابوزا</v>
          </cell>
          <cell r="C433" t="str">
            <v>قالب تعمیری</v>
          </cell>
          <cell r="N433" t="str">
            <v>مونتاژ</v>
          </cell>
          <cell r="AC433" t="str">
            <v>1405/04/18</v>
          </cell>
        </row>
        <row r="434">
          <cell r="B434" t="str">
            <v>قالب پخت کلاچ پژو 405</v>
          </cell>
          <cell r="C434" t="str">
            <v>قالب تعمیری</v>
          </cell>
          <cell r="N434" t="str">
            <v>مونتاژ</v>
          </cell>
          <cell r="AC434" t="str">
            <v>1405/04/18</v>
          </cell>
        </row>
        <row r="435">
          <cell r="B435" t="str">
            <v>پخت کلاچ ایسوزو</v>
          </cell>
          <cell r="C435" t="str">
            <v>قالب تعمیری</v>
          </cell>
          <cell r="N435" t="str">
            <v>مونتاژ</v>
          </cell>
          <cell r="AC435" t="str">
            <v>1405/04/18</v>
          </cell>
        </row>
        <row r="436">
          <cell r="B436" t="str">
            <v>پخت کلاچ پژو 206 TU5</v>
          </cell>
          <cell r="C436" t="str">
            <v>قالب تعمیری</v>
          </cell>
          <cell r="N436" t="str">
            <v>مونتاژ</v>
          </cell>
          <cell r="AC436" t="str">
            <v>1405/04/19</v>
          </cell>
        </row>
        <row r="437">
          <cell r="B437" t="str">
            <v>لیفتراک</v>
          </cell>
          <cell r="C437" t="str">
            <v>قطعه تعمیری</v>
          </cell>
          <cell r="N437" t="str">
            <v>فرز</v>
          </cell>
          <cell r="AC437" t="str">
            <v>1405/04/19</v>
          </cell>
        </row>
        <row r="438">
          <cell r="B438" t="str">
            <v>قالب ترابوزا</v>
          </cell>
          <cell r="C438" t="str">
            <v>قالب تعمیری</v>
          </cell>
          <cell r="N438" t="str">
            <v>مونتاژ</v>
          </cell>
          <cell r="AC438" t="str">
            <v>1405/04/19</v>
          </cell>
        </row>
        <row r="439">
          <cell r="B439" t="str">
            <v>قالب ترابوزا</v>
          </cell>
          <cell r="C439" t="str">
            <v>قالب تعمیری</v>
          </cell>
          <cell r="N439" t="str">
            <v>مونتاژ</v>
          </cell>
          <cell r="AC439" t="str">
            <v>1405/04/18</v>
          </cell>
        </row>
        <row r="440">
          <cell r="B440" t="str">
            <v>پخت کلاچ ایسوزو</v>
          </cell>
          <cell r="C440" t="str">
            <v>قالب تعمیری</v>
          </cell>
          <cell r="N440" t="str">
            <v>دریل رادیال</v>
          </cell>
          <cell r="AC440" t="str">
            <v>1405/04/18</v>
          </cell>
        </row>
        <row r="441">
          <cell r="B441" t="str">
            <v>پخت کلاچ ایسوزو</v>
          </cell>
          <cell r="C441" t="str">
            <v>قالب تعمیری</v>
          </cell>
          <cell r="N441" t="str">
            <v>مونتاژ</v>
          </cell>
          <cell r="AC441" t="str">
            <v>1405/04/18</v>
          </cell>
        </row>
        <row r="442">
          <cell r="B442" t="str">
            <v>قالب پخت کلاچ پژو 405</v>
          </cell>
          <cell r="C442" t="str">
            <v>قالب تعمیری</v>
          </cell>
          <cell r="N442" t="str">
            <v>مونتاژ</v>
          </cell>
          <cell r="AC442" t="str">
            <v>1405/04/18</v>
          </cell>
        </row>
        <row r="443">
          <cell r="B443" t="str">
            <v>دستگاه پرس 600 تن</v>
          </cell>
          <cell r="C443" t="str">
            <v>قطعه نو</v>
          </cell>
          <cell r="N443" t="str">
            <v>تراش</v>
          </cell>
          <cell r="AC443" t="str">
            <v>1405/04/18</v>
          </cell>
        </row>
        <row r="444">
          <cell r="B444" t="str">
            <v>قالب پخت کلاچ پژو 405</v>
          </cell>
          <cell r="C444" t="str">
            <v>قالب تعمیری</v>
          </cell>
          <cell r="N444" t="str">
            <v>تراش</v>
          </cell>
          <cell r="AC444" t="str">
            <v>1405/04/18</v>
          </cell>
        </row>
        <row r="445">
          <cell r="B445" t="str">
            <v>اصول 5S</v>
          </cell>
          <cell r="C445" t="str">
            <v>نظافت</v>
          </cell>
          <cell r="N445" t="str">
            <v>نظافت</v>
          </cell>
          <cell r="AC445" t="str">
            <v>1405/04/18</v>
          </cell>
        </row>
        <row r="446">
          <cell r="B446" t="str">
            <v>دستگاه پشم فلز</v>
          </cell>
          <cell r="C446" t="str">
            <v>قطعه تعمیری</v>
          </cell>
          <cell r="N446" t="str">
            <v>وایر</v>
          </cell>
          <cell r="AC446" t="str">
            <v>1405/04/17</v>
          </cell>
        </row>
        <row r="447">
          <cell r="B447" t="str">
            <v>دستگاه پشم فلز</v>
          </cell>
          <cell r="C447" t="str">
            <v>قطعه تعمیری</v>
          </cell>
          <cell r="N447" t="str">
            <v>وایر</v>
          </cell>
          <cell r="AC447" t="str">
            <v>1405/04/17</v>
          </cell>
        </row>
        <row r="448">
          <cell r="B448" t="str">
            <v>پرچ ریو</v>
          </cell>
          <cell r="C448" t="str">
            <v>قطعه تعمیری</v>
          </cell>
          <cell r="N448" t="str">
            <v>وایر</v>
          </cell>
          <cell r="AC448" t="str">
            <v>1405/04/17</v>
          </cell>
        </row>
        <row r="449">
          <cell r="B449" t="str">
            <v>برشی نیوفیس C&amp;C</v>
          </cell>
          <cell r="C449" t="str">
            <v>قالب نو</v>
          </cell>
          <cell r="N449" t="str">
            <v>وایر</v>
          </cell>
          <cell r="AC449" t="str">
            <v>1405/04/17</v>
          </cell>
        </row>
        <row r="450">
          <cell r="B450" t="str">
            <v>برشی نیوفیس C&amp;C</v>
          </cell>
          <cell r="C450" t="str">
            <v>قالب نو</v>
          </cell>
          <cell r="N450" t="str">
            <v>وایر</v>
          </cell>
          <cell r="AC450" t="str">
            <v>1405/04/17</v>
          </cell>
        </row>
        <row r="451">
          <cell r="B451" t="str">
            <v>برشی نیوفیس C&amp;C</v>
          </cell>
          <cell r="C451" t="str">
            <v>قالب نو</v>
          </cell>
          <cell r="N451" t="str">
            <v>وایر</v>
          </cell>
          <cell r="AC451" t="str">
            <v>1405/04/18</v>
          </cell>
        </row>
        <row r="452">
          <cell r="B452" t="str">
            <v>دستگاه پشم فلز</v>
          </cell>
          <cell r="C452" t="str">
            <v>قطعه تعمیری</v>
          </cell>
          <cell r="N452" t="str">
            <v>وایر</v>
          </cell>
          <cell r="AC452" t="str">
            <v>1405/04/18</v>
          </cell>
        </row>
        <row r="453">
          <cell r="B453" t="str">
            <v>پرچ ریو</v>
          </cell>
          <cell r="C453" t="str">
            <v>قطعه تعمیری</v>
          </cell>
          <cell r="N453" t="str">
            <v>وایر</v>
          </cell>
          <cell r="AC453" t="str">
            <v>1405/04/18</v>
          </cell>
        </row>
        <row r="454">
          <cell r="B454" t="str">
            <v>برشی نیوفیس C&amp;C</v>
          </cell>
          <cell r="C454" t="str">
            <v>قالب نو</v>
          </cell>
          <cell r="N454" t="str">
            <v>وایر</v>
          </cell>
          <cell r="AC454" t="str">
            <v>1405/04/18</v>
          </cell>
        </row>
        <row r="455">
          <cell r="B455" t="str">
            <v>لیفتراک</v>
          </cell>
          <cell r="C455" t="str">
            <v>قطعه تعمیری</v>
          </cell>
          <cell r="N455" t="str">
            <v>تراش</v>
          </cell>
          <cell r="AC455" t="str">
            <v>1405/04/18</v>
          </cell>
        </row>
        <row r="456">
          <cell r="B456" t="str">
            <v>ویوینگ</v>
          </cell>
          <cell r="C456" t="str">
            <v>قطعه نو</v>
          </cell>
          <cell r="N456" t="str">
            <v>تراش</v>
          </cell>
          <cell r="AC456" t="str">
            <v>1405/04/18</v>
          </cell>
        </row>
        <row r="457">
          <cell r="B457" t="str">
            <v>قالب خشاب زنی</v>
          </cell>
          <cell r="C457" t="str">
            <v>قطعه تعمیری</v>
          </cell>
          <cell r="N457" t="str">
            <v>تراش</v>
          </cell>
          <cell r="AC457" t="str">
            <v>1405/04/18</v>
          </cell>
        </row>
        <row r="458">
          <cell r="B458" t="str">
            <v>ساب داخل</v>
          </cell>
          <cell r="C458" t="str">
            <v>قطعه تعمیری</v>
          </cell>
          <cell r="N458" t="str">
            <v>تراش</v>
          </cell>
          <cell r="AC458" t="str">
            <v>1405/04/18</v>
          </cell>
        </row>
        <row r="459">
          <cell r="B459" t="str">
            <v>قالب پخت کلاچ پژو 405</v>
          </cell>
          <cell r="C459" t="str">
            <v>قالب تعمیری</v>
          </cell>
          <cell r="N459" t="str">
            <v>CNC</v>
          </cell>
          <cell r="AC459" t="str">
            <v>1405/04/20</v>
          </cell>
        </row>
        <row r="460">
          <cell r="B460" t="str">
            <v>قالب پخت کلاچ پژو 405</v>
          </cell>
          <cell r="C460" t="str">
            <v>قالب تعمیری</v>
          </cell>
          <cell r="N460" t="str">
            <v>CNC</v>
          </cell>
          <cell r="AC460" t="str">
            <v>1405/04/20</v>
          </cell>
        </row>
        <row r="461">
          <cell r="B461" t="str">
            <v>صفحات 50*50 پخت کلاچ</v>
          </cell>
          <cell r="C461" t="str">
            <v>قالب تعمیری</v>
          </cell>
          <cell r="N461" t="str">
            <v>سنگ زنی</v>
          </cell>
          <cell r="AC461" t="str">
            <v>1405/04/20</v>
          </cell>
        </row>
        <row r="462">
          <cell r="B462" t="str">
            <v>صفحه قالب یدک
700*500*65</v>
          </cell>
          <cell r="C462" t="str">
            <v>قطعه نو</v>
          </cell>
          <cell r="N462" t="str">
            <v>فرز</v>
          </cell>
          <cell r="AC462" t="str">
            <v>1405/04/20</v>
          </cell>
        </row>
        <row r="463">
          <cell r="B463" t="str">
            <v>برشی نیوفیس C&amp;C</v>
          </cell>
          <cell r="C463" t="str">
            <v>قالب نو</v>
          </cell>
          <cell r="N463" t="str">
            <v>فرز</v>
          </cell>
          <cell r="AC463" t="str">
            <v>1405/04/20</v>
          </cell>
        </row>
        <row r="464">
          <cell r="B464" t="str">
            <v>قالب پخت کلاچ پژو 405</v>
          </cell>
          <cell r="C464" t="str">
            <v>قالب تعمیری</v>
          </cell>
          <cell r="N464" t="str">
            <v>تراش</v>
          </cell>
          <cell r="AC464" t="str">
            <v>1405/04/20</v>
          </cell>
        </row>
        <row r="465">
          <cell r="B465" t="str">
            <v>قالب پخت کلاچ پژو 405</v>
          </cell>
          <cell r="C465" t="str">
            <v>قالب تعمیری</v>
          </cell>
          <cell r="N465" t="str">
            <v>تراش</v>
          </cell>
          <cell r="AC465" t="str">
            <v>1405/04/20</v>
          </cell>
        </row>
        <row r="466">
          <cell r="B466" t="str">
            <v>دستگاه پرس پخت</v>
          </cell>
          <cell r="C466" t="str">
            <v>قطعه تعمیری</v>
          </cell>
          <cell r="N466" t="str">
            <v>فرز</v>
          </cell>
          <cell r="AC466" t="str">
            <v>1405/04/20</v>
          </cell>
        </row>
        <row r="467">
          <cell r="B467" t="str">
            <v>آسیاب پشم فلز</v>
          </cell>
          <cell r="C467" t="str">
            <v>قطعه تعمیری</v>
          </cell>
          <cell r="N467" t="str">
            <v>تراش</v>
          </cell>
          <cell r="AC467" t="str">
            <v>1405/04/20</v>
          </cell>
        </row>
        <row r="468">
          <cell r="B468" t="str">
            <v>قالب پخت کلاچ پژو 405</v>
          </cell>
          <cell r="C468" t="str">
            <v>قالب تعمیری</v>
          </cell>
          <cell r="N468" t="str">
            <v>CNC</v>
          </cell>
          <cell r="AC468" t="str">
            <v>1405/04/20</v>
          </cell>
        </row>
        <row r="469">
          <cell r="B469" t="str">
            <v>دستگاه پشم فلز</v>
          </cell>
          <cell r="C469" t="str">
            <v>قطعه تعمیری</v>
          </cell>
          <cell r="N469" t="str">
            <v>وایر</v>
          </cell>
          <cell r="AC469" t="str">
            <v>1405/04/20</v>
          </cell>
        </row>
        <row r="470">
          <cell r="B470" t="str">
            <v>دستگاه پشم فلز</v>
          </cell>
          <cell r="C470" t="str">
            <v>قطعه تعمیری</v>
          </cell>
          <cell r="N470" t="str">
            <v>وایر</v>
          </cell>
          <cell r="AC470" t="str">
            <v>1405/04/20</v>
          </cell>
        </row>
        <row r="471">
          <cell r="B471" t="str">
            <v>برشی نیوفیس C&amp;C</v>
          </cell>
          <cell r="C471" t="str">
            <v>قالب نو</v>
          </cell>
          <cell r="N471" t="str">
            <v>وایر</v>
          </cell>
          <cell r="AC471" t="str">
            <v>1405/04/21</v>
          </cell>
        </row>
        <row r="472">
          <cell r="B472" t="str">
            <v>پخت کلاچ ایسوزو</v>
          </cell>
          <cell r="C472" t="str">
            <v>قالب تعمیری</v>
          </cell>
          <cell r="N472" t="str">
            <v>مونتاژ</v>
          </cell>
          <cell r="AC472" t="str">
            <v>1405/04/20</v>
          </cell>
        </row>
        <row r="473">
          <cell r="B473" t="str">
            <v xml:space="preserve">پخت کلاچ پراید سکو </v>
          </cell>
          <cell r="C473" t="str">
            <v>قالب تعمیری</v>
          </cell>
          <cell r="N473" t="str">
            <v>مونتاژ</v>
          </cell>
          <cell r="AC473" t="str">
            <v>1405/04/20</v>
          </cell>
        </row>
        <row r="474">
          <cell r="B474" t="str">
            <v>قالب پخت کلاچ پژو 405</v>
          </cell>
          <cell r="C474" t="str">
            <v>قالب تعمیری</v>
          </cell>
          <cell r="N474" t="str">
            <v>مونتاژ</v>
          </cell>
          <cell r="AC474" t="str">
            <v>1405/04/20</v>
          </cell>
        </row>
        <row r="475">
          <cell r="B475" t="str">
            <v>دستگاه پرس 600 تن</v>
          </cell>
          <cell r="C475" t="str">
            <v>قطعه نو</v>
          </cell>
          <cell r="N475" t="str">
            <v>مونتاژ</v>
          </cell>
          <cell r="AC475" t="str">
            <v>1405/04/20</v>
          </cell>
        </row>
        <row r="476">
          <cell r="B476" t="str">
            <v>دستگاه پشم فلز</v>
          </cell>
          <cell r="C476" t="str">
            <v>قطعه تعمیری</v>
          </cell>
          <cell r="N476" t="str">
            <v>مونتاژ</v>
          </cell>
          <cell r="AC476" t="str">
            <v>1405/04/20</v>
          </cell>
        </row>
        <row r="477">
          <cell r="B477" t="str">
            <v>قالب پخت کلاچ پژو 405</v>
          </cell>
          <cell r="C477" t="str">
            <v>قالب تعمیری</v>
          </cell>
          <cell r="N477" t="str">
            <v>مونتاژ</v>
          </cell>
          <cell r="AC477" t="str">
            <v>1405/04/20</v>
          </cell>
        </row>
        <row r="478">
          <cell r="B478" t="str">
            <v xml:space="preserve">پخت کلاچ پراید سکو </v>
          </cell>
          <cell r="C478" t="str">
            <v>قالب تعمیری</v>
          </cell>
          <cell r="N478" t="str">
            <v>مونتاژ</v>
          </cell>
          <cell r="AC478" t="str">
            <v>1405/04/20</v>
          </cell>
        </row>
        <row r="479">
          <cell r="B479" t="str">
            <v>قالب پخت کلاچ پژو 405</v>
          </cell>
          <cell r="C479" t="str">
            <v>قالب تعمیری</v>
          </cell>
          <cell r="N479" t="str">
            <v>مونتاژ</v>
          </cell>
          <cell r="AC479" t="str">
            <v>1405/04/20</v>
          </cell>
        </row>
        <row r="480">
          <cell r="B480" t="str">
            <v>قالب پخت کلاچ پژو 405</v>
          </cell>
          <cell r="C480" t="str">
            <v>قالب تعمیری</v>
          </cell>
          <cell r="N480" t="str">
            <v>مونتاژ</v>
          </cell>
          <cell r="AC480" t="str">
            <v>1405/04/20</v>
          </cell>
        </row>
        <row r="481">
          <cell r="B481" t="str">
            <v>قالب قطاری</v>
          </cell>
          <cell r="C481" t="str">
            <v>قالب تعمیری</v>
          </cell>
          <cell r="N481" t="str">
            <v>مونتاژ</v>
          </cell>
          <cell r="AC481" t="str">
            <v>1405/04/20</v>
          </cell>
        </row>
        <row r="482">
          <cell r="B482" t="str">
            <v>پخت کلاچ ایویکو سوراخدار</v>
          </cell>
          <cell r="C482" t="str">
            <v>قالب تعمیری</v>
          </cell>
          <cell r="N482" t="str">
            <v>مونتاژ</v>
          </cell>
          <cell r="AC482" t="str">
            <v>1405/04/20</v>
          </cell>
        </row>
        <row r="483">
          <cell r="B483" t="str">
            <v>دستگاه پشم فلز</v>
          </cell>
          <cell r="C483" t="str">
            <v>قطعه تعمیری</v>
          </cell>
          <cell r="N483" t="str">
            <v>تراش</v>
          </cell>
          <cell r="AC483" t="str">
            <v>1405/04/20</v>
          </cell>
        </row>
        <row r="484">
          <cell r="B484" t="str">
            <v>دستگاه پرس پخت</v>
          </cell>
          <cell r="C484" t="str">
            <v>قطعه تعمیری</v>
          </cell>
          <cell r="N484" t="str">
            <v>تراش</v>
          </cell>
          <cell r="AC484" t="str">
            <v>1405/04/20</v>
          </cell>
        </row>
        <row r="485">
          <cell r="B485" t="str">
            <v>سوپاپ کلاچ</v>
          </cell>
          <cell r="C485" t="str">
            <v>قطعه تعمیری</v>
          </cell>
          <cell r="N485" t="str">
            <v>تراش</v>
          </cell>
          <cell r="AC485" t="str">
            <v>1405/04/20</v>
          </cell>
        </row>
        <row r="486">
          <cell r="B486" t="str">
            <v>دستگاه پرس 600 تن</v>
          </cell>
          <cell r="C486" t="str">
            <v>قطعه نو</v>
          </cell>
          <cell r="N486" t="str">
            <v>تراش</v>
          </cell>
          <cell r="AC486" t="str">
            <v>1405/04/20</v>
          </cell>
        </row>
        <row r="487">
          <cell r="B487" t="str">
            <v>قالب پخت کلاچ پژو 405</v>
          </cell>
          <cell r="C487" t="str">
            <v>قالب تعمیری</v>
          </cell>
          <cell r="N487" t="str">
            <v>تراش</v>
          </cell>
          <cell r="AC487" t="str">
            <v>1405/04/20</v>
          </cell>
        </row>
        <row r="488">
          <cell r="B488" t="str">
            <v>برشی نیوفیس C&amp;C</v>
          </cell>
          <cell r="C488" t="str">
            <v>قالب نو</v>
          </cell>
          <cell r="N488" t="str">
            <v>فرز</v>
          </cell>
          <cell r="AC488" t="str">
            <v>1405/04/21</v>
          </cell>
        </row>
        <row r="489">
          <cell r="B489" t="str">
            <v>قالب پخت کلاچ پژو 405</v>
          </cell>
          <cell r="C489" t="str">
            <v>قالب تعمیری</v>
          </cell>
          <cell r="N489" t="str">
            <v>CNC</v>
          </cell>
          <cell r="AC489" t="str">
            <v>1405/04/21</v>
          </cell>
        </row>
        <row r="490">
          <cell r="B490" t="str">
            <v>قالب پخت کلاچ پژو 405</v>
          </cell>
          <cell r="C490" t="str">
            <v>قالب تعمیری</v>
          </cell>
          <cell r="N490" t="str">
            <v>CNC</v>
          </cell>
          <cell r="AC490" t="str">
            <v>1405/04/21</v>
          </cell>
        </row>
        <row r="491">
          <cell r="B491" t="str">
            <v>قالب پخت کلاچ پژو 405</v>
          </cell>
          <cell r="C491" t="str">
            <v>قالب تعمیری</v>
          </cell>
          <cell r="N491" t="str">
            <v>CNC</v>
          </cell>
          <cell r="AC491" t="str">
            <v>1405/04/21</v>
          </cell>
        </row>
        <row r="492">
          <cell r="B492" t="str">
            <v>قالب عقب F12</v>
          </cell>
          <cell r="C492" t="str">
            <v>قالب نو</v>
          </cell>
          <cell r="N492" t="str">
            <v>CNC</v>
          </cell>
          <cell r="AC492" t="str">
            <v>1405/04/21</v>
          </cell>
        </row>
        <row r="493">
          <cell r="B493" t="str">
            <v>صفحات 50*50 پخت کلاچ</v>
          </cell>
          <cell r="C493" t="str">
            <v>قالب تعمیری</v>
          </cell>
          <cell r="N493" t="str">
            <v>سنگ زنی</v>
          </cell>
          <cell r="AC493" t="str">
            <v>1405/04/21</v>
          </cell>
        </row>
        <row r="494">
          <cell r="B494" t="str">
            <v>پخت کلاچ پراید</v>
          </cell>
          <cell r="C494" t="str">
            <v>قالب تعمیری</v>
          </cell>
          <cell r="N494" t="str">
            <v>سنگ زنی</v>
          </cell>
          <cell r="AC494" t="str">
            <v>1405/04/21</v>
          </cell>
        </row>
        <row r="495">
          <cell r="B495" t="str">
            <v>آسیاب پشم فلز</v>
          </cell>
          <cell r="C495" t="str">
            <v>قطعه تعمیری</v>
          </cell>
          <cell r="N495" t="str">
            <v>تراش</v>
          </cell>
          <cell r="AC495" t="str">
            <v>1405/04/21</v>
          </cell>
        </row>
        <row r="496">
          <cell r="B496" t="str">
            <v>صفحه قالب یدک
700*500*65</v>
          </cell>
          <cell r="C496" t="str">
            <v>قطعه نو</v>
          </cell>
          <cell r="N496" t="str">
            <v>فرز</v>
          </cell>
          <cell r="AC496" t="str">
            <v>1405/04/21</v>
          </cell>
        </row>
        <row r="497">
          <cell r="B497" t="str">
            <v>قالب پخت کلاچ پژو 405</v>
          </cell>
          <cell r="C497" t="str">
            <v>قالب تعمیری</v>
          </cell>
          <cell r="N497" t="str">
            <v>تراش</v>
          </cell>
          <cell r="AC497" t="str">
            <v>1405/04/21</v>
          </cell>
        </row>
        <row r="498">
          <cell r="B498" t="str">
            <v>پخت کلاچ پراید</v>
          </cell>
          <cell r="C498" t="str">
            <v>قالب تعمیری</v>
          </cell>
          <cell r="N498" t="str">
            <v>تراش</v>
          </cell>
          <cell r="AC498" t="str">
            <v>1405/04/21</v>
          </cell>
        </row>
        <row r="499">
          <cell r="B499" t="str">
            <v>سری نقطه جوش</v>
          </cell>
          <cell r="C499" t="str">
            <v>قطعه تعمیری</v>
          </cell>
          <cell r="N499" t="str">
            <v>تراش</v>
          </cell>
          <cell r="AC499" t="str">
            <v>1405/04/21</v>
          </cell>
        </row>
        <row r="500">
          <cell r="B500" t="str">
            <v>قالب پخت کلاچ پژو 405</v>
          </cell>
          <cell r="C500" t="str">
            <v>قالب تعمیری</v>
          </cell>
          <cell r="N500" t="str">
            <v>مونتاژ</v>
          </cell>
          <cell r="AC500" t="str">
            <v>1405/04/21</v>
          </cell>
        </row>
        <row r="501">
          <cell r="B501" t="str">
            <v>پخت کلاچ ایویکو سوراخدار</v>
          </cell>
          <cell r="C501" t="str">
            <v>قالب تعمیری</v>
          </cell>
          <cell r="N501" t="str">
            <v>مونتاژ</v>
          </cell>
          <cell r="AC501" t="str">
            <v>1405/04/21</v>
          </cell>
        </row>
        <row r="502">
          <cell r="B502" t="str">
            <v>قالب قطاری</v>
          </cell>
          <cell r="C502" t="str">
            <v>قالب تعمیری</v>
          </cell>
          <cell r="N502" t="str">
            <v>مونتاژ</v>
          </cell>
          <cell r="AC502" t="str">
            <v>1405/04/21</v>
          </cell>
        </row>
        <row r="503">
          <cell r="B503" t="str">
            <v>قالب پخت کلاچ پژو 405</v>
          </cell>
          <cell r="C503" t="str">
            <v>قالب تعمیری</v>
          </cell>
          <cell r="N503" t="str">
            <v>مونتاژ</v>
          </cell>
          <cell r="AC503" t="str">
            <v>1405/04/21</v>
          </cell>
        </row>
        <row r="504">
          <cell r="B504" t="str">
            <v>پخت کلاچ ایویکو سوراخدار</v>
          </cell>
          <cell r="C504" t="str">
            <v>قالب تعمیری</v>
          </cell>
          <cell r="N504" t="str">
            <v>مونتاژ</v>
          </cell>
          <cell r="AC504" t="str">
            <v>1405/04/21</v>
          </cell>
        </row>
        <row r="505">
          <cell r="B505" t="str">
            <v>قالب قطاری</v>
          </cell>
          <cell r="C505" t="str">
            <v>قالب تعمیری</v>
          </cell>
          <cell r="N505" t="str">
            <v>مونتاژ</v>
          </cell>
          <cell r="AC505" t="str">
            <v>1405/04/21</v>
          </cell>
        </row>
        <row r="506">
          <cell r="B506" t="str">
            <v>قالب قطاری</v>
          </cell>
          <cell r="C506" t="str">
            <v>قالب تعمیری</v>
          </cell>
          <cell r="N506" t="str">
            <v>دریل رادیال</v>
          </cell>
          <cell r="AC506" t="str">
            <v>1405/04/21</v>
          </cell>
        </row>
        <row r="507">
          <cell r="B507" t="str">
            <v>قطعه کار سلمانی</v>
          </cell>
          <cell r="C507" t="str">
            <v>قطعه تعمیری</v>
          </cell>
          <cell r="N507" t="str">
            <v>سوپر دریل</v>
          </cell>
          <cell r="AC507" t="str">
            <v>1405/04/21</v>
          </cell>
        </row>
        <row r="508">
          <cell r="B508" t="str">
            <v>دستگاه پشم فلز</v>
          </cell>
          <cell r="C508" t="str">
            <v>قطعه تعمیری</v>
          </cell>
          <cell r="N508" t="str">
            <v>وایر</v>
          </cell>
          <cell r="AC508" t="str">
            <v>1405/04/21</v>
          </cell>
        </row>
        <row r="509">
          <cell r="B509" t="str">
            <v>ویوینگ</v>
          </cell>
          <cell r="C509" t="str">
            <v>قطعه نو</v>
          </cell>
          <cell r="N509" t="str">
            <v>تراش</v>
          </cell>
          <cell r="AC509" t="str">
            <v>1405/04/21</v>
          </cell>
        </row>
        <row r="510">
          <cell r="B510" t="str">
            <v>دستگاه پرس پخت</v>
          </cell>
          <cell r="C510" t="str">
            <v>قطعه نو</v>
          </cell>
          <cell r="N510" t="str">
            <v>تراش</v>
          </cell>
          <cell r="AC510" t="str">
            <v>1405/04/21</v>
          </cell>
        </row>
        <row r="511">
          <cell r="B511" t="str">
            <v>پخت کلاچ ایویکو سوراخدار</v>
          </cell>
          <cell r="C511" t="str">
            <v>قالب تعمیری</v>
          </cell>
          <cell r="N511" t="str">
            <v>تراش</v>
          </cell>
          <cell r="AC511" t="str">
            <v>1405/04/21</v>
          </cell>
        </row>
        <row r="512">
          <cell r="B512" t="str">
            <v>دستگاه پرس پخت</v>
          </cell>
          <cell r="C512" t="str">
            <v>قطعه تعمیری</v>
          </cell>
          <cell r="N512" t="str">
            <v>تراش</v>
          </cell>
          <cell r="AC512" t="str">
            <v>1405/04/21</v>
          </cell>
        </row>
        <row r="513">
          <cell r="B513" t="str">
            <v>دستگاه پشم فلز</v>
          </cell>
          <cell r="C513" t="str">
            <v>قطعه تعمیری</v>
          </cell>
          <cell r="N513" t="str">
            <v>مونتاژ</v>
          </cell>
          <cell r="AC513" t="str">
            <v>1405/04/21</v>
          </cell>
        </row>
        <row r="514">
          <cell r="B514" t="str">
            <v xml:space="preserve">قالب پخت کلاچ پیکان </v>
          </cell>
          <cell r="C514" t="str">
            <v>قالب تعمیری</v>
          </cell>
          <cell r="N514" t="str">
            <v>اره لنگ</v>
          </cell>
          <cell r="AC514" t="str">
            <v>1405/04/21</v>
          </cell>
        </row>
        <row r="515">
          <cell r="B515" t="str">
            <v>قالب پخت کلاچ پیکان</v>
          </cell>
          <cell r="C515" t="str">
            <v>قالب تعمیری</v>
          </cell>
          <cell r="N515" t="str">
            <v>مونتاژ</v>
          </cell>
          <cell r="AC515" t="str">
            <v>1405/04/21</v>
          </cell>
        </row>
        <row r="516">
          <cell r="B516" t="str">
            <v>پخت کلاچ پراید</v>
          </cell>
          <cell r="C516" t="str">
            <v>قالب تعمیری</v>
          </cell>
          <cell r="N516" t="str">
            <v>سنگ زنی</v>
          </cell>
          <cell r="AC516" t="str">
            <v>1405/04/21</v>
          </cell>
        </row>
        <row r="517">
          <cell r="B517" t="str">
            <v>قالب پخت کلاچ پژو 405</v>
          </cell>
          <cell r="C517" t="str">
            <v>قالب تعمیری</v>
          </cell>
          <cell r="N517" t="str">
            <v>CNC</v>
          </cell>
          <cell r="AC517" t="str">
            <v>1405/04/22</v>
          </cell>
        </row>
        <row r="518">
          <cell r="B518" t="str">
            <v>صفحه قالب یدک
700*500*65</v>
          </cell>
          <cell r="C518" t="str">
            <v>قطعه نو</v>
          </cell>
          <cell r="N518" t="str">
            <v>فرز</v>
          </cell>
          <cell r="AC518" t="str">
            <v>1405/04/22</v>
          </cell>
        </row>
        <row r="519">
          <cell r="B519" t="str">
            <v>قالب پخت کلاچ پژو 405</v>
          </cell>
          <cell r="C519" t="str">
            <v>قالب تعمیری</v>
          </cell>
          <cell r="N519" t="str">
            <v>CNC</v>
          </cell>
          <cell r="AC519" t="str">
            <v>1405/04/22</v>
          </cell>
        </row>
        <row r="520">
          <cell r="B520" t="str">
            <v>قالب پخت کلاچ پژو 405</v>
          </cell>
          <cell r="C520" t="str">
            <v>قالب تعمیری</v>
          </cell>
          <cell r="N520" t="str">
            <v>فرز</v>
          </cell>
          <cell r="AC520" t="str">
            <v>1405/04/22</v>
          </cell>
        </row>
        <row r="521">
          <cell r="B521" t="str">
            <v>قالب پخت کلاچ پژو 405</v>
          </cell>
          <cell r="C521" t="str">
            <v>قالب تعمیری</v>
          </cell>
          <cell r="N521" t="str">
            <v>مونتاژ</v>
          </cell>
          <cell r="AC521" t="str">
            <v>1405/04/22</v>
          </cell>
        </row>
        <row r="522">
          <cell r="B522" t="str">
            <v>پخت کلاچ پراید</v>
          </cell>
          <cell r="C522" t="str">
            <v>قالب تعمیری</v>
          </cell>
          <cell r="N522" t="str">
            <v>سنگ زنی</v>
          </cell>
          <cell r="AC522" t="str">
            <v>1405/04/22</v>
          </cell>
        </row>
        <row r="523">
          <cell r="B523" t="str">
            <v xml:space="preserve">قالب پخت کلاچ پیکان </v>
          </cell>
          <cell r="C523" t="str">
            <v>قالب تعمیری</v>
          </cell>
          <cell r="N523" t="str">
            <v>سنگ زنی</v>
          </cell>
          <cell r="AC523" t="str">
            <v>1405/04/22</v>
          </cell>
        </row>
        <row r="524">
          <cell r="B524" t="str">
            <v>برشی نیوفیس C&amp;C</v>
          </cell>
          <cell r="C524" t="str">
            <v>قالب نو</v>
          </cell>
          <cell r="N524" t="str">
            <v>فرز</v>
          </cell>
          <cell r="AC524" t="str">
            <v>1405/04/22</v>
          </cell>
        </row>
        <row r="525">
          <cell r="B525" t="str">
            <v>ابزار زنی</v>
          </cell>
          <cell r="C525" t="str">
            <v>قطعه تعمیری</v>
          </cell>
          <cell r="N525" t="str">
            <v>فرز</v>
          </cell>
          <cell r="AC525" t="str">
            <v>1405/04/22</v>
          </cell>
        </row>
        <row r="526">
          <cell r="B526" t="str">
            <v>قالب عقب F12</v>
          </cell>
          <cell r="C526" t="str">
            <v>قالب نو</v>
          </cell>
          <cell r="N526" t="str">
            <v>CNC</v>
          </cell>
          <cell r="AC526" t="str">
            <v>1405/04/22</v>
          </cell>
        </row>
        <row r="527">
          <cell r="B527" t="str">
            <v>قالب پخت کلاچ پژو 405</v>
          </cell>
          <cell r="C527" t="str">
            <v>قالب تعمیری</v>
          </cell>
          <cell r="N527" t="str">
            <v>CNC</v>
          </cell>
          <cell r="AC527" t="str">
            <v>1405/04/22</v>
          </cell>
        </row>
        <row r="528">
          <cell r="B528" t="str">
            <v>برشی نیوفیس C&amp;C</v>
          </cell>
          <cell r="C528" t="str">
            <v>قالب نو</v>
          </cell>
          <cell r="N528" t="str">
            <v>وایر</v>
          </cell>
          <cell r="AC528" t="str">
            <v>1405/04/22</v>
          </cell>
        </row>
        <row r="529">
          <cell r="B529" t="str">
            <v>قالب عقب F12</v>
          </cell>
          <cell r="C529" t="str">
            <v>قالب نو</v>
          </cell>
          <cell r="N529" t="str">
            <v>مونتاژ</v>
          </cell>
          <cell r="AC529" t="str">
            <v>1405/04/22</v>
          </cell>
        </row>
        <row r="530">
          <cell r="B530" t="str">
            <v>قالب قطاری</v>
          </cell>
          <cell r="C530" t="str">
            <v>قالب تعمیری</v>
          </cell>
          <cell r="N530" t="str">
            <v>تراش</v>
          </cell>
          <cell r="AC530" t="str">
            <v>1405/04/22</v>
          </cell>
        </row>
        <row r="531">
          <cell r="B531" t="str">
            <v>سری نقطه جوش</v>
          </cell>
          <cell r="C531" t="str">
            <v>قطعه تعمیری</v>
          </cell>
          <cell r="N531" t="str">
            <v>تراش</v>
          </cell>
          <cell r="AC531" t="str">
            <v>1405/04/22</v>
          </cell>
        </row>
        <row r="532">
          <cell r="B532" t="str">
            <v>ویوینگ</v>
          </cell>
          <cell r="C532" t="str">
            <v>قطعه نو</v>
          </cell>
          <cell r="N532" t="str">
            <v>تراش</v>
          </cell>
          <cell r="AC532" t="str">
            <v>1405/04/22</v>
          </cell>
        </row>
        <row r="533">
          <cell r="B533" t="str">
            <v>دستگاه پرس پخت</v>
          </cell>
          <cell r="C533" t="str">
            <v>قطعه تعمیری</v>
          </cell>
          <cell r="N533" t="str">
            <v>تراش</v>
          </cell>
          <cell r="AC533" t="str">
            <v>1405/04/22</v>
          </cell>
        </row>
        <row r="534">
          <cell r="B534" t="str">
            <v>ویوینگ</v>
          </cell>
          <cell r="C534" t="str">
            <v>قطعه نو</v>
          </cell>
          <cell r="N534" t="str">
            <v>تراش</v>
          </cell>
          <cell r="AC534" t="str">
            <v>1405/04/22</v>
          </cell>
        </row>
        <row r="535">
          <cell r="B535" t="str">
            <v>ویوینگ</v>
          </cell>
          <cell r="C535" t="str">
            <v>قطعه نو</v>
          </cell>
          <cell r="N535" t="str">
            <v>تراش</v>
          </cell>
          <cell r="AC535" t="str">
            <v>1405/04/22</v>
          </cell>
        </row>
        <row r="536">
          <cell r="B536" t="str">
            <v>اهرم زنی</v>
          </cell>
          <cell r="C536" t="str">
            <v>قطعه تعمیری</v>
          </cell>
          <cell r="N536" t="str">
            <v>تراش</v>
          </cell>
          <cell r="AC536" t="str">
            <v>1405/04/22</v>
          </cell>
        </row>
        <row r="537">
          <cell r="B537" t="str">
            <v xml:space="preserve">قالب پخت کلاچ پیکان </v>
          </cell>
          <cell r="C537" t="str">
            <v>قالب تعمیری</v>
          </cell>
          <cell r="N537" t="str">
            <v>مونتاژ</v>
          </cell>
          <cell r="AC537" t="str">
            <v>1405/04/22</v>
          </cell>
        </row>
        <row r="538">
          <cell r="B538" t="str">
            <v>پخت کلاچ ده تن</v>
          </cell>
          <cell r="C538" t="str">
            <v>قالب تعمیری</v>
          </cell>
          <cell r="N538" t="str">
            <v>مونتاژ</v>
          </cell>
          <cell r="AC538" t="str">
            <v>1405/04/22</v>
          </cell>
        </row>
        <row r="539">
          <cell r="B539" t="str">
            <v>قالب قطاری</v>
          </cell>
          <cell r="C539" t="str">
            <v>قالب تعمیری</v>
          </cell>
          <cell r="N539" t="str">
            <v>مونتاژ</v>
          </cell>
          <cell r="AC539" t="str">
            <v>1405/04/22</v>
          </cell>
        </row>
        <row r="540">
          <cell r="B540" t="str">
            <v>قالب قطاری</v>
          </cell>
          <cell r="C540" t="str">
            <v>قالب تعمیری</v>
          </cell>
          <cell r="N540" t="str">
            <v>مونتاژ</v>
          </cell>
          <cell r="AC540" t="str">
            <v>1405/04/22</v>
          </cell>
        </row>
        <row r="541">
          <cell r="B541" t="str">
            <v>قالب پخت کلاچ پژو 405</v>
          </cell>
          <cell r="C541" t="str">
            <v>قالب تعمیری</v>
          </cell>
          <cell r="N541" t="str">
            <v>مونتاژ</v>
          </cell>
          <cell r="AC541" t="str">
            <v>1405/04/22</v>
          </cell>
        </row>
        <row r="542">
          <cell r="B542" t="str">
            <v>ویوینگ</v>
          </cell>
          <cell r="C542" t="str">
            <v>قطعه نو</v>
          </cell>
          <cell r="N542" t="str">
            <v>دریل رادیال</v>
          </cell>
          <cell r="AC542" t="str">
            <v>1405/04/22</v>
          </cell>
        </row>
        <row r="543">
          <cell r="B543" t="str">
            <v>ویوینگ</v>
          </cell>
          <cell r="C543" t="str">
            <v>قطعه نو</v>
          </cell>
          <cell r="N543" t="str">
            <v>دریل رادیال</v>
          </cell>
          <cell r="AC543" t="str">
            <v>1405/04/22</v>
          </cell>
        </row>
        <row r="544">
          <cell r="B544" t="str">
            <v xml:space="preserve">قالب پخت کلاچ پیکان </v>
          </cell>
          <cell r="C544" t="str">
            <v>قالب تعمیری</v>
          </cell>
          <cell r="N544" t="str">
            <v>CNC</v>
          </cell>
          <cell r="AC544" t="str">
            <v>1405/04/23</v>
          </cell>
        </row>
        <row r="545">
          <cell r="B545" t="str">
            <v xml:space="preserve">قالب پخت کلاچ پیکان </v>
          </cell>
          <cell r="C545" t="str">
            <v>قالب تعمیری</v>
          </cell>
          <cell r="N545" t="str">
            <v>CNC</v>
          </cell>
          <cell r="AC545" t="str">
            <v>1405/04/23</v>
          </cell>
        </row>
        <row r="546">
          <cell r="B546" t="str">
            <v>دستگاه ساب سمباده ای</v>
          </cell>
          <cell r="C546" t="str">
            <v>قطعه تعمیری</v>
          </cell>
          <cell r="N546" t="str">
            <v>فرز</v>
          </cell>
          <cell r="AC546" t="str">
            <v>1405/04/23</v>
          </cell>
        </row>
        <row r="547">
          <cell r="B547" t="str">
            <v>قالب پخت کلاچ پژو 405</v>
          </cell>
          <cell r="C547" t="str">
            <v>قالب تعمیری</v>
          </cell>
          <cell r="N547" t="str">
            <v>CNC</v>
          </cell>
          <cell r="AC547" t="str">
            <v>1405/04/23</v>
          </cell>
        </row>
        <row r="548">
          <cell r="B548" t="str">
            <v xml:space="preserve">قالب پخت کلاچ پیکان </v>
          </cell>
          <cell r="C548" t="str">
            <v>قالب تعمیری</v>
          </cell>
          <cell r="N548" t="str">
            <v>CNC</v>
          </cell>
          <cell r="AC548" t="str">
            <v>1405/04/23</v>
          </cell>
        </row>
        <row r="549">
          <cell r="B549" t="str">
            <v>ابزار زنی</v>
          </cell>
          <cell r="C549" t="str">
            <v>قطعه تعمیری</v>
          </cell>
          <cell r="N549" t="str">
            <v>فرز</v>
          </cell>
          <cell r="AC549" t="str">
            <v>1405/04/23</v>
          </cell>
        </row>
        <row r="550">
          <cell r="B550" t="str">
            <v>لودر دیسکی  XGL 50</v>
          </cell>
          <cell r="C550" t="str">
            <v>قالب نو</v>
          </cell>
          <cell r="N550" t="str">
            <v>فرز</v>
          </cell>
          <cell r="AC550" t="str">
            <v>1405/04/23</v>
          </cell>
        </row>
        <row r="551">
          <cell r="B551" t="str">
            <v>صفحه قالب یدک
700*500*65</v>
          </cell>
          <cell r="C551" t="str">
            <v>قطعه نو</v>
          </cell>
          <cell r="N551" t="str">
            <v>فرز</v>
          </cell>
          <cell r="AC551" t="str">
            <v>1405/04/23</v>
          </cell>
        </row>
        <row r="552">
          <cell r="B552" t="str">
            <v>برشی نیوفیس C&amp;C</v>
          </cell>
          <cell r="C552" t="str">
            <v>قالب نو</v>
          </cell>
          <cell r="N552" t="str">
            <v>فرز</v>
          </cell>
          <cell r="AC552" t="str">
            <v>1405/04/23</v>
          </cell>
        </row>
        <row r="553">
          <cell r="B553" t="str">
            <v>قالب پخت کلاچ پژو 405</v>
          </cell>
          <cell r="C553" t="str">
            <v>قالب تعمیری</v>
          </cell>
          <cell r="N553" t="str">
            <v>CNC</v>
          </cell>
          <cell r="AC553" t="str">
            <v>1405/04/23</v>
          </cell>
        </row>
        <row r="554">
          <cell r="B554" t="str">
            <v>قالب پخت کلاچ پژو 405</v>
          </cell>
          <cell r="C554" t="str">
            <v>قالب تعمیری</v>
          </cell>
          <cell r="N554" t="str">
            <v>مونتاژ</v>
          </cell>
          <cell r="AC554" t="str">
            <v>1405/04/23</v>
          </cell>
        </row>
        <row r="555">
          <cell r="B555" t="str">
            <v>برش دستی</v>
          </cell>
          <cell r="C555" t="str">
            <v>قطعه تعمیری</v>
          </cell>
          <cell r="N555" t="str">
            <v>تراش</v>
          </cell>
          <cell r="AC555" t="str">
            <v>1405/04/23</v>
          </cell>
        </row>
        <row r="556">
          <cell r="B556" t="str">
            <v>قالب قطاری</v>
          </cell>
          <cell r="C556" t="str">
            <v>قالب تعمیری</v>
          </cell>
          <cell r="N556" t="str">
            <v>تراش</v>
          </cell>
          <cell r="AC556" t="str">
            <v>1405/04/23</v>
          </cell>
        </row>
        <row r="557">
          <cell r="B557" t="str">
            <v>سری نقطه جوش</v>
          </cell>
          <cell r="C557" t="str">
            <v>قطعه تعمیری</v>
          </cell>
          <cell r="N557" t="str">
            <v>تراش</v>
          </cell>
          <cell r="AC557" t="str">
            <v>1405/04/23</v>
          </cell>
        </row>
        <row r="558">
          <cell r="B558" t="str">
            <v>قالب پخت کلاچ پژو 405</v>
          </cell>
          <cell r="C558" t="str">
            <v>قالب تعمیری</v>
          </cell>
          <cell r="N558" t="str">
            <v>تراش</v>
          </cell>
          <cell r="AC558" t="str">
            <v>1405/04/23</v>
          </cell>
        </row>
        <row r="559">
          <cell r="B559" t="str">
            <v>قالب پخت کلاچ پژو 405</v>
          </cell>
          <cell r="C559" t="str">
            <v>قالب تعمیری</v>
          </cell>
          <cell r="N559" t="str">
            <v>تراش</v>
          </cell>
          <cell r="AC559" t="str">
            <v>1405/04/23</v>
          </cell>
        </row>
        <row r="560">
          <cell r="B560" t="str">
            <v>قالب پخت کلاچ پژو 405</v>
          </cell>
          <cell r="C560" t="str">
            <v>قالب تعمیری</v>
          </cell>
          <cell r="N560" t="str">
            <v>تراش</v>
          </cell>
          <cell r="AC560" t="str">
            <v>1405/04/23</v>
          </cell>
        </row>
        <row r="561">
          <cell r="B561" t="str">
            <v>ویوینگ</v>
          </cell>
          <cell r="C561" t="str">
            <v>قطعه تعمیری</v>
          </cell>
          <cell r="N561" t="str">
            <v>تراش</v>
          </cell>
          <cell r="AC561" t="str">
            <v>1405/04/23</v>
          </cell>
        </row>
        <row r="562">
          <cell r="B562" t="str">
            <v>دستگاه پشم فلز</v>
          </cell>
          <cell r="C562" t="str">
            <v>قطعه تعمیری</v>
          </cell>
          <cell r="N562" t="str">
            <v>تراش</v>
          </cell>
          <cell r="AC562" t="str">
            <v>1405/04/23</v>
          </cell>
        </row>
        <row r="563">
          <cell r="B563" t="str">
            <v>پخت کلاچ ده تن</v>
          </cell>
          <cell r="C563" t="str">
            <v>قالب تعمیری</v>
          </cell>
          <cell r="N563" t="str">
            <v>مونتاژ</v>
          </cell>
          <cell r="AC563" t="str">
            <v>1405/04/23</v>
          </cell>
        </row>
        <row r="564">
          <cell r="B564" t="str">
            <v>قالب پخت کلاچ پژو 405</v>
          </cell>
          <cell r="C564" t="str">
            <v>قالب تعمیری</v>
          </cell>
          <cell r="N564" t="str">
            <v>مونتاژ</v>
          </cell>
          <cell r="AC564" t="str">
            <v>1405/04/23</v>
          </cell>
        </row>
        <row r="565">
          <cell r="B565" t="str">
            <v>قالب عقب F12</v>
          </cell>
          <cell r="C565" t="str">
            <v>قالب نو</v>
          </cell>
          <cell r="N565" t="str">
            <v>مونتاژ</v>
          </cell>
          <cell r="AC565" t="str">
            <v>1405/04/23</v>
          </cell>
        </row>
        <row r="566">
          <cell r="B566" t="str">
            <v>قالب عقب F12</v>
          </cell>
          <cell r="C566" t="str">
            <v>قالب نو</v>
          </cell>
          <cell r="N566" t="str">
            <v>مونتاژ</v>
          </cell>
          <cell r="AC566" t="str">
            <v>1405/04/23</v>
          </cell>
        </row>
        <row r="567">
          <cell r="B567" t="str">
            <v>قالب مینی بوس آریا</v>
          </cell>
          <cell r="C567" t="str">
            <v>قالب نو</v>
          </cell>
          <cell r="N567" t="str">
            <v>سنگ زنی</v>
          </cell>
          <cell r="AC567" t="str">
            <v>1405/04/23</v>
          </cell>
        </row>
        <row r="568">
          <cell r="B568" t="str">
            <v>قالب مینی بوس آریا</v>
          </cell>
          <cell r="C568" t="str">
            <v>قالب نو</v>
          </cell>
          <cell r="N568" t="str">
            <v>سنگ زنی</v>
          </cell>
          <cell r="AC568" t="str">
            <v>1405/04/23</v>
          </cell>
        </row>
        <row r="569">
          <cell r="B569" t="str">
            <v>قالب پخت کلاچ پژو 405</v>
          </cell>
          <cell r="C569" t="str">
            <v>قالب تعمیری</v>
          </cell>
          <cell r="N569" t="str">
            <v>سنگ زنی</v>
          </cell>
          <cell r="AC569" t="str">
            <v>1405/04/23</v>
          </cell>
        </row>
        <row r="570">
          <cell r="B570" t="str">
            <v>قالب پخت کلاچ پژو 405</v>
          </cell>
          <cell r="C570" t="str">
            <v>قالب تعمیری</v>
          </cell>
          <cell r="N570" t="str">
            <v>سنگ زنی</v>
          </cell>
          <cell r="AC570" t="str">
            <v>1405/04/23</v>
          </cell>
        </row>
        <row r="571">
          <cell r="B571" t="str">
            <v>قالب توری پگاسوز</v>
          </cell>
          <cell r="C571" t="str">
            <v>قالب تعمیری</v>
          </cell>
          <cell r="N571" t="str">
            <v>سنگ زنی</v>
          </cell>
          <cell r="AC571" t="str">
            <v>1405/04/23</v>
          </cell>
        </row>
        <row r="572">
          <cell r="B572" t="str">
            <v>قالب قطاری</v>
          </cell>
          <cell r="C572" t="str">
            <v>قالب تعمیری</v>
          </cell>
          <cell r="N572" t="str">
            <v>مونتاژ</v>
          </cell>
          <cell r="AC572" t="str">
            <v>1405/04/23</v>
          </cell>
        </row>
        <row r="573">
          <cell r="B573" t="str">
            <v>قالب قطاری</v>
          </cell>
          <cell r="C573" t="str">
            <v>قالب تعمیری</v>
          </cell>
          <cell r="N573" t="str">
            <v>دریل رادیال</v>
          </cell>
          <cell r="AC573" t="str">
            <v>1405/04/23</v>
          </cell>
        </row>
        <row r="574">
          <cell r="B574" t="str">
            <v>قالب پخت کلاچ پژو 405</v>
          </cell>
          <cell r="C574" t="str">
            <v>قالب تعمیری</v>
          </cell>
          <cell r="N574" t="str">
            <v>مونتاژ</v>
          </cell>
          <cell r="AC574" t="str">
            <v>1405/04/23</v>
          </cell>
        </row>
        <row r="575">
          <cell r="B575" t="str">
            <v xml:space="preserve">قالب پخت کلاچ پیکان </v>
          </cell>
          <cell r="C575" t="str">
            <v>قالب تعمیری</v>
          </cell>
          <cell r="N575" t="str">
            <v>مونتاژ</v>
          </cell>
          <cell r="AC575" t="str">
            <v>1405/04/23</v>
          </cell>
        </row>
        <row r="576">
          <cell r="B576" t="str">
            <v xml:space="preserve">قالب پخت کلاچ پیکان </v>
          </cell>
          <cell r="C576" t="str">
            <v>قالب تعمیری</v>
          </cell>
          <cell r="N576" t="str">
            <v>مونتاژ</v>
          </cell>
          <cell r="AC576" t="str">
            <v>1405/04/23</v>
          </cell>
        </row>
        <row r="577">
          <cell r="B577" t="str">
            <v>برشی نیوفیس C&amp;C</v>
          </cell>
          <cell r="C577" t="str">
            <v>قالب نو</v>
          </cell>
          <cell r="N577" t="str">
            <v>فرز</v>
          </cell>
          <cell r="AC577" t="str">
            <v>1405/04/24</v>
          </cell>
        </row>
        <row r="578">
          <cell r="B578" t="str">
            <v xml:space="preserve">قالب پخت کلاچ پیکان </v>
          </cell>
          <cell r="C578" t="str">
            <v>قالب تعمیری</v>
          </cell>
          <cell r="N578" t="str">
            <v>CNC</v>
          </cell>
          <cell r="AC578" t="str">
            <v>1405/04/24</v>
          </cell>
        </row>
        <row r="579">
          <cell r="B579" t="str">
            <v>برشی نیوفیس C&amp;C</v>
          </cell>
          <cell r="C579" t="str">
            <v>قالب نو</v>
          </cell>
          <cell r="N579" t="str">
            <v>فرز</v>
          </cell>
          <cell r="AC579" t="str">
            <v>1405/04/24</v>
          </cell>
        </row>
        <row r="580">
          <cell r="B580" t="str">
            <v xml:space="preserve">قالب پخت کلاچ پیکان </v>
          </cell>
          <cell r="C580" t="str">
            <v>قالب تعمیری</v>
          </cell>
          <cell r="N580" t="str">
            <v>CNC</v>
          </cell>
          <cell r="AC580" t="str">
            <v>1405/04/24</v>
          </cell>
        </row>
        <row r="581">
          <cell r="B581" t="str">
            <v>قالب پخت کلاچ پژو 405</v>
          </cell>
          <cell r="C581" t="str">
            <v>قالب تعمیری</v>
          </cell>
          <cell r="N581" t="str">
            <v>مونتاژ</v>
          </cell>
          <cell r="AC581" t="str">
            <v>1405/04/24</v>
          </cell>
        </row>
        <row r="582">
          <cell r="B582" t="str">
            <v>پخت کلاچ پراید</v>
          </cell>
          <cell r="C582" t="str">
            <v>قالب تعمیری</v>
          </cell>
          <cell r="N582" t="str">
            <v>مونتاژ</v>
          </cell>
          <cell r="AC582" t="str">
            <v>1405/04/24</v>
          </cell>
        </row>
        <row r="583">
          <cell r="B583" t="str">
            <v>قالب مینی بوس آریا</v>
          </cell>
          <cell r="C583" t="str">
            <v>قالب نو</v>
          </cell>
          <cell r="N583" t="str">
            <v>سنگ زنی</v>
          </cell>
          <cell r="AC583" t="str">
            <v>1405/04/24</v>
          </cell>
        </row>
        <row r="584">
          <cell r="B584" t="str">
            <v>برشی نیوفیس C&amp;C</v>
          </cell>
          <cell r="C584" t="str">
            <v>قالب نو</v>
          </cell>
          <cell r="N584" t="str">
            <v>سنگ زنی</v>
          </cell>
          <cell r="AC584" t="str">
            <v>1405/04/24</v>
          </cell>
        </row>
        <row r="585">
          <cell r="B585" t="str">
            <v>اصول 5S
کلاس ایمنی و بهداشت</v>
          </cell>
          <cell r="C585" t="str">
            <v>نظافت</v>
          </cell>
          <cell r="N585" t="str">
            <v>مونتاژ</v>
          </cell>
          <cell r="AC585" t="str">
            <v>1405/04/24</v>
          </cell>
        </row>
        <row r="586">
          <cell r="B586" t="str">
            <v>ویوینگ</v>
          </cell>
          <cell r="C586" t="str">
            <v>قطعه تعمیری</v>
          </cell>
          <cell r="N586" t="str">
            <v>تراش</v>
          </cell>
          <cell r="AC586" t="str">
            <v>1405/04/24</v>
          </cell>
        </row>
        <row r="587">
          <cell r="B587" t="str">
            <v xml:space="preserve">قالب پخت کلاچ پیکان </v>
          </cell>
          <cell r="C587" t="str">
            <v>قالب تعمیری</v>
          </cell>
          <cell r="N587" t="str">
            <v>فرز</v>
          </cell>
          <cell r="AC587" t="str">
            <v>1405/04/24</v>
          </cell>
        </row>
        <row r="588">
          <cell r="B588" t="str">
            <v xml:space="preserve">قالب پخت کلاچ پیکان </v>
          </cell>
          <cell r="C588" t="str">
            <v>قالب تعمیری</v>
          </cell>
          <cell r="N588" t="str">
            <v>مونتاژ</v>
          </cell>
          <cell r="AC588" t="str">
            <v>1405/04/24</v>
          </cell>
        </row>
        <row r="589">
          <cell r="B589" t="str">
            <v>قالب قطاری</v>
          </cell>
          <cell r="C589" t="str">
            <v>قالب تعمیری</v>
          </cell>
          <cell r="N589" t="str">
            <v>مونتاژ</v>
          </cell>
          <cell r="AC589" t="str">
            <v>1405/04/24</v>
          </cell>
        </row>
        <row r="590">
          <cell r="B590" t="str">
            <v xml:space="preserve">قالب پخت کلاچ پیکان </v>
          </cell>
          <cell r="C590" t="str">
            <v>قالب تعمیری</v>
          </cell>
          <cell r="N590" t="str">
            <v>تراش</v>
          </cell>
          <cell r="AC590" t="str">
            <v>1405/04/24</v>
          </cell>
        </row>
        <row r="591">
          <cell r="B591" t="str">
            <v>قالب پخت کلاچ پژو 405</v>
          </cell>
          <cell r="C591" t="str">
            <v>قالب تعمیری</v>
          </cell>
          <cell r="N591" t="str">
            <v>تراش</v>
          </cell>
          <cell r="AC591" t="str">
            <v>1405/04/24</v>
          </cell>
        </row>
        <row r="592">
          <cell r="B592" t="str">
            <v xml:space="preserve">قالب پخت کلاچ پیکان </v>
          </cell>
          <cell r="C592" t="str">
            <v>قالب تعمیری</v>
          </cell>
          <cell r="N592" t="str">
            <v>تراش</v>
          </cell>
          <cell r="AC592" t="str">
            <v>1405/04/24</v>
          </cell>
        </row>
        <row r="593">
          <cell r="B593" t="str">
            <v>سری نقطه جوش</v>
          </cell>
          <cell r="C593" t="str">
            <v>قطعه تعمیری</v>
          </cell>
          <cell r="N593" t="str">
            <v>تراش</v>
          </cell>
          <cell r="AC593" t="str">
            <v>1405/04/24</v>
          </cell>
        </row>
        <row r="594">
          <cell r="B594" t="str">
            <v xml:space="preserve">قالب پخت کلاچ پیکان </v>
          </cell>
          <cell r="C594" t="str">
            <v>قالب تعمیری</v>
          </cell>
          <cell r="N594" t="str">
            <v>مونتاژ</v>
          </cell>
          <cell r="AC594" t="str">
            <v>1405/04/24</v>
          </cell>
        </row>
        <row r="595">
          <cell r="B595" t="str">
            <v>پخت کلاچ پراید</v>
          </cell>
          <cell r="C595" t="str">
            <v>قالب تعمیری</v>
          </cell>
          <cell r="N595" t="str">
            <v>مونتاژ</v>
          </cell>
          <cell r="AC595" t="str">
            <v>1405/04/24</v>
          </cell>
        </row>
        <row r="596">
          <cell r="B596" t="str">
            <v xml:space="preserve">قالب پخت کلاچ پیکان </v>
          </cell>
          <cell r="C596" t="str">
            <v>قالب تعمیری</v>
          </cell>
          <cell r="N596" t="str">
            <v>مونتاژ</v>
          </cell>
          <cell r="AC596" t="str">
            <v>1405/04/24</v>
          </cell>
        </row>
        <row r="597">
          <cell r="B597" t="str">
            <v>قالب قطاری</v>
          </cell>
          <cell r="C597" t="str">
            <v>قالب تعمیری</v>
          </cell>
          <cell r="N597" t="str">
            <v>مونتاژ</v>
          </cell>
          <cell r="AC597" t="str">
            <v>1405/04/24</v>
          </cell>
        </row>
        <row r="598">
          <cell r="B598" t="str">
            <v xml:space="preserve">قالب پخت کلاچ پیکان </v>
          </cell>
          <cell r="C598" t="str">
            <v>قالب تعمیری</v>
          </cell>
          <cell r="N598" t="str">
            <v>CNC</v>
          </cell>
          <cell r="AC598" t="str">
            <v>1405/04/25</v>
          </cell>
        </row>
        <row r="599">
          <cell r="B599" t="str">
            <v>دریل یزدخواستی کلاچ</v>
          </cell>
          <cell r="C599" t="str">
            <v>قطعه نو</v>
          </cell>
          <cell r="N599" t="str">
            <v>CNC</v>
          </cell>
          <cell r="AC599" t="str">
            <v>1405/04/26</v>
          </cell>
        </row>
        <row r="600">
          <cell r="B600" t="str">
            <v xml:space="preserve">قالب پخت کلاچ پیکان </v>
          </cell>
          <cell r="C600" t="str">
            <v>قالب تعمیری</v>
          </cell>
          <cell r="N600" t="str">
            <v>CNC</v>
          </cell>
          <cell r="AC600" t="str">
            <v>1405/04/25</v>
          </cell>
        </row>
        <row r="601">
          <cell r="B601" t="str">
            <v>برشی نیوفیس C&amp;C</v>
          </cell>
          <cell r="C601" t="str">
            <v>قالب نو</v>
          </cell>
          <cell r="N601" t="str">
            <v>فرز</v>
          </cell>
          <cell r="AC601" t="str">
            <v>1405/04/25</v>
          </cell>
        </row>
        <row r="602">
          <cell r="B602" t="str">
            <v>قالب کوبه نک SAF</v>
          </cell>
          <cell r="C602" t="str">
            <v>قالب تعمیری</v>
          </cell>
          <cell r="N602" t="str">
            <v>تراش</v>
          </cell>
          <cell r="AC602" t="str">
            <v>1405/04/25</v>
          </cell>
        </row>
        <row r="603">
          <cell r="B603" t="str">
            <v xml:space="preserve">قالب پخت کلاچ پیکان </v>
          </cell>
          <cell r="C603" t="str">
            <v>قالب تعمیری</v>
          </cell>
          <cell r="N603" t="str">
            <v>تراش</v>
          </cell>
          <cell r="AC603" t="str">
            <v>1405/04/25</v>
          </cell>
        </row>
        <row r="604">
          <cell r="B604" t="str">
            <v>اصول 5S</v>
          </cell>
          <cell r="C604" t="str">
            <v>نظافت</v>
          </cell>
          <cell r="N604" t="str">
            <v>نظافت</v>
          </cell>
          <cell r="AC604" t="str">
            <v>1405/04/25</v>
          </cell>
        </row>
        <row r="605">
          <cell r="B605" t="str">
            <v xml:space="preserve">قالب پخت کلاچ پیکان </v>
          </cell>
          <cell r="C605" t="str">
            <v>قالب تعمیری</v>
          </cell>
          <cell r="N605" t="str">
            <v>مونتاژ</v>
          </cell>
          <cell r="AC605" t="str">
            <v>1405/04/25</v>
          </cell>
        </row>
        <row r="606">
          <cell r="B606" t="str">
            <v xml:space="preserve">قالب پخت کلاچ پیکان </v>
          </cell>
          <cell r="C606" t="str">
            <v>قالب تعمیری</v>
          </cell>
          <cell r="N606" t="str">
            <v>فرز</v>
          </cell>
          <cell r="AC606" t="str">
            <v>1405/04/25</v>
          </cell>
        </row>
        <row r="607">
          <cell r="B607" t="str">
            <v>ویوینگ</v>
          </cell>
          <cell r="C607" t="str">
            <v>قطعه تعمیری</v>
          </cell>
          <cell r="N607" t="str">
            <v>تراش</v>
          </cell>
          <cell r="AC607" t="str">
            <v>1405/04/25</v>
          </cell>
        </row>
        <row r="608">
          <cell r="B608" t="str">
            <v xml:space="preserve">قالب پخت کلاچ پیکان </v>
          </cell>
          <cell r="C608" t="str">
            <v>قالب تعمیری</v>
          </cell>
          <cell r="N608" t="str">
            <v>تراش</v>
          </cell>
          <cell r="AC608" t="str">
            <v>1405/04/25</v>
          </cell>
        </row>
        <row r="609">
          <cell r="B609" t="str">
            <v>اصول 5S</v>
          </cell>
          <cell r="C609" t="str">
            <v>نظافت</v>
          </cell>
          <cell r="N609" t="str">
            <v>نظافت</v>
          </cell>
          <cell r="AC609" t="str">
            <v>1405/04/25</v>
          </cell>
        </row>
        <row r="610">
          <cell r="B610" t="str">
            <v>قالب پخت SAF</v>
          </cell>
          <cell r="C610" t="str">
            <v>قالب تعمیری</v>
          </cell>
          <cell r="N610" t="str">
            <v>مونتاژ</v>
          </cell>
          <cell r="AC610" t="str">
            <v>1405/04/25</v>
          </cell>
        </row>
        <row r="611">
          <cell r="B611" t="str">
            <v>پخت کلاچ پراید</v>
          </cell>
          <cell r="C611" t="str">
            <v>قالب تعمیری</v>
          </cell>
          <cell r="N611" t="str">
            <v>سنگ زنی</v>
          </cell>
          <cell r="AC611" t="str">
            <v>1405/04/25</v>
          </cell>
        </row>
        <row r="612">
          <cell r="B612" t="str">
            <v>اصول 5S</v>
          </cell>
          <cell r="C612" t="str">
            <v>نظافت</v>
          </cell>
          <cell r="N612" t="str">
            <v>نظافت</v>
          </cell>
          <cell r="AC612" t="str">
            <v>1405/04/25</v>
          </cell>
        </row>
        <row r="613">
          <cell r="B613" t="str">
            <v>قالب پخت SAF</v>
          </cell>
          <cell r="C613" t="str">
            <v>قالب تعمیری</v>
          </cell>
          <cell r="N613" t="str">
            <v>مونتاژ</v>
          </cell>
          <cell r="AC613" t="str">
            <v>1405/04/25</v>
          </cell>
        </row>
        <row r="614">
          <cell r="B614" t="str">
            <v xml:space="preserve">قالب پخت کلاچ پیکان </v>
          </cell>
          <cell r="C614" t="str">
            <v>قالب تعمیری</v>
          </cell>
          <cell r="N614" t="str">
            <v>مونتاژ</v>
          </cell>
          <cell r="AC614" t="str">
            <v>1405/04/25</v>
          </cell>
        </row>
        <row r="615">
          <cell r="B615" t="str">
            <v>قالب پخت کلاچ پژو 405</v>
          </cell>
          <cell r="C615" t="str">
            <v>قالب تعمیری</v>
          </cell>
          <cell r="N615" t="str">
            <v>مونتاژ</v>
          </cell>
          <cell r="AC615" t="str">
            <v>1405/04/25</v>
          </cell>
        </row>
        <row r="616">
          <cell r="B616" t="str">
            <v>اصول 5S</v>
          </cell>
          <cell r="C616" t="str">
            <v>نظافت</v>
          </cell>
          <cell r="N616" t="str">
            <v>نظافت</v>
          </cell>
          <cell r="AC616" t="str">
            <v>1405/04/25</v>
          </cell>
        </row>
        <row r="617">
          <cell r="B617" t="str">
            <v>قالب مینی بوس آریا</v>
          </cell>
          <cell r="C617" t="str">
            <v>قالب نو</v>
          </cell>
          <cell r="N617" t="str">
            <v>سنگ زنی</v>
          </cell>
          <cell r="AC617" t="str">
            <v>1405/04/25</v>
          </cell>
        </row>
        <row r="618">
          <cell r="B618" t="str">
            <v xml:space="preserve">قالب پخت کلاچ پیکان </v>
          </cell>
          <cell r="C618" t="str">
            <v>قالب تعمیری</v>
          </cell>
          <cell r="N618" t="str">
            <v>سنگ زنی</v>
          </cell>
          <cell r="AC618" t="str">
            <v>1405/04/25</v>
          </cell>
        </row>
        <row r="619">
          <cell r="B619" t="str">
            <v>برشی نیوفیس C&amp;C</v>
          </cell>
          <cell r="C619" t="str">
            <v>قالب نو</v>
          </cell>
          <cell r="N619" t="str">
            <v>سنگ زنی</v>
          </cell>
          <cell r="AC619" t="str">
            <v>1405/04/25</v>
          </cell>
        </row>
        <row r="620">
          <cell r="B620" t="str">
            <v>پخت کلاچ پراید</v>
          </cell>
          <cell r="C620" t="str">
            <v>قالب تعمیری</v>
          </cell>
          <cell r="N620" t="str">
            <v>سنگ زنی</v>
          </cell>
          <cell r="AC620" t="str">
            <v>1405/04/25</v>
          </cell>
        </row>
        <row r="621">
          <cell r="B621" t="str">
            <v>قالب پخت کلاچ پژو 405</v>
          </cell>
          <cell r="C621" t="str">
            <v>قالب تعمیری</v>
          </cell>
          <cell r="N621" t="str">
            <v>وایر</v>
          </cell>
          <cell r="AC621" t="str">
            <v>1405/04/25</v>
          </cell>
        </row>
        <row r="622">
          <cell r="B622" t="str">
            <v>قالب عقب F12</v>
          </cell>
          <cell r="C622" t="str">
            <v>قالب نو</v>
          </cell>
          <cell r="N622" t="str">
            <v>وایر</v>
          </cell>
          <cell r="AC622" t="str">
            <v>1405/04/25</v>
          </cell>
        </row>
        <row r="623">
          <cell r="B623" t="str">
            <v>لودر دیسکی  XGL 50</v>
          </cell>
          <cell r="C623" t="str">
            <v>قالب نو</v>
          </cell>
          <cell r="N623" t="str">
            <v>وایر</v>
          </cell>
          <cell r="AC623" t="str">
            <v>1405/04/25</v>
          </cell>
        </row>
        <row r="624">
          <cell r="B624" t="str">
            <v>برشی نیوفیس C&amp;C</v>
          </cell>
          <cell r="C624" t="str">
            <v>قالب نو</v>
          </cell>
          <cell r="N624" t="str">
            <v>وایر</v>
          </cell>
          <cell r="AC624" t="str">
            <v>1405/04/25</v>
          </cell>
        </row>
        <row r="625">
          <cell r="B625" t="str">
            <v>قالب مینی بوس آریا</v>
          </cell>
          <cell r="C625" t="str">
            <v>قالب نو</v>
          </cell>
          <cell r="N625" t="str">
            <v>سوپر دریل</v>
          </cell>
          <cell r="AC625" t="str">
            <v>1405/04/25</v>
          </cell>
        </row>
        <row r="626">
          <cell r="B626" t="str">
            <v>لنت ترمز دیسكی جلو دیما(خم)</v>
          </cell>
          <cell r="C626" t="str">
            <v>قالب نو</v>
          </cell>
          <cell r="N626" t="str">
            <v>وایر</v>
          </cell>
          <cell r="AC626" t="str">
            <v>1405/04/26</v>
          </cell>
        </row>
        <row r="627">
          <cell r="B627" t="str">
            <v>قالب پخت کلاچ پژو 405</v>
          </cell>
          <cell r="C627" t="str">
            <v>قالب تعمیری</v>
          </cell>
          <cell r="N627" t="str">
            <v>وایر</v>
          </cell>
          <cell r="AC627" t="str">
            <v>1405/04/26</v>
          </cell>
        </row>
        <row r="628">
          <cell r="B628" t="str">
            <v>قالب عقب F12</v>
          </cell>
          <cell r="C628" t="str">
            <v>قالب نو</v>
          </cell>
          <cell r="N628" t="str">
            <v>وایر</v>
          </cell>
          <cell r="AC628" t="str">
            <v>1405/04/26</v>
          </cell>
        </row>
        <row r="629">
          <cell r="B629" t="str">
            <v>برشی نیوفیس C&amp;C</v>
          </cell>
          <cell r="C629" t="str">
            <v>قالب نو</v>
          </cell>
          <cell r="N629" t="str">
            <v>وایر</v>
          </cell>
          <cell r="AC629" t="str">
            <v>1405/04/26</v>
          </cell>
        </row>
        <row r="630">
          <cell r="B630" t="str">
            <v>قالب مینی بوس آریا</v>
          </cell>
          <cell r="C630" t="str">
            <v>قالب نو</v>
          </cell>
          <cell r="N630" t="str">
            <v>سوپر دریل</v>
          </cell>
          <cell r="AC630" t="str">
            <v>1405/04/26</v>
          </cell>
        </row>
        <row r="631">
          <cell r="B631" t="str">
            <v>قالب پخت کلاچ پژو 405</v>
          </cell>
          <cell r="C631" t="str">
            <v>قالب تعمیری</v>
          </cell>
          <cell r="N631" t="str">
            <v>مونتاژ</v>
          </cell>
          <cell r="AC631" t="str">
            <v>1405/04/26</v>
          </cell>
        </row>
        <row r="632">
          <cell r="B632" t="str">
            <v>پخت کلاچ پراید</v>
          </cell>
          <cell r="C632" t="str">
            <v>قالب تعمیری</v>
          </cell>
          <cell r="N632" t="str">
            <v>مونتاژ</v>
          </cell>
          <cell r="AC632" t="str">
            <v>1405/04/26</v>
          </cell>
        </row>
        <row r="633">
          <cell r="B633" t="str">
            <v>برشی نیوفیس C&amp;C</v>
          </cell>
          <cell r="C633" t="str">
            <v>قالب نو</v>
          </cell>
          <cell r="N633" t="str">
            <v>فرز</v>
          </cell>
          <cell r="AC633" t="str">
            <v>1405/04/27</v>
          </cell>
        </row>
        <row r="634">
          <cell r="B634" t="str">
            <v>دریل یزدخواستی کلاچ</v>
          </cell>
          <cell r="C634" t="str">
            <v>قطعه نو</v>
          </cell>
          <cell r="N634" t="str">
            <v>CNC</v>
          </cell>
          <cell r="AC634" t="str">
            <v>1405/04/27</v>
          </cell>
        </row>
        <row r="635">
          <cell r="B635" t="str">
            <v>دریل یزدخواستی کلاچ</v>
          </cell>
          <cell r="C635" t="str">
            <v>قطعه نو</v>
          </cell>
          <cell r="N635" t="str">
            <v>CNC</v>
          </cell>
          <cell r="AC635" t="str">
            <v>1405/04/27</v>
          </cell>
        </row>
        <row r="636">
          <cell r="B636" t="str">
            <v>پخت کلاچ پراید</v>
          </cell>
          <cell r="C636" t="str">
            <v>قالب تعمیری</v>
          </cell>
          <cell r="N636" t="str">
            <v>سنگ زنی</v>
          </cell>
          <cell r="AC636" t="str">
            <v>1405/04/27</v>
          </cell>
        </row>
        <row r="637">
          <cell r="B637" t="str">
            <v>برشی نیوفیس C&amp;C</v>
          </cell>
          <cell r="C637" t="str">
            <v>قالب نو</v>
          </cell>
          <cell r="N637" t="str">
            <v>سنگ زنی</v>
          </cell>
          <cell r="AC637" t="str">
            <v>1405/04/27</v>
          </cell>
        </row>
        <row r="638">
          <cell r="B638" t="str">
            <v>پخت کلاچ پراید</v>
          </cell>
          <cell r="C638" t="str">
            <v>قالب تعمیری</v>
          </cell>
          <cell r="N638" t="str">
            <v>CNC</v>
          </cell>
          <cell r="AC638" t="str">
            <v>1405/04/27</v>
          </cell>
        </row>
        <row r="639">
          <cell r="B639" t="str">
            <v>پخت کلاچ پراید</v>
          </cell>
          <cell r="C639" t="str">
            <v>قالب تعمیری</v>
          </cell>
          <cell r="N639" t="str">
            <v>CNC</v>
          </cell>
          <cell r="AC639" t="str">
            <v>1405/04/27</v>
          </cell>
        </row>
        <row r="640">
          <cell r="B640" t="str">
            <v xml:space="preserve">قالب پخت کلاچ پیکان </v>
          </cell>
          <cell r="C640" t="str">
            <v>قالب تعمیری</v>
          </cell>
          <cell r="N640" t="str">
            <v>فرز</v>
          </cell>
          <cell r="AC640" t="str">
            <v>1405/04/27</v>
          </cell>
        </row>
        <row r="641">
          <cell r="B641" t="str">
            <v>دسته پران لنت</v>
          </cell>
          <cell r="C641" t="str">
            <v>قطعه نو</v>
          </cell>
          <cell r="N641" t="str">
            <v>مونتاژ</v>
          </cell>
          <cell r="AC641" t="str">
            <v>1405/04/27</v>
          </cell>
        </row>
        <row r="642">
          <cell r="B642" t="str">
            <v>پخت کلاچ پراید</v>
          </cell>
          <cell r="C642" t="str">
            <v>قالب تعمیری</v>
          </cell>
          <cell r="N642" t="str">
            <v>مونتاژ</v>
          </cell>
          <cell r="AC642" t="str">
            <v>1405/04/27</v>
          </cell>
        </row>
        <row r="643">
          <cell r="B643" t="str">
            <v>سری نقطه جوش</v>
          </cell>
          <cell r="C643" t="str">
            <v>قطعه تعمیری</v>
          </cell>
          <cell r="N643" t="str">
            <v>تراش</v>
          </cell>
          <cell r="AC643" t="str">
            <v>1405/04/27</v>
          </cell>
        </row>
        <row r="644">
          <cell r="B644" t="str">
            <v>پخت کلاچ پراید</v>
          </cell>
          <cell r="C644" t="str">
            <v>قالب تعمیری</v>
          </cell>
          <cell r="N644" t="str">
            <v>تراش</v>
          </cell>
          <cell r="AC644" t="str">
            <v>1405/04/27</v>
          </cell>
        </row>
        <row r="645">
          <cell r="B645" t="str">
            <v>پخت کلاچ پراید</v>
          </cell>
          <cell r="C645" t="str">
            <v>قالب تعمیری</v>
          </cell>
          <cell r="N645" t="str">
            <v>تراش</v>
          </cell>
          <cell r="AC645" t="str">
            <v>1405/04/27</v>
          </cell>
        </row>
        <row r="646">
          <cell r="B646" t="str">
            <v>برشی نیوفیس C&amp;C</v>
          </cell>
          <cell r="C646" t="str">
            <v>قالب نو</v>
          </cell>
          <cell r="N646" t="str">
            <v>فرز</v>
          </cell>
          <cell r="AC646" t="str">
            <v>1405/04/27</v>
          </cell>
        </row>
        <row r="647">
          <cell r="B647" t="str">
            <v>لودر دیسکی  XGL 50</v>
          </cell>
          <cell r="C647" t="str">
            <v>قالب نو</v>
          </cell>
          <cell r="N647" t="str">
            <v>فرز</v>
          </cell>
          <cell r="AC647" t="str">
            <v>1405/04/27</v>
          </cell>
        </row>
        <row r="648">
          <cell r="B648" t="str">
            <v>لودر دیسکی  XGL 50</v>
          </cell>
          <cell r="C648" t="str">
            <v>قالب نو</v>
          </cell>
          <cell r="N648" t="str">
            <v>فرز</v>
          </cell>
          <cell r="AC648" t="str">
            <v>1405/04/27</v>
          </cell>
        </row>
        <row r="649">
          <cell r="B649" t="str">
            <v>Hammer Mill Machine</v>
          </cell>
          <cell r="C649" t="str">
            <v>قطعه تعمیری</v>
          </cell>
          <cell r="N649" t="str">
            <v>تراش</v>
          </cell>
          <cell r="AC649" t="str">
            <v>1405/04/27</v>
          </cell>
        </row>
        <row r="650">
          <cell r="B650" t="str">
            <v>دستگاه پرس پخت</v>
          </cell>
          <cell r="C650" t="str">
            <v>قطعه تعمیری</v>
          </cell>
          <cell r="N650" t="str">
            <v>تراش</v>
          </cell>
          <cell r="AC650" t="str">
            <v>1405/04/27</v>
          </cell>
        </row>
        <row r="651">
          <cell r="B651" t="str">
            <v>قالب پخت SAF</v>
          </cell>
          <cell r="C651" t="str">
            <v>قالب تعمیری</v>
          </cell>
          <cell r="N651" t="str">
            <v>تراش</v>
          </cell>
          <cell r="AC651" t="str">
            <v>1405/04/27</v>
          </cell>
        </row>
        <row r="652">
          <cell r="B652" t="str">
            <v>پخت کلاچ پراید</v>
          </cell>
          <cell r="C652" t="str">
            <v>قالب تعمیری</v>
          </cell>
          <cell r="N652" t="str">
            <v>مونتاژ</v>
          </cell>
          <cell r="AC652" t="str">
            <v>1405/04/27</v>
          </cell>
        </row>
        <row r="653">
          <cell r="B653" t="str">
            <v xml:space="preserve">قالب پخت کلاچ پیکان </v>
          </cell>
          <cell r="C653" t="str">
            <v>قالب تعمیری</v>
          </cell>
          <cell r="N653" t="str">
            <v>مونتاژ</v>
          </cell>
          <cell r="AC653" t="str">
            <v>1405/04/27</v>
          </cell>
        </row>
        <row r="654">
          <cell r="B654" t="str">
            <v>پخت کلاچ پراید</v>
          </cell>
          <cell r="C654" t="str">
            <v>قالب تعمیری</v>
          </cell>
          <cell r="N654" t="str">
            <v>مونتاژ</v>
          </cell>
          <cell r="AC654" t="str">
            <v>1405/04/27</v>
          </cell>
        </row>
        <row r="655">
          <cell r="B655" t="str">
            <v>دسته پران لنت</v>
          </cell>
          <cell r="C655" t="str">
            <v>قطعه نو</v>
          </cell>
          <cell r="N655" t="str">
            <v>مونتاژ</v>
          </cell>
          <cell r="AC655" t="str">
            <v>1405/04/27</v>
          </cell>
        </row>
        <row r="656">
          <cell r="B656" t="str">
            <v>پخت کلاچ پراید</v>
          </cell>
          <cell r="C656" t="str">
            <v>قالب تعمیری</v>
          </cell>
          <cell r="N656" t="str">
            <v>دریل رادیال</v>
          </cell>
          <cell r="AC656" t="str">
            <v>1405/04/27</v>
          </cell>
        </row>
        <row r="657">
          <cell r="B657" t="str">
            <v>پخت کلاچ پراید</v>
          </cell>
          <cell r="C657" t="str">
            <v>قالب تعمیری</v>
          </cell>
          <cell r="N657" t="str">
            <v>مونتاژ</v>
          </cell>
          <cell r="AC657" t="str">
            <v>1405/04/27</v>
          </cell>
        </row>
        <row r="658">
          <cell r="B658" t="str">
            <v>پخت کلاچ پراید</v>
          </cell>
          <cell r="C658" t="str">
            <v>قالب تعمیری</v>
          </cell>
          <cell r="N658" t="str">
            <v>مونتاژ</v>
          </cell>
          <cell r="AC658" t="str">
            <v>1405/04/27</v>
          </cell>
        </row>
        <row r="659">
          <cell r="B659" t="str">
            <v>پخت کلاچ پراید</v>
          </cell>
          <cell r="C659" t="str">
            <v>قالب تعمیری</v>
          </cell>
          <cell r="N659" t="str">
            <v>اره لنگ</v>
          </cell>
          <cell r="AC659" t="str">
            <v>1405/04/27</v>
          </cell>
        </row>
        <row r="660">
          <cell r="B660" t="str">
            <v>پخت کلاچ پراید</v>
          </cell>
          <cell r="C660" t="str">
            <v>قالب تعمیری</v>
          </cell>
          <cell r="N660" t="str">
            <v>مونتاژ</v>
          </cell>
          <cell r="AC660" t="str">
            <v>1405/04/27</v>
          </cell>
        </row>
        <row r="661">
          <cell r="B661" t="str">
            <v>قالب پخت کلاچ پژو 405</v>
          </cell>
          <cell r="C661" t="str">
            <v>قالب تعمیری</v>
          </cell>
          <cell r="N661" t="str">
            <v>وایر</v>
          </cell>
          <cell r="AC661" t="str">
            <v>1405/04/27</v>
          </cell>
        </row>
        <row r="662">
          <cell r="B662" t="str">
            <v>برشی نیوفیس C&amp;C</v>
          </cell>
          <cell r="C662" t="str">
            <v>قالب نو</v>
          </cell>
          <cell r="N662" t="str">
            <v>وایر</v>
          </cell>
          <cell r="AC662" t="str">
            <v>1405/04/27</v>
          </cell>
        </row>
        <row r="663">
          <cell r="B663" t="str">
            <v>دستگاه فرز</v>
          </cell>
          <cell r="C663" t="str">
            <v>قطعه تعمیری</v>
          </cell>
          <cell r="N663" t="str">
            <v>وایر</v>
          </cell>
          <cell r="AC663" t="str">
            <v>1405/04/27</v>
          </cell>
        </row>
        <row r="664">
          <cell r="B664" t="str">
            <v>لنت ترمز دیسكی جلو دیما(خم)</v>
          </cell>
          <cell r="C664" t="str">
            <v>قالب نو</v>
          </cell>
          <cell r="N664" t="str">
            <v>وایر</v>
          </cell>
          <cell r="AC664" t="str">
            <v>1405/04/27</v>
          </cell>
        </row>
        <row r="665">
          <cell r="B665" t="str">
            <v>قالب عقب F12</v>
          </cell>
          <cell r="C665" t="str">
            <v>قالب نو</v>
          </cell>
          <cell r="N665" t="str">
            <v>وایر</v>
          </cell>
          <cell r="AC665" t="str">
            <v>1405/04/27</v>
          </cell>
        </row>
        <row r="666">
          <cell r="B666" t="str">
            <v>قالب مینی بوس آریا</v>
          </cell>
          <cell r="C666" t="str">
            <v>قالب نو</v>
          </cell>
          <cell r="N666" t="str">
            <v>سوپر دریل</v>
          </cell>
          <cell r="AC666" t="str">
            <v>1405/04/27</v>
          </cell>
        </row>
        <row r="667">
          <cell r="B667" t="str">
            <v>پخت کلاچ پراید</v>
          </cell>
          <cell r="C667" t="str">
            <v>قالب تعمیری</v>
          </cell>
          <cell r="N667" t="str">
            <v>CNC</v>
          </cell>
          <cell r="AC667" t="str">
            <v>1405/04/28</v>
          </cell>
        </row>
        <row r="668">
          <cell r="B668" t="str">
            <v>لودر دیسکی  XGL 50</v>
          </cell>
          <cell r="C668" t="str">
            <v>قالب نو</v>
          </cell>
          <cell r="N668" t="str">
            <v>فرز</v>
          </cell>
          <cell r="AC668" t="str">
            <v>1405/04/28</v>
          </cell>
        </row>
        <row r="669">
          <cell r="B669" t="str">
            <v>برشی نیوفیس C&amp;C</v>
          </cell>
          <cell r="C669" t="str">
            <v>قالب نو</v>
          </cell>
          <cell r="N669" t="str">
            <v>فرز</v>
          </cell>
          <cell r="AC669" t="str">
            <v>1405/04/28</v>
          </cell>
        </row>
        <row r="670">
          <cell r="B670" t="str">
            <v>برشی نیوفیس C&amp;C</v>
          </cell>
          <cell r="C670" t="str">
            <v>قالب نو</v>
          </cell>
          <cell r="N670" t="str">
            <v>فرز</v>
          </cell>
          <cell r="AC670" t="str">
            <v>1405/04/28</v>
          </cell>
        </row>
        <row r="671">
          <cell r="B671" t="str">
            <v>دریل یزدخواستی کلاچ</v>
          </cell>
          <cell r="C671" t="str">
            <v>قطعه نو</v>
          </cell>
          <cell r="N671" t="str">
            <v>CNC</v>
          </cell>
          <cell r="AC671" t="str">
            <v>1405/04/28</v>
          </cell>
        </row>
        <row r="672">
          <cell r="B672" t="str">
            <v>برشی نیوفیس C&amp;C</v>
          </cell>
          <cell r="C672" t="str">
            <v>قالب نو</v>
          </cell>
          <cell r="N672" t="str">
            <v>CNC</v>
          </cell>
          <cell r="AC672" t="str">
            <v>1405/04/28</v>
          </cell>
        </row>
        <row r="673">
          <cell r="B673" t="str">
            <v xml:space="preserve">قالب پخت کلاچ پیکان </v>
          </cell>
          <cell r="C673" t="str">
            <v>قالب تعمیری</v>
          </cell>
          <cell r="N673" t="str">
            <v>فرز</v>
          </cell>
          <cell r="AC673" t="str">
            <v>1405/04/28</v>
          </cell>
        </row>
        <row r="674">
          <cell r="B674" t="str">
            <v xml:space="preserve">قالب پخت کلاچ پیکان </v>
          </cell>
          <cell r="C674" t="str">
            <v>قالب تعمیری</v>
          </cell>
          <cell r="N674" t="str">
            <v>تراش</v>
          </cell>
          <cell r="AC674" t="str">
            <v>1405/04/28</v>
          </cell>
        </row>
        <row r="675">
          <cell r="B675" t="str">
            <v>دستگاه پشم فلز آلمانی</v>
          </cell>
          <cell r="C675" t="str">
            <v>قطعه تعمیری</v>
          </cell>
          <cell r="N675" t="str">
            <v>تراش</v>
          </cell>
          <cell r="AC675" t="str">
            <v>1405/04/28</v>
          </cell>
        </row>
        <row r="676">
          <cell r="B676" t="str">
            <v>پخت کلاچ پراید</v>
          </cell>
          <cell r="C676" t="str">
            <v>قالب تعمیری</v>
          </cell>
          <cell r="N676" t="str">
            <v>مونتاژ</v>
          </cell>
          <cell r="AC676" t="str">
            <v>1405/04/28</v>
          </cell>
        </row>
        <row r="677">
          <cell r="B677" t="str">
            <v>قالب BPW تاجدار</v>
          </cell>
          <cell r="C677" t="str">
            <v>قالب تعمیری</v>
          </cell>
          <cell r="N677" t="str">
            <v>مونتاژ</v>
          </cell>
          <cell r="AC677" t="str">
            <v>1405/04/28</v>
          </cell>
        </row>
        <row r="678">
          <cell r="B678" t="str">
            <v>پخت کلاچ ایویکو سوراخدار</v>
          </cell>
          <cell r="C678" t="str">
            <v>قالب تعمیری</v>
          </cell>
          <cell r="N678" t="str">
            <v>مونتاژ</v>
          </cell>
          <cell r="AC678" t="str">
            <v>1405/04/28</v>
          </cell>
        </row>
        <row r="679">
          <cell r="B679" t="str">
            <v>پخت کلاچ پراید</v>
          </cell>
          <cell r="C679" t="str">
            <v>قالب تعمیری</v>
          </cell>
          <cell r="N679" t="str">
            <v>مونتاژ</v>
          </cell>
          <cell r="AC679" t="str">
            <v>1405/04/28</v>
          </cell>
        </row>
        <row r="680">
          <cell r="B680" t="str">
            <v>قالب ولوو سوپر</v>
          </cell>
          <cell r="C680" t="str">
            <v>قالب تعمیری</v>
          </cell>
          <cell r="N680" t="str">
            <v>مونتاژ</v>
          </cell>
          <cell r="AC680" t="str">
            <v>1405/04/28</v>
          </cell>
        </row>
        <row r="681">
          <cell r="B681" t="str">
            <v>ویوینگ</v>
          </cell>
          <cell r="C681" t="str">
            <v>قطعه تعمیری</v>
          </cell>
          <cell r="N681" t="str">
            <v>دریل رادیال</v>
          </cell>
          <cell r="AC681" t="str">
            <v>1405/04/28</v>
          </cell>
        </row>
        <row r="682">
          <cell r="B682" t="str">
            <v>پخت کلاچ پراید</v>
          </cell>
          <cell r="C682" t="str">
            <v>قالب تعمیری</v>
          </cell>
          <cell r="N682" t="str">
            <v>مونتاژ</v>
          </cell>
          <cell r="AC682" t="str">
            <v>1405/04/28</v>
          </cell>
        </row>
        <row r="683">
          <cell r="B683" t="str">
            <v>قالب ولوو سوپر</v>
          </cell>
          <cell r="C683" t="str">
            <v>قالب تعمیری</v>
          </cell>
          <cell r="N683" t="str">
            <v>مونتاژ</v>
          </cell>
          <cell r="AC683" t="str">
            <v>1405/04/28</v>
          </cell>
        </row>
        <row r="684">
          <cell r="B684" t="str">
            <v>پخت کلاچ پراید</v>
          </cell>
          <cell r="C684" t="str">
            <v>قالب تعمیری</v>
          </cell>
          <cell r="N684" t="str">
            <v>دریل رادیال</v>
          </cell>
          <cell r="AC684" t="str">
            <v>1405/04/28</v>
          </cell>
        </row>
        <row r="685">
          <cell r="B685" t="str">
            <v>پخت کلاچ پراید</v>
          </cell>
          <cell r="C685" t="str">
            <v>قالب تعمیری</v>
          </cell>
          <cell r="N685" t="str">
            <v>سنگ زنی</v>
          </cell>
          <cell r="AC685" t="str">
            <v>1405/04/28</v>
          </cell>
        </row>
        <row r="686">
          <cell r="B686" t="str">
            <v>قالب BPW تاجدار</v>
          </cell>
          <cell r="C686" t="str">
            <v>قالب تعمیری</v>
          </cell>
          <cell r="N686" t="str">
            <v>سنگ زنی</v>
          </cell>
          <cell r="AC686" t="str">
            <v>1405/04/28</v>
          </cell>
        </row>
        <row r="687">
          <cell r="B687" t="str">
            <v>قالب BPW تاجدار</v>
          </cell>
          <cell r="C687" t="str">
            <v>قالب تعمیری</v>
          </cell>
          <cell r="N687" t="str">
            <v>سنگ زنی</v>
          </cell>
          <cell r="AC687" t="str">
            <v>1405/04/28</v>
          </cell>
        </row>
        <row r="688">
          <cell r="B688" t="str">
            <v>برشی نیوفیس C&amp;C</v>
          </cell>
          <cell r="C688" t="str">
            <v>قالب نو</v>
          </cell>
          <cell r="N688" t="str">
            <v>سنگ زنی</v>
          </cell>
          <cell r="AC688" t="str">
            <v>1405/04/28</v>
          </cell>
        </row>
        <row r="689">
          <cell r="B689" t="str">
            <v>قالب توری SAF قدیم</v>
          </cell>
          <cell r="C689" t="str">
            <v>قالب تعمیری</v>
          </cell>
          <cell r="N689" t="str">
            <v>سنگ زنی</v>
          </cell>
          <cell r="AC689" t="str">
            <v>1405/04/28</v>
          </cell>
        </row>
        <row r="690">
          <cell r="B690" t="str">
            <v>قالب توری SAF قدیم</v>
          </cell>
          <cell r="C690" t="str">
            <v>قالب تعمیری</v>
          </cell>
          <cell r="N690" t="str">
            <v>سنگ زنی</v>
          </cell>
          <cell r="AC690" t="str">
            <v>1405/04/28</v>
          </cell>
        </row>
        <row r="691">
          <cell r="B691" t="str">
            <v>لنت ترمز دیسكی جلو دیما(خم)</v>
          </cell>
          <cell r="C691" t="str">
            <v>قالب نو</v>
          </cell>
          <cell r="N691" t="str">
            <v>سنگ زنی</v>
          </cell>
          <cell r="AC691" t="str">
            <v>1405/04/28</v>
          </cell>
        </row>
        <row r="692">
          <cell r="B692" t="str">
            <v>دستگاه پرس پخت</v>
          </cell>
          <cell r="C692" t="str">
            <v>قطعه تعمیری</v>
          </cell>
          <cell r="N692" t="str">
            <v>تراش</v>
          </cell>
          <cell r="AC692" t="str">
            <v>1405/04/28</v>
          </cell>
        </row>
        <row r="693">
          <cell r="B693" t="str">
            <v>دستگاه پشم فلز آلمانی</v>
          </cell>
          <cell r="C693" t="str">
            <v>قطعه تعمیری</v>
          </cell>
          <cell r="N693" t="str">
            <v>تراش</v>
          </cell>
          <cell r="AC693" t="str">
            <v>1405/04/28</v>
          </cell>
        </row>
        <row r="694">
          <cell r="B694" t="str">
            <v>دستگاه پشم فلز آلمانی</v>
          </cell>
          <cell r="C694" t="str">
            <v>قطعه نو</v>
          </cell>
          <cell r="N694" t="str">
            <v>تراش</v>
          </cell>
          <cell r="AC694" t="str">
            <v>1405/04/28</v>
          </cell>
        </row>
        <row r="695">
          <cell r="B695" t="str">
            <v>دستگاه پشم فلز آلمانی</v>
          </cell>
          <cell r="C695" t="str">
            <v>قطعه نو</v>
          </cell>
          <cell r="N695" t="str">
            <v>مونتاژ</v>
          </cell>
          <cell r="AC695" t="str">
            <v>1405/04/28</v>
          </cell>
        </row>
        <row r="696">
          <cell r="B696" t="str">
            <v>قالب پخت کلاچ پژو 405</v>
          </cell>
          <cell r="C696" t="str">
            <v>قالب تعمیری</v>
          </cell>
          <cell r="N696" t="str">
            <v>وایر</v>
          </cell>
          <cell r="AC696" t="str">
            <v>1405/04/28</v>
          </cell>
        </row>
        <row r="697">
          <cell r="B697" t="str">
            <v>قالب مینی بوس آریا</v>
          </cell>
          <cell r="C697" t="str">
            <v>قالب نو</v>
          </cell>
          <cell r="N697" t="str">
            <v>وایر</v>
          </cell>
          <cell r="AC697" t="str">
            <v>1405/04/28</v>
          </cell>
        </row>
        <row r="698">
          <cell r="B698" t="str">
            <v>لنت ترمز دیسكی جلو دیما(خم)</v>
          </cell>
          <cell r="C698" t="str">
            <v>قالب نو</v>
          </cell>
          <cell r="N698" t="str">
            <v>وایر</v>
          </cell>
          <cell r="AC698" t="str">
            <v>1405/04/28</v>
          </cell>
        </row>
        <row r="699">
          <cell r="B699" t="str">
            <v>قالب عقب F12</v>
          </cell>
          <cell r="C699" t="str">
            <v>قالب نو</v>
          </cell>
          <cell r="N699" t="str">
            <v>وایر</v>
          </cell>
          <cell r="AC699" t="str">
            <v>1405/04/28</v>
          </cell>
        </row>
        <row r="700">
          <cell r="B700" t="str">
            <v>قالب مینی بوس آریا</v>
          </cell>
          <cell r="C700" t="str">
            <v>قالب نو</v>
          </cell>
          <cell r="N700" t="str">
            <v>وایر</v>
          </cell>
          <cell r="AC700" t="str">
            <v>1405/04/28</v>
          </cell>
        </row>
        <row r="701">
          <cell r="B701" t="str">
            <v>لودر دیسکی  XGL 50</v>
          </cell>
          <cell r="C701" t="str">
            <v>قالب نو</v>
          </cell>
          <cell r="N701" t="str">
            <v>وایر</v>
          </cell>
          <cell r="AC701" t="str">
            <v>1405/04/28</v>
          </cell>
        </row>
        <row r="702">
          <cell r="B702" t="str">
            <v>لودر دیسکی  XGL 50</v>
          </cell>
          <cell r="C702" t="str">
            <v>قالب نو</v>
          </cell>
          <cell r="N702" t="str">
            <v>فرز</v>
          </cell>
          <cell r="AC702" t="str">
            <v>1405/04/29</v>
          </cell>
        </row>
        <row r="703">
          <cell r="B703" t="str">
            <v>برشی نیوفیس C&amp;C</v>
          </cell>
          <cell r="C703" t="str">
            <v>قالب نو</v>
          </cell>
          <cell r="N703" t="str">
            <v>CNC</v>
          </cell>
          <cell r="AC703" t="str">
            <v>1405/04/29</v>
          </cell>
        </row>
        <row r="704">
          <cell r="B704" t="str">
            <v>برشی نیوفیس C&amp;C</v>
          </cell>
          <cell r="C704" t="str">
            <v>قالب نو</v>
          </cell>
          <cell r="N704" t="str">
            <v>CNC</v>
          </cell>
          <cell r="AC704" t="str">
            <v>1405/04/29</v>
          </cell>
        </row>
        <row r="705">
          <cell r="B705" t="str">
            <v>پخت کلاچ پراید</v>
          </cell>
          <cell r="C705" t="str">
            <v>قالب تعمیری</v>
          </cell>
          <cell r="N705" t="str">
            <v>CNC</v>
          </cell>
          <cell r="AC705" t="str">
            <v>1405/04/29</v>
          </cell>
        </row>
        <row r="706">
          <cell r="B706" t="str">
            <v>پخت کلاچ پراید</v>
          </cell>
          <cell r="C706" t="str">
            <v>قالب تعمیری</v>
          </cell>
          <cell r="N706" t="str">
            <v>CNC</v>
          </cell>
          <cell r="AC706" t="str">
            <v>1405/04/29</v>
          </cell>
        </row>
        <row r="707">
          <cell r="B707" t="str">
            <v>دستگاه پشم فلز آلمانی</v>
          </cell>
          <cell r="C707" t="str">
            <v>قطعه تعمیری</v>
          </cell>
          <cell r="N707" t="str">
            <v>تراش</v>
          </cell>
          <cell r="AC707" t="str">
            <v>1405/04/29</v>
          </cell>
        </row>
        <row r="708">
          <cell r="B708" t="str">
            <v>دستگاه پرس پخت</v>
          </cell>
          <cell r="C708" t="str">
            <v>قطعه تعمیری</v>
          </cell>
          <cell r="N708" t="str">
            <v>تراش</v>
          </cell>
          <cell r="AC708" t="str">
            <v>1405/04/29</v>
          </cell>
        </row>
        <row r="709">
          <cell r="B709" t="str">
            <v>پخت کلاچ ایویکو سوراخدار</v>
          </cell>
          <cell r="C709" t="str">
            <v>قالب تعمیری</v>
          </cell>
          <cell r="N709" t="str">
            <v>مونتاژ</v>
          </cell>
          <cell r="AC709" t="str">
            <v>1405/04/29</v>
          </cell>
        </row>
        <row r="710">
          <cell r="B710" t="str">
            <v>قالب ولوو سوپر</v>
          </cell>
          <cell r="C710" t="str">
            <v>قالب تعمیری</v>
          </cell>
          <cell r="N710" t="str">
            <v>مونتاژ</v>
          </cell>
          <cell r="AC710" t="str">
            <v>1405/04/29</v>
          </cell>
        </row>
        <row r="711">
          <cell r="B711" t="str">
            <v xml:space="preserve">قالب پخت کلاچ پیکان </v>
          </cell>
          <cell r="C711" t="str">
            <v>قالب تعمیری</v>
          </cell>
          <cell r="N711" t="str">
            <v>فرز</v>
          </cell>
          <cell r="AC711" t="str">
            <v>1405/04/29</v>
          </cell>
        </row>
        <row r="712">
          <cell r="B712" t="str">
            <v>قالب ولوو سوپر</v>
          </cell>
          <cell r="C712" t="str">
            <v>قالب تعمیری</v>
          </cell>
          <cell r="N712" t="str">
            <v>مونتاژ</v>
          </cell>
          <cell r="AC712" t="str">
            <v>1405/04/29</v>
          </cell>
        </row>
        <row r="713">
          <cell r="B713" t="str">
            <v>برشی نیوفیس C&amp;C</v>
          </cell>
          <cell r="C713" t="str">
            <v>قالب نو</v>
          </cell>
          <cell r="N713" t="str">
            <v>سنگ زنی</v>
          </cell>
          <cell r="AC713" t="str">
            <v>1405/04/29</v>
          </cell>
        </row>
        <row r="714">
          <cell r="B714" t="str">
            <v>پخت کلاچ پراید</v>
          </cell>
          <cell r="C714" t="str">
            <v>قالب تعمیری</v>
          </cell>
          <cell r="N714" t="str">
            <v>مونتاژ</v>
          </cell>
          <cell r="AC714" t="str">
            <v>1405/04/29</v>
          </cell>
        </row>
        <row r="715">
          <cell r="B715" t="str">
            <v>قالب مینی بوس آریا</v>
          </cell>
          <cell r="C715" t="str">
            <v>قالب نو</v>
          </cell>
          <cell r="N715" t="str">
            <v>وایر</v>
          </cell>
          <cell r="AC715" t="str">
            <v>1405/04/29</v>
          </cell>
        </row>
        <row r="716">
          <cell r="B716" t="str">
            <v>لنت ترمز دیسكی جلو دیما(خم)</v>
          </cell>
          <cell r="C716" t="str">
            <v>قالب نو</v>
          </cell>
          <cell r="N716" t="str">
            <v>وایر</v>
          </cell>
          <cell r="AC716" t="str">
            <v>1405/04/29</v>
          </cell>
        </row>
        <row r="717">
          <cell r="B717" t="str">
            <v>قالب عقب F12</v>
          </cell>
          <cell r="C717" t="str">
            <v>قالب نو</v>
          </cell>
          <cell r="N717" t="str">
            <v>وایر</v>
          </cell>
          <cell r="AC717" t="str">
            <v>1405/04/29</v>
          </cell>
        </row>
        <row r="718">
          <cell r="B718" t="str">
            <v>Hammer Mill Machine</v>
          </cell>
          <cell r="C718" t="str">
            <v>قطعه تعمیری</v>
          </cell>
          <cell r="N718" t="str">
            <v>تراش</v>
          </cell>
          <cell r="AC718" t="str">
            <v>1405/04/29</v>
          </cell>
        </row>
        <row r="719">
          <cell r="B719" t="str">
            <v>دستگاه پرس پخت</v>
          </cell>
          <cell r="C719" t="str">
            <v>قطعه تعمیری</v>
          </cell>
          <cell r="N719" t="str">
            <v>تراش</v>
          </cell>
          <cell r="AC719" t="str">
            <v>1405/04/29</v>
          </cell>
        </row>
        <row r="720">
          <cell r="B720" t="str">
            <v>ویوینگ</v>
          </cell>
          <cell r="C720" t="str">
            <v>قطعه تعمیری</v>
          </cell>
          <cell r="N720" t="str">
            <v>تراش</v>
          </cell>
          <cell r="AC720" t="str">
            <v>1405/04/29</v>
          </cell>
        </row>
        <row r="721">
          <cell r="B721" t="str">
            <v>قالب ولوو سوپر</v>
          </cell>
          <cell r="C721" t="str">
            <v>قالب تعمیری</v>
          </cell>
          <cell r="N721" t="str">
            <v>مونتاژ</v>
          </cell>
          <cell r="AC721" t="str">
            <v>1405/04/29</v>
          </cell>
        </row>
        <row r="722">
          <cell r="B722" t="str">
            <v>برشی نیوفیس C&amp;C</v>
          </cell>
          <cell r="C722" t="str">
            <v>قالب نو</v>
          </cell>
          <cell r="N722" t="str">
            <v>سنگ زنی</v>
          </cell>
          <cell r="AC722" t="str">
            <v>1405/04/29</v>
          </cell>
        </row>
        <row r="723">
          <cell r="B723" t="str">
            <v>Hammer Mill Machine</v>
          </cell>
          <cell r="C723" t="str">
            <v>قطعه تعمیری</v>
          </cell>
          <cell r="N723" t="str">
            <v>دریل رادیال</v>
          </cell>
          <cell r="AC723" t="str">
            <v>1405/04/29</v>
          </cell>
        </row>
        <row r="724">
          <cell r="B724" t="str">
            <v>پخت کلاچ پراید</v>
          </cell>
          <cell r="C724" t="str">
            <v>قالب تعمیری</v>
          </cell>
          <cell r="N724" t="str">
            <v>مونتاژ</v>
          </cell>
          <cell r="AC724" t="str">
            <v>1405/04/29</v>
          </cell>
        </row>
        <row r="725">
          <cell r="B725" t="str">
            <v>برشی نیوفیس C&amp;C</v>
          </cell>
          <cell r="C725" t="str">
            <v>قالب نو</v>
          </cell>
          <cell r="N725" t="str">
            <v>سنگ زنی</v>
          </cell>
          <cell r="AC725" t="str">
            <v>1405/04/29</v>
          </cell>
        </row>
        <row r="726">
          <cell r="B726" t="str">
            <v>قالب ولوو سوپر</v>
          </cell>
          <cell r="C726" t="str">
            <v>قالب تعمیری</v>
          </cell>
          <cell r="N726" t="str">
            <v>سنگ زنی</v>
          </cell>
          <cell r="AC726" t="str">
            <v>1405/04/29</v>
          </cell>
        </row>
        <row r="727">
          <cell r="B727" t="str">
            <v>پخت کلاچ پراید</v>
          </cell>
          <cell r="C727" t="str">
            <v>قالب تعمیری</v>
          </cell>
          <cell r="N727" t="str">
            <v>سنگ زنی</v>
          </cell>
          <cell r="AC727" t="str">
            <v>1405/04/29</v>
          </cell>
        </row>
        <row r="728">
          <cell r="B728" t="str">
            <v>برشی نیوفیس C&amp;C</v>
          </cell>
          <cell r="C728" t="str">
            <v>قالب نو</v>
          </cell>
          <cell r="N728" t="str">
            <v>سنگ زنی</v>
          </cell>
          <cell r="AC728" t="str">
            <v>1405/04/29</v>
          </cell>
        </row>
        <row r="729">
          <cell r="B729" t="str">
            <v xml:space="preserve">قالب پخت کلاچ پیکان </v>
          </cell>
          <cell r="C729" t="str">
            <v>قالب تعمیری</v>
          </cell>
          <cell r="N729" t="str">
            <v>CNC</v>
          </cell>
          <cell r="AC729" t="str">
            <v>1405/04/30</v>
          </cell>
        </row>
        <row r="730">
          <cell r="B730" t="str">
            <v>Hammer Mill Machine</v>
          </cell>
          <cell r="C730" t="str">
            <v>قطعه نو</v>
          </cell>
          <cell r="N730" t="str">
            <v>فرز</v>
          </cell>
          <cell r="AC730" t="str">
            <v>1405/04/30</v>
          </cell>
        </row>
        <row r="731">
          <cell r="B731" t="str">
            <v>Hammer Mill Machine</v>
          </cell>
          <cell r="C731" t="str">
            <v>قطعه نو</v>
          </cell>
          <cell r="N731" t="str">
            <v>فرز</v>
          </cell>
          <cell r="AC731" t="str">
            <v>1405/04/30</v>
          </cell>
        </row>
        <row r="732">
          <cell r="B732" t="str">
            <v>Hammer Mill Machine</v>
          </cell>
          <cell r="C732" t="str">
            <v>قطعه نو</v>
          </cell>
          <cell r="N732" t="str">
            <v>فرز</v>
          </cell>
          <cell r="AC732" t="str">
            <v>1405/04/30</v>
          </cell>
        </row>
        <row r="733">
          <cell r="B733" t="str">
            <v>برشی نیوفیس C&amp;C</v>
          </cell>
          <cell r="C733" t="str">
            <v>قالب نو</v>
          </cell>
          <cell r="N733" t="str">
            <v>CNC</v>
          </cell>
          <cell r="AC733" t="str">
            <v>1405/04/30</v>
          </cell>
        </row>
        <row r="734">
          <cell r="B734" t="str">
            <v>برشی نیوفیس C&amp;C</v>
          </cell>
          <cell r="C734" t="str">
            <v>قالب نو</v>
          </cell>
          <cell r="N734" t="str">
            <v>CNC</v>
          </cell>
          <cell r="AC734" t="str">
            <v>1405/04/30</v>
          </cell>
        </row>
        <row r="735">
          <cell r="B735" t="str">
            <v>دستگاه پرس پخت</v>
          </cell>
          <cell r="C735" t="str">
            <v>قطعه تعمیری</v>
          </cell>
          <cell r="N735" t="str">
            <v>تراش</v>
          </cell>
          <cell r="AC735" t="str">
            <v>1405/04/30</v>
          </cell>
        </row>
        <row r="736">
          <cell r="B736" t="str">
            <v>ویوینگ</v>
          </cell>
          <cell r="C736" t="str">
            <v>قطعه تعمیری</v>
          </cell>
          <cell r="N736" t="str">
            <v>تراش</v>
          </cell>
          <cell r="AC736" t="str">
            <v>1405/04/30</v>
          </cell>
        </row>
        <row r="737">
          <cell r="B737" t="str">
            <v>دستگاه پرس پخت</v>
          </cell>
          <cell r="C737" t="str">
            <v>قطعه نو</v>
          </cell>
          <cell r="N737" t="str">
            <v>تراش</v>
          </cell>
          <cell r="AC737" t="str">
            <v>1405/04/30</v>
          </cell>
        </row>
        <row r="738">
          <cell r="B738" t="str">
            <v>ایسوزو 6 تن</v>
          </cell>
          <cell r="C738" t="str">
            <v>قالب تعمیری</v>
          </cell>
          <cell r="N738" t="str">
            <v>تراش</v>
          </cell>
          <cell r="AC738" t="str">
            <v>1405/04/30</v>
          </cell>
        </row>
        <row r="739">
          <cell r="B739" t="str">
            <v>ایسوزو 6 تن</v>
          </cell>
          <cell r="C739" t="str">
            <v>قالب تعمیری</v>
          </cell>
          <cell r="N739" t="str">
            <v>تراش</v>
          </cell>
          <cell r="AC739" t="str">
            <v>1405/04/30</v>
          </cell>
        </row>
        <row r="740">
          <cell r="B740" t="str">
            <v xml:space="preserve">قالب پخت کلاچ پیکان </v>
          </cell>
          <cell r="C740" t="str">
            <v>قالب تعمیری</v>
          </cell>
          <cell r="N740" t="str">
            <v>فرز</v>
          </cell>
          <cell r="AC740" t="str">
            <v>1405/04/30</v>
          </cell>
        </row>
        <row r="741">
          <cell r="B741" t="str">
            <v>پایه پرچ لنت نیسان</v>
          </cell>
          <cell r="C741" t="str">
            <v>قطعه نو</v>
          </cell>
          <cell r="N741" t="str">
            <v>اره لنگ</v>
          </cell>
          <cell r="AC741" t="str">
            <v>1405/04/30</v>
          </cell>
        </row>
        <row r="742">
          <cell r="B742" t="str">
            <v>Hammer Mill Machine</v>
          </cell>
          <cell r="C742" t="str">
            <v>قطعه نو</v>
          </cell>
          <cell r="N742" t="str">
            <v>اره لنگ</v>
          </cell>
          <cell r="AC742" t="str">
            <v>1405/04/30</v>
          </cell>
        </row>
        <row r="743">
          <cell r="B743" t="str">
            <v>Hammer Mill Machine</v>
          </cell>
          <cell r="C743" t="str">
            <v>قطعه نو</v>
          </cell>
          <cell r="N743" t="str">
            <v>مونتاژ</v>
          </cell>
          <cell r="AC743" t="str">
            <v>1405/04/30</v>
          </cell>
        </row>
        <row r="744">
          <cell r="B744" t="str">
            <v>ده تن سوراخدار</v>
          </cell>
          <cell r="C744" t="str">
            <v>قالب تعمیری</v>
          </cell>
          <cell r="N744" t="str">
            <v>مونتاژ</v>
          </cell>
          <cell r="AC744" t="str">
            <v>1405/04/30</v>
          </cell>
        </row>
        <row r="745">
          <cell r="B745" t="str">
            <v>پخت کلاچ اینترکولر</v>
          </cell>
          <cell r="C745" t="str">
            <v>قالب تعمیری</v>
          </cell>
          <cell r="N745" t="str">
            <v>مونتاژ</v>
          </cell>
          <cell r="AC745" t="str">
            <v>1405/04/30</v>
          </cell>
        </row>
        <row r="746">
          <cell r="B746" t="str">
            <v>پخت کلاچ پراید</v>
          </cell>
          <cell r="C746" t="str">
            <v>قالب تعمیری</v>
          </cell>
          <cell r="N746" t="str">
            <v>مونتاژ</v>
          </cell>
          <cell r="AC746" t="str">
            <v>1405/04/30</v>
          </cell>
        </row>
        <row r="747">
          <cell r="B747" t="str">
            <v>پخت کلاچ پراید</v>
          </cell>
          <cell r="C747" t="str">
            <v>قالب تعمیری</v>
          </cell>
          <cell r="N747" t="str">
            <v>مونتاژ</v>
          </cell>
          <cell r="AC747" t="str">
            <v>1405/04/30</v>
          </cell>
        </row>
        <row r="748">
          <cell r="B748" t="str">
            <v>جلو ریو</v>
          </cell>
          <cell r="C748" t="str">
            <v>قالب تعمیری</v>
          </cell>
          <cell r="N748" t="str">
            <v>مونتاژ</v>
          </cell>
          <cell r="AC748" t="str">
            <v>1405/04/30</v>
          </cell>
        </row>
        <row r="749">
          <cell r="B749" t="str">
            <v>Hammer Mill Machine</v>
          </cell>
          <cell r="C749" t="str">
            <v>قطعه نو</v>
          </cell>
          <cell r="N749" t="str">
            <v>مونتاژ</v>
          </cell>
          <cell r="AC749" t="str">
            <v>1405/04/30</v>
          </cell>
        </row>
        <row r="750">
          <cell r="B750" t="str">
            <v>ایسوزو 6 تن</v>
          </cell>
          <cell r="C750" t="str">
            <v>قالب تعمیری</v>
          </cell>
          <cell r="N750" t="str">
            <v>مونتاژ</v>
          </cell>
          <cell r="AC750" t="str">
            <v>1405/04/30</v>
          </cell>
        </row>
        <row r="751">
          <cell r="B751" t="str">
            <v>ایسوزو 6 تن</v>
          </cell>
          <cell r="C751" t="str">
            <v>قالب تعمیری</v>
          </cell>
          <cell r="N751" t="str">
            <v>دریل رادیال</v>
          </cell>
          <cell r="AC751" t="str">
            <v>1405/04/30</v>
          </cell>
        </row>
        <row r="752">
          <cell r="B752" t="str">
            <v>ایسوزو 6 تن</v>
          </cell>
          <cell r="C752" t="str">
            <v>قالب تعمیری</v>
          </cell>
          <cell r="N752" t="str">
            <v>دریل رادیال</v>
          </cell>
          <cell r="AC752" t="str">
            <v>1405/04/30</v>
          </cell>
        </row>
        <row r="753">
          <cell r="B753" t="str">
            <v>ده تن سوراخدار</v>
          </cell>
          <cell r="C753" t="str">
            <v>قالب تعمیری</v>
          </cell>
          <cell r="N753" t="str">
            <v>مونتاژ</v>
          </cell>
          <cell r="AC753" t="str">
            <v>1405/04/30</v>
          </cell>
        </row>
        <row r="754">
          <cell r="B754" t="str">
            <v>پخت کلاچ اینترکولر</v>
          </cell>
          <cell r="C754" t="str">
            <v>قالب تعمیری</v>
          </cell>
          <cell r="N754" t="str">
            <v>مونتاژ</v>
          </cell>
          <cell r="AC754" t="str">
            <v>1405/04/30</v>
          </cell>
        </row>
        <row r="755">
          <cell r="B755" t="str">
            <v>برشی نیوفیس C&amp;C</v>
          </cell>
          <cell r="C755" t="str">
            <v>قالب نو</v>
          </cell>
          <cell r="N755" t="str">
            <v>سنگ زنی</v>
          </cell>
          <cell r="AC755" t="str">
            <v>1405/04/30</v>
          </cell>
        </row>
        <row r="756">
          <cell r="B756" t="str">
            <v>برشی نیوفیس C&amp;C</v>
          </cell>
          <cell r="C756" t="str">
            <v>قالب نو</v>
          </cell>
          <cell r="N756" t="str">
            <v>سنگ زنی</v>
          </cell>
          <cell r="AC756" t="str">
            <v>1405/04/30</v>
          </cell>
        </row>
        <row r="757">
          <cell r="B757" t="str">
            <v>قالب توری SAF قدیم</v>
          </cell>
          <cell r="C757" t="str">
            <v>قالب تعمیری</v>
          </cell>
          <cell r="N757" t="str">
            <v>سنگ زنی</v>
          </cell>
          <cell r="AC757" t="str">
            <v>1405/04/30</v>
          </cell>
        </row>
        <row r="758">
          <cell r="B758" t="str">
            <v>قالب توری SAF قدیم</v>
          </cell>
          <cell r="C758" t="str">
            <v>قالب تعمیری</v>
          </cell>
          <cell r="N758" t="str">
            <v>سنگ زنی</v>
          </cell>
          <cell r="AC758" t="str">
            <v>1405/04/30</v>
          </cell>
        </row>
        <row r="759">
          <cell r="B759" t="str">
            <v>پخت کلاچ پراید</v>
          </cell>
          <cell r="C759" t="str">
            <v>قالب تعمیری</v>
          </cell>
          <cell r="N759" t="str">
            <v>سنگ زنی</v>
          </cell>
          <cell r="AC759" t="str">
            <v>1405/04/30</v>
          </cell>
        </row>
        <row r="760">
          <cell r="B760" t="str">
            <v>Hammer Mill Machine</v>
          </cell>
          <cell r="C760" t="str">
            <v>قطعه نو</v>
          </cell>
          <cell r="N760" t="str">
            <v>فرز</v>
          </cell>
          <cell r="AC760" t="str">
            <v>1405/04/31</v>
          </cell>
        </row>
        <row r="761">
          <cell r="B761" t="str">
            <v>Hammer Mill Machine</v>
          </cell>
          <cell r="C761" t="str">
            <v>قطعه تعمیری</v>
          </cell>
          <cell r="N761" t="str">
            <v>تراش</v>
          </cell>
          <cell r="AC761" t="str">
            <v>1405/04/31</v>
          </cell>
        </row>
        <row r="762">
          <cell r="B762" t="str">
            <v xml:space="preserve">قالب پخت کلاچ پیکان </v>
          </cell>
          <cell r="C762" t="str">
            <v>قالب تعمیری</v>
          </cell>
          <cell r="N762" t="str">
            <v>CNC</v>
          </cell>
          <cell r="AC762" t="str">
            <v>1405/04/31</v>
          </cell>
        </row>
        <row r="763">
          <cell r="B763" t="str">
            <v xml:space="preserve">قالب پخت کلاچ پیکان </v>
          </cell>
          <cell r="C763" t="str">
            <v>قالب تعمیری</v>
          </cell>
          <cell r="N763" t="str">
            <v>CNC</v>
          </cell>
          <cell r="AC763" t="str">
            <v>1405/04/31</v>
          </cell>
        </row>
        <row r="764">
          <cell r="B764" t="str">
            <v>برشی نیوفیس C&amp;C</v>
          </cell>
          <cell r="C764" t="str">
            <v>قالب نو</v>
          </cell>
          <cell r="N764" t="str">
            <v>CNC</v>
          </cell>
          <cell r="AC764" t="str">
            <v>1405/04/31</v>
          </cell>
        </row>
        <row r="765">
          <cell r="B765" t="str">
            <v>سوراخکاری پیلسان</v>
          </cell>
          <cell r="C765" t="str">
            <v>قطعه نو</v>
          </cell>
          <cell r="N765" t="str">
            <v>CNC</v>
          </cell>
          <cell r="AC765" t="str">
            <v>1405/04/31</v>
          </cell>
        </row>
        <row r="766">
          <cell r="B766" t="str">
            <v>ویوینگ</v>
          </cell>
          <cell r="C766" t="str">
            <v>قطعه تعمیری</v>
          </cell>
          <cell r="N766" t="str">
            <v>فرز</v>
          </cell>
          <cell r="AC766" t="str">
            <v>1405/04/31</v>
          </cell>
        </row>
        <row r="767">
          <cell r="B767" t="str">
            <v>دستگاه پشم فلز</v>
          </cell>
          <cell r="C767" t="str">
            <v>قطعه تعمیری</v>
          </cell>
          <cell r="N767" t="str">
            <v>فرز</v>
          </cell>
          <cell r="AC767" t="str">
            <v>1405/04/31</v>
          </cell>
        </row>
        <row r="768">
          <cell r="B768" t="str">
            <v>پخت کلاچ اینترکولر</v>
          </cell>
          <cell r="C768" t="str">
            <v>قالب تعمیری</v>
          </cell>
          <cell r="N768" t="str">
            <v>مونتاژ</v>
          </cell>
          <cell r="AC768" t="str">
            <v>1405/04/31</v>
          </cell>
        </row>
        <row r="769">
          <cell r="B769" t="str">
            <v>قالب ولوو سوپر</v>
          </cell>
          <cell r="C769" t="str">
            <v>قالب تعمیری</v>
          </cell>
          <cell r="N769" t="str">
            <v>اره لنگ</v>
          </cell>
          <cell r="AC769" t="str">
            <v>1405/04/31</v>
          </cell>
        </row>
        <row r="770">
          <cell r="B770" t="str">
            <v xml:space="preserve">قالب پخت کلاچ پیکان </v>
          </cell>
          <cell r="C770" t="str">
            <v>قالب تعمیری</v>
          </cell>
          <cell r="N770" t="str">
            <v>مونتاژ</v>
          </cell>
          <cell r="AC770" t="str">
            <v>1405/04/31</v>
          </cell>
        </row>
        <row r="771">
          <cell r="B771" t="str">
            <v>ایسوزو 6 تن</v>
          </cell>
          <cell r="C771" t="str">
            <v>قالب تعمیری</v>
          </cell>
          <cell r="N771" t="str">
            <v>مونتاژ</v>
          </cell>
          <cell r="AC771" t="str">
            <v>1405/04/31</v>
          </cell>
        </row>
        <row r="772">
          <cell r="B772" t="str">
            <v>شمش پراید</v>
          </cell>
          <cell r="C772" t="str">
            <v>قالب نو</v>
          </cell>
          <cell r="N772" t="str">
            <v>دریل رادیال</v>
          </cell>
          <cell r="AC772" t="str">
            <v>1405/04/31</v>
          </cell>
        </row>
        <row r="773">
          <cell r="B773" t="str">
            <v>دریل یزدخواستی کلاچ</v>
          </cell>
          <cell r="C773" t="str">
            <v>قطعه نو</v>
          </cell>
          <cell r="N773" t="str">
            <v>دریل رادیال</v>
          </cell>
          <cell r="AC773" t="str">
            <v>1405/04/31</v>
          </cell>
        </row>
        <row r="774">
          <cell r="B774" t="str">
            <v xml:space="preserve">قالب پخت کلاچ پیکان </v>
          </cell>
          <cell r="C774" t="str">
            <v>قالب تعمیری</v>
          </cell>
          <cell r="N774" t="str">
            <v>مونتاژ</v>
          </cell>
          <cell r="AC774" t="str">
            <v>1405/04/31</v>
          </cell>
        </row>
        <row r="775">
          <cell r="B775" t="str">
            <v>ایسوزو 6 تن</v>
          </cell>
          <cell r="C775" t="str">
            <v>قالب تعمیری</v>
          </cell>
          <cell r="N775" t="str">
            <v>تراش</v>
          </cell>
          <cell r="AC775" t="str">
            <v>1405/04/31</v>
          </cell>
        </row>
        <row r="776">
          <cell r="B776" t="str">
            <v>شمش پراید</v>
          </cell>
          <cell r="C776" t="str">
            <v>قالب نو</v>
          </cell>
          <cell r="N776" t="str">
            <v>تراش</v>
          </cell>
          <cell r="AC776" t="str">
            <v>1405/04/31</v>
          </cell>
        </row>
        <row r="777">
          <cell r="B777" t="str">
            <v>Hammer Mill Machine</v>
          </cell>
          <cell r="C777" t="str">
            <v>قطعه نو</v>
          </cell>
          <cell r="N777" t="str">
            <v>تراش</v>
          </cell>
          <cell r="AC777" t="str">
            <v>1405/04/31</v>
          </cell>
        </row>
        <row r="778">
          <cell r="B778" t="str">
            <v xml:space="preserve">قالب پخت کلاچ پیکان </v>
          </cell>
          <cell r="C778" t="str">
            <v>قالب تعمیری</v>
          </cell>
          <cell r="N778" t="str">
            <v>تراش</v>
          </cell>
          <cell r="AC778" t="str">
            <v>1405/04/31</v>
          </cell>
        </row>
        <row r="779">
          <cell r="B779" t="str">
            <v>قالب مینی بوس آریا</v>
          </cell>
          <cell r="C779" t="str">
            <v>قالب نو</v>
          </cell>
          <cell r="N779" t="str">
            <v>وایر</v>
          </cell>
          <cell r="AC779" t="str">
            <v>1405/04/31</v>
          </cell>
        </row>
        <row r="780">
          <cell r="B780" t="str">
            <v>برشی نیوفیس C&amp;C</v>
          </cell>
          <cell r="C780" t="str">
            <v>قالب نو</v>
          </cell>
          <cell r="N780" t="str">
            <v>وایر</v>
          </cell>
          <cell r="AC780" t="str">
            <v>1405/04/31</v>
          </cell>
        </row>
        <row r="781">
          <cell r="B781" t="str">
            <v>قالب کوبه نک SAF</v>
          </cell>
          <cell r="C781" t="str">
            <v>قالب تعمیری</v>
          </cell>
          <cell r="N781" t="str">
            <v>وایر</v>
          </cell>
          <cell r="AC781" t="str">
            <v>1405/04/31</v>
          </cell>
        </row>
        <row r="782">
          <cell r="B782" t="str">
            <v>قالب پخت کلاچ پژو 405</v>
          </cell>
          <cell r="C782" t="str">
            <v>قالب تعمیری</v>
          </cell>
          <cell r="N782" t="str">
            <v>وایر</v>
          </cell>
          <cell r="AC782" t="str">
            <v>1405/04/31</v>
          </cell>
        </row>
        <row r="783">
          <cell r="B783" t="str">
            <v>دستگاه فرز</v>
          </cell>
          <cell r="C783" t="str">
            <v>قطعه تعمیری</v>
          </cell>
          <cell r="N783" t="str">
            <v>وایر</v>
          </cell>
          <cell r="AC783" t="str">
            <v>1405/04/31</v>
          </cell>
        </row>
        <row r="784">
          <cell r="B784" t="str">
            <v>قالب عقب F12</v>
          </cell>
          <cell r="C784" t="str">
            <v>قالب نو</v>
          </cell>
          <cell r="N784" t="str">
            <v>وایر</v>
          </cell>
          <cell r="AC784" t="str">
            <v>1405/04/31</v>
          </cell>
        </row>
        <row r="785">
          <cell r="B785" t="str">
            <v>دستگاه پرس پخت</v>
          </cell>
          <cell r="C785" t="str">
            <v>قطعه تعمیری</v>
          </cell>
          <cell r="N785" t="str">
            <v>تراش</v>
          </cell>
          <cell r="AC785" t="str">
            <v>1405/04/31</v>
          </cell>
        </row>
        <row r="786">
          <cell r="B786" t="str">
            <v>ویوینگ</v>
          </cell>
          <cell r="C786" t="str">
            <v>قطعه تعمیری</v>
          </cell>
          <cell r="N786" t="str">
            <v>تراش</v>
          </cell>
          <cell r="AC786" t="str">
            <v>1405/04/31</v>
          </cell>
        </row>
        <row r="787">
          <cell r="B787" t="str">
            <v>ویوینگ</v>
          </cell>
          <cell r="C787" t="str">
            <v>قطعه تعمیری</v>
          </cell>
          <cell r="N787" t="str">
            <v>مونتاژ</v>
          </cell>
          <cell r="AC787" t="str">
            <v>1405/04/31</v>
          </cell>
        </row>
        <row r="788">
          <cell r="B788" t="str">
            <v>دستگاه پرس پخت</v>
          </cell>
          <cell r="C788" t="str">
            <v>قطعه تعمیری</v>
          </cell>
          <cell r="N788" t="str">
            <v>تراش</v>
          </cell>
          <cell r="AC788" t="str">
            <v>1405/04/31</v>
          </cell>
        </row>
        <row r="789">
          <cell r="B789" t="str">
            <v>دستگاه پرس پخت</v>
          </cell>
          <cell r="C789" t="str">
            <v>قطعه تعمیری</v>
          </cell>
          <cell r="N789" t="str">
            <v>تراش</v>
          </cell>
          <cell r="AC789" t="str">
            <v>1405/04/31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  <sheetName val="1مرداد"/>
    </sheetNames>
    <sheetDataSet>
      <sheetData sheetId="0"/>
      <sheetData sheetId="1"/>
      <sheetData sheetId="2"/>
      <sheetData sheetId="3">
        <row r="4">
          <cell r="B4" t="str">
            <v>نگهدارنده پلاک قالب</v>
          </cell>
        </row>
      </sheetData>
      <sheetData sheetId="4">
        <row r="4">
          <cell r="B4" t="str">
            <v>شمش پراید</v>
          </cell>
          <cell r="C4" t="str">
            <v>قالب نو</v>
          </cell>
          <cell r="N4" t="str">
            <v>سنگ زنی</v>
          </cell>
          <cell r="AC4" t="str">
            <v>1405/05/01</v>
          </cell>
        </row>
        <row r="5">
          <cell r="B5" t="str">
            <v xml:space="preserve">قالب پخت کلاچ پیکان </v>
          </cell>
          <cell r="C5" t="str">
            <v>قالب تعمیری</v>
          </cell>
          <cell r="N5" t="str">
            <v>مونتاژ</v>
          </cell>
          <cell r="AC5" t="str">
            <v>1405/05/01</v>
          </cell>
        </row>
        <row r="6">
          <cell r="B6" t="str">
            <v>قالب ولوو سوپر</v>
          </cell>
          <cell r="C6" t="str">
            <v>قالب تعمیری</v>
          </cell>
          <cell r="N6" t="str">
            <v>فرز</v>
          </cell>
          <cell r="AC6" t="str">
            <v>1405/05/01</v>
          </cell>
        </row>
        <row r="7">
          <cell r="B7" t="str">
            <v>اصول 5S</v>
          </cell>
          <cell r="C7" t="str">
            <v>نظافت</v>
          </cell>
          <cell r="N7" t="str">
            <v>نظافت</v>
          </cell>
          <cell r="AC7" t="str">
            <v>1405/05/01</v>
          </cell>
        </row>
        <row r="8">
          <cell r="B8" t="str">
            <v>اصول 5S</v>
          </cell>
          <cell r="C8" t="str">
            <v>نظافت</v>
          </cell>
          <cell r="N8" t="str">
            <v>نظافت</v>
          </cell>
          <cell r="AC8" t="str">
            <v>1405/05/01</v>
          </cell>
        </row>
        <row r="9">
          <cell r="B9" t="str">
            <v xml:space="preserve">قالب پخت کلاچ پیکان </v>
          </cell>
          <cell r="C9" t="str">
            <v>قالب تعمیری</v>
          </cell>
          <cell r="N9" t="str">
            <v>CNC</v>
          </cell>
          <cell r="AC9" t="str">
            <v>1405/05/01</v>
          </cell>
        </row>
        <row r="10">
          <cell r="B10" t="str">
            <v xml:space="preserve">قالب پخت کلاچ پیکان </v>
          </cell>
          <cell r="C10" t="str">
            <v>قالب تعمیری</v>
          </cell>
          <cell r="N10" t="str">
            <v>CNC</v>
          </cell>
          <cell r="AC10" t="str">
            <v>1405/05/01</v>
          </cell>
        </row>
        <row r="11">
          <cell r="B11" t="str">
            <v xml:space="preserve">قالب پخت کلاچ پیکان </v>
          </cell>
          <cell r="C11" t="str">
            <v>قالب تعمیری</v>
          </cell>
          <cell r="N11" t="str">
            <v>مونتاژ</v>
          </cell>
          <cell r="AC11" t="str">
            <v>1405/05/01</v>
          </cell>
        </row>
        <row r="12">
          <cell r="B12" t="str">
            <v xml:space="preserve">قالب پخت کلاچ پیکان </v>
          </cell>
          <cell r="C12" t="str">
            <v>قالب تعمیری</v>
          </cell>
          <cell r="N12" t="str">
            <v>اره لنگ</v>
          </cell>
          <cell r="AC12" t="str">
            <v>1405/05/01</v>
          </cell>
        </row>
        <row r="13">
          <cell r="B13" t="str">
            <v>اصول 5S</v>
          </cell>
          <cell r="C13" t="str">
            <v>نظافت</v>
          </cell>
          <cell r="N13" t="str">
            <v>نظافت</v>
          </cell>
          <cell r="AC13" t="str">
            <v>1405/05/01</v>
          </cell>
        </row>
        <row r="14">
          <cell r="B14" t="str">
            <v>ایسوزو 6 تن</v>
          </cell>
          <cell r="C14" t="str">
            <v>قالب تعمیری</v>
          </cell>
          <cell r="N14" t="str">
            <v>تراش</v>
          </cell>
          <cell r="AC14" t="str">
            <v>1405/05/01</v>
          </cell>
        </row>
        <row r="15">
          <cell r="B15" t="str">
            <v>سری نقطه جوش</v>
          </cell>
          <cell r="C15" t="str">
            <v>قطعه تعمیری</v>
          </cell>
          <cell r="N15" t="str">
            <v>تراش</v>
          </cell>
          <cell r="AC15" t="str">
            <v>1405/05/01</v>
          </cell>
        </row>
        <row r="16">
          <cell r="B16" t="str">
            <v>اصول 5S</v>
          </cell>
          <cell r="C16" t="str">
            <v>نظافت</v>
          </cell>
          <cell r="N16" t="str">
            <v>نظافت</v>
          </cell>
          <cell r="AC16" t="str">
            <v>1405/05/01</v>
          </cell>
        </row>
        <row r="17">
          <cell r="B17" t="str">
            <v>دستگاه پرس پخت</v>
          </cell>
          <cell r="C17" t="str">
            <v>قطعه تعمیری</v>
          </cell>
          <cell r="N17" t="str">
            <v>تراش</v>
          </cell>
          <cell r="AC17" t="str">
            <v>1405/05/01</v>
          </cell>
        </row>
        <row r="18">
          <cell r="B18" t="str">
            <v>دیتگاه وایر</v>
          </cell>
          <cell r="C18" t="str">
            <v>قطعه نو</v>
          </cell>
          <cell r="N18" t="str">
            <v>تراش</v>
          </cell>
          <cell r="AC18" t="str">
            <v>1405/05/01</v>
          </cell>
        </row>
        <row r="19">
          <cell r="B19" t="str">
            <v>قالب پخت کلاچ پژو 405</v>
          </cell>
          <cell r="C19" t="str">
            <v>قالب تعمیری</v>
          </cell>
          <cell r="N19" t="str">
            <v>تراش</v>
          </cell>
          <cell r="AC19" t="str">
            <v>1405/05/01</v>
          </cell>
        </row>
        <row r="20">
          <cell r="B20" t="str">
            <v>اصول 5S</v>
          </cell>
          <cell r="C20" t="str">
            <v>نظافت</v>
          </cell>
          <cell r="N20" t="str">
            <v>نظافت</v>
          </cell>
          <cell r="AC20" t="str">
            <v>1405/05/01</v>
          </cell>
        </row>
        <row r="21">
          <cell r="B21" t="str">
            <v>قالب مینی بوس آریا</v>
          </cell>
          <cell r="C21" t="str">
            <v>قالب نو</v>
          </cell>
          <cell r="N21" t="str">
            <v>وایر</v>
          </cell>
          <cell r="AC21" t="str">
            <v>1405/05/01</v>
          </cell>
        </row>
        <row r="22">
          <cell r="B22" t="str">
            <v>قالب پخت کلاچ پژو 405</v>
          </cell>
          <cell r="C22" t="str">
            <v>قالب تعمیری</v>
          </cell>
          <cell r="N22" t="str">
            <v>وایر</v>
          </cell>
          <cell r="AC22" t="str">
            <v>1405/05/01</v>
          </cell>
        </row>
        <row r="23">
          <cell r="B23" t="str">
            <v>قلم پژو 405</v>
          </cell>
          <cell r="C23" t="str">
            <v>قطعه تعمیری</v>
          </cell>
          <cell r="N23" t="str">
            <v>وایر</v>
          </cell>
          <cell r="AC23" t="str">
            <v>1405/05/01</v>
          </cell>
        </row>
        <row r="24">
          <cell r="B24" t="str">
            <v>قالب عقب F12</v>
          </cell>
          <cell r="C24" t="str">
            <v>قالب تعمیری</v>
          </cell>
          <cell r="N24" t="str">
            <v>وایر</v>
          </cell>
          <cell r="AC24" t="str">
            <v>1405/05/01</v>
          </cell>
        </row>
        <row r="25">
          <cell r="B25" t="str">
            <v xml:space="preserve">قالب پخت کلاچ پیکان </v>
          </cell>
          <cell r="C25" t="str">
            <v>قالب تعمیری</v>
          </cell>
          <cell r="N25" t="str">
            <v>مونتاژ</v>
          </cell>
          <cell r="AC25" t="str">
            <v>1405/05/01</v>
          </cell>
        </row>
        <row r="26">
          <cell r="B26" t="str">
            <v>رادیاتور آغشته کاری</v>
          </cell>
          <cell r="C26" t="str">
            <v>قطعه تعمیری</v>
          </cell>
          <cell r="N26" t="str">
            <v>دریل رادیال</v>
          </cell>
          <cell r="AC26" t="str">
            <v>1405/05/01</v>
          </cell>
        </row>
        <row r="27">
          <cell r="B27" t="str">
            <v>ویوینگ</v>
          </cell>
          <cell r="C27" t="str">
            <v>قطعه تعمیری</v>
          </cell>
          <cell r="N27" t="str">
            <v>دریل رادیال</v>
          </cell>
          <cell r="AC27" t="str">
            <v>1405/05/01</v>
          </cell>
        </row>
        <row r="28">
          <cell r="B28" t="str">
            <v>ایسوزو 6 تن</v>
          </cell>
          <cell r="C28" t="str">
            <v>قالب تعمیری</v>
          </cell>
          <cell r="N28" t="str">
            <v>مونتاژ</v>
          </cell>
          <cell r="AC28" t="str">
            <v>1405/05/01</v>
          </cell>
        </row>
        <row r="29">
          <cell r="B29" t="str">
            <v>برشی نیوفیس C&amp;C</v>
          </cell>
          <cell r="C29" t="str">
            <v>قالب نو</v>
          </cell>
          <cell r="N29" t="str">
            <v>مونتاژ</v>
          </cell>
          <cell r="AC29" t="str">
            <v>1405/05/01</v>
          </cell>
        </row>
        <row r="30">
          <cell r="B30" t="str">
            <v>قالب ولوو سوپر</v>
          </cell>
          <cell r="C30" t="str">
            <v>قالب تعمیری</v>
          </cell>
          <cell r="N30" t="str">
            <v>اره لنگ</v>
          </cell>
          <cell r="AC30" t="str">
            <v>1405/05/03</v>
          </cell>
        </row>
        <row r="31">
          <cell r="B31" t="str">
            <v>قالب ولوو سوپر</v>
          </cell>
          <cell r="C31" t="str">
            <v>قالب تعمیری</v>
          </cell>
          <cell r="N31" t="str">
            <v>فرز</v>
          </cell>
          <cell r="AC31" t="str">
            <v>1405/05/03</v>
          </cell>
        </row>
        <row r="32">
          <cell r="B32" t="str">
            <v>برشی نیوفیس C&amp;C</v>
          </cell>
          <cell r="C32" t="str">
            <v>قالب نو</v>
          </cell>
          <cell r="N32" t="str">
            <v>CNC</v>
          </cell>
          <cell r="AC32" t="str">
            <v>1405/05/03</v>
          </cell>
        </row>
        <row r="33">
          <cell r="B33" t="str">
            <v>ویوینگ</v>
          </cell>
          <cell r="C33" t="str">
            <v>قالب تعمیری</v>
          </cell>
          <cell r="N33" t="str">
            <v>CNC</v>
          </cell>
          <cell r="AC33" t="str">
            <v>1405/05/03</v>
          </cell>
        </row>
        <row r="34">
          <cell r="B34" t="str">
            <v>Hammer Mill Machine</v>
          </cell>
          <cell r="C34" t="str">
            <v>قطعه تعمیری</v>
          </cell>
          <cell r="N34" t="str">
            <v>تراش</v>
          </cell>
          <cell r="AC34" t="str">
            <v>1405/05/03</v>
          </cell>
        </row>
        <row r="35">
          <cell r="B35" t="str">
            <v>ویوینگ</v>
          </cell>
          <cell r="C35" t="str">
            <v>قالب تعمیری</v>
          </cell>
          <cell r="N35" t="str">
            <v>تراش</v>
          </cell>
          <cell r="AC35" t="str">
            <v>1405/05/03</v>
          </cell>
        </row>
        <row r="36">
          <cell r="B36" t="str">
            <v>جلو سمند سورن</v>
          </cell>
          <cell r="C36" t="str">
            <v>قالب تعمیری</v>
          </cell>
          <cell r="N36" t="str">
            <v>تراش</v>
          </cell>
          <cell r="AC36" t="str">
            <v>1405/05/03</v>
          </cell>
        </row>
        <row r="37">
          <cell r="B37" t="str">
            <v>جلو ریو</v>
          </cell>
          <cell r="C37" t="str">
            <v>قالب تعمیری</v>
          </cell>
          <cell r="N37" t="str">
            <v>تراش</v>
          </cell>
          <cell r="AC37" t="str">
            <v>1405/05/03</v>
          </cell>
        </row>
        <row r="38">
          <cell r="B38" t="str">
            <v>جلو ریو</v>
          </cell>
          <cell r="C38" t="str">
            <v>قالب تعمیری</v>
          </cell>
          <cell r="N38" t="str">
            <v>تراش</v>
          </cell>
          <cell r="AC38" t="str">
            <v>1405/05/03</v>
          </cell>
        </row>
        <row r="39">
          <cell r="B39" t="str">
            <v>قالب مینی بوس آریا</v>
          </cell>
          <cell r="C39" t="str">
            <v>قالب نو</v>
          </cell>
          <cell r="N39" t="str">
            <v>وایر</v>
          </cell>
          <cell r="AC39" t="str">
            <v>1405/05/03</v>
          </cell>
        </row>
        <row r="40">
          <cell r="B40" t="str">
            <v>قالب پخت کلاچ پژو 405</v>
          </cell>
          <cell r="C40" t="str">
            <v>قالب تعمیری</v>
          </cell>
          <cell r="N40" t="str">
            <v>وایر</v>
          </cell>
          <cell r="AC40" t="str">
            <v>1405/05/03</v>
          </cell>
        </row>
        <row r="41">
          <cell r="B41" t="str">
            <v>قالب مینی بوس آریا</v>
          </cell>
          <cell r="C41" t="str">
            <v>قالب نو</v>
          </cell>
          <cell r="N41" t="str">
            <v>وایر</v>
          </cell>
          <cell r="AC41" t="str">
            <v>1405/05/03</v>
          </cell>
        </row>
        <row r="42">
          <cell r="B42" t="str">
            <v>قالب عقب F12</v>
          </cell>
          <cell r="C42" t="str">
            <v>قالب تعمیری</v>
          </cell>
          <cell r="N42" t="str">
            <v>وایر</v>
          </cell>
          <cell r="AC42" t="str">
            <v>1405/05/03</v>
          </cell>
        </row>
        <row r="43">
          <cell r="B43" t="str">
            <v>Hammer Mill Machine</v>
          </cell>
          <cell r="C43" t="str">
            <v>قطعه تعمیری</v>
          </cell>
          <cell r="N43" t="str">
            <v>وایر</v>
          </cell>
          <cell r="AC43" t="str">
            <v>1405/05/03</v>
          </cell>
        </row>
        <row r="44">
          <cell r="B44" t="str">
            <v>قالب ولوو سوپر</v>
          </cell>
          <cell r="C44" t="str">
            <v>قالب تعمیری</v>
          </cell>
          <cell r="N44" t="str">
            <v>دریل رادیال</v>
          </cell>
          <cell r="AC44" t="str">
            <v>1405/05/03</v>
          </cell>
        </row>
        <row r="45">
          <cell r="B45" t="str">
            <v>سوراخکاری پیلسان</v>
          </cell>
          <cell r="C45" t="str">
            <v>قطعه نو</v>
          </cell>
          <cell r="N45" t="str">
            <v>دریل رادیال</v>
          </cell>
          <cell r="AC45" t="str">
            <v>1405/05/03</v>
          </cell>
        </row>
        <row r="46">
          <cell r="B46" t="str">
            <v>کوبه برش پراید</v>
          </cell>
          <cell r="C46" t="str">
            <v>قطعه تعمیری</v>
          </cell>
          <cell r="N46" t="str">
            <v>دریل رادیال</v>
          </cell>
          <cell r="AC46" t="str">
            <v>1405/05/03</v>
          </cell>
        </row>
        <row r="47">
          <cell r="B47" t="str">
            <v>جلو ریو</v>
          </cell>
          <cell r="C47" t="str">
            <v>قالب تعمیری</v>
          </cell>
          <cell r="N47" t="str">
            <v>مونتاژ</v>
          </cell>
          <cell r="AC47" t="str">
            <v>1405/05/03</v>
          </cell>
        </row>
        <row r="48">
          <cell r="B48" t="str">
            <v>دریل یزدخواستی کلاچ</v>
          </cell>
          <cell r="C48" t="str">
            <v>قطعه نو</v>
          </cell>
          <cell r="N48" t="str">
            <v>دریل رادیال</v>
          </cell>
          <cell r="AC48" t="str">
            <v>1405/05/03</v>
          </cell>
        </row>
        <row r="49">
          <cell r="B49" t="str">
            <v>پخت کلاچ پراید</v>
          </cell>
          <cell r="C49" t="str">
            <v>قالب تعمیری</v>
          </cell>
          <cell r="N49" t="str">
            <v>مونتاژ</v>
          </cell>
          <cell r="AC49" t="str">
            <v>1405/05/03</v>
          </cell>
        </row>
        <row r="50">
          <cell r="B50" t="str">
            <v>پخت کلاچ 309 سوراخدار</v>
          </cell>
          <cell r="C50" t="str">
            <v>قالب تعمیری</v>
          </cell>
          <cell r="N50" t="str">
            <v>مونتاژ</v>
          </cell>
          <cell r="AC50" t="str">
            <v>1405/05/03</v>
          </cell>
        </row>
        <row r="51">
          <cell r="B51" t="str">
            <v>شمش پراید</v>
          </cell>
          <cell r="C51" t="str">
            <v>قالب نو</v>
          </cell>
          <cell r="N51" t="str">
            <v>سنگ زنی</v>
          </cell>
          <cell r="AC51" t="str">
            <v>1405/05/03</v>
          </cell>
        </row>
        <row r="52">
          <cell r="B52" t="str">
            <v>لنت ترمز دیسكی جلو دیما(خم)</v>
          </cell>
          <cell r="C52" t="str">
            <v>قالب نو</v>
          </cell>
          <cell r="N52" t="str">
            <v>سنگ زنی</v>
          </cell>
          <cell r="AC52" t="str">
            <v>1405/05/03</v>
          </cell>
        </row>
        <row r="53">
          <cell r="B53" t="str">
            <v>پخت کلاچ 309 سوراخدار</v>
          </cell>
          <cell r="C53" t="str">
            <v>قالب تعمیری</v>
          </cell>
          <cell r="N53" t="str">
            <v>سنگ زنی</v>
          </cell>
          <cell r="AC53" t="str">
            <v>1405/05/03</v>
          </cell>
        </row>
        <row r="54">
          <cell r="B54" t="str">
            <v>پخت کلاچ 309 سوراخدار</v>
          </cell>
          <cell r="C54" t="str">
            <v>قالب تعمیری</v>
          </cell>
          <cell r="N54" t="str">
            <v>سنگ زنی</v>
          </cell>
          <cell r="AC54" t="str">
            <v>1405/05/03</v>
          </cell>
        </row>
        <row r="55">
          <cell r="B55" t="str">
            <v>ایسوزو 6 تن</v>
          </cell>
          <cell r="C55" t="str">
            <v>قالب تعمیری</v>
          </cell>
          <cell r="N55" t="str">
            <v>مونتاژ</v>
          </cell>
          <cell r="AC55" t="str">
            <v>1405/05/03</v>
          </cell>
        </row>
        <row r="56">
          <cell r="B56" t="str">
            <v>برشی نیوفیس C&amp;C</v>
          </cell>
          <cell r="C56" t="str">
            <v>قالب نو</v>
          </cell>
          <cell r="N56" t="str">
            <v>مونتاژ</v>
          </cell>
          <cell r="AC56" t="str">
            <v>1405/05/03</v>
          </cell>
        </row>
        <row r="57">
          <cell r="B57" t="str">
            <v>جلو سمند سورن</v>
          </cell>
          <cell r="C57" t="str">
            <v>قالب تعمیری</v>
          </cell>
          <cell r="N57" t="str">
            <v>مونتاژ</v>
          </cell>
          <cell r="AC57" t="str">
            <v>1405/05/03</v>
          </cell>
        </row>
        <row r="58">
          <cell r="B58" t="str">
            <v>جلو ریو</v>
          </cell>
          <cell r="C58" t="str">
            <v>قالب تعمیری</v>
          </cell>
          <cell r="N58" t="str">
            <v>مونتاژ</v>
          </cell>
          <cell r="AC58" t="str">
            <v>1405/05/03</v>
          </cell>
        </row>
        <row r="59">
          <cell r="B59" t="str">
            <v>پخت کلاچ 309 سوراخدار</v>
          </cell>
          <cell r="C59" t="str">
            <v>قالب تعمیری</v>
          </cell>
          <cell r="N59" t="str">
            <v>مونتاژ</v>
          </cell>
          <cell r="AC59" t="str">
            <v>1405/05/03</v>
          </cell>
        </row>
        <row r="60">
          <cell r="B60" t="str">
            <v>دستگاه رولینگ</v>
          </cell>
          <cell r="C60" t="str">
            <v>قطعه نو</v>
          </cell>
          <cell r="N60" t="str">
            <v>تراش</v>
          </cell>
          <cell r="AC60" t="str">
            <v>1405/05/03</v>
          </cell>
        </row>
        <row r="61">
          <cell r="B61" t="str">
            <v>قالب پخت کلاچ پژو 405</v>
          </cell>
          <cell r="C61" t="str">
            <v>قالب تعمیری</v>
          </cell>
          <cell r="N61" t="str">
            <v>تراش</v>
          </cell>
          <cell r="AC61" t="str">
            <v>1405/05/03</v>
          </cell>
        </row>
        <row r="62">
          <cell r="B62" t="str">
            <v xml:space="preserve">قالب پخت کلاچ پیکان </v>
          </cell>
          <cell r="C62" t="str">
            <v>قالب تعمیری</v>
          </cell>
          <cell r="N62" t="str">
            <v>تراش</v>
          </cell>
          <cell r="AC62" t="str">
            <v>1405/05/03</v>
          </cell>
        </row>
        <row r="63">
          <cell r="B63" t="str">
            <v>جلو ریو</v>
          </cell>
          <cell r="C63" t="str">
            <v>قالب تعمیری</v>
          </cell>
          <cell r="N63" t="str">
            <v>تراش</v>
          </cell>
          <cell r="AC63" t="str">
            <v>1405/05/03</v>
          </cell>
        </row>
        <row r="64">
          <cell r="B64" t="str">
            <v>دستگاه پشم فلز</v>
          </cell>
          <cell r="C64" t="str">
            <v>قطعه تعمیری</v>
          </cell>
          <cell r="N64" t="str">
            <v>فرز</v>
          </cell>
          <cell r="AC64" t="str">
            <v>1405/05/04</v>
          </cell>
        </row>
        <row r="65">
          <cell r="B65" t="str">
            <v>پخت عقب پژو 405 شمشی پایه کوتاه</v>
          </cell>
          <cell r="C65" t="str">
            <v>قالب نو</v>
          </cell>
          <cell r="N65" t="str">
            <v>CNC</v>
          </cell>
          <cell r="AC65" t="str">
            <v>1405/05/04</v>
          </cell>
        </row>
        <row r="66">
          <cell r="B66" t="str">
            <v xml:space="preserve">قالب پخت کلاچ پیکان </v>
          </cell>
          <cell r="C66" t="str">
            <v>قالب تعمیری</v>
          </cell>
          <cell r="N66" t="str">
            <v>CNC</v>
          </cell>
          <cell r="AC66" t="str">
            <v>1405/05/04</v>
          </cell>
        </row>
        <row r="67">
          <cell r="B67" t="str">
            <v xml:space="preserve">قالب پخت کلاچ پیکان </v>
          </cell>
          <cell r="C67" t="str">
            <v>قالب تعمیری</v>
          </cell>
          <cell r="N67" t="str">
            <v>CNC</v>
          </cell>
          <cell r="AC67" t="str">
            <v>1405/05/04</v>
          </cell>
        </row>
        <row r="68">
          <cell r="B68" t="str">
            <v>ویوینگ</v>
          </cell>
          <cell r="C68" t="str">
            <v>قطعه تعمیری</v>
          </cell>
          <cell r="N68" t="str">
            <v>تراش</v>
          </cell>
          <cell r="AC68" t="str">
            <v>1405/05/04</v>
          </cell>
        </row>
        <row r="69">
          <cell r="B69" t="str">
            <v>ساب ترابوزا</v>
          </cell>
          <cell r="C69" t="str">
            <v>قطعه تعمیری</v>
          </cell>
          <cell r="N69" t="str">
            <v>تراش</v>
          </cell>
          <cell r="AC69" t="str">
            <v>1405/05/04</v>
          </cell>
        </row>
        <row r="70">
          <cell r="B70" t="str">
            <v>پخت کلاچ ایسوزو</v>
          </cell>
          <cell r="C70" t="str">
            <v>قالب تعمیری</v>
          </cell>
          <cell r="N70" t="str">
            <v>مونتاژ</v>
          </cell>
          <cell r="AC70" t="str">
            <v>1405/05/04</v>
          </cell>
        </row>
        <row r="71">
          <cell r="B71" t="str">
            <v>پخت کلاچ 309 سوراخدار</v>
          </cell>
          <cell r="C71" t="str">
            <v>قالب تعمیری</v>
          </cell>
          <cell r="N71" t="str">
            <v>مونتاژ</v>
          </cell>
          <cell r="AC71" t="str">
            <v>1405/05/04</v>
          </cell>
        </row>
        <row r="72">
          <cell r="B72" t="str">
            <v xml:space="preserve">قالب پخت کلاچ پیکان </v>
          </cell>
          <cell r="C72" t="str">
            <v>قالب تعمیری</v>
          </cell>
          <cell r="N72" t="str">
            <v>اره لنگ</v>
          </cell>
          <cell r="AC72" t="str">
            <v>1405/05/04</v>
          </cell>
        </row>
        <row r="73">
          <cell r="B73" t="str">
            <v xml:space="preserve">قالب پخت کلاچ پیکان </v>
          </cell>
          <cell r="C73" t="str">
            <v>قالب تعمیری</v>
          </cell>
          <cell r="N73" t="str">
            <v>مونتاژ</v>
          </cell>
          <cell r="AC73" t="str">
            <v>1405/05/04</v>
          </cell>
        </row>
        <row r="74">
          <cell r="B74" t="str">
            <v>ویوینگ</v>
          </cell>
          <cell r="C74" t="str">
            <v>قطعه تعمیری</v>
          </cell>
          <cell r="N74" t="str">
            <v>CNC</v>
          </cell>
          <cell r="AC74" t="str">
            <v>1405/05/04</v>
          </cell>
        </row>
        <row r="75">
          <cell r="B75" t="str">
            <v>سوراخکاری پیلسان</v>
          </cell>
          <cell r="C75" t="str">
            <v>قطعه نو</v>
          </cell>
          <cell r="N75" t="str">
            <v>CNC</v>
          </cell>
          <cell r="AC75" t="str">
            <v>1405/05/04</v>
          </cell>
        </row>
        <row r="76">
          <cell r="B76" t="str">
            <v>ویوینگ</v>
          </cell>
          <cell r="C76" t="str">
            <v>قطعه تعمیری</v>
          </cell>
          <cell r="N76" t="str">
            <v>CNC</v>
          </cell>
          <cell r="AC76" t="str">
            <v>1405/05/04</v>
          </cell>
        </row>
        <row r="77">
          <cell r="B77" t="str">
            <v>پخت کلاچ 309 سوراخدار</v>
          </cell>
          <cell r="C77" t="str">
            <v>قالب تعمیری</v>
          </cell>
          <cell r="N77" t="str">
            <v>سنگ زنی</v>
          </cell>
          <cell r="AC77" t="str">
            <v>1405/05/04</v>
          </cell>
        </row>
        <row r="78">
          <cell r="B78" t="str">
            <v>برشی نیوفیس C&amp;C</v>
          </cell>
          <cell r="C78" t="str">
            <v>قالب نو</v>
          </cell>
          <cell r="N78" t="str">
            <v>سنگ زنی</v>
          </cell>
          <cell r="AC78" t="str">
            <v>1405/05/04</v>
          </cell>
        </row>
        <row r="79">
          <cell r="B79" t="str">
            <v>لنت ترمز دیسكی جلو دیما(خم)</v>
          </cell>
          <cell r="C79" t="str">
            <v>قالب نو</v>
          </cell>
          <cell r="N79" t="str">
            <v>سنگ زنی</v>
          </cell>
          <cell r="AC79" t="str">
            <v>1405/05/04</v>
          </cell>
        </row>
        <row r="80">
          <cell r="B80" t="str">
            <v>Hammer Mill Machine</v>
          </cell>
          <cell r="C80" t="str">
            <v>قطعه تعمیری</v>
          </cell>
          <cell r="N80" t="str">
            <v>تراش</v>
          </cell>
          <cell r="AC80" t="str">
            <v>1405/05/04</v>
          </cell>
        </row>
        <row r="81">
          <cell r="B81" t="str">
            <v>سری نقطه جوش</v>
          </cell>
          <cell r="C81" t="str">
            <v>قطعه تعمیری</v>
          </cell>
          <cell r="N81" t="str">
            <v>تراش</v>
          </cell>
          <cell r="AC81" t="str">
            <v>1405/05/04</v>
          </cell>
        </row>
        <row r="82">
          <cell r="B82" t="str">
            <v xml:space="preserve">قالب پخت کلاچ پیکان </v>
          </cell>
          <cell r="C82" t="str">
            <v>قالب تعمیری</v>
          </cell>
          <cell r="N82" t="str">
            <v>تراش</v>
          </cell>
          <cell r="AC82" t="str">
            <v>1405/05/04</v>
          </cell>
        </row>
        <row r="83">
          <cell r="B83" t="str">
            <v>قالب مینی بوس آریا</v>
          </cell>
          <cell r="C83" t="str">
            <v>قالب نو</v>
          </cell>
          <cell r="N83" t="str">
            <v>وایر</v>
          </cell>
          <cell r="AC83" t="str">
            <v>1405/05/04</v>
          </cell>
        </row>
        <row r="84">
          <cell r="B84" t="str">
            <v xml:space="preserve">قالب پخت کلاچ پیکان </v>
          </cell>
          <cell r="C84" t="str">
            <v>قالب تعمیری</v>
          </cell>
          <cell r="N84" t="str">
            <v>وایر</v>
          </cell>
          <cell r="AC84" t="str">
            <v>1405/05/04</v>
          </cell>
        </row>
        <row r="85">
          <cell r="B85" t="str">
            <v>قالب مینی بوس آریا</v>
          </cell>
          <cell r="C85" t="str">
            <v>قالب نو</v>
          </cell>
          <cell r="N85" t="str">
            <v>وایر</v>
          </cell>
          <cell r="AC85" t="str">
            <v>1405/05/04</v>
          </cell>
        </row>
        <row r="86">
          <cell r="B86" t="str">
            <v>قالب عقب F12</v>
          </cell>
          <cell r="C86" t="str">
            <v>قالب تعمیری</v>
          </cell>
          <cell r="N86" t="str">
            <v>وایر</v>
          </cell>
          <cell r="AC86" t="str">
            <v>1405/05/04</v>
          </cell>
        </row>
        <row r="87">
          <cell r="B87" t="str">
            <v>جلو سمند سورن</v>
          </cell>
          <cell r="C87" t="str">
            <v>قالب تعمیری</v>
          </cell>
          <cell r="N87" t="str">
            <v>وایر</v>
          </cell>
          <cell r="AC87" t="str">
            <v>1405/05/04</v>
          </cell>
        </row>
        <row r="88">
          <cell r="B88" t="str">
            <v>جلو سمند سورن</v>
          </cell>
          <cell r="C88" t="str">
            <v>قالب تعمیری</v>
          </cell>
          <cell r="N88" t="str">
            <v>وایر</v>
          </cell>
          <cell r="AC88" t="str">
            <v>1405/05/04</v>
          </cell>
        </row>
        <row r="89">
          <cell r="B89" t="str">
            <v>پخت کلاچ 309 سوراخدار</v>
          </cell>
          <cell r="C89" t="str">
            <v>قالب تعمیری</v>
          </cell>
          <cell r="N89" t="str">
            <v>تراش</v>
          </cell>
          <cell r="AC89" t="str">
            <v>1405/05/04</v>
          </cell>
        </row>
        <row r="90">
          <cell r="B90" t="str">
            <v>پخت کلاچ 309 سوراخدار</v>
          </cell>
          <cell r="C90" t="str">
            <v>قالب تعمیری</v>
          </cell>
          <cell r="N90" t="str">
            <v>تراش</v>
          </cell>
          <cell r="AC90" t="str">
            <v>1405/05/04</v>
          </cell>
        </row>
        <row r="91">
          <cell r="B91" t="str">
            <v>پخت کلاچ 309 سوراخدار</v>
          </cell>
          <cell r="C91" t="str">
            <v>قالب تعمیری</v>
          </cell>
          <cell r="N91" t="str">
            <v>مونتاژ</v>
          </cell>
          <cell r="AC91" t="str">
            <v>1405/05/04</v>
          </cell>
        </row>
        <row r="92">
          <cell r="B92" t="str">
            <v>جلو ریو</v>
          </cell>
          <cell r="C92" t="str">
            <v>قالب تعمیری</v>
          </cell>
          <cell r="N92" t="str">
            <v>مونتاژ</v>
          </cell>
          <cell r="AC92" t="str">
            <v>1405/05/04</v>
          </cell>
        </row>
        <row r="93">
          <cell r="B93" t="str">
            <v>جلو ریو</v>
          </cell>
          <cell r="C93" t="str">
            <v>قالب تعمیری</v>
          </cell>
          <cell r="N93" t="str">
            <v>مونتاژ</v>
          </cell>
          <cell r="AC93" t="str">
            <v>1405/05/04</v>
          </cell>
        </row>
        <row r="94">
          <cell r="B94" t="str">
            <v xml:space="preserve">قالب پخت کلاچ پیکان </v>
          </cell>
          <cell r="C94" t="str">
            <v>قالب تعمیری</v>
          </cell>
          <cell r="N94" t="str">
            <v>مونتاژ</v>
          </cell>
          <cell r="AC94" t="str">
            <v>1405/05/04</v>
          </cell>
        </row>
        <row r="95">
          <cell r="B95" t="str">
            <v>قالب ولوو سوپر</v>
          </cell>
          <cell r="C95" t="str">
            <v>قالب تعمیری</v>
          </cell>
          <cell r="N95" t="str">
            <v>دریل رادیال</v>
          </cell>
          <cell r="AC95" t="str">
            <v>1405/05/04</v>
          </cell>
        </row>
        <row r="96">
          <cell r="B96" t="str">
            <v>پخت کلاچ 309 سوراخدار</v>
          </cell>
          <cell r="C96" t="str">
            <v>قالب تعمیری</v>
          </cell>
          <cell r="N96" t="str">
            <v>مونتاژ</v>
          </cell>
          <cell r="AC96" t="str">
            <v>1405/05/04</v>
          </cell>
        </row>
        <row r="97">
          <cell r="B97" t="str">
            <v>پخت کلاچ ایسوزو</v>
          </cell>
          <cell r="C97" t="str">
            <v>قالب تعمیری</v>
          </cell>
          <cell r="N97" t="str">
            <v>مونتاژ</v>
          </cell>
          <cell r="AC97" t="str">
            <v>1405/05/04</v>
          </cell>
        </row>
        <row r="98">
          <cell r="B98" t="str">
            <v>ویوینگ</v>
          </cell>
          <cell r="C98" t="str">
            <v>قطعه تعمیری</v>
          </cell>
          <cell r="N98" t="str">
            <v>دریل رادیال</v>
          </cell>
          <cell r="AC98" t="str">
            <v>1405/05/04</v>
          </cell>
        </row>
        <row r="99">
          <cell r="B99" t="str">
            <v>پخت عقب پژو 405 شمشی پایه کوتاه</v>
          </cell>
          <cell r="C99" t="str">
            <v>قالب نو</v>
          </cell>
          <cell r="N99" t="str">
            <v>CNC</v>
          </cell>
          <cell r="AC99" t="str">
            <v>1405/05/05</v>
          </cell>
        </row>
        <row r="100">
          <cell r="B100" t="str">
            <v>دستگاه پشم فلز</v>
          </cell>
          <cell r="C100" t="str">
            <v>قطعه تعمیری</v>
          </cell>
          <cell r="N100" t="str">
            <v>فرز</v>
          </cell>
          <cell r="AC100" t="str">
            <v>1405/05/05</v>
          </cell>
        </row>
        <row r="101">
          <cell r="B101" t="str">
            <v>آسیاب پشم فلز</v>
          </cell>
          <cell r="C101" t="str">
            <v>قطعه تعمیری</v>
          </cell>
          <cell r="N101" t="str">
            <v>تراش</v>
          </cell>
          <cell r="AC101" t="str">
            <v>1405/05/05</v>
          </cell>
        </row>
        <row r="102">
          <cell r="B102" t="str">
            <v>قالب ولوو سوپر</v>
          </cell>
          <cell r="C102" t="str">
            <v>قالب تعمیری</v>
          </cell>
          <cell r="N102" t="str">
            <v>فرز</v>
          </cell>
          <cell r="AC102" t="str">
            <v>1405/05/05</v>
          </cell>
        </row>
        <row r="103">
          <cell r="B103" t="str">
            <v>ویوینگ</v>
          </cell>
          <cell r="C103" t="str">
            <v>قطعه تعمیری</v>
          </cell>
          <cell r="N103" t="str">
            <v>CNC</v>
          </cell>
          <cell r="AC103" t="str">
            <v>1405/05/05</v>
          </cell>
        </row>
        <row r="104">
          <cell r="B104" t="str">
            <v>برشی نیوفیس C&amp;C</v>
          </cell>
          <cell r="C104" t="str">
            <v>قالب نو</v>
          </cell>
          <cell r="N104" t="str">
            <v>CNC</v>
          </cell>
          <cell r="AC104" t="str">
            <v>1405/05/05</v>
          </cell>
        </row>
        <row r="105">
          <cell r="B105" t="str">
            <v>برشی نیوفیس C&amp;C</v>
          </cell>
          <cell r="C105" t="str">
            <v>قالب نو</v>
          </cell>
          <cell r="N105" t="str">
            <v>CNC</v>
          </cell>
          <cell r="AC105" t="str">
            <v>1405/05/05</v>
          </cell>
        </row>
        <row r="106">
          <cell r="B106" t="str">
            <v>ویوینگ</v>
          </cell>
          <cell r="C106" t="str">
            <v>قطعه تعمیری</v>
          </cell>
          <cell r="N106" t="str">
            <v>تراش</v>
          </cell>
          <cell r="AC106" t="str">
            <v>1405/05/05</v>
          </cell>
        </row>
        <row r="107">
          <cell r="B107" t="str">
            <v>کولر</v>
          </cell>
          <cell r="C107" t="str">
            <v>دستگاه تعمیری</v>
          </cell>
          <cell r="N107" t="str">
            <v>مونتاژ</v>
          </cell>
          <cell r="AC107" t="str">
            <v>1405/05/05</v>
          </cell>
        </row>
        <row r="108">
          <cell r="B108" t="str">
            <v>دستگاه چسب زنی</v>
          </cell>
          <cell r="C108" t="str">
            <v>قطعه تعمیری</v>
          </cell>
          <cell r="N108" t="str">
            <v>تراش</v>
          </cell>
          <cell r="AC108" t="str">
            <v>1405/05/05</v>
          </cell>
        </row>
        <row r="109">
          <cell r="B109" t="str">
            <v xml:space="preserve">قالب پخت کلاچ پیکان </v>
          </cell>
          <cell r="C109" t="str">
            <v>قالب تعمیری</v>
          </cell>
          <cell r="N109" t="str">
            <v>مونتاژ</v>
          </cell>
          <cell r="AC109" t="str">
            <v>1405/05/05</v>
          </cell>
        </row>
        <row r="110">
          <cell r="B110" t="str">
            <v xml:space="preserve">قالب پخت کلاچ پیکان </v>
          </cell>
          <cell r="C110" t="str">
            <v>قالب تعمیری</v>
          </cell>
          <cell r="N110" t="str">
            <v>اره لنگ</v>
          </cell>
          <cell r="AC110" t="str">
            <v>1405/05/05</v>
          </cell>
        </row>
        <row r="111">
          <cell r="B111" t="str">
            <v>قالب توری پگاسوز</v>
          </cell>
          <cell r="C111" t="str">
            <v>قالب تعمیری</v>
          </cell>
          <cell r="N111" t="str">
            <v>مونتاژ</v>
          </cell>
          <cell r="AC111" t="str">
            <v>1405/05/05</v>
          </cell>
        </row>
        <row r="112">
          <cell r="B112" t="str">
            <v>پخت کلاچ پراید</v>
          </cell>
          <cell r="C112" t="str">
            <v>قالب تعمیری</v>
          </cell>
          <cell r="N112" t="str">
            <v>مونتاژ</v>
          </cell>
          <cell r="AC112" t="str">
            <v>1405/05/05</v>
          </cell>
        </row>
        <row r="113">
          <cell r="B113" t="str">
            <v>Hammer Mill Machine</v>
          </cell>
          <cell r="C113" t="str">
            <v>قطعه نو</v>
          </cell>
          <cell r="N113" t="str">
            <v>تراش</v>
          </cell>
          <cell r="AC113" t="str">
            <v>1405/05/05</v>
          </cell>
        </row>
        <row r="114">
          <cell r="B114" t="str">
            <v>پخت کلاچ پراید</v>
          </cell>
          <cell r="C114" t="str">
            <v>قالب تعمیری</v>
          </cell>
          <cell r="N114" t="str">
            <v>تراش</v>
          </cell>
          <cell r="AC114" t="str">
            <v>1405/05/05</v>
          </cell>
        </row>
        <row r="115">
          <cell r="B115" t="str">
            <v>سری نقطه جوش</v>
          </cell>
          <cell r="C115" t="str">
            <v>قطعه تعمیری</v>
          </cell>
          <cell r="N115" t="str">
            <v>تراش</v>
          </cell>
          <cell r="AC115" t="str">
            <v>1405/05/05</v>
          </cell>
        </row>
        <row r="116">
          <cell r="B116" t="str">
            <v>پخت کلاچ پراید</v>
          </cell>
          <cell r="C116" t="str">
            <v>قالب تعمیری</v>
          </cell>
          <cell r="N116" t="str">
            <v>تراش</v>
          </cell>
          <cell r="AC116" t="str">
            <v>1405/05/05</v>
          </cell>
        </row>
        <row r="117">
          <cell r="B117" t="str">
            <v>پخت کلاچ 309 سوراخدار</v>
          </cell>
          <cell r="C117" t="str">
            <v>قالب تعمیری</v>
          </cell>
          <cell r="N117" t="str">
            <v>سنگ زنی</v>
          </cell>
          <cell r="AC117" t="str">
            <v>1405/05/05</v>
          </cell>
        </row>
        <row r="118">
          <cell r="B118" t="str">
            <v>برشی نیوفیس C&amp;C</v>
          </cell>
          <cell r="C118" t="str">
            <v>قالب نو</v>
          </cell>
          <cell r="N118" t="str">
            <v>سنگ زنی</v>
          </cell>
          <cell r="AC118" t="str">
            <v>1405/05/05</v>
          </cell>
        </row>
        <row r="119">
          <cell r="B119" t="str">
            <v>لنت ترمز دیسكی جلو دیما(خم)</v>
          </cell>
          <cell r="C119" t="str">
            <v>قالب نو</v>
          </cell>
          <cell r="N119" t="str">
            <v>سنگ زنی</v>
          </cell>
          <cell r="AC119" t="str">
            <v>1405/05/05</v>
          </cell>
        </row>
        <row r="120">
          <cell r="B120" t="str">
            <v>پخت کلاچ 309 سوراخدار</v>
          </cell>
          <cell r="C120" t="str">
            <v>قالب تعمیری</v>
          </cell>
          <cell r="N120" t="str">
            <v>سنگ زنی</v>
          </cell>
          <cell r="AC120" t="str">
            <v>1405/05/06</v>
          </cell>
        </row>
        <row r="121">
          <cell r="B121" t="str">
            <v>قالب توری پگاسوز</v>
          </cell>
          <cell r="C121" t="str">
            <v>قالب تعمیری</v>
          </cell>
          <cell r="N121" t="str">
            <v>سنگ زنی</v>
          </cell>
          <cell r="AC121" t="str">
            <v>1405/05/06</v>
          </cell>
        </row>
        <row r="122">
          <cell r="B122" t="str">
            <v xml:space="preserve">قالب پخت کلاچ پیکان </v>
          </cell>
          <cell r="C122" t="str">
            <v>قالب تعمیری</v>
          </cell>
          <cell r="N122" t="str">
            <v>مونتاژ</v>
          </cell>
          <cell r="AC122" t="str">
            <v>1405/05/05</v>
          </cell>
        </row>
        <row r="123">
          <cell r="B123" t="str">
            <v>قالب ولوو سوپر</v>
          </cell>
          <cell r="C123" t="str">
            <v>قالب تعمیری</v>
          </cell>
          <cell r="N123" t="str">
            <v>دریل رادیال</v>
          </cell>
          <cell r="AC123" t="str">
            <v>1405/05/05</v>
          </cell>
        </row>
        <row r="124">
          <cell r="B124" t="str">
            <v>قالب مینی بوس آریا</v>
          </cell>
          <cell r="C124" t="str">
            <v>قالب نو</v>
          </cell>
          <cell r="N124" t="str">
            <v>وایر</v>
          </cell>
          <cell r="AC124" t="str">
            <v>1405/05/05</v>
          </cell>
        </row>
        <row r="125">
          <cell r="B125" t="str">
            <v>جلو سمند سورن</v>
          </cell>
          <cell r="C125" t="str">
            <v>قالب تعمیری</v>
          </cell>
          <cell r="N125" t="str">
            <v>وایر</v>
          </cell>
          <cell r="AC125" t="str">
            <v>1405/05/05</v>
          </cell>
        </row>
        <row r="126">
          <cell r="B126" t="str">
            <v>جلو سمند سورن</v>
          </cell>
          <cell r="C126" t="str">
            <v>قالب تعمیری</v>
          </cell>
          <cell r="N126" t="str">
            <v>وایر</v>
          </cell>
          <cell r="AC126" t="str">
            <v>1405/05/05</v>
          </cell>
        </row>
        <row r="127">
          <cell r="B127" t="str">
            <v>قالب عقب F12</v>
          </cell>
          <cell r="C127" t="str">
            <v>قالب نو</v>
          </cell>
          <cell r="N127" t="str">
            <v>وایر</v>
          </cell>
          <cell r="AC127" t="str">
            <v>1405/05/05</v>
          </cell>
        </row>
        <row r="128">
          <cell r="B128" t="str">
            <v>ویوینگ</v>
          </cell>
          <cell r="C128" t="str">
            <v>قطعه تعمیری</v>
          </cell>
          <cell r="N128" t="str">
            <v>دریل رادیال</v>
          </cell>
          <cell r="AC128" t="str">
            <v>1405/05/05</v>
          </cell>
        </row>
        <row r="129">
          <cell r="B129" t="str">
            <v>ویوینگ</v>
          </cell>
          <cell r="C129" t="str">
            <v>قطعه تعمیری</v>
          </cell>
          <cell r="N129" t="str">
            <v>مونتاژ</v>
          </cell>
          <cell r="AC129" t="str">
            <v>1405/05/05</v>
          </cell>
        </row>
        <row r="130">
          <cell r="B130" t="str">
            <v>قالب ولوو سوپر</v>
          </cell>
          <cell r="C130" t="str">
            <v>قالب تعمیری</v>
          </cell>
          <cell r="N130" t="str">
            <v>فرز</v>
          </cell>
          <cell r="AC130" t="str">
            <v>1405/05/04</v>
          </cell>
        </row>
        <row r="131">
          <cell r="B131" t="str">
            <v>لنت ترمز دیسكی جلو دیما(خم)</v>
          </cell>
          <cell r="C131" t="str">
            <v>قالب نو</v>
          </cell>
          <cell r="N131" t="str">
            <v>فرز</v>
          </cell>
          <cell r="AC131" t="str">
            <v>1405/05/05</v>
          </cell>
        </row>
        <row r="132">
          <cell r="B132" t="str">
            <v>پخت کلاچ پراید</v>
          </cell>
          <cell r="C132" t="str">
            <v>قالب تعمیری</v>
          </cell>
          <cell r="N132" t="str">
            <v>مونتاژ</v>
          </cell>
          <cell r="AC132" t="str">
            <v>1405/05/05</v>
          </cell>
        </row>
        <row r="133">
          <cell r="B133" t="str">
            <v>پخت عقب پژو 405 شمشی پایه کوتاه</v>
          </cell>
          <cell r="C133" t="str">
            <v>قالب نو</v>
          </cell>
          <cell r="N133" t="str">
            <v>CNC</v>
          </cell>
          <cell r="AC133" t="str">
            <v>1405/05/06</v>
          </cell>
        </row>
        <row r="134">
          <cell r="B134" t="str">
            <v>دستگاه پشم فلز</v>
          </cell>
          <cell r="C134" t="str">
            <v>قطعه تعمیری</v>
          </cell>
          <cell r="N134" t="str">
            <v>فرز</v>
          </cell>
          <cell r="AC134" t="str">
            <v>1405/05/06</v>
          </cell>
        </row>
        <row r="135">
          <cell r="B135" t="str">
            <v>قالب ولوو سوپر</v>
          </cell>
          <cell r="C135" t="str">
            <v>قالب تعمیری</v>
          </cell>
          <cell r="N135" t="str">
            <v>فرز</v>
          </cell>
          <cell r="AC135" t="str">
            <v>1405/05/06</v>
          </cell>
        </row>
        <row r="136">
          <cell r="B136" t="str">
            <v>قالب پخت کلاچ پژو 405</v>
          </cell>
          <cell r="C136" t="str">
            <v>قالب تعمیری</v>
          </cell>
          <cell r="N136" t="str">
            <v>مونتاژ</v>
          </cell>
          <cell r="AC136" t="str">
            <v>1405/05/06</v>
          </cell>
        </row>
        <row r="137">
          <cell r="B137" t="str">
            <v>پخت کلاچ پراید</v>
          </cell>
          <cell r="C137" t="str">
            <v>قالب تعمیری</v>
          </cell>
          <cell r="N137" t="str">
            <v>فرز</v>
          </cell>
          <cell r="AC137" t="str">
            <v>1405/05/06</v>
          </cell>
        </row>
        <row r="138">
          <cell r="B138" t="str">
            <v>ویوینگ</v>
          </cell>
          <cell r="C138" t="str">
            <v>قطعه تعمیری</v>
          </cell>
          <cell r="N138" t="str">
            <v>دریل رادیال</v>
          </cell>
          <cell r="AC138" t="str">
            <v>1405/05/06</v>
          </cell>
        </row>
        <row r="139">
          <cell r="B139" t="str">
            <v>ویوینگ</v>
          </cell>
          <cell r="C139" t="str">
            <v>قطعه تعمیری</v>
          </cell>
          <cell r="N139" t="str">
            <v>مونتاژ</v>
          </cell>
          <cell r="AC139" t="str">
            <v>1405/05/06</v>
          </cell>
        </row>
        <row r="140">
          <cell r="B140" t="str">
            <v>دستگاه پرچ زنی</v>
          </cell>
          <cell r="C140" t="str">
            <v>قطعه تعمیری</v>
          </cell>
          <cell r="N140" t="str">
            <v>دریل رادیال</v>
          </cell>
          <cell r="AC140" t="str">
            <v>1405/05/06</v>
          </cell>
        </row>
        <row r="141">
          <cell r="B141" t="str">
            <v>دستگاه پرچ زنی</v>
          </cell>
          <cell r="C141" t="str">
            <v>قطعه تعمیری</v>
          </cell>
          <cell r="N141" t="str">
            <v>مونتاژ</v>
          </cell>
          <cell r="AC141" t="str">
            <v>1405/05/06</v>
          </cell>
        </row>
        <row r="142">
          <cell r="B142" t="str">
            <v>لنت ترمز دیسكی جلو دیما(خم)</v>
          </cell>
          <cell r="C142" t="str">
            <v>قالب نو</v>
          </cell>
          <cell r="N142" t="str">
            <v>سنگ زنی</v>
          </cell>
          <cell r="AC142" t="str">
            <v>1405/05/06</v>
          </cell>
        </row>
        <row r="143">
          <cell r="B143" t="str">
            <v>پخت کلاچ 309 سوراخدار</v>
          </cell>
          <cell r="C143" t="str">
            <v>قالب تعمیری</v>
          </cell>
          <cell r="N143" t="str">
            <v>سنگ زنی</v>
          </cell>
          <cell r="AC143" t="str">
            <v>1405/05/06</v>
          </cell>
        </row>
        <row r="144">
          <cell r="B144" t="str">
            <v>جلو سمند سورن</v>
          </cell>
          <cell r="C144" t="str">
            <v>قالب تعمیری</v>
          </cell>
          <cell r="N144" t="str">
            <v>سنگ زنی</v>
          </cell>
          <cell r="AC144" t="str">
            <v>1405/05/06</v>
          </cell>
        </row>
        <row r="145">
          <cell r="B145" t="str">
            <v>پخت کلاچ 309 سوراخدار</v>
          </cell>
          <cell r="C145" t="str">
            <v>قالب تعمیری</v>
          </cell>
          <cell r="N145" t="str">
            <v>تراش</v>
          </cell>
          <cell r="AC145" t="str">
            <v>1405/05/06</v>
          </cell>
        </row>
        <row r="146">
          <cell r="B146" t="str">
            <v>قالب پخت کلاچ پژو 405</v>
          </cell>
          <cell r="C146" t="str">
            <v>قالب تعمیری</v>
          </cell>
          <cell r="N146" t="str">
            <v>تراش</v>
          </cell>
          <cell r="AC146" t="str">
            <v>1405/05/06</v>
          </cell>
        </row>
        <row r="147">
          <cell r="B147" t="str">
            <v>سری نقطه جوش</v>
          </cell>
          <cell r="C147" t="str">
            <v>قطعه تعمیری</v>
          </cell>
          <cell r="N147" t="str">
            <v>تراش</v>
          </cell>
          <cell r="AC147" t="str">
            <v>1405/05/06</v>
          </cell>
        </row>
        <row r="148">
          <cell r="B148" t="str">
            <v>برشی نیوفیس C&amp;C</v>
          </cell>
          <cell r="C148" t="str">
            <v>قالب نو</v>
          </cell>
          <cell r="N148" t="str">
            <v>CNC</v>
          </cell>
          <cell r="AC148" t="str">
            <v>1405/05/06</v>
          </cell>
        </row>
        <row r="149">
          <cell r="B149" t="str">
            <v>لودر دیسکی XGL 50</v>
          </cell>
          <cell r="C149" t="str">
            <v>قالب نو</v>
          </cell>
          <cell r="N149" t="str">
            <v>CNC</v>
          </cell>
          <cell r="AC149" t="str">
            <v>1405/05/06</v>
          </cell>
        </row>
        <row r="150">
          <cell r="B150" t="str">
            <v>لنت ترمز دیسكی جلو دیما(خم)</v>
          </cell>
          <cell r="C150" t="str">
            <v>قالب نو</v>
          </cell>
          <cell r="N150" t="str">
            <v>CNC</v>
          </cell>
          <cell r="AC150" t="str">
            <v>1405/05/06</v>
          </cell>
        </row>
        <row r="151">
          <cell r="B151" t="str">
            <v>دستگاه پرچ زنی</v>
          </cell>
          <cell r="C151" t="str">
            <v>قطعه تعمیری</v>
          </cell>
          <cell r="N151" t="str">
            <v>تراش</v>
          </cell>
          <cell r="AC151" t="str">
            <v>1405/05/06</v>
          </cell>
        </row>
        <row r="152">
          <cell r="B152" t="str">
            <v>ساب ترابوزا</v>
          </cell>
          <cell r="C152" t="str">
            <v>قطعه نو</v>
          </cell>
          <cell r="N152" t="str">
            <v>تراش</v>
          </cell>
          <cell r="AC152" t="str">
            <v>1405/05/06</v>
          </cell>
        </row>
        <row r="153">
          <cell r="B153" t="str">
            <v>Hammer Mill Machine</v>
          </cell>
          <cell r="C153" t="str">
            <v>قطعه نو</v>
          </cell>
          <cell r="N153" t="str">
            <v>تراش</v>
          </cell>
          <cell r="AC153" t="str">
            <v>1405/05/06</v>
          </cell>
        </row>
        <row r="154">
          <cell r="B154" t="str">
            <v>دستگاه پرس پخت</v>
          </cell>
          <cell r="C154" t="str">
            <v>قطعه نو</v>
          </cell>
          <cell r="N154" t="str">
            <v>تراش</v>
          </cell>
          <cell r="AC154" t="str">
            <v>1405/05/06</v>
          </cell>
        </row>
        <row r="155">
          <cell r="B155" t="str">
            <v>دستگاه پرس پخت</v>
          </cell>
          <cell r="C155" t="str">
            <v>قطعه تعمیری</v>
          </cell>
          <cell r="N155" t="str">
            <v>تراش</v>
          </cell>
          <cell r="AC155" t="str">
            <v>1405/05/06</v>
          </cell>
        </row>
        <row r="156">
          <cell r="B156" t="str">
            <v>قالب پخت SAF</v>
          </cell>
          <cell r="C156" t="str">
            <v>قالب تعمیری</v>
          </cell>
          <cell r="N156" t="str">
            <v>وایر</v>
          </cell>
          <cell r="AC156" t="str">
            <v>1405/05/06</v>
          </cell>
        </row>
        <row r="157">
          <cell r="B157" t="str">
            <v>جلو سمند سورن</v>
          </cell>
          <cell r="C157" t="str">
            <v>قالب تعمیری</v>
          </cell>
          <cell r="N157" t="str">
            <v>وایر</v>
          </cell>
          <cell r="AC157" t="str">
            <v>1405/05/06</v>
          </cell>
        </row>
        <row r="158">
          <cell r="B158" t="str">
            <v>فیکسچر کفشک پژو 405</v>
          </cell>
          <cell r="C158" t="str">
            <v>قطعه نو</v>
          </cell>
          <cell r="N158" t="str">
            <v>وایر</v>
          </cell>
          <cell r="AC158" t="str">
            <v>1405/05/06</v>
          </cell>
        </row>
        <row r="159">
          <cell r="B159" t="str">
            <v>جلو سمند سورن</v>
          </cell>
          <cell r="C159" t="str">
            <v>قالب تعمیری</v>
          </cell>
          <cell r="N159" t="str">
            <v>وایر</v>
          </cell>
          <cell r="AC159" t="str">
            <v>1405/05/06</v>
          </cell>
        </row>
        <row r="160">
          <cell r="B160" t="str">
            <v>لنت ترمز دیسكی جلو دیما(خم)</v>
          </cell>
          <cell r="C160" t="str">
            <v>قالب نو</v>
          </cell>
          <cell r="N160" t="str">
            <v>وایر</v>
          </cell>
          <cell r="AC160" t="str">
            <v>1405/05/06</v>
          </cell>
        </row>
        <row r="161">
          <cell r="B161" t="str">
            <v>برشی نیوفیس C&amp;C</v>
          </cell>
          <cell r="C161" t="str">
            <v>قالب نو</v>
          </cell>
          <cell r="N161" t="str">
            <v>مونتاژ</v>
          </cell>
          <cell r="AC161" t="str">
            <v>1405/05/06</v>
          </cell>
        </row>
        <row r="162">
          <cell r="B162" t="str">
            <v>پخت کلاچ ده تن</v>
          </cell>
          <cell r="C162" t="str">
            <v>قالب تعمیری</v>
          </cell>
          <cell r="N162" t="str">
            <v>مونتاژ</v>
          </cell>
          <cell r="AC162" t="str">
            <v>1405/05/06</v>
          </cell>
        </row>
        <row r="163">
          <cell r="B163" t="str">
            <v>پخت عقب پژو 405 شمشی پایه کوتاه</v>
          </cell>
          <cell r="C163" t="str">
            <v>قالب نو</v>
          </cell>
          <cell r="N163" t="str">
            <v>مونتاژ</v>
          </cell>
          <cell r="AC163" t="str">
            <v>1405/05/06</v>
          </cell>
        </row>
        <row r="164">
          <cell r="B164" t="str">
            <v>پخت عقب پژو 405 شمشی پایه کوتاه</v>
          </cell>
          <cell r="C164" t="str">
            <v>قالب نو</v>
          </cell>
          <cell r="N164" t="str">
            <v>CNC</v>
          </cell>
          <cell r="AC164" t="str">
            <v>1405/05/07</v>
          </cell>
        </row>
        <row r="165">
          <cell r="B165" t="str">
            <v>پخت کلاچ پراید</v>
          </cell>
          <cell r="C165" t="str">
            <v>قالب تعمیری</v>
          </cell>
          <cell r="N165" t="str">
            <v>فرز</v>
          </cell>
          <cell r="AC165" t="str">
            <v>1405/05/07</v>
          </cell>
        </row>
        <row r="166">
          <cell r="B166" t="str">
            <v>قالب ولوو سوپر</v>
          </cell>
          <cell r="C166" t="str">
            <v>قالب تعمیری</v>
          </cell>
          <cell r="N166" t="str">
            <v>فرز</v>
          </cell>
          <cell r="AC166" t="str">
            <v>1405/05/07</v>
          </cell>
        </row>
        <row r="167">
          <cell r="B167" t="str">
            <v>لنت ترمز دیسكی جلو دیما(خم)</v>
          </cell>
          <cell r="C167" t="str">
            <v>قالب نو</v>
          </cell>
          <cell r="N167" t="str">
            <v>CNC</v>
          </cell>
          <cell r="AC167" t="str">
            <v>1405/05/07</v>
          </cell>
        </row>
        <row r="168">
          <cell r="B168" t="str">
            <v>برشی نیوفیس C&amp;C</v>
          </cell>
          <cell r="C168" t="str">
            <v>قالب نو</v>
          </cell>
          <cell r="N168" t="str">
            <v>CNC</v>
          </cell>
          <cell r="AC168" t="str">
            <v>1405/05/07</v>
          </cell>
        </row>
        <row r="169">
          <cell r="B169" t="str">
            <v>دستگاه پرس پخت</v>
          </cell>
          <cell r="C169" t="str">
            <v>قطعه نو</v>
          </cell>
          <cell r="N169" t="str">
            <v>تراش</v>
          </cell>
          <cell r="AC169" t="str">
            <v>1405/05/07</v>
          </cell>
        </row>
        <row r="170">
          <cell r="B170" t="str">
            <v>دستگاه پرس پخت</v>
          </cell>
          <cell r="C170" t="str">
            <v>قطعه تعمیری</v>
          </cell>
          <cell r="N170" t="str">
            <v>تراش</v>
          </cell>
          <cell r="AC170" t="str">
            <v>1405/05/07</v>
          </cell>
        </row>
        <row r="171">
          <cell r="B171" t="str">
            <v>دستگاه پرس 400 تن</v>
          </cell>
          <cell r="C171" t="str">
            <v>قطعه تعمیری</v>
          </cell>
          <cell r="N171" t="str">
            <v>تراش</v>
          </cell>
          <cell r="AC171" t="str">
            <v>1405/05/07</v>
          </cell>
        </row>
        <row r="172">
          <cell r="B172" t="str">
            <v>دستگاه پرس 400 تن</v>
          </cell>
          <cell r="C172" t="str">
            <v>قطعه تعمیری</v>
          </cell>
          <cell r="N172" t="str">
            <v>مونتاژ</v>
          </cell>
          <cell r="AC172" t="str">
            <v>1405/05/07</v>
          </cell>
        </row>
        <row r="173">
          <cell r="B173" t="str">
            <v>دستگاه پرس 400 تن</v>
          </cell>
          <cell r="C173" t="str">
            <v>قطعه تعمیری</v>
          </cell>
          <cell r="N173" t="str">
            <v>مونتاژ</v>
          </cell>
          <cell r="AC173" t="str">
            <v>1405/05/07</v>
          </cell>
        </row>
        <row r="174">
          <cell r="B174" t="str">
            <v>دستگاه پرس 400 تن</v>
          </cell>
          <cell r="C174" t="str">
            <v>قطعه نو</v>
          </cell>
          <cell r="N174" t="str">
            <v>تراش</v>
          </cell>
          <cell r="AC174" t="str">
            <v>1405/05/07</v>
          </cell>
        </row>
        <row r="175">
          <cell r="B175" t="str">
            <v>قالب مینی بوس آریا</v>
          </cell>
          <cell r="C175" t="str">
            <v>قالب نو</v>
          </cell>
          <cell r="N175" t="str">
            <v>مونتاژ</v>
          </cell>
          <cell r="AC175" t="str">
            <v>1405/05/07</v>
          </cell>
        </row>
        <row r="176">
          <cell r="B176" t="str">
            <v>قالب مینی بوس آریا</v>
          </cell>
          <cell r="C176" t="str">
            <v>قالب نو</v>
          </cell>
          <cell r="N176" t="str">
            <v>مونتاژ</v>
          </cell>
          <cell r="AC176" t="str">
            <v>1405/05/07</v>
          </cell>
        </row>
        <row r="177">
          <cell r="B177" t="str">
            <v>شمش پراید</v>
          </cell>
          <cell r="C177" t="str">
            <v>قالب نو</v>
          </cell>
          <cell r="N177" t="str">
            <v>مونتاژ</v>
          </cell>
          <cell r="AC177" t="str">
            <v>1405/05/07</v>
          </cell>
        </row>
        <row r="178">
          <cell r="B178" t="str">
            <v>ویوینگ</v>
          </cell>
          <cell r="C178" t="str">
            <v>قطعه تعمیری</v>
          </cell>
          <cell r="N178" t="str">
            <v>دریل رادیال</v>
          </cell>
          <cell r="AC178" t="str">
            <v>1405/05/07</v>
          </cell>
        </row>
        <row r="179">
          <cell r="B179" t="str">
            <v>ویوینگ</v>
          </cell>
          <cell r="C179" t="str">
            <v>قطعه تعمیری</v>
          </cell>
          <cell r="N179" t="str">
            <v>مونتاژ</v>
          </cell>
          <cell r="AC179" t="str">
            <v>1405/05/07</v>
          </cell>
        </row>
        <row r="180">
          <cell r="B180" t="str">
            <v>برشی نیوفیس C&amp;C</v>
          </cell>
          <cell r="C180" t="str">
            <v>قالب نو</v>
          </cell>
          <cell r="N180" t="str">
            <v>دریل رادیال</v>
          </cell>
          <cell r="AC180" t="str">
            <v>1405/05/07</v>
          </cell>
        </row>
        <row r="181">
          <cell r="B181" t="str">
            <v>برشی نیوفیس C&amp;C</v>
          </cell>
          <cell r="C181" t="str">
            <v>قالب نو</v>
          </cell>
          <cell r="N181" t="str">
            <v>مونتاژ</v>
          </cell>
          <cell r="AC181" t="str">
            <v>1405/05/07</v>
          </cell>
        </row>
        <row r="182">
          <cell r="B182" t="str">
            <v>قالب پخت SAF</v>
          </cell>
          <cell r="C182" t="str">
            <v>قالب تعمیری</v>
          </cell>
          <cell r="N182" t="str">
            <v>وایر</v>
          </cell>
          <cell r="AC182" t="str">
            <v>1405/05/07</v>
          </cell>
        </row>
        <row r="183">
          <cell r="B183" t="str">
            <v>سری تراش</v>
          </cell>
          <cell r="C183" t="str">
            <v>قطعه تعمیری</v>
          </cell>
          <cell r="N183" t="str">
            <v>وایر</v>
          </cell>
          <cell r="AC183" t="str">
            <v>1405/05/07</v>
          </cell>
        </row>
        <row r="184">
          <cell r="B184" t="str">
            <v>قالب مینی بوس آریا</v>
          </cell>
          <cell r="C184" t="str">
            <v>قالب نو</v>
          </cell>
          <cell r="N184" t="str">
            <v>وایر</v>
          </cell>
          <cell r="AC184" t="str">
            <v>1405/05/07</v>
          </cell>
        </row>
        <row r="185">
          <cell r="B185" t="str">
            <v>دسنگاه چسب زنی</v>
          </cell>
          <cell r="C185" t="str">
            <v>قطعه نو</v>
          </cell>
          <cell r="N185" t="str">
            <v>وایر</v>
          </cell>
          <cell r="AC185" t="str">
            <v>1405/05/07</v>
          </cell>
        </row>
        <row r="186">
          <cell r="B186" t="str">
            <v>لنت ترمز دیسكی جلو دیما(خم)</v>
          </cell>
          <cell r="C186" t="str">
            <v>قالب نو</v>
          </cell>
          <cell r="N186" t="str">
            <v>وایر</v>
          </cell>
          <cell r="AC186" t="str">
            <v>1405/05/07</v>
          </cell>
        </row>
        <row r="187">
          <cell r="B187" t="str">
            <v>دسنگاه چسب زنی</v>
          </cell>
          <cell r="C187" t="str">
            <v>قطعه نو</v>
          </cell>
          <cell r="N187" t="str">
            <v>وایر</v>
          </cell>
          <cell r="AC187" t="str">
            <v>1405/05/07</v>
          </cell>
        </row>
        <row r="188">
          <cell r="B188" t="str">
            <v>فیکسچر کفشک پژو 405</v>
          </cell>
          <cell r="C188" t="str">
            <v>قطعه نو</v>
          </cell>
          <cell r="N188" t="str">
            <v>وایر</v>
          </cell>
          <cell r="AC188" t="str">
            <v>1405/05/07</v>
          </cell>
        </row>
        <row r="189">
          <cell r="B189" t="str">
            <v>قالب کوبه نک SAF</v>
          </cell>
          <cell r="C189" t="str">
            <v>قالب تعمیری</v>
          </cell>
          <cell r="N189" t="str">
            <v>وایر</v>
          </cell>
          <cell r="AC189" t="str">
            <v>1405/05/07</v>
          </cell>
        </row>
        <row r="190">
          <cell r="B190" t="str">
            <v>جلو سمند سورن</v>
          </cell>
          <cell r="C190" t="str">
            <v>قالب تعمیری</v>
          </cell>
          <cell r="N190" t="str">
            <v>سنگ زنی</v>
          </cell>
          <cell r="AC190" t="str">
            <v>1405/05/07</v>
          </cell>
        </row>
        <row r="191">
          <cell r="B191" t="str">
            <v>پخت کلاچ ایسوزو</v>
          </cell>
          <cell r="C191" t="str">
            <v>قالب تعمیری</v>
          </cell>
          <cell r="N191" t="str">
            <v>سنگ زنی</v>
          </cell>
          <cell r="AC191" t="str">
            <v>1405/05/07</v>
          </cell>
        </row>
        <row r="192">
          <cell r="B192" t="str">
            <v>پخت کلاچ ایسوزو</v>
          </cell>
          <cell r="C192" t="str">
            <v>قالب تعمیری</v>
          </cell>
          <cell r="N192" t="str">
            <v>سنگ زنی</v>
          </cell>
          <cell r="AC192" t="str">
            <v>1405/05/08</v>
          </cell>
        </row>
        <row r="193">
          <cell r="B193" t="str">
            <v>قالب مینی بوس آریا</v>
          </cell>
          <cell r="C193" t="str">
            <v>قالب نو</v>
          </cell>
          <cell r="N193" t="str">
            <v>مونتاژ</v>
          </cell>
          <cell r="AC193" t="str">
            <v>1405/05/07</v>
          </cell>
        </row>
        <row r="194">
          <cell r="B194" t="str">
            <v>شمش پراید</v>
          </cell>
          <cell r="C194" t="str">
            <v>قالب نو</v>
          </cell>
          <cell r="N194" t="str">
            <v>مونتاژ</v>
          </cell>
          <cell r="AC194" t="str">
            <v>1405/05/07</v>
          </cell>
        </row>
        <row r="195">
          <cell r="B195" t="str">
            <v>ویوینگ</v>
          </cell>
          <cell r="C195" t="str">
            <v>قطعه تعمیری</v>
          </cell>
          <cell r="N195" t="str">
            <v>دریل رادیال</v>
          </cell>
          <cell r="AC195" t="str">
            <v>1405/05/07</v>
          </cell>
        </row>
        <row r="196">
          <cell r="B196" t="str">
            <v>ویوینگ</v>
          </cell>
          <cell r="C196" t="str">
            <v>قطعه تعمیری</v>
          </cell>
          <cell r="N196" t="str">
            <v>مونتاژ</v>
          </cell>
          <cell r="AC196" t="str">
            <v>1405/05/07</v>
          </cell>
        </row>
        <row r="197">
          <cell r="B197" t="str">
            <v>برشی نیوفیس C&amp;C</v>
          </cell>
          <cell r="C197" t="str">
            <v>قالب نو</v>
          </cell>
          <cell r="N197" t="str">
            <v>دریل رادیال</v>
          </cell>
          <cell r="AC197" t="str">
            <v>1405/05/07</v>
          </cell>
        </row>
        <row r="198">
          <cell r="B198" t="str">
            <v>برشی نیوفیس C&amp;C</v>
          </cell>
          <cell r="C198" t="str">
            <v>قالب نو</v>
          </cell>
          <cell r="N198" t="str">
            <v>مونتاژ</v>
          </cell>
          <cell r="AC198" t="str">
            <v>1405/05/07</v>
          </cell>
        </row>
        <row r="199">
          <cell r="B199" t="str">
            <v>شمش پراید</v>
          </cell>
          <cell r="C199" t="str">
            <v>قالب نو</v>
          </cell>
          <cell r="N199" t="str">
            <v>مونتاژ</v>
          </cell>
          <cell r="AC199" t="str">
            <v>1405/05/08</v>
          </cell>
        </row>
        <row r="200">
          <cell r="B200" t="str">
            <v xml:space="preserve">قالب پخت کلاچ پیکان </v>
          </cell>
          <cell r="C200" t="str">
            <v>قالب تعمیری</v>
          </cell>
          <cell r="N200" t="str">
            <v>مونتاژ</v>
          </cell>
          <cell r="AC200" t="str">
            <v>1405/05/08</v>
          </cell>
        </row>
        <row r="201">
          <cell r="B201" t="str">
            <v>برشی نیوفیس C&amp;C</v>
          </cell>
          <cell r="C201" t="str">
            <v>قالب نو</v>
          </cell>
          <cell r="N201" t="str">
            <v>CNC</v>
          </cell>
          <cell r="AC201" t="str">
            <v>1405/05/08</v>
          </cell>
        </row>
        <row r="202">
          <cell r="B202" t="str">
            <v>دستگاه پشم فلز</v>
          </cell>
          <cell r="C202" t="str">
            <v>قطعه تعمیری</v>
          </cell>
          <cell r="N202" t="str">
            <v>فرز</v>
          </cell>
          <cell r="AC202" t="str">
            <v>1405/05/07</v>
          </cell>
        </row>
        <row r="203">
          <cell r="B203" t="str">
            <v>لنت ترمز دیسكی جلو دیما(خم)</v>
          </cell>
          <cell r="C203" t="str">
            <v>قالب نو</v>
          </cell>
          <cell r="N203" t="str">
            <v>فرز</v>
          </cell>
          <cell r="AC203" t="str">
            <v>1405/05/08</v>
          </cell>
        </row>
        <row r="204">
          <cell r="B204" t="str">
            <v>شمش پراید</v>
          </cell>
          <cell r="C204" t="str">
            <v>قالب نو</v>
          </cell>
          <cell r="N204" t="str">
            <v>مونتاژ</v>
          </cell>
          <cell r="AC204" t="str">
            <v>1405/05/08</v>
          </cell>
        </row>
        <row r="205">
          <cell r="B205" t="str">
            <v xml:space="preserve">قالب پخت کلاچ پیکان </v>
          </cell>
          <cell r="C205" t="str">
            <v>قالب تعمیری</v>
          </cell>
          <cell r="N205" t="str">
            <v>مونتاژ</v>
          </cell>
          <cell r="AC205" t="str">
            <v>1405/05/08</v>
          </cell>
        </row>
        <row r="206">
          <cell r="B206" t="str">
            <v>اصول 5S</v>
          </cell>
          <cell r="C206" t="str">
            <v>نظافت</v>
          </cell>
          <cell r="N206" t="str">
            <v>نظافت</v>
          </cell>
          <cell r="AC206" t="str">
            <v>1405/05/08</v>
          </cell>
        </row>
        <row r="207">
          <cell r="B207" t="str">
            <v>شمش پراید</v>
          </cell>
          <cell r="C207" t="str">
            <v>قالب نو</v>
          </cell>
          <cell r="N207" t="str">
            <v>مونتاژ</v>
          </cell>
          <cell r="AC207" t="str">
            <v>1405/05/08</v>
          </cell>
        </row>
        <row r="208">
          <cell r="B208" t="str">
            <v xml:space="preserve">قالب پخت کلاچ پیکان </v>
          </cell>
          <cell r="C208" t="str">
            <v>قالب تعمیری</v>
          </cell>
          <cell r="N208" t="str">
            <v>مونتاژ</v>
          </cell>
          <cell r="AC208" t="str">
            <v>1405/05/08</v>
          </cell>
        </row>
        <row r="209">
          <cell r="B209" t="str">
            <v>پخت کلاچ ایسوزو</v>
          </cell>
          <cell r="C209" t="str">
            <v>قالب تعمیری</v>
          </cell>
          <cell r="N209" t="str">
            <v>سنگ زنی</v>
          </cell>
          <cell r="AC209" t="str">
            <v>1405/05/08</v>
          </cell>
        </row>
        <row r="210">
          <cell r="B210" t="str">
            <v>اصول 5S</v>
          </cell>
          <cell r="C210" t="str">
            <v>نظافت</v>
          </cell>
          <cell r="N210" t="str">
            <v>نظافت</v>
          </cell>
          <cell r="AC210" t="str">
            <v>1405/05/08</v>
          </cell>
        </row>
        <row r="211">
          <cell r="B211" t="str">
            <v>قالب پخت SAF</v>
          </cell>
          <cell r="C211" t="str">
            <v>قالب تعمیری</v>
          </cell>
          <cell r="N211" t="str">
            <v>وایر</v>
          </cell>
          <cell r="AC211" t="str">
            <v>1405/05/08</v>
          </cell>
        </row>
        <row r="212">
          <cell r="B212" t="str">
            <v>قالب مینی بوس آریا</v>
          </cell>
          <cell r="C212" t="str">
            <v>قالب نو</v>
          </cell>
          <cell r="N212" t="str">
            <v>وایر</v>
          </cell>
          <cell r="AC212" t="str">
            <v>1405/05/08</v>
          </cell>
        </row>
        <row r="213">
          <cell r="B213" t="str">
            <v>دسنگاه چسب زنی</v>
          </cell>
          <cell r="C213" t="str">
            <v>قطعه نو</v>
          </cell>
          <cell r="N213" t="str">
            <v>وایر</v>
          </cell>
          <cell r="AC213" t="str">
            <v>1405/05/08</v>
          </cell>
        </row>
        <row r="214">
          <cell r="B214" t="str">
            <v>دسنگاه چسب زنی</v>
          </cell>
          <cell r="C214" t="str">
            <v>قطعه نو</v>
          </cell>
          <cell r="N214" t="str">
            <v>وایر</v>
          </cell>
          <cell r="AC214" t="str">
            <v>1405/05/08</v>
          </cell>
        </row>
        <row r="215">
          <cell r="B215" t="str">
            <v>ابزار زنی</v>
          </cell>
          <cell r="C215" t="str">
            <v>قطعه نو</v>
          </cell>
          <cell r="N215" t="str">
            <v>تراش</v>
          </cell>
          <cell r="AC215" t="str">
            <v>1405/05/08</v>
          </cell>
        </row>
        <row r="216">
          <cell r="B216" t="str">
            <v>جک ترمز کلاچ</v>
          </cell>
          <cell r="C216" t="str">
            <v>قطعه تعمیری</v>
          </cell>
          <cell r="N216" t="str">
            <v>تراش</v>
          </cell>
          <cell r="AC216" t="str">
            <v>1405/05/08</v>
          </cell>
        </row>
        <row r="217">
          <cell r="B217" t="str">
            <v>دستگاه پرس 400 تن</v>
          </cell>
          <cell r="C217" t="str">
            <v>قطعه نو</v>
          </cell>
          <cell r="N217" t="str">
            <v>تراش</v>
          </cell>
          <cell r="AC217" t="str">
            <v>1405/05/08</v>
          </cell>
        </row>
        <row r="218">
          <cell r="B218" t="str">
            <v>اصول 5S</v>
          </cell>
          <cell r="C218" t="str">
            <v>نظافت</v>
          </cell>
          <cell r="N218" t="str">
            <v>نظافت</v>
          </cell>
          <cell r="AC218" t="str">
            <v>1405/05/08</v>
          </cell>
        </row>
        <row r="219">
          <cell r="B219" t="str">
            <v>شمش پراید</v>
          </cell>
          <cell r="C219" t="str">
            <v>قالب نو</v>
          </cell>
          <cell r="N219" t="str">
            <v>مونتاژ</v>
          </cell>
          <cell r="AC219" t="str">
            <v>1405/05/08</v>
          </cell>
        </row>
        <row r="220">
          <cell r="B220" t="str">
            <v>شمش پراید</v>
          </cell>
          <cell r="C220" t="str">
            <v>قالب نو</v>
          </cell>
          <cell r="N220" t="str">
            <v>مونتاژ</v>
          </cell>
          <cell r="AC220" t="str">
            <v>1405/05/08</v>
          </cell>
        </row>
        <row r="221">
          <cell r="B221" t="str">
            <v>قالب ولوو سوپر</v>
          </cell>
          <cell r="C221" t="str">
            <v>قالب تعمیری</v>
          </cell>
          <cell r="N221" t="str">
            <v>مونتاژ</v>
          </cell>
          <cell r="AC221" t="str">
            <v>1405/05/08</v>
          </cell>
        </row>
        <row r="222">
          <cell r="B222" t="str">
            <v>اصول 5S</v>
          </cell>
          <cell r="C222" t="str">
            <v>نظافت</v>
          </cell>
          <cell r="N222" t="str">
            <v>نظافت</v>
          </cell>
          <cell r="AC222" t="str">
            <v>1405/05/08</v>
          </cell>
        </row>
        <row r="223">
          <cell r="B223" t="str">
            <v>پخت کلاچ پراید</v>
          </cell>
          <cell r="C223" t="str">
            <v>قالب تعمیری</v>
          </cell>
          <cell r="N223" t="str">
            <v>فرز</v>
          </cell>
          <cell r="AC223" t="str">
            <v>1405/05/10</v>
          </cell>
        </row>
        <row r="224">
          <cell r="B224" t="str">
            <v>پخت کلاچ 309 سوراخدار</v>
          </cell>
          <cell r="C224" t="str">
            <v>قالب تعمیری</v>
          </cell>
          <cell r="N224" t="str">
            <v>CNC</v>
          </cell>
          <cell r="AC224" t="str">
            <v>1405/05/10</v>
          </cell>
        </row>
        <row r="225">
          <cell r="B225" t="str">
            <v>پخت عقب پژو 405 شمشی پایه کوتاه</v>
          </cell>
          <cell r="C225" t="str">
            <v>قالب نو</v>
          </cell>
          <cell r="N225" t="str">
            <v>CNC</v>
          </cell>
          <cell r="AC225" t="str">
            <v>1405/05/10</v>
          </cell>
        </row>
        <row r="226">
          <cell r="B226" t="str">
            <v>برشی نیوفیس C&amp;C</v>
          </cell>
          <cell r="C226" t="str">
            <v>قالب نو</v>
          </cell>
          <cell r="N226" t="str">
            <v>CNC</v>
          </cell>
          <cell r="AC226" t="str">
            <v>1405/05/10</v>
          </cell>
        </row>
        <row r="227">
          <cell r="B227" t="str">
            <v>لودر دیسکی XGL 50</v>
          </cell>
          <cell r="C227" t="str">
            <v>قالب نو</v>
          </cell>
          <cell r="N227" t="str">
            <v>CNC</v>
          </cell>
          <cell r="AC227" t="str">
            <v>1405/05/11</v>
          </cell>
        </row>
        <row r="228">
          <cell r="B228" t="str">
            <v xml:space="preserve">قالب پخت کلاچ پیکان </v>
          </cell>
          <cell r="C228" t="str">
            <v>قالب تعمیری</v>
          </cell>
          <cell r="N228" t="str">
            <v>مونتاژ</v>
          </cell>
          <cell r="AC228" t="str">
            <v>1405/05/10</v>
          </cell>
        </row>
        <row r="229">
          <cell r="B229" t="str">
            <v xml:space="preserve">قالب پخت کلاچ پیکان </v>
          </cell>
          <cell r="C229" t="str">
            <v>قالب تعمیری</v>
          </cell>
          <cell r="N229" t="str">
            <v>مونتاژ</v>
          </cell>
          <cell r="AC229" t="str">
            <v>1405/05/11</v>
          </cell>
        </row>
        <row r="230">
          <cell r="B230" t="str">
            <v>پخت کلاچ ایسوزو</v>
          </cell>
          <cell r="C230" t="str">
            <v>قالب تعمیری</v>
          </cell>
          <cell r="N230" t="str">
            <v>سنگ زنی</v>
          </cell>
          <cell r="AC230" t="str">
            <v>1405/05/10</v>
          </cell>
        </row>
        <row r="231">
          <cell r="B231" t="str">
            <v>پخت کلاچ ایسوزو</v>
          </cell>
          <cell r="C231" t="str">
            <v>قالب تعمیری</v>
          </cell>
          <cell r="N231" t="str">
            <v>سنگ زنی</v>
          </cell>
          <cell r="AC231" t="str">
            <v>1405/05/10</v>
          </cell>
        </row>
        <row r="232">
          <cell r="B232" t="str">
            <v>پخت کلاچ تیبا چپ</v>
          </cell>
          <cell r="C232" t="str">
            <v>قالب نو</v>
          </cell>
          <cell r="N232" t="str">
            <v>سنگ زنی</v>
          </cell>
          <cell r="AC232" t="str">
            <v>1405/05/11</v>
          </cell>
        </row>
        <row r="233">
          <cell r="B233" t="str">
            <v>پخت کلاچ تیبا چپ</v>
          </cell>
          <cell r="C233" t="str">
            <v>قالب نو</v>
          </cell>
          <cell r="N233" t="str">
            <v>سنگ زنی</v>
          </cell>
          <cell r="AC233" t="str">
            <v>1405/05/11</v>
          </cell>
        </row>
        <row r="234">
          <cell r="B234" t="str">
            <v>دستگاه پشم فلز</v>
          </cell>
          <cell r="C234" t="str">
            <v>قطعه تعمیری</v>
          </cell>
          <cell r="N234" t="str">
            <v>فرز</v>
          </cell>
          <cell r="AC234" t="str">
            <v>1405/05/10</v>
          </cell>
        </row>
        <row r="235">
          <cell r="B235" t="str">
            <v>دستگاه پشم فلز</v>
          </cell>
          <cell r="C235" t="str">
            <v>قطعه تعمیری</v>
          </cell>
          <cell r="N235" t="str">
            <v>فرز</v>
          </cell>
          <cell r="AC235" t="str">
            <v>1405/05/10</v>
          </cell>
        </row>
        <row r="236">
          <cell r="B236" t="str">
            <v>دستگاه پشم فلز</v>
          </cell>
          <cell r="C236" t="str">
            <v>قطعه تعمیری</v>
          </cell>
          <cell r="N236" t="str">
            <v>فرز</v>
          </cell>
          <cell r="AC236" t="str">
            <v>1405/05/11</v>
          </cell>
        </row>
        <row r="237">
          <cell r="B237" t="str">
            <v>پخت کلاچ پراید</v>
          </cell>
          <cell r="C237" t="str">
            <v>قالب تعمیری</v>
          </cell>
          <cell r="N237" t="str">
            <v>مونتاژ</v>
          </cell>
          <cell r="AC237" t="str">
            <v>1405/05/10</v>
          </cell>
        </row>
        <row r="238">
          <cell r="B238" t="str">
            <v>دستگاه پرس پخت</v>
          </cell>
          <cell r="C238" t="str">
            <v>قطعه تعمیری</v>
          </cell>
          <cell r="N238" t="str">
            <v>دریل رادیال</v>
          </cell>
          <cell r="AC238" t="str">
            <v>1405/05/10</v>
          </cell>
        </row>
        <row r="239">
          <cell r="B239" t="str">
            <v>شمش پراید</v>
          </cell>
          <cell r="C239" t="str">
            <v>قالب نو</v>
          </cell>
          <cell r="N239" t="str">
            <v>مونتاژ</v>
          </cell>
          <cell r="AC239" t="str">
            <v>1405/05/10</v>
          </cell>
        </row>
        <row r="240">
          <cell r="B240" t="str">
            <v xml:space="preserve">قالب پخت کلاچ پیکان </v>
          </cell>
          <cell r="C240" t="str">
            <v>قالب تعمیری</v>
          </cell>
          <cell r="N240" t="str">
            <v>مونتاژ</v>
          </cell>
          <cell r="AC240" t="str">
            <v>1405/05/10</v>
          </cell>
        </row>
        <row r="241">
          <cell r="B241" t="str">
            <v>ابزار زنی</v>
          </cell>
          <cell r="C241" t="str">
            <v>قطعه نو</v>
          </cell>
          <cell r="N241" t="str">
            <v>تراش</v>
          </cell>
          <cell r="AC241" t="str">
            <v>1405/05/10</v>
          </cell>
        </row>
        <row r="242">
          <cell r="B242" t="str">
            <v>آغشته کاری</v>
          </cell>
          <cell r="C242" t="str">
            <v>قطعه تعمیری</v>
          </cell>
          <cell r="N242" t="str">
            <v>مونتاژ</v>
          </cell>
          <cell r="AC242" t="str">
            <v>1405/05/10</v>
          </cell>
        </row>
        <row r="243">
          <cell r="B243" t="str">
            <v>آغشته کاری</v>
          </cell>
          <cell r="C243" t="str">
            <v>قطعه تعمیری</v>
          </cell>
          <cell r="N243" t="str">
            <v>تراش</v>
          </cell>
          <cell r="AC243" t="str">
            <v>1405/05/11</v>
          </cell>
        </row>
        <row r="244">
          <cell r="B244" t="str">
            <v>بسته بندی</v>
          </cell>
          <cell r="C244" t="str">
            <v>قطعه نو</v>
          </cell>
          <cell r="N244" t="str">
            <v>تراش</v>
          </cell>
          <cell r="AC244" t="str">
            <v>1405/05/11</v>
          </cell>
        </row>
        <row r="245">
          <cell r="B245" t="str">
            <v>ابزار زنی</v>
          </cell>
          <cell r="C245" t="str">
            <v>قطعه نو</v>
          </cell>
          <cell r="N245" t="str">
            <v>تراش</v>
          </cell>
          <cell r="AC245" t="str">
            <v>1405/05/11</v>
          </cell>
        </row>
        <row r="246">
          <cell r="B246" t="str">
            <v>پخت کلاچ ایویکو سوراخدار</v>
          </cell>
          <cell r="C246" t="str">
            <v>قالب تعمیری</v>
          </cell>
          <cell r="N246" t="str">
            <v>مونتاژ</v>
          </cell>
          <cell r="AC246" t="str">
            <v>1405/05/10</v>
          </cell>
        </row>
        <row r="247">
          <cell r="B247" t="str">
            <v>پخت کلاچ ایویکو سوراخدار</v>
          </cell>
          <cell r="C247" t="str">
            <v>قالب تعمیری</v>
          </cell>
          <cell r="N247" t="str">
            <v>مونتاژ</v>
          </cell>
          <cell r="AC247" t="str">
            <v>1405/05/10</v>
          </cell>
        </row>
        <row r="248">
          <cell r="B248" t="str">
            <v xml:space="preserve">قالب پخت کلاچ پیکان </v>
          </cell>
          <cell r="C248" t="str">
            <v>قالب تعمیری</v>
          </cell>
          <cell r="N248" t="str">
            <v>مونتاژ</v>
          </cell>
          <cell r="AC248" t="str">
            <v>1405/05/10</v>
          </cell>
        </row>
        <row r="249">
          <cell r="B249" t="str">
            <v xml:space="preserve">قالب پخت کلاچ پیکان </v>
          </cell>
          <cell r="C249" t="str">
            <v>قالب تعمیری</v>
          </cell>
          <cell r="N249" t="str">
            <v>مونتاژ</v>
          </cell>
          <cell r="AC249" t="str">
            <v>1405/05/10</v>
          </cell>
        </row>
        <row r="250">
          <cell r="B250" t="str">
            <v>بسته بندی</v>
          </cell>
          <cell r="C250" t="str">
            <v>قطعه تعمیری</v>
          </cell>
          <cell r="N250" t="str">
            <v>اره لنگ</v>
          </cell>
          <cell r="AC250" t="str">
            <v>1405/05/11</v>
          </cell>
        </row>
        <row r="251">
          <cell r="B251" t="str">
            <v>پخت کلاچ 309 سوراخدار</v>
          </cell>
          <cell r="C251" t="str">
            <v>قالب تعمیری</v>
          </cell>
          <cell r="N251" t="str">
            <v>مونتاژ</v>
          </cell>
          <cell r="AC251" t="str">
            <v>1405/05/11</v>
          </cell>
        </row>
        <row r="252">
          <cell r="B252" t="str">
            <v>دستگاه پرس پخت</v>
          </cell>
          <cell r="C252" t="str">
            <v>قطعه تعمیری</v>
          </cell>
          <cell r="N252" t="str">
            <v>دریل رادیال</v>
          </cell>
          <cell r="AC252" t="str">
            <v>1405/05/11</v>
          </cell>
        </row>
        <row r="253">
          <cell r="B253" t="str">
            <v xml:space="preserve">قالب پخت کلاچ پیکان </v>
          </cell>
          <cell r="C253" t="str">
            <v>قالب تعمیری</v>
          </cell>
          <cell r="N253" t="str">
            <v>مونتاژ</v>
          </cell>
          <cell r="AC253" t="str">
            <v>1405/05/11</v>
          </cell>
        </row>
        <row r="254">
          <cell r="B254" t="str">
            <v>پخت عقب پژو 405 شمشی پایه کوتاه</v>
          </cell>
          <cell r="C254" t="str">
            <v>قالب نو</v>
          </cell>
          <cell r="N254" t="str">
            <v>CNC</v>
          </cell>
          <cell r="AC254" t="str">
            <v>1405/05/12</v>
          </cell>
        </row>
        <row r="255">
          <cell r="B255" t="str">
            <v xml:space="preserve">قالب پخت کلاچ پیکان </v>
          </cell>
          <cell r="C255" t="str">
            <v>قالب تعمیری</v>
          </cell>
          <cell r="N255" t="str">
            <v>فرز</v>
          </cell>
          <cell r="AC255" t="str">
            <v>1405/05/10</v>
          </cell>
        </row>
        <row r="256">
          <cell r="B256" t="str">
            <v xml:space="preserve">قالب پخت کلاچ پیکان </v>
          </cell>
          <cell r="C256" t="str">
            <v>قالب تعمیری</v>
          </cell>
          <cell r="N256" t="str">
            <v>فرز</v>
          </cell>
          <cell r="AC256" t="str">
            <v>1405/05/11</v>
          </cell>
        </row>
        <row r="257">
          <cell r="B257" t="str">
            <v>پخت کلاچ تیبا راست</v>
          </cell>
          <cell r="C257" t="str">
            <v>قالب نو</v>
          </cell>
          <cell r="N257" t="str">
            <v>سنگ زنی</v>
          </cell>
          <cell r="AC257" t="str">
            <v>1405/05/12</v>
          </cell>
        </row>
        <row r="258">
          <cell r="B258" t="str">
            <v>قالب پخت کلاچ پژو 405</v>
          </cell>
          <cell r="C258" t="str">
            <v>قالب تعمیری</v>
          </cell>
          <cell r="N258" t="str">
            <v>مونتاژ</v>
          </cell>
          <cell r="AC258" t="str">
            <v>1405/05/12</v>
          </cell>
        </row>
        <row r="259">
          <cell r="B259" t="str">
            <v>قالب پخت کلاچ پژو 405</v>
          </cell>
          <cell r="C259" t="str">
            <v>قالب تعمیری</v>
          </cell>
          <cell r="N259" t="str">
            <v>مونتاژ</v>
          </cell>
          <cell r="AC259" t="str">
            <v>1405/05/12</v>
          </cell>
        </row>
        <row r="260">
          <cell r="B260" t="str">
            <v>لودر دیسکی XGL 50</v>
          </cell>
          <cell r="C260" t="str">
            <v>قالب نو</v>
          </cell>
          <cell r="N260" t="str">
            <v>CNC</v>
          </cell>
          <cell r="AC260" t="str">
            <v>1405/05/12</v>
          </cell>
        </row>
        <row r="261">
          <cell r="B261" t="str">
            <v>لودر دیسکی XGL 50</v>
          </cell>
          <cell r="C261" t="str">
            <v>قالب نو</v>
          </cell>
          <cell r="N261" t="str">
            <v>CNC</v>
          </cell>
          <cell r="AC261" t="str">
            <v>1405/05/13</v>
          </cell>
        </row>
        <row r="262">
          <cell r="B262" t="str">
            <v>قالب پخت کلاچ پژو 405</v>
          </cell>
          <cell r="C262" t="str">
            <v>قالب تعمیری</v>
          </cell>
          <cell r="N262" t="str">
            <v>مونتاژ</v>
          </cell>
          <cell r="AC262" t="str">
            <v>1405/05/12</v>
          </cell>
        </row>
        <row r="263">
          <cell r="B263" t="str">
            <v>قالب پخت کلاچ پژو 405</v>
          </cell>
          <cell r="C263" t="str">
            <v>قالب تعمیری</v>
          </cell>
          <cell r="N263" t="str">
            <v>مونتاژ</v>
          </cell>
          <cell r="AC263" t="str">
            <v>1405/05/12</v>
          </cell>
        </row>
        <row r="264">
          <cell r="B264" t="str">
            <v>پخت کلاچ پراید</v>
          </cell>
          <cell r="C264" t="str">
            <v>قالب تعمیری</v>
          </cell>
          <cell r="N264" t="str">
            <v>تراش</v>
          </cell>
          <cell r="AC264" t="str">
            <v>1405/05/12</v>
          </cell>
        </row>
        <row r="265">
          <cell r="B265" t="str">
            <v>ابزار زنی</v>
          </cell>
          <cell r="C265" t="str">
            <v>قطعه نو</v>
          </cell>
          <cell r="N265" t="str">
            <v>فرز</v>
          </cell>
          <cell r="AC265" t="str">
            <v>1405/05/12</v>
          </cell>
        </row>
        <row r="266">
          <cell r="B266" t="str">
            <v>دستگاه پشم فلز</v>
          </cell>
          <cell r="C266" t="str">
            <v>قطعه تعمیری</v>
          </cell>
          <cell r="N266" t="str">
            <v>مونتاژ</v>
          </cell>
          <cell r="AC266" t="str">
            <v>1405/05/12</v>
          </cell>
        </row>
        <row r="267">
          <cell r="B267" t="str">
            <v>قالب پخت کلاچ پژو 405</v>
          </cell>
          <cell r="C267" t="str">
            <v>قالب تعمیری</v>
          </cell>
          <cell r="N267" t="str">
            <v>مونتاژ</v>
          </cell>
          <cell r="AC267" t="str">
            <v>1405/05/12</v>
          </cell>
        </row>
        <row r="268">
          <cell r="B268" t="str">
            <v>قالب پخت کلاچ پژو 405</v>
          </cell>
          <cell r="C268" t="str">
            <v>قالب تعمیری</v>
          </cell>
          <cell r="N268" t="str">
            <v>مونتاژ</v>
          </cell>
          <cell r="AC268" t="str">
            <v>1405/05/12</v>
          </cell>
        </row>
        <row r="269">
          <cell r="B269" t="str">
            <v>پخت کلاچ پراید</v>
          </cell>
          <cell r="C269" t="str">
            <v>قالب تعمیری</v>
          </cell>
          <cell r="N269" t="str">
            <v>فرز</v>
          </cell>
          <cell r="AC269" t="str">
            <v>1405/05/13</v>
          </cell>
        </row>
        <row r="270">
          <cell r="B270" t="str">
            <v>لودر دیسکی XGL 50</v>
          </cell>
          <cell r="C270" t="str">
            <v>قالب نو</v>
          </cell>
          <cell r="N270" t="str">
            <v>CNC</v>
          </cell>
          <cell r="AC270" t="str">
            <v>1405/05/13</v>
          </cell>
        </row>
        <row r="271">
          <cell r="B271" t="str">
            <v>قالب شمشی عقب پیکان</v>
          </cell>
          <cell r="C271" t="str">
            <v>قالب نو</v>
          </cell>
          <cell r="N271" t="str">
            <v>CNC</v>
          </cell>
          <cell r="AC271" t="str">
            <v>1405/05/13</v>
          </cell>
        </row>
        <row r="272">
          <cell r="B272" t="str">
            <v>پخت عقب پژو 405 شمشی پایه کوتاه</v>
          </cell>
          <cell r="C272" t="str">
            <v>قالب نو</v>
          </cell>
          <cell r="N272" t="str">
            <v>CNC</v>
          </cell>
          <cell r="AC272" t="str">
            <v>1405/05/13</v>
          </cell>
        </row>
        <row r="273">
          <cell r="B273" t="str">
            <v>دستگاه پشم فلز</v>
          </cell>
          <cell r="C273" t="str">
            <v>قطعه تعمیری</v>
          </cell>
          <cell r="N273" t="str">
            <v>دریل رادیال</v>
          </cell>
          <cell r="AC273" t="str">
            <v>1405/05/13</v>
          </cell>
        </row>
        <row r="274">
          <cell r="B274" t="str">
            <v>قالب پخت کلاچ پژو 405</v>
          </cell>
          <cell r="C274" t="str">
            <v>قالب تعمیری</v>
          </cell>
          <cell r="N274" t="str">
            <v>تراش</v>
          </cell>
          <cell r="AC274" t="str">
            <v>1405/05/13</v>
          </cell>
        </row>
        <row r="275">
          <cell r="B275" t="str">
            <v>ترابوزا</v>
          </cell>
          <cell r="C275" t="str">
            <v>قالب تعمیری</v>
          </cell>
          <cell r="N275" t="str">
            <v>مونتاژ</v>
          </cell>
          <cell r="AC275" t="str">
            <v>1405/05/16</v>
          </cell>
        </row>
        <row r="276">
          <cell r="B276" t="str">
            <v>پخت کلاچ لندکروز</v>
          </cell>
          <cell r="C276" t="str">
            <v>قالب تعمیری</v>
          </cell>
          <cell r="N276" t="str">
            <v>مونتاژ</v>
          </cell>
          <cell r="AC276" t="str">
            <v>1405/05/16</v>
          </cell>
        </row>
        <row r="277">
          <cell r="B277" t="str">
            <v>فوتون 107</v>
          </cell>
          <cell r="C277" t="str">
            <v>قالب تعمیری</v>
          </cell>
          <cell r="N277" t="str">
            <v>مونتاژ</v>
          </cell>
          <cell r="AC277" t="str">
            <v>1405/05/16</v>
          </cell>
        </row>
        <row r="278">
          <cell r="B278" t="str">
            <v>قالب پخت کلاچ پژو 405</v>
          </cell>
          <cell r="C278" t="str">
            <v>قالب تعمیری</v>
          </cell>
          <cell r="N278" t="str">
            <v>تراش</v>
          </cell>
          <cell r="AC278" t="str">
            <v>1405/05/16</v>
          </cell>
        </row>
        <row r="279">
          <cell r="B279" t="str">
            <v>قالب پخت کلاچ پژو 405</v>
          </cell>
          <cell r="C279" t="str">
            <v>قالب تعمیری</v>
          </cell>
          <cell r="N279" t="str">
            <v>اره لنگ</v>
          </cell>
          <cell r="AC279" t="str">
            <v>1405/05/16</v>
          </cell>
        </row>
        <row r="280">
          <cell r="B280" t="str">
            <v>پخت عقب پژو 405 شمشی پایه کوتاه</v>
          </cell>
          <cell r="C280" t="str">
            <v>قالب نو</v>
          </cell>
          <cell r="N280" t="str">
            <v>CNC</v>
          </cell>
          <cell r="AC280" t="str">
            <v>1405/05/16</v>
          </cell>
        </row>
        <row r="281">
          <cell r="B281" t="str">
            <v>قالب پخت کلاچ پژو 405</v>
          </cell>
          <cell r="C281" t="str">
            <v>قالب تعمیری</v>
          </cell>
          <cell r="N281" t="str">
            <v>سنگ زنی</v>
          </cell>
          <cell r="AC281" t="str">
            <v>1405/05/16</v>
          </cell>
        </row>
        <row r="282">
          <cell r="B282" t="str">
            <v>برشی نیوفیس C&amp;C</v>
          </cell>
          <cell r="C282" t="str">
            <v>قالب نو</v>
          </cell>
          <cell r="N282" t="str">
            <v>فرز</v>
          </cell>
          <cell r="AC282" t="str">
            <v>1405/05/16</v>
          </cell>
        </row>
        <row r="283">
          <cell r="B283" t="str">
            <v>پخت کلاچ تیبا راست</v>
          </cell>
          <cell r="C283" t="str">
            <v>قالب نو</v>
          </cell>
          <cell r="N283" t="str">
            <v>سنگ زنی</v>
          </cell>
          <cell r="AC283" t="str">
            <v>1405/05/14</v>
          </cell>
        </row>
        <row r="284">
          <cell r="B284" t="str">
            <v>قالب پخت کلاچ پژو 405</v>
          </cell>
          <cell r="C284" t="str">
            <v>قالب تعمیری</v>
          </cell>
          <cell r="N284" t="str">
            <v>سنگ زنی</v>
          </cell>
          <cell r="AC284" t="str">
            <v>1405/05/14</v>
          </cell>
        </row>
        <row r="285">
          <cell r="B285" t="str">
            <v>پخت کلاچ تیبا راست</v>
          </cell>
          <cell r="C285" t="str">
            <v>قالب نو</v>
          </cell>
          <cell r="N285" t="str">
            <v>سنگ زنی</v>
          </cell>
          <cell r="AC285" t="str">
            <v>1405/05/17</v>
          </cell>
        </row>
        <row r="286">
          <cell r="B286" t="str">
            <v>برشی نیوفیس C&amp;C</v>
          </cell>
          <cell r="C286" t="str">
            <v>قالب نو</v>
          </cell>
          <cell r="N286" t="str">
            <v>سنگ زنی</v>
          </cell>
          <cell r="AC286" t="str">
            <v>1405/05/17</v>
          </cell>
        </row>
        <row r="287">
          <cell r="B287" t="str">
            <v>جک ترمز کلاچ</v>
          </cell>
          <cell r="C287" t="str">
            <v>قطعه تعمیری</v>
          </cell>
          <cell r="N287" t="str">
            <v>سنگ زنی</v>
          </cell>
          <cell r="AC287" t="str">
            <v>1405/05/17</v>
          </cell>
        </row>
        <row r="288">
          <cell r="B288" t="str">
            <v>پخت کلاچ تیبا راست</v>
          </cell>
          <cell r="C288" t="str">
            <v>قالب نو</v>
          </cell>
          <cell r="N288" t="str">
            <v>فرز</v>
          </cell>
          <cell r="AC288" t="str">
            <v>1405/05/14</v>
          </cell>
        </row>
        <row r="289">
          <cell r="B289" t="str">
            <v>پخت کلاچ تیبا راست</v>
          </cell>
          <cell r="C289" t="str">
            <v>قالب نو</v>
          </cell>
          <cell r="N289" t="str">
            <v>فرز</v>
          </cell>
          <cell r="AC289" t="str">
            <v>1405/05/17</v>
          </cell>
        </row>
        <row r="290">
          <cell r="B290" t="str">
            <v>ترابوزا</v>
          </cell>
          <cell r="C290" t="str">
            <v>قالب تعمیری</v>
          </cell>
          <cell r="N290" t="str">
            <v>مونتاژ</v>
          </cell>
          <cell r="AC290" t="str">
            <v>1405/05/14</v>
          </cell>
        </row>
        <row r="291">
          <cell r="B291" t="str">
            <v>فوتون 107</v>
          </cell>
          <cell r="C291" t="str">
            <v>قالب تعمیری</v>
          </cell>
          <cell r="N291" t="str">
            <v>مونتاژ</v>
          </cell>
          <cell r="AC291" t="str">
            <v>1405/05/15</v>
          </cell>
        </row>
        <row r="292">
          <cell r="B292" t="str">
            <v>اصول 5S</v>
          </cell>
          <cell r="C292" t="str">
            <v>نظافت</v>
          </cell>
          <cell r="N292" t="str">
            <v>نظافت</v>
          </cell>
          <cell r="AC292" t="str">
            <v>1405/05/15</v>
          </cell>
        </row>
        <row r="293">
          <cell r="B293" t="str">
            <v>لودر دیسکی XGL 50</v>
          </cell>
          <cell r="C293" t="str">
            <v>قالب نو</v>
          </cell>
          <cell r="N293" t="str">
            <v>CNC</v>
          </cell>
          <cell r="AC293" t="str">
            <v>1405/05/14</v>
          </cell>
        </row>
        <row r="294">
          <cell r="B294" t="str">
            <v>قالب شمشی عقب پیکان</v>
          </cell>
          <cell r="C294" t="str">
            <v>قالب نو</v>
          </cell>
          <cell r="N294" t="str">
            <v>CNC</v>
          </cell>
          <cell r="AC294" t="str">
            <v>1405/05/14</v>
          </cell>
        </row>
        <row r="295">
          <cell r="B295" t="str">
            <v>برشی نیوفیس C&amp;C</v>
          </cell>
          <cell r="C295" t="str">
            <v>قالب نو</v>
          </cell>
          <cell r="N295" t="str">
            <v>فرز</v>
          </cell>
          <cell r="AC295" t="str">
            <v>1405/05/15</v>
          </cell>
        </row>
        <row r="296">
          <cell r="B296" t="str">
            <v>برشی نیوفیس C&amp;C</v>
          </cell>
          <cell r="C296" t="str">
            <v>قالب نو</v>
          </cell>
          <cell r="N296" t="str">
            <v>فرز</v>
          </cell>
          <cell r="AC296" t="str">
            <v>1405/05/17</v>
          </cell>
        </row>
        <row r="297">
          <cell r="B297" t="str">
            <v>قالب شمشی عقب پیکان</v>
          </cell>
          <cell r="C297" t="str">
            <v>قالب نو</v>
          </cell>
          <cell r="N297" t="str">
            <v>CNC</v>
          </cell>
          <cell r="AC297" t="str">
            <v>1405/05/17</v>
          </cell>
        </row>
        <row r="298">
          <cell r="B298" t="str">
            <v>لودر دیسکی XGL 50</v>
          </cell>
          <cell r="C298" t="str">
            <v>قالب نو</v>
          </cell>
          <cell r="N298" t="str">
            <v>CNC</v>
          </cell>
          <cell r="AC298" t="str">
            <v>1405/05/15</v>
          </cell>
        </row>
        <row r="299">
          <cell r="B299" t="str">
            <v>برشی نیوفیس C&amp;C</v>
          </cell>
          <cell r="C299" t="str">
            <v>قالب نو</v>
          </cell>
          <cell r="N299" t="str">
            <v>CNC</v>
          </cell>
          <cell r="AC299" t="str">
            <v>1405/05/16</v>
          </cell>
        </row>
        <row r="300">
          <cell r="B300" t="str">
            <v>لودر دیسکی XGL 50</v>
          </cell>
          <cell r="C300" t="str">
            <v>قالب نو</v>
          </cell>
          <cell r="N300" t="str">
            <v>CNC</v>
          </cell>
          <cell r="AC300" t="str">
            <v>1405/05/17</v>
          </cell>
        </row>
        <row r="301">
          <cell r="B301" t="str">
            <v>قالب پخت SAF</v>
          </cell>
          <cell r="C301" t="str">
            <v>قالب تعمیری</v>
          </cell>
          <cell r="N301" t="str">
            <v>وایر</v>
          </cell>
          <cell r="AC301" t="str">
            <v>1405/05/15</v>
          </cell>
        </row>
        <row r="302">
          <cell r="B302" t="str">
            <v>دسنگاه چسب زنی</v>
          </cell>
          <cell r="C302" t="str">
            <v>قطعه نو</v>
          </cell>
          <cell r="N302" t="str">
            <v>وایر</v>
          </cell>
          <cell r="AC302" t="str">
            <v>1405/05/15</v>
          </cell>
        </row>
        <row r="303">
          <cell r="B303" t="str">
            <v>دسنگاه چسب زنی</v>
          </cell>
          <cell r="C303" t="str">
            <v>قطعه نو</v>
          </cell>
          <cell r="N303" t="str">
            <v>وایر</v>
          </cell>
          <cell r="AC303" t="str">
            <v>1405/05/15</v>
          </cell>
        </row>
        <row r="304">
          <cell r="B304" t="str">
            <v>دسنگاه چسب زنی</v>
          </cell>
          <cell r="C304" t="str">
            <v>قطعه نو</v>
          </cell>
          <cell r="N304" t="str">
            <v>وایر</v>
          </cell>
          <cell r="AC304" t="str">
            <v>1405/05/15</v>
          </cell>
        </row>
        <row r="305">
          <cell r="B305" t="str">
            <v>لودر دیسکی XGL 50</v>
          </cell>
          <cell r="C305" t="str">
            <v>قالب نو</v>
          </cell>
          <cell r="N305" t="str">
            <v>وایر</v>
          </cell>
          <cell r="AC305" t="str">
            <v>1405/05/15</v>
          </cell>
        </row>
        <row r="306">
          <cell r="B306" t="str">
            <v>قطعه بیرونی</v>
          </cell>
          <cell r="C306" t="str">
            <v>قطعه تعمیری</v>
          </cell>
          <cell r="N306" t="str">
            <v>سوپردریل</v>
          </cell>
          <cell r="AC306" t="str">
            <v>1405/05/15</v>
          </cell>
        </row>
        <row r="307">
          <cell r="B307" t="str">
            <v>فوتون 107</v>
          </cell>
          <cell r="C307" t="str">
            <v>قالب تعمیری</v>
          </cell>
          <cell r="N307" t="str">
            <v>مونتاژ</v>
          </cell>
          <cell r="AC307" t="str">
            <v>1405/05/17</v>
          </cell>
        </row>
        <row r="308">
          <cell r="B308" t="str">
            <v>پایه پرچ عقب نیسان</v>
          </cell>
          <cell r="C308" t="str">
            <v>قطعه نو</v>
          </cell>
          <cell r="N308" t="str">
            <v>فرز</v>
          </cell>
          <cell r="AC308" t="str">
            <v>1405/05/15</v>
          </cell>
        </row>
        <row r="309">
          <cell r="B309" t="str">
            <v>اصول 5S</v>
          </cell>
          <cell r="C309" t="str">
            <v>نظافت</v>
          </cell>
          <cell r="N309" t="str">
            <v>نظافت</v>
          </cell>
          <cell r="AC309" t="str">
            <v>1405/05/15</v>
          </cell>
        </row>
        <row r="310">
          <cell r="B310" t="str">
            <v>پایه پرچ عقب نیسان</v>
          </cell>
          <cell r="C310" t="str">
            <v>قطعه نو</v>
          </cell>
          <cell r="N310" t="str">
            <v>فرز</v>
          </cell>
          <cell r="AC310" t="str">
            <v>1405/05/17</v>
          </cell>
        </row>
        <row r="311">
          <cell r="B311" t="str">
            <v>برشی نیوفیس C&amp;C</v>
          </cell>
          <cell r="C311" t="str">
            <v>قالب نو</v>
          </cell>
          <cell r="N311" t="str">
            <v>فرز</v>
          </cell>
          <cell r="AC311" t="str">
            <v>1405/05/17</v>
          </cell>
        </row>
        <row r="312">
          <cell r="B312" t="str">
            <v>دستگاه ساب سمباده ای</v>
          </cell>
          <cell r="C312" t="str">
            <v>قطعه تعمیری</v>
          </cell>
          <cell r="N312" t="str">
            <v>فرز</v>
          </cell>
          <cell r="AC312" t="str">
            <v>1405/05/17</v>
          </cell>
        </row>
        <row r="313">
          <cell r="B313" t="str">
            <v>ساب ترابوزا</v>
          </cell>
          <cell r="C313" t="str">
            <v>قطعه نو</v>
          </cell>
          <cell r="N313" t="str">
            <v>تراش</v>
          </cell>
          <cell r="AC313" t="str">
            <v>1405/05/17</v>
          </cell>
        </row>
        <row r="314">
          <cell r="B314" t="str">
            <v>قالب عقب F12</v>
          </cell>
          <cell r="C314" t="str">
            <v>قالب نو</v>
          </cell>
          <cell r="N314" t="str">
            <v>CNC</v>
          </cell>
          <cell r="AC314" t="str">
            <v>1405/05/17</v>
          </cell>
        </row>
        <row r="315">
          <cell r="B315" t="str">
            <v>پخت عقب پژو 405 شمشی پایه کوتاه</v>
          </cell>
          <cell r="C315" t="str">
            <v>قالب نو</v>
          </cell>
          <cell r="N315" t="str">
            <v>CNC</v>
          </cell>
          <cell r="AC315" t="str">
            <v>1405/05/17</v>
          </cell>
        </row>
        <row r="316">
          <cell r="B316" t="str">
            <v>قالب شمشی عقب پیکان</v>
          </cell>
          <cell r="C316" t="str">
            <v>قالب نو</v>
          </cell>
          <cell r="N316" t="str">
            <v>فرز</v>
          </cell>
          <cell r="AC316" t="str">
            <v>1405/05/18</v>
          </cell>
        </row>
        <row r="317">
          <cell r="B317" t="str">
            <v>پخت کلاچ تیبا چپ</v>
          </cell>
          <cell r="C317" t="str">
            <v>قالب نو</v>
          </cell>
          <cell r="N317" t="str">
            <v>فرز</v>
          </cell>
          <cell r="AC317" t="str">
            <v>1405/05/18</v>
          </cell>
        </row>
        <row r="318">
          <cell r="B318" t="str">
            <v>پخت عقب پژو 405 شمشی پایه کوتاه</v>
          </cell>
          <cell r="C318" t="str">
            <v>قالب نو</v>
          </cell>
          <cell r="N318" t="str">
            <v>CNC</v>
          </cell>
          <cell r="AC318" t="str">
            <v>1405/05/18</v>
          </cell>
        </row>
        <row r="319">
          <cell r="B319" t="str">
            <v>برشی نیوفیس C&amp;C</v>
          </cell>
          <cell r="C319" t="str">
            <v>قالب نو</v>
          </cell>
          <cell r="N319" t="str">
            <v>CNC</v>
          </cell>
          <cell r="AC319" t="str">
            <v>1405/05/18</v>
          </cell>
        </row>
        <row r="320">
          <cell r="B320" t="str">
            <v>قالب پخت SAF</v>
          </cell>
          <cell r="C320" t="str">
            <v>قالب تعمیری</v>
          </cell>
          <cell r="N320" t="str">
            <v>وایر</v>
          </cell>
          <cell r="AC320" t="str">
            <v>1405/05/18</v>
          </cell>
        </row>
        <row r="321">
          <cell r="B321" t="str">
            <v>دسنگاه چسب زنی</v>
          </cell>
          <cell r="C321" t="str">
            <v>قطعه نو</v>
          </cell>
          <cell r="N321" t="str">
            <v>وایر</v>
          </cell>
          <cell r="AC321" t="str">
            <v>1405/05/18</v>
          </cell>
        </row>
        <row r="322">
          <cell r="B322" t="str">
            <v>ترابوزا</v>
          </cell>
          <cell r="C322" t="str">
            <v>قالب تعمیری</v>
          </cell>
          <cell r="N322" t="str">
            <v>وایر</v>
          </cell>
          <cell r="AC322" t="str">
            <v>1405/05/18</v>
          </cell>
        </row>
        <row r="323">
          <cell r="B323" t="str">
            <v>قطعه بیرونی</v>
          </cell>
          <cell r="C323" t="str">
            <v>قطعه تعمیری</v>
          </cell>
          <cell r="N323" t="str">
            <v>سوپردریل</v>
          </cell>
          <cell r="AC323" t="str">
            <v>1405/05/18</v>
          </cell>
        </row>
        <row r="324">
          <cell r="B324" t="str">
            <v>ویوینگ</v>
          </cell>
          <cell r="C324" t="str">
            <v>قطعه تعمیری</v>
          </cell>
          <cell r="N324" t="str">
            <v>تراش</v>
          </cell>
          <cell r="AC324" t="str">
            <v>1405/05/18</v>
          </cell>
        </row>
        <row r="325">
          <cell r="B325" t="str">
            <v>ساب ترابوزا</v>
          </cell>
          <cell r="C325" t="str">
            <v>قطعه نو</v>
          </cell>
          <cell r="N325" t="str">
            <v>تراش</v>
          </cell>
          <cell r="AC325" t="str">
            <v>1405/05/18</v>
          </cell>
        </row>
        <row r="326">
          <cell r="B326" t="str">
            <v>ابزار زنی</v>
          </cell>
          <cell r="C326" t="str">
            <v>قطعه تعمیری</v>
          </cell>
          <cell r="N326" t="str">
            <v>تراش</v>
          </cell>
          <cell r="AC326" t="str">
            <v>1405/05/18</v>
          </cell>
        </row>
        <row r="327">
          <cell r="B327" t="str">
            <v>میکس</v>
          </cell>
          <cell r="C327" t="str">
            <v>قطعه نو</v>
          </cell>
          <cell r="N327" t="str">
            <v>تراش</v>
          </cell>
          <cell r="AC327" t="str">
            <v>1405/05/18</v>
          </cell>
        </row>
        <row r="328">
          <cell r="B328" t="str">
            <v>آغشته کاری</v>
          </cell>
          <cell r="C328" t="str">
            <v>قطعه نو</v>
          </cell>
          <cell r="N328" t="str">
            <v>تراش</v>
          </cell>
          <cell r="AC328" t="str">
            <v>1405/05/18</v>
          </cell>
        </row>
        <row r="329">
          <cell r="B329" t="str">
            <v>سری تراش</v>
          </cell>
          <cell r="C329" t="str">
            <v>قطعه نو</v>
          </cell>
          <cell r="N329" t="str">
            <v>تراش</v>
          </cell>
          <cell r="AC329" t="str">
            <v>1405/05/17</v>
          </cell>
        </row>
        <row r="330">
          <cell r="B330" t="str">
            <v>سری تراش</v>
          </cell>
          <cell r="C330" t="str">
            <v>قطعه نو</v>
          </cell>
          <cell r="N330" t="str">
            <v>تراش</v>
          </cell>
          <cell r="AC330" t="str">
            <v>1405/05/18</v>
          </cell>
        </row>
        <row r="331">
          <cell r="B331" t="str">
            <v>پایه پرچ عقب نیسان</v>
          </cell>
          <cell r="C331" t="str">
            <v>قطعه تعمیری</v>
          </cell>
          <cell r="N331" t="str">
            <v>تراش</v>
          </cell>
          <cell r="AC331" t="str">
            <v>1405/05/18</v>
          </cell>
        </row>
        <row r="332">
          <cell r="B332" t="str">
            <v>ساب کف گرگی</v>
          </cell>
          <cell r="C332" t="str">
            <v>قطعه تعمیری</v>
          </cell>
          <cell r="N332" t="str">
            <v>تراش</v>
          </cell>
          <cell r="AC332" t="str">
            <v>1405/05/18</v>
          </cell>
        </row>
        <row r="333">
          <cell r="B333" t="str">
            <v>سری تراش</v>
          </cell>
          <cell r="C333" t="str">
            <v>قطعه نو</v>
          </cell>
          <cell r="N333" t="str">
            <v>دریل رادیال</v>
          </cell>
          <cell r="AC333" t="str">
            <v>1405/05/18</v>
          </cell>
        </row>
        <row r="334">
          <cell r="B334" t="str">
            <v>پخت عقب پژو 405 شمشی پایه کوتاه</v>
          </cell>
          <cell r="C334" t="str">
            <v>قالب نو</v>
          </cell>
          <cell r="N334" t="str">
            <v>مونتاژ</v>
          </cell>
          <cell r="AC334" t="str">
            <v>1405/05/18</v>
          </cell>
        </row>
        <row r="335">
          <cell r="B335" t="str">
            <v xml:space="preserve">پخت کلاچ پراید سکو </v>
          </cell>
          <cell r="C335" t="str">
            <v>قالب تعمیری</v>
          </cell>
          <cell r="N335" t="str">
            <v>مونتاژ</v>
          </cell>
          <cell r="AC335" t="str">
            <v>1405/05/18</v>
          </cell>
        </row>
        <row r="336">
          <cell r="B336" t="str">
            <v>فوتون 107</v>
          </cell>
          <cell r="C336" t="str">
            <v>قالب تعمیری</v>
          </cell>
          <cell r="N336" t="str">
            <v>مونتاژ</v>
          </cell>
          <cell r="AC336" t="str">
            <v>1405/05/18</v>
          </cell>
        </row>
        <row r="337">
          <cell r="B337" t="str">
            <v>فوتون 107</v>
          </cell>
          <cell r="C337" t="str">
            <v>قالب تعمیری</v>
          </cell>
          <cell r="N337" t="str">
            <v>مونتاژ</v>
          </cell>
          <cell r="AC337" t="str">
            <v>1405/05/18</v>
          </cell>
        </row>
        <row r="338">
          <cell r="B338" t="str">
            <v xml:space="preserve">پخت کلاچ پراید سکو </v>
          </cell>
          <cell r="C338" t="str">
            <v>قالب تعمیری</v>
          </cell>
          <cell r="N338" t="str">
            <v>مونتاژ</v>
          </cell>
          <cell r="AC338" t="str">
            <v>1405/05/18</v>
          </cell>
        </row>
        <row r="339">
          <cell r="B339" t="str">
            <v>پخت کلاچ تیبا چپ</v>
          </cell>
          <cell r="C339" t="str">
            <v>قالب نو</v>
          </cell>
          <cell r="N339" t="str">
            <v>سنگ زنی</v>
          </cell>
          <cell r="AC339" t="str">
            <v>1405/05/18</v>
          </cell>
        </row>
        <row r="340">
          <cell r="B340" t="str">
            <v>پخت کلاچ لندکروز</v>
          </cell>
          <cell r="C340" t="str">
            <v>قالب تعمیری</v>
          </cell>
          <cell r="N340" t="str">
            <v>سنگ زنی</v>
          </cell>
          <cell r="AC340" t="str">
            <v>1405/05/18</v>
          </cell>
        </row>
        <row r="341">
          <cell r="B341" t="str">
            <v>پخت کلاچ لندکروز</v>
          </cell>
          <cell r="C341" t="str">
            <v>قالب تعمیری</v>
          </cell>
          <cell r="N341" t="str">
            <v>سنگ زنی</v>
          </cell>
          <cell r="AC341" t="str">
            <v>1405/05/18</v>
          </cell>
        </row>
        <row r="342">
          <cell r="B342" t="str">
            <v>دستگاه ساب سمباده ای</v>
          </cell>
          <cell r="C342" t="str">
            <v>قطعه تعمیری</v>
          </cell>
          <cell r="N342" t="str">
            <v>فرز</v>
          </cell>
          <cell r="AC342" t="str">
            <v>1405/05/18</v>
          </cell>
        </row>
        <row r="343">
          <cell r="B343" t="str">
            <v>قالب پخت SAF</v>
          </cell>
          <cell r="C343" t="str">
            <v>قالب نو</v>
          </cell>
          <cell r="N343" t="str">
            <v>فرز</v>
          </cell>
          <cell r="AC343" t="str">
            <v>1405/05/18</v>
          </cell>
        </row>
        <row r="344">
          <cell r="B344" t="str">
            <v>پخت کلاچ تیبا چپ</v>
          </cell>
          <cell r="C344" t="str">
            <v>قالب نو</v>
          </cell>
          <cell r="N344" t="str">
            <v>فرز</v>
          </cell>
          <cell r="AC344" t="str">
            <v>1405/05/19</v>
          </cell>
        </row>
        <row r="345">
          <cell r="B345" t="str">
            <v>لودر دیسکی XGL 50</v>
          </cell>
          <cell r="C345" t="str">
            <v>قالب نو</v>
          </cell>
          <cell r="N345" t="str">
            <v>CNC</v>
          </cell>
          <cell r="AC345" t="str">
            <v>1405/05/19</v>
          </cell>
        </row>
        <row r="346">
          <cell r="B346" t="str">
            <v>اصول 5S</v>
          </cell>
          <cell r="C346" t="str">
            <v>نظافت</v>
          </cell>
          <cell r="N346" t="str">
            <v>CNC</v>
          </cell>
          <cell r="AC346" t="str">
            <v>1405/05/19</v>
          </cell>
        </row>
        <row r="347">
          <cell r="B347" t="str">
            <v>پخت عقب پژو 405 شمشی پایه کوتاه</v>
          </cell>
          <cell r="C347" t="str">
            <v>قالب نو</v>
          </cell>
          <cell r="N347" t="str">
            <v>CNC</v>
          </cell>
          <cell r="AC347" t="str">
            <v>1405/05/19</v>
          </cell>
        </row>
        <row r="348">
          <cell r="B348" t="str">
            <v>قالب عقب F12</v>
          </cell>
          <cell r="C348" t="str">
            <v>قالب نو</v>
          </cell>
          <cell r="N348" t="str">
            <v>CNC</v>
          </cell>
          <cell r="AC348" t="str">
            <v>1405/05/19</v>
          </cell>
        </row>
        <row r="349">
          <cell r="B349" t="str">
            <v>قالب شمشی عقب پیکان</v>
          </cell>
          <cell r="C349" t="str">
            <v>قالب نو</v>
          </cell>
          <cell r="N349" t="str">
            <v>فرز</v>
          </cell>
          <cell r="AC349" t="str">
            <v>1405/05/19</v>
          </cell>
        </row>
        <row r="350">
          <cell r="B350" t="str">
            <v>پخت عقب پژو 405 شمشی پایه کوتاه</v>
          </cell>
          <cell r="C350" t="str">
            <v>قالب نو</v>
          </cell>
          <cell r="N350" t="str">
            <v>تراش</v>
          </cell>
          <cell r="AC350" t="str">
            <v>1405/05/19</v>
          </cell>
        </row>
        <row r="351">
          <cell r="B351" t="str">
            <v>سری تراش</v>
          </cell>
          <cell r="C351" t="str">
            <v>قطعه نو</v>
          </cell>
          <cell r="N351" t="str">
            <v>تراش</v>
          </cell>
          <cell r="AC351" t="str">
            <v>1405/05/19</v>
          </cell>
        </row>
        <row r="352">
          <cell r="B352" t="str">
            <v>لنت ترمز دیسكی جلو دیما(خم)</v>
          </cell>
          <cell r="C352" t="str">
            <v>قالب نو</v>
          </cell>
          <cell r="N352" t="str">
            <v>فرز</v>
          </cell>
          <cell r="AC352" t="str">
            <v>1405/05/19</v>
          </cell>
        </row>
        <row r="353">
          <cell r="B353" t="str">
            <v>برشی نیوفیس C&amp;C</v>
          </cell>
          <cell r="C353" t="str">
            <v>قالب نو</v>
          </cell>
          <cell r="N353" t="str">
            <v>فرز</v>
          </cell>
          <cell r="AC353" t="str">
            <v>1405/05/19</v>
          </cell>
        </row>
        <row r="354">
          <cell r="B354" t="str">
            <v>دستگاه پشم فلز</v>
          </cell>
          <cell r="C354" t="str">
            <v>قطعه تعمیری</v>
          </cell>
          <cell r="N354" t="str">
            <v>مونتاژ</v>
          </cell>
          <cell r="AC354" t="str">
            <v>1405/05/19</v>
          </cell>
        </row>
        <row r="355">
          <cell r="B355" t="str">
            <v>برشی نیوفیس C&amp;C</v>
          </cell>
          <cell r="C355" t="str">
            <v>قالب نو</v>
          </cell>
          <cell r="N355" t="str">
            <v>مونتاژ</v>
          </cell>
          <cell r="AC355" t="str">
            <v>1405/05/19</v>
          </cell>
        </row>
        <row r="356">
          <cell r="B356" t="str">
            <v>برشی نیوفیس C&amp;C</v>
          </cell>
          <cell r="C356" t="str">
            <v>قالب نو</v>
          </cell>
          <cell r="N356" t="str">
            <v>مونتاژ</v>
          </cell>
          <cell r="AC356" t="str">
            <v>1405/05/19</v>
          </cell>
        </row>
        <row r="357">
          <cell r="B357" t="str">
            <v xml:space="preserve">پخت کلاچ پراید سکو </v>
          </cell>
          <cell r="C357" t="str">
            <v>قالب تعمیری</v>
          </cell>
          <cell r="N357" t="str">
            <v>مونتاژ</v>
          </cell>
          <cell r="AC357" t="str">
            <v>1405/05/19</v>
          </cell>
        </row>
        <row r="358">
          <cell r="B358" t="str">
            <v xml:space="preserve">پخت کلاچ پراید سکو </v>
          </cell>
          <cell r="C358" t="str">
            <v>قالب تعمیری</v>
          </cell>
          <cell r="N358" t="str">
            <v>مونتاژ</v>
          </cell>
          <cell r="AC358" t="str">
            <v>1405/05/19</v>
          </cell>
        </row>
        <row r="359">
          <cell r="B359" t="str">
            <v xml:space="preserve">پخت کلاچ پراید سکو </v>
          </cell>
          <cell r="C359" t="str">
            <v>قالب تعمیری</v>
          </cell>
          <cell r="N359" t="str">
            <v>مونتاژ</v>
          </cell>
          <cell r="AC359" t="str">
            <v>1405/05/19</v>
          </cell>
        </row>
        <row r="360">
          <cell r="B360" t="str">
            <v xml:space="preserve">پخت کلاچ پراید سکو </v>
          </cell>
          <cell r="C360" t="str">
            <v>قالب تعمیری</v>
          </cell>
          <cell r="N360" t="str">
            <v>مونتاژ</v>
          </cell>
          <cell r="AC360" t="str">
            <v>1405/05/19</v>
          </cell>
        </row>
        <row r="361">
          <cell r="B361" t="str">
            <v>ویوینگ</v>
          </cell>
          <cell r="C361" t="str">
            <v>قطعه تعمیری</v>
          </cell>
          <cell r="N361" t="str">
            <v>مونتاژ</v>
          </cell>
          <cell r="AC361" t="str">
            <v>1405/05/19</v>
          </cell>
        </row>
        <row r="362">
          <cell r="B362" t="str">
            <v>پخت عقب پژو 405 شمشی پایه کوتاه</v>
          </cell>
          <cell r="C362" t="str">
            <v>قالب نو</v>
          </cell>
          <cell r="N362" t="str">
            <v>مونتاژ</v>
          </cell>
          <cell r="AC362" t="str">
            <v>1405/05/19</v>
          </cell>
        </row>
        <row r="363">
          <cell r="B363" t="str">
            <v>پخت کلاچ تیبا چپ</v>
          </cell>
          <cell r="C363" t="str">
            <v>قالب نو</v>
          </cell>
          <cell r="N363" t="str">
            <v>سنگ زنی</v>
          </cell>
          <cell r="AC363" t="str">
            <v>1405/05/19</v>
          </cell>
        </row>
        <row r="364">
          <cell r="B364" t="str">
            <v>پخت کلاچ لندکروز</v>
          </cell>
          <cell r="C364" t="str">
            <v>قالب تعمیری</v>
          </cell>
          <cell r="N364" t="str">
            <v>سنگ زنی</v>
          </cell>
          <cell r="AC364" t="str">
            <v>1405/05/19</v>
          </cell>
        </row>
        <row r="365">
          <cell r="B365" t="str">
            <v>برشی نیوفیس C&amp;C</v>
          </cell>
          <cell r="C365" t="str">
            <v>قالب نو</v>
          </cell>
          <cell r="N365" t="str">
            <v>سنگ زنی</v>
          </cell>
          <cell r="AC365" t="str">
            <v>1405/05/19</v>
          </cell>
        </row>
        <row r="366">
          <cell r="B366" t="str">
            <v>پخت کلاچ تیبا راست</v>
          </cell>
          <cell r="C366" t="str">
            <v>قالب نو</v>
          </cell>
          <cell r="N366" t="str">
            <v>سنگ زنی</v>
          </cell>
          <cell r="AC366" t="str">
            <v>1405/05/19</v>
          </cell>
        </row>
        <row r="367">
          <cell r="B367" t="str">
            <v>قالب پخت SAF</v>
          </cell>
          <cell r="C367" t="str">
            <v>قالب تعمیری</v>
          </cell>
          <cell r="N367" t="str">
            <v>وایر</v>
          </cell>
          <cell r="AC367" t="str">
            <v>1405/05/19</v>
          </cell>
        </row>
        <row r="368">
          <cell r="B368" t="str">
            <v>ترابوزا</v>
          </cell>
          <cell r="C368" t="str">
            <v>قالب تعمیری</v>
          </cell>
          <cell r="N368" t="str">
            <v>وایر</v>
          </cell>
          <cell r="AC368" t="str">
            <v>1405/05/19</v>
          </cell>
        </row>
        <row r="369">
          <cell r="B369" t="str">
            <v>دستگاه پشم فلز</v>
          </cell>
          <cell r="C369" t="str">
            <v>قطعه تعمیری</v>
          </cell>
          <cell r="N369" t="str">
            <v>وایر</v>
          </cell>
          <cell r="AC369" t="str">
            <v>1405/05/19</v>
          </cell>
        </row>
        <row r="370">
          <cell r="B370" t="str">
            <v>دستگاه فرز</v>
          </cell>
          <cell r="C370" t="str">
            <v>قطعه تعمیری</v>
          </cell>
          <cell r="N370" t="str">
            <v>وایر</v>
          </cell>
          <cell r="AC370" t="str">
            <v>1405/05/19</v>
          </cell>
        </row>
        <row r="371">
          <cell r="B371" t="str">
            <v>میکس</v>
          </cell>
          <cell r="C371" t="str">
            <v>قطعه تعمیری</v>
          </cell>
          <cell r="N371" t="str">
            <v>وایر</v>
          </cell>
          <cell r="AC371" t="str">
            <v>1405/05/19</v>
          </cell>
        </row>
        <row r="372">
          <cell r="B372" t="str">
            <v>سری تراش</v>
          </cell>
          <cell r="C372" t="str">
            <v>قطعه نو</v>
          </cell>
          <cell r="N372" t="str">
            <v>وایر</v>
          </cell>
          <cell r="AC372" t="str">
            <v>1405/05/19</v>
          </cell>
        </row>
        <row r="373">
          <cell r="B373" t="str">
            <v>قالب پخت SAF</v>
          </cell>
          <cell r="C373" t="str">
            <v>قالب نو</v>
          </cell>
          <cell r="N373" t="str">
            <v>سوپردریل</v>
          </cell>
          <cell r="AC373" t="str">
            <v>1405/05/19</v>
          </cell>
        </row>
        <row r="374">
          <cell r="B374" t="str">
            <v>پخت عقب پژو 405 شمشی پایه کوتاه</v>
          </cell>
          <cell r="C374" t="str">
            <v>قالب نو</v>
          </cell>
          <cell r="N374" t="str">
            <v>CNC</v>
          </cell>
          <cell r="AC374" t="str">
            <v>1405/05/20</v>
          </cell>
        </row>
        <row r="375">
          <cell r="B375" t="str">
            <v>پخت کلاچ لندکروز</v>
          </cell>
          <cell r="C375" t="str">
            <v>قالب تعمیری</v>
          </cell>
          <cell r="N375" t="str">
            <v>CNC</v>
          </cell>
          <cell r="AC375" t="str">
            <v>1405/05/20</v>
          </cell>
        </row>
        <row r="376">
          <cell r="B376" t="str">
            <v>قالب شمشی عقب پیکان</v>
          </cell>
          <cell r="C376" t="str">
            <v>قالب نو</v>
          </cell>
          <cell r="N376" t="str">
            <v>فرز</v>
          </cell>
          <cell r="AC376" t="str">
            <v>1405/05/20</v>
          </cell>
        </row>
        <row r="377">
          <cell r="B377" t="str">
            <v>قالب پخت SAF</v>
          </cell>
          <cell r="C377" t="str">
            <v>قالب نو</v>
          </cell>
          <cell r="N377" t="str">
            <v>وایر</v>
          </cell>
          <cell r="AC377" t="str">
            <v>1405/05/20</v>
          </cell>
        </row>
        <row r="378">
          <cell r="B378" t="str">
            <v>قالب پخت SAF</v>
          </cell>
          <cell r="C378" t="str">
            <v>قالب تعمیری</v>
          </cell>
          <cell r="N378" t="str">
            <v>وایر</v>
          </cell>
          <cell r="AC378" t="str">
            <v>1405/05/20</v>
          </cell>
        </row>
        <row r="379">
          <cell r="B379" t="str">
            <v>عقب لیفتراک</v>
          </cell>
          <cell r="C379" t="str">
            <v>قطعه نو</v>
          </cell>
          <cell r="N379" t="str">
            <v>وایر</v>
          </cell>
          <cell r="AC379" t="str">
            <v>1405/05/20</v>
          </cell>
        </row>
        <row r="380">
          <cell r="B380" t="str">
            <v>قالب پخت SAF</v>
          </cell>
          <cell r="C380" t="str">
            <v>قالب نو</v>
          </cell>
          <cell r="N380" t="str">
            <v>وایر</v>
          </cell>
          <cell r="AC380" t="str">
            <v>1405/05/21</v>
          </cell>
        </row>
        <row r="381">
          <cell r="B381" t="str">
            <v>قالب پخت SAF</v>
          </cell>
          <cell r="C381" t="str">
            <v>قالب تعمیری</v>
          </cell>
          <cell r="N381" t="str">
            <v>وایر</v>
          </cell>
          <cell r="AC381" t="str">
            <v>1405/05/21</v>
          </cell>
        </row>
        <row r="382">
          <cell r="B382" t="str">
            <v>نگهدارنده پلاک قالب</v>
          </cell>
          <cell r="C382" t="str">
            <v>قطعه نو</v>
          </cell>
          <cell r="N382" t="str">
            <v>وایر</v>
          </cell>
          <cell r="AC382" t="str">
            <v>1405/05/21</v>
          </cell>
        </row>
        <row r="383">
          <cell r="B383" t="str">
            <v>دستگاه پرس 600 تن</v>
          </cell>
          <cell r="C383" t="str">
            <v>قطعه نو</v>
          </cell>
          <cell r="N383" t="str">
            <v>وایر</v>
          </cell>
          <cell r="AC383" t="str">
            <v>1405/05/21</v>
          </cell>
        </row>
        <row r="384">
          <cell r="B384" t="str">
            <v>پخت عقب پژو 405 شمشی پایه کوتاه</v>
          </cell>
          <cell r="C384" t="str">
            <v>قالب نو</v>
          </cell>
          <cell r="N384" t="str">
            <v>فرز</v>
          </cell>
          <cell r="AC384" t="str">
            <v>1405/05/20</v>
          </cell>
        </row>
        <row r="385">
          <cell r="B385" t="str">
            <v>پین عقب پژو 405</v>
          </cell>
          <cell r="C385" t="str">
            <v>قطعه نو</v>
          </cell>
          <cell r="N385" t="str">
            <v>سری تراش</v>
          </cell>
          <cell r="AC385" t="str">
            <v>1405/05/20</v>
          </cell>
        </row>
        <row r="386">
          <cell r="B386" t="str">
            <v>فوتون 107</v>
          </cell>
          <cell r="C386" t="str">
            <v>قالب تعمیری</v>
          </cell>
          <cell r="N386" t="str">
            <v>فرز</v>
          </cell>
          <cell r="AC386" t="str">
            <v>1405/05/20</v>
          </cell>
        </row>
        <row r="387">
          <cell r="B387" t="str">
            <v>فوتون 107</v>
          </cell>
          <cell r="C387" t="str">
            <v>قالب تعمیری</v>
          </cell>
          <cell r="N387" t="str">
            <v>فرز</v>
          </cell>
          <cell r="AC387" t="str">
            <v>1405/05/21</v>
          </cell>
        </row>
        <row r="388">
          <cell r="B388" t="str">
            <v>پین عقب پژو 405</v>
          </cell>
          <cell r="C388" t="str">
            <v>قطعه نو</v>
          </cell>
          <cell r="N388" t="str">
            <v>سری تراش</v>
          </cell>
          <cell r="AC388" t="str">
            <v>1405/05/21</v>
          </cell>
        </row>
        <row r="389">
          <cell r="B389" t="str">
            <v>پین عقب پژو 405</v>
          </cell>
          <cell r="C389" t="str">
            <v>قطعه نو</v>
          </cell>
          <cell r="N389" t="str">
            <v>سری تراش</v>
          </cell>
          <cell r="AC389" t="str">
            <v>1405/05/22</v>
          </cell>
        </row>
        <row r="390">
          <cell r="B390" t="str">
            <v>دسنگاه چسب زنی</v>
          </cell>
          <cell r="C390" t="str">
            <v>قطعه نو</v>
          </cell>
          <cell r="N390" t="str">
            <v>CNC</v>
          </cell>
          <cell r="AC390" t="str">
            <v>1405/05/20</v>
          </cell>
        </row>
        <row r="391">
          <cell r="B391" t="str">
            <v>قالب شمشی عقب پیکان</v>
          </cell>
          <cell r="C391" t="str">
            <v>قالب نو</v>
          </cell>
          <cell r="N391" t="str">
            <v>CNC</v>
          </cell>
          <cell r="AC391" t="str">
            <v>1405/05/20</v>
          </cell>
        </row>
        <row r="392">
          <cell r="B392" t="str">
            <v>فیکسچر کفشک پژو 405</v>
          </cell>
          <cell r="C392" t="str">
            <v>قطعه نو</v>
          </cell>
          <cell r="N392" t="str">
            <v>CNC</v>
          </cell>
          <cell r="AC392" t="str">
            <v>1405/05/21</v>
          </cell>
        </row>
        <row r="393">
          <cell r="B393" t="str">
            <v>پایه پرچ عقب نیسان</v>
          </cell>
          <cell r="C393" t="str">
            <v>قطعه تعمیری</v>
          </cell>
          <cell r="N393" t="str">
            <v>CNC</v>
          </cell>
          <cell r="AC393" t="str">
            <v>1405/05/22</v>
          </cell>
        </row>
        <row r="394">
          <cell r="B394" t="str">
            <v>پخت کلاچ تیبا چپ</v>
          </cell>
          <cell r="C394" t="str">
            <v>قالب نو</v>
          </cell>
          <cell r="N394" t="str">
            <v>فرز</v>
          </cell>
          <cell r="AC394" t="str">
            <v>1405/05/20</v>
          </cell>
        </row>
        <row r="395">
          <cell r="B395" t="str">
            <v>پخت عقب پژو 405 شمشی پایه کوتاه</v>
          </cell>
          <cell r="C395" t="str">
            <v>قالب نو</v>
          </cell>
          <cell r="N395" t="str">
            <v>فرز</v>
          </cell>
          <cell r="AC395" t="str">
            <v>1405/05/20</v>
          </cell>
        </row>
        <row r="396">
          <cell r="B396" t="str">
            <v>پخت عقب پژو 405 شمشی پایه کوتاه</v>
          </cell>
          <cell r="C396" t="str">
            <v>قالب نو</v>
          </cell>
          <cell r="N396" t="str">
            <v>فرز</v>
          </cell>
          <cell r="AC396" t="str">
            <v>1405/05/21</v>
          </cell>
        </row>
        <row r="397">
          <cell r="B397" t="str">
            <v>پخت کلاچ تیبا چپ</v>
          </cell>
          <cell r="C397" t="str">
            <v>قالب نو</v>
          </cell>
          <cell r="N397" t="str">
            <v>سنگ زنی</v>
          </cell>
          <cell r="AC397" t="str">
            <v>1405/05/20</v>
          </cell>
        </row>
        <row r="398">
          <cell r="B398" t="str">
            <v>پخت کلاچ تیبا راست</v>
          </cell>
          <cell r="C398" t="str">
            <v>قالب نو</v>
          </cell>
          <cell r="N398" t="str">
            <v>سنگ زنی</v>
          </cell>
          <cell r="AC398" t="str">
            <v>1405/05/20</v>
          </cell>
        </row>
        <row r="399">
          <cell r="B399" t="str">
            <v>پخت عقب پژو 405 شمشی پایه کوتاه</v>
          </cell>
          <cell r="C399" t="str">
            <v>قالب نو</v>
          </cell>
          <cell r="N399" t="str">
            <v>سنگ زنی</v>
          </cell>
          <cell r="AC399" t="str">
            <v>1405/05/20</v>
          </cell>
        </row>
        <row r="400">
          <cell r="B400" t="str">
            <v>پخت کلاچ لندکروز</v>
          </cell>
          <cell r="C400" t="str">
            <v>قالب تعمیری</v>
          </cell>
          <cell r="N400" t="str">
            <v>سنگ زنی</v>
          </cell>
          <cell r="AC400" t="str">
            <v>1405/05/20</v>
          </cell>
        </row>
        <row r="401">
          <cell r="B401" t="str">
            <v>فوتون 107</v>
          </cell>
          <cell r="C401" t="str">
            <v>قالب تعمیری</v>
          </cell>
          <cell r="N401" t="str">
            <v>سنگ زنی</v>
          </cell>
          <cell r="AC401" t="str">
            <v>1405/05/20</v>
          </cell>
        </row>
        <row r="402">
          <cell r="B402" t="str">
            <v xml:space="preserve">قالب پخت کلاچ پیکان </v>
          </cell>
          <cell r="C402" t="str">
            <v>قالب تعمیری</v>
          </cell>
          <cell r="N402" t="str">
            <v>سنگ زنی</v>
          </cell>
          <cell r="AC402" t="str">
            <v>1405/05/21</v>
          </cell>
        </row>
        <row r="403">
          <cell r="B403" t="str">
            <v>قالب پخت کلاچ پژو 405</v>
          </cell>
          <cell r="C403" t="str">
            <v>قالب تعمیری</v>
          </cell>
          <cell r="N403" t="str">
            <v>سنگ زنی</v>
          </cell>
          <cell r="AC403" t="str">
            <v>1405/05/21</v>
          </cell>
        </row>
        <row r="404">
          <cell r="B404" t="str">
            <v>پخت کلاچ ایسوزو</v>
          </cell>
          <cell r="C404" t="str">
            <v>قالب تعمیری</v>
          </cell>
          <cell r="N404" t="str">
            <v>سنگ زنی</v>
          </cell>
          <cell r="AC404" t="str">
            <v>1405/05/21</v>
          </cell>
        </row>
        <row r="405">
          <cell r="B405" t="str">
            <v>فوتون 107</v>
          </cell>
          <cell r="C405" t="str">
            <v>قالب تعمیری</v>
          </cell>
          <cell r="N405" t="str">
            <v>سنگ زنی</v>
          </cell>
          <cell r="AC405" t="str">
            <v>1405/05/21</v>
          </cell>
        </row>
        <row r="406">
          <cell r="B406" t="str">
            <v>شمش پراید</v>
          </cell>
          <cell r="C406" t="str">
            <v>قالب نو</v>
          </cell>
          <cell r="N406" t="str">
            <v>مونتاژ</v>
          </cell>
          <cell r="AC406" t="str">
            <v>1405/05/20</v>
          </cell>
        </row>
        <row r="407">
          <cell r="B407" t="str">
            <v>قالب پخت کلاچ پژو 405</v>
          </cell>
          <cell r="C407" t="str">
            <v>قالب تعمیری</v>
          </cell>
          <cell r="N407" t="str">
            <v>مونتاژ</v>
          </cell>
          <cell r="AC407" t="str">
            <v>1405/05/20</v>
          </cell>
        </row>
        <row r="408">
          <cell r="B408" t="str">
            <v xml:space="preserve">قالب پخت کلاچ پیکان </v>
          </cell>
          <cell r="C408" t="str">
            <v>قالب تعمیری</v>
          </cell>
          <cell r="N408" t="str">
            <v>مونتاژ</v>
          </cell>
          <cell r="AC408" t="str">
            <v>1405/05/20</v>
          </cell>
        </row>
        <row r="409">
          <cell r="B409" t="str">
            <v xml:space="preserve">قالب پخت کلاچ پیکان </v>
          </cell>
          <cell r="C409" t="str">
            <v>قالب تعمیری</v>
          </cell>
          <cell r="N409" t="str">
            <v>مونتاژ</v>
          </cell>
          <cell r="AC409" t="str">
            <v>1405/05/21</v>
          </cell>
        </row>
        <row r="410">
          <cell r="B410" t="str">
            <v>قالب پخت کلاچ پژو 405</v>
          </cell>
          <cell r="C410" t="str">
            <v>قالب تعمیری</v>
          </cell>
          <cell r="N410" t="str">
            <v>مونتاژ</v>
          </cell>
          <cell r="AC410" t="str">
            <v>1405/05/21</v>
          </cell>
        </row>
        <row r="411">
          <cell r="B411" t="str">
            <v>سری تراش</v>
          </cell>
          <cell r="C411" t="str">
            <v>قطعه نو</v>
          </cell>
          <cell r="N411" t="str">
            <v>تراش</v>
          </cell>
          <cell r="AC411" t="str">
            <v>1405/05/20</v>
          </cell>
        </row>
        <row r="412">
          <cell r="B412" t="str">
            <v>ویوینگ</v>
          </cell>
          <cell r="C412" t="str">
            <v>قطعه نو</v>
          </cell>
          <cell r="N412" t="str">
            <v>تراش</v>
          </cell>
          <cell r="AC412" t="str">
            <v>1405/05/20</v>
          </cell>
        </row>
        <row r="413">
          <cell r="B413" t="str">
            <v>ترابوزا</v>
          </cell>
          <cell r="C413" t="str">
            <v>قالب تعمیری</v>
          </cell>
          <cell r="N413" t="str">
            <v>تراش</v>
          </cell>
          <cell r="AC413" t="str">
            <v>1405/05/20</v>
          </cell>
        </row>
        <row r="414">
          <cell r="B414" t="str">
            <v>پایه پرچ عقب نیسان</v>
          </cell>
          <cell r="C414" t="str">
            <v>قطعه تعمیری</v>
          </cell>
          <cell r="N414" t="str">
            <v>تراش</v>
          </cell>
          <cell r="AC414" t="str">
            <v>1405/05/20</v>
          </cell>
        </row>
        <row r="415">
          <cell r="B415" t="str">
            <v>ترابوزا</v>
          </cell>
          <cell r="C415" t="str">
            <v>قالب تعمیری</v>
          </cell>
          <cell r="N415" t="str">
            <v>دریل رادیال</v>
          </cell>
          <cell r="AC415" t="str">
            <v>1405/05/20</v>
          </cell>
        </row>
        <row r="416">
          <cell r="B416" t="str">
            <v>ترابوزا</v>
          </cell>
          <cell r="C416" t="str">
            <v>قالب تعمیری</v>
          </cell>
          <cell r="N416" t="str">
            <v>دریل رادیال</v>
          </cell>
          <cell r="AC416" t="str">
            <v>1405/05/20</v>
          </cell>
        </row>
        <row r="417">
          <cell r="B417" t="str">
            <v>ترابوزا</v>
          </cell>
          <cell r="C417" t="str">
            <v>قالب تعمیری</v>
          </cell>
          <cell r="N417" t="str">
            <v>مونتاژ</v>
          </cell>
          <cell r="AC417" t="str">
            <v>1405/05/20</v>
          </cell>
        </row>
        <row r="418">
          <cell r="B418" t="str">
            <v>ویوینگ</v>
          </cell>
          <cell r="C418" t="str">
            <v>قطعه تعمیری</v>
          </cell>
          <cell r="N418" t="str">
            <v>دریل رادیال</v>
          </cell>
          <cell r="AC418" t="str">
            <v>1405/05/20</v>
          </cell>
        </row>
        <row r="419">
          <cell r="B419" t="str">
            <v>هواکش</v>
          </cell>
          <cell r="C419" t="str">
            <v>قطعه تعمیری</v>
          </cell>
          <cell r="N419" t="str">
            <v>دریل رادیال</v>
          </cell>
          <cell r="AC419" t="str">
            <v>1405/05/20</v>
          </cell>
        </row>
        <row r="420">
          <cell r="B420" t="str">
            <v>پخت عقب پژو 405 شمشی پایه کوتاه</v>
          </cell>
          <cell r="C420" t="str">
            <v>قالب نو</v>
          </cell>
          <cell r="N420" t="str">
            <v>دریل رادیال</v>
          </cell>
          <cell r="AC420" t="str">
            <v>1405/05/21</v>
          </cell>
        </row>
        <row r="421">
          <cell r="B421" t="str">
            <v>ویوینگ</v>
          </cell>
          <cell r="C421" t="str">
            <v>قطعه تعمیری</v>
          </cell>
          <cell r="N421" t="str">
            <v>دریل رادیال</v>
          </cell>
          <cell r="AC421" t="str">
            <v>1405/05/21</v>
          </cell>
        </row>
        <row r="422">
          <cell r="B422" t="str">
            <v>پخت کلاچ لندکروز</v>
          </cell>
          <cell r="C422" t="str">
            <v>قالب تعمیری</v>
          </cell>
          <cell r="N422" t="str">
            <v>CNC</v>
          </cell>
          <cell r="AC422" t="str">
            <v>1405/05/21</v>
          </cell>
        </row>
        <row r="423">
          <cell r="B423" t="str">
            <v>پخت کلاچ لندکروز</v>
          </cell>
          <cell r="C423" t="str">
            <v>قالب تعمیری</v>
          </cell>
          <cell r="N423" t="str">
            <v>CNC</v>
          </cell>
          <cell r="AC423" t="str">
            <v>1405/05/22</v>
          </cell>
        </row>
        <row r="424">
          <cell r="B424" t="str">
            <v>پخت عقب پژو 405 شمشی پایه کوتاه</v>
          </cell>
          <cell r="C424" t="str">
            <v>قالب نو</v>
          </cell>
          <cell r="N424" t="str">
            <v>فرز</v>
          </cell>
          <cell r="AC424" t="str">
            <v>1405/05/24</v>
          </cell>
        </row>
        <row r="425">
          <cell r="B425" t="str">
            <v>پخت کلاچ تیبا راست</v>
          </cell>
          <cell r="C425" t="str">
            <v>قالب نو</v>
          </cell>
          <cell r="N425" t="str">
            <v>فرز</v>
          </cell>
          <cell r="AC425" t="str">
            <v>1405/05/24</v>
          </cell>
        </row>
        <row r="426">
          <cell r="B426" t="str">
            <v>پین عقب پژو 405</v>
          </cell>
          <cell r="C426" t="str">
            <v>قطعه نو</v>
          </cell>
          <cell r="N426" t="str">
            <v>سری تراش</v>
          </cell>
          <cell r="AC426" t="str">
            <v>1405/05/24</v>
          </cell>
        </row>
        <row r="427">
          <cell r="B427" t="str">
            <v>پخت کلاچ لندکروز</v>
          </cell>
          <cell r="C427" t="str">
            <v>قالب تعمیری</v>
          </cell>
          <cell r="N427" t="str">
            <v>CNC</v>
          </cell>
          <cell r="AC427" t="str">
            <v>1405/05/24</v>
          </cell>
        </row>
        <row r="428">
          <cell r="B428" t="str">
            <v>قالب پخت کلاچ پژو 405</v>
          </cell>
          <cell r="C428" t="str">
            <v>قالب تعمیری</v>
          </cell>
          <cell r="N428" t="str">
            <v>فرز</v>
          </cell>
          <cell r="AC428" t="str">
            <v>1405/05/24</v>
          </cell>
        </row>
        <row r="429">
          <cell r="B429" t="str">
            <v>قالب پخت کلاچ پژو 405</v>
          </cell>
          <cell r="C429" t="str">
            <v>قالب تعمیری</v>
          </cell>
          <cell r="N429" t="str">
            <v>فرز</v>
          </cell>
          <cell r="AC429" t="str">
            <v>1405/05/24</v>
          </cell>
        </row>
        <row r="430">
          <cell r="B430" t="str">
            <v>فوتون 107</v>
          </cell>
          <cell r="C430" t="str">
            <v>قالب تعمیری</v>
          </cell>
          <cell r="N430" t="str">
            <v>فرز</v>
          </cell>
          <cell r="AC430" t="str">
            <v>1405/05/24</v>
          </cell>
        </row>
        <row r="431">
          <cell r="B431" t="str">
            <v>ترابوزا</v>
          </cell>
          <cell r="C431" t="str">
            <v>قالب تعمیری</v>
          </cell>
          <cell r="N431" t="str">
            <v>دریل رادیال</v>
          </cell>
          <cell r="AC431" t="str">
            <v>1405/05/24</v>
          </cell>
        </row>
        <row r="432">
          <cell r="B432" t="str">
            <v>ترابوزا</v>
          </cell>
          <cell r="C432" t="str">
            <v>قالب تعمیری</v>
          </cell>
          <cell r="N432" t="str">
            <v>دریل رادیال</v>
          </cell>
          <cell r="AC432" t="str">
            <v>1405/05/24</v>
          </cell>
        </row>
        <row r="433">
          <cell r="B433" t="str">
            <v>ترابوزا</v>
          </cell>
          <cell r="C433" t="str">
            <v>قالب تعمیری</v>
          </cell>
          <cell r="N433" t="str">
            <v>مونتاژ</v>
          </cell>
          <cell r="AC433" t="str">
            <v>1405/05/24</v>
          </cell>
        </row>
        <row r="434">
          <cell r="B434" t="str">
            <v>قالب پخت SAF</v>
          </cell>
          <cell r="C434" t="str">
            <v>قالب نو</v>
          </cell>
          <cell r="N434" t="str">
            <v>وایر</v>
          </cell>
          <cell r="AC434" t="str">
            <v>1405/05/24</v>
          </cell>
        </row>
        <row r="435">
          <cell r="B435" t="str">
            <v>قالب پخت SAF</v>
          </cell>
          <cell r="C435" t="str">
            <v>قالب تعمیری</v>
          </cell>
          <cell r="N435" t="str">
            <v>وایر</v>
          </cell>
          <cell r="AC435" t="str">
            <v>1405/05/24</v>
          </cell>
        </row>
        <row r="436">
          <cell r="B436" t="str">
            <v>نگهدارنده پلاک قالب</v>
          </cell>
          <cell r="C436" t="str">
            <v>قطعه نو</v>
          </cell>
          <cell r="N436" t="str">
            <v>وایر</v>
          </cell>
          <cell r="AC436" t="str">
            <v>1405/05/24</v>
          </cell>
        </row>
        <row r="437">
          <cell r="B437" t="str">
            <v>دستگاه پرس 600 تن</v>
          </cell>
          <cell r="C437" t="str">
            <v>قطعه نو</v>
          </cell>
          <cell r="N437" t="str">
            <v>وایر</v>
          </cell>
          <cell r="AC437" t="str">
            <v>1405/05/24</v>
          </cell>
        </row>
        <row r="438">
          <cell r="B438" t="str">
            <v>پایه پرچ عقب نیسان</v>
          </cell>
          <cell r="C438" t="str">
            <v>قطعه تعمیری</v>
          </cell>
          <cell r="N438" t="str">
            <v>CNC</v>
          </cell>
          <cell r="AC438" t="str">
            <v>1405/05/24</v>
          </cell>
        </row>
        <row r="439">
          <cell r="B439" t="str">
            <v>ترابوزا</v>
          </cell>
          <cell r="C439" t="str">
            <v>قالب تعمیری</v>
          </cell>
          <cell r="N439" t="str">
            <v>مونتاژ</v>
          </cell>
          <cell r="AC439" t="str">
            <v>1405/05/24</v>
          </cell>
        </row>
        <row r="440">
          <cell r="B440" t="str">
            <v>پخت عقب پژو 405 شمشی پایه کوتاه</v>
          </cell>
          <cell r="C440" t="str">
            <v>قالب نو</v>
          </cell>
          <cell r="N440" t="str">
            <v>دریل رادیال</v>
          </cell>
          <cell r="AC440" t="str">
            <v>1405/05/24</v>
          </cell>
        </row>
        <row r="441">
          <cell r="B441" t="str">
            <v>پخت عقب پژو 405 شمشی پایه کوتاه</v>
          </cell>
          <cell r="C441" t="str">
            <v>قالب نو</v>
          </cell>
          <cell r="N441" t="str">
            <v>مونتاژ</v>
          </cell>
          <cell r="AC441" t="str">
            <v>1405/05/24</v>
          </cell>
        </row>
        <row r="442">
          <cell r="B442" t="str">
            <v>پخت عقب پژو 405 شمشی پایه کوتاه</v>
          </cell>
          <cell r="C442" t="str">
            <v>قالب نو</v>
          </cell>
          <cell r="N442" t="str">
            <v>اره لنگ</v>
          </cell>
          <cell r="AC442" t="str">
            <v>1405/05/24</v>
          </cell>
        </row>
        <row r="443">
          <cell r="B443" t="str">
            <v>نگهدارنده پلاک قالب</v>
          </cell>
          <cell r="C443" t="str">
            <v>قطعه نو</v>
          </cell>
          <cell r="N443" t="str">
            <v>مونتاژ</v>
          </cell>
          <cell r="AC443" t="str">
            <v>1405/05/24</v>
          </cell>
        </row>
        <row r="444">
          <cell r="B444" t="str">
            <v>پخت عقب پژو 405 شمشی پایه کوتاه</v>
          </cell>
          <cell r="C444" t="str">
            <v>قالب نو</v>
          </cell>
          <cell r="N444" t="str">
            <v>مونتاژ</v>
          </cell>
          <cell r="AC444" t="str">
            <v>1405/05/24</v>
          </cell>
        </row>
        <row r="445">
          <cell r="B445" t="str">
            <v>پایه پرچ عقب نیسان</v>
          </cell>
          <cell r="C445" t="str">
            <v>قطعه تعمیری</v>
          </cell>
          <cell r="N445" t="str">
            <v>تراش</v>
          </cell>
          <cell r="AC445" t="str">
            <v>1405/05/24</v>
          </cell>
        </row>
        <row r="446">
          <cell r="B446" t="str">
            <v>پایه پرچ عقب نیسان</v>
          </cell>
          <cell r="C446" t="str">
            <v>قطعه تعمیری</v>
          </cell>
          <cell r="N446" t="str">
            <v>تراش</v>
          </cell>
          <cell r="AC446" t="str">
            <v>1405/05/24</v>
          </cell>
        </row>
        <row r="447">
          <cell r="B447" t="str">
            <v>سری نقطه جوش</v>
          </cell>
          <cell r="C447" t="str">
            <v>قطعه تعمیری</v>
          </cell>
          <cell r="N447" t="str">
            <v>تراش</v>
          </cell>
          <cell r="AC447" t="str">
            <v>1405/05/24</v>
          </cell>
        </row>
        <row r="448">
          <cell r="B448" t="str">
            <v>قالب پخت کلاچ پژو 405</v>
          </cell>
          <cell r="C448" t="str">
            <v>قالب تعمیری</v>
          </cell>
          <cell r="N448" t="str">
            <v>تراش</v>
          </cell>
          <cell r="AC448" t="str">
            <v>1405/05/24</v>
          </cell>
        </row>
        <row r="449">
          <cell r="B449" t="str">
            <v>پخت کلاچ لندکروز</v>
          </cell>
          <cell r="C449" t="str">
            <v>قالب تعمیری</v>
          </cell>
          <cell r="N449" t="str">
            <v>سنگ زنی</v>
          </cell>
          <cell r="AC449" t="str">
            <v>1405/05/24</v>
          </cell>
        </row>
        <row r="450">
          <cell r="B450" t="str">
            <v>پخت کلاچ ایسوزو</v>
          </cell>
          <cell r="C450" t="str">
            <v>قالب تعمیری</v>
          </cell>
          <cell r="N450" t="str">
            <v>سنگ زنی</v>
          </cell>
          <cell r="AC450" t="str">
            <v>1405/05/24</v>
          </cell>
        </row>
        <row r="451">
          <cell r="B451" t="str">
            <v>پخت عقب پژو 405 شمشی پایه کوتاه</v>
          </cell>
          <cell r="C451" t="str">
            <v>قالب نو</v>
          </cell>
          <cell r="N451" t="str">
            <v>سنگ زنی</v>
          </cell>
          <cell r="AC451" t="str">
            <v>1405/05/24</v>
          </cell>
        </row>
        <row r="452">
          <cell r="B452" t="str">
            <v>فوتون 107</v>
          </cell>
          <cell r="C452" t="str">
            <v>قالب تعمیری</v>
          </cell>
          <cell r="N452" t="str">
            <v>سنگ زنی</v>
          </cell>
          <cell r="AC452" t="str">
            <v>1405/05/24</v>
          </cell>
        </row>
        <row r="453">
          <cell r="B453" t="str">
            <v>قالب پخت کلاچ پژو 405</v>
          </cell>
          <cell r="C453" t="str">
            <v>قالب تعمیری</v>
          </cell>
          <cell r="N453" t="str">
            <v>سنگ زنی</v>
          </cell>
          <cell r="AC453" t="str">
            <v>1405/05/24</v>
          </cell>
        </row>
        <row r="454">
          <cell r="B454" t="str">
            <v>پخت کلاچ 302 سوراخدار</v>
          </cell>
          <cell r="C454" t="str">
            <v>قالب تعمیری</v>
          </cell>
          <cell r="N454" t="str">
            <v>تراش</v>
          </cell>
          <cell r="AC454" t="str">
            <v>1405/05/25</v>
          </cell>
        </row>
        <row r="455">
          <cell r="B455" t="str">
            <v>پخت کلاچ 302 سوراخدار</v>
          </cell>
          <cell r="C455" t="str">
            <v>قالب تعمیری</v>
          </cell>
          <cell r="N455" t="str">
            <v>تراش</v>
          </cell>
          <cell r="AC455" t="str">
            <v>1405/05/25</v>
          </cell>
        </row>
        <row r="456">
          <cell r="B456" t="str">
            <v>پخت کلاچ 302 سوراخدار</v>
          </cell>
          <cell r="C456" t="str">
            <v>قالب تعمیری</v>
          </cell>
          <cell r="N456" t="str">
            <v>مونتاژ</v>
          </cell>
          <cell r="AC456" t="str">
            <v>1405/05/25</v>
          </cell>
        </row>
        <row r="457">
          <cell r="B457" t="str">
            <v>پخت کلاچ ایویکو سوراخدار</v>
          </cell>
          <cell r="C457" t="str">
            <v>قالب تعمیری</v>
          </cell>
          <cell r="N457" t="str">
            <v>مونتاژ</v>
          </cell>
          <cell r="AC457" t="str">
            <v>1405/05/25</v>
          </cell>
        </row>
        <row r="458">
          <cell r="B458" t="str">
            <v>دستگاه پرس 600 تن</v>
          </cell>
          <cell r="C458" t="str">
            <v>قطعه نو</v>
          </cell>
          <cell r="N458" t="str">
            <v>مونتاژ</v>
          </cell>
          <cell r="AC458" t="str">
            <v>1405/05/25</v>
          </cell>
        </row>
        <row r="459">
          <cell r="B459" t="str">
            <v>پخت عقب پژو 405 شمشی پایه کوتاه</v>
          </cell>
          <cell r="C459" t="str">
            <v>قالب نو</v>
          </cell>
          <cell r="N459" t="str">
            <v>مونتاژ</v>
          </cell>
          <cell r="AC459" t="str">
            <v>1405/05/25</v>
          </cell>
        </row>
        <row r="460">
          <cell r="B460" t="str">
            <v>پخت کلاچ 302 سوراخدار</v>
          </cell>
          <cell r="C460" t="str">
            <v>قالب تعمیری</v>
          </cell>
          <cell r="N460" t="str">
            <v>مونتاژ</v>
          </cell>
          <cell r="AC460" t="str">
            <v>1405/05/25</v>
          </cell>
        </row>
        <row r="461">
          <cell r="B461" t="str">
            <v>قالب پخت کلاچ پژو 405</v>
          </cell>
          <cell r="C461" t="str">
            <v>قالب تعمیری</v>
          </cell>
          <cell r="N461" t="str">
            <v>مونتاژ</v>
          </cell>
          <cell r="AC461" t="str">
            <v>1405/05/25</v>
          </cell>
        </row>
        <row r="462">
          <cell r="B462" t="str">
            <v>پخت کلاچ 302 سوراخدار</v>
          </cell>
          <cell r="C462" t="str">
            <v>قالب تعمیری</v>
          </cell>
          <cell r="N462" t="str">
            <v>مونتاژ</v>
          </cell>
          <cell r="AC462" t="str">
            <v>1405/05/25</v>
          </cell>
        </row>
        <row r="463">
          <cell r="B463" t="str">
            <v>پخت کلاچ ایویکو سوراخدار</v>
          </cell>
          <cell r="C463" t="str">
            <v>قالب تعمیری</v>
          </cell>
          <cell r="N463" t="str">
            <v>مونتاژ</v>
          </cell>
          <cell r="AC463" t="str">
            <v>1405/05/25</v>
          </cell>
        </row>
        <row r="464">
          <cell r="B464" t="str">
            <v>قالب پخت SAF</v>
          </cell>
          <cell r="C464" t="str">
            <v>قالب نو</v>
          </cell>
          <cell r="N464" t="str">
            <v>CNC</v>
          </cell>
          <cell r="AC464" t="str">
            <v>1405/05/25</v>
          </cell>
        </row>
        <row r="465">
          <cell r="B465" t="str">
            <v>پخت کلاچ تیبا راست</v>
          </cell>
          <cell r="C465" t="str">
            <v>قالب نو</v>
          </cell>
          <cell r="N465" t="str">
            <v>CNC</v>
          </cell>
          <cell r="AC465" t="str">
            <v>1405/05/25</v>
          </cell>
        </row>
        <row r="466">
          <cell r="B466" t="str">
            <v>فوتون 107</v>
          </cell>
          <cell r="C466" t="str">
            <v>قالب تعمیری</v>
          </cell>
          <cell r="N466" t="str">
            <v>سنگ زنی</v>
          </cell>
          <cell r="AC466" t="str">
            <v>1405/05/25</v>
          </cell>
        </row>
        <row r="467">
          <cell r="B467" t="str">
            <v>قالب پخت کلاچ پژو 405</v>
          </cell>
          <cell r="C467" t="str">
            <v>قالب تعمیری</v>
          </cell>
          <cell r="N467" t="str">
            <v>سنگ زنی</v>
          </cell>
          <cell r="AC467" t="str">
            <v>1405/05/25</v>
          </cell>
        </row>
        <row r="468">
          <cell r="B468" t="str">
            <v>پخت عقب پژو 405 شمشی پایه کوتاه</v>
          </cell>
          <cell r="C468" t="str">
            <v>قالب نو</v>
          </cell>
          <cell r="N468" t="str">
            <v>سنگ زنی</v>
          </cell>
          <cell r="AC468" t="str">
            <v>1405/05/25</v>
          </cell>
        </row>
        <row r="469">
          <cell r="B469" t="str">
            <v>فوتون 107</v>
          </cell>
          <cell r="C469" t="str">
            <v>قالب تعمیری</v>
          </cell>
          <cell r="N469" t="str">
            <v>فرز</v>
          </cell>
          <cell r="AC469" t="str">
            <v>1405/05/25</v>
          </cell>
        </row>
        <row r="470">
          <cell r="B470" t="str">
            <v>دستگاه پرس 600 تن</v>
          </cell>
          <cell r="C470" t="str">
            <v>قطعه نو</v>
          </cell>
          <cell r="N470" t="str">
            <v>فرز</v>
          </cell>
          <cell r="AC470" t="str">
            <v>1405/05/25</v>
          </cell>
        </row>
        <row r="471">
          <cell r="B471" t="str">
            <v>فوتون 107</v>
          </cell>
          <cell r="C471" t="str">
            <v>قالب تعمیری</v>
          </cell>
          <cell r="N471" t="str">
            <v>فرز</v>
          </cell>
          <cell r="AC471" t="str">
            <v>1405/05/25</v>
          </cell>
        </row>
        <row r="472">
          <cell r="B472" t="str">
            <v>پین عقب پژو 405</v>
          </cell>
          <cell r="C472" t="str">
            <v>قطعه نو</v>
          </cell>
          <cell r="N472" t="str">
            <v>سری تراش</v>
          </cell>
          <cell r="AC472" t="str">
            <v>1405/05/25</v>
          </cell>
        </row>
        <row r="473">
          <cell r="B473" t="str">
            <v>پخت کلاچ تیبا راست</v>
          </cell>
          <cell r="C473" t="str">
            <v>قالب نو</v>
          </cell>
          <cell r="N473" t="str">
            <v>فرز</v>
          </cell>
          <cell r="AC473" t="str">
            <v>1405/05/25</v>
          </cell>
        </row>
        <row r="474">
          <cell r="B474" t="str">
            <v>فوتون 107</v>
          </cell>
          <cell r="C474" t="str">
            <v>قالب تعمیری</v>
          </cell>
          <cell r="N474" t="str">
            <v>فرز</v>
          </cell>
          <cell r="AC474" t="str">
            <v>1405/05/25</v>
          </cell>
        </row>
        <row r="475">
          <cell r="B475" t="str">
            <v>پخت کلاچ ایسوزو</v>
          </cell>
          <cell r="C475" t="str">
            <v>قالب تعمیری</v>
          </cell>
          <cell r="N475" t="str">
            <v>فرز</v>
          </cell>
          <cell r="AC475" t="str">
            <v>1405/05/25</v>
          </cell>
        </row>
        <row r="476">
          <cell r="B476" t="str">
            <v>پخت کلاچ لندکروز</v>
          </cell>
          <cell r="C476" t="str">
            <v>قالب تعمیری</v>
          </cell>
          <cell r="N476" t="str">
            <v>CNC</v>
          </cell>
          <cell r="AC476" t="str">
            <v>1405/05/25</v>
          </cell>
        </row>
        <row r="477">
          <cell r="B477" t="str">
            <v>قالب پخت SAF</v>
          </cell>
          <cell r="C477" t="str">
            <v>قالب تعمیری</v>
          </cell>
          <cell r="N477" t="str">
            <v>وایر</v>
          </cell>
          <cell r="AC477" t="str">
            <v>1405/05/25</v>
          </cell>
        </row>
        <row r="478">
          <cell r="B478" t="str">
            <v>نگهدارنده پلاک قالب</v>
          </cell>
          <cell r="C478" t="str">
            <v>قطعه نو</v>
          </cell>
          <cell r="N478" t="str">
            <v>وایر</v>
          </cell>
          <cell r="AC478" t="str">
            <v>1405/05/25</v>
          </cell>
        </row>
        <row r="479">
          <cell r="B479" t="str">
            <v>عقب لیفتراک</v>
          </cell>
          <cell r="C479" t="str">
            <v>قطعه نو</v>
          </cell>
          <cell r="N479" t="str">
            <v>وایر</v>
          </cell>
          <cell r="AC479" t="str">
            <v>1405/05/25</v>
          </cell>
        </row>
        <row r="480">
          <cell r="B480" t="str">
            <v>دستگاه فرز</v>
          </cell>
          <cell r="C480" t="str">
            <v>قطعه تعمیری</v>
          </cell>
          <cell r="N480" t="str">
            <v>وایر</v>
          </cell>
          <cell r="AC480" t="str">
            <v>1405/05/25</v>
          </cell>
        </row>
        <row r="481">
          <cell r="B481" t="str">
            <v>فوتون 107</v>
          </cell>
          <cell r="C481" t="str">
            <v>قالب تعمیری</v>
          </cell>
          <cell r="N481" t="str">
            <v>وایر</v>
          </cell>
          <cell r="AC481" t="str">
            <v>1405/05/25</v>
          </cell>
        </row>
        <row r="482">
          <cell r="B482" t="str">
            <v>قالب پخت کلاچ پژو 405</v>
          </cell>
          <cell r="C482" t="str">
            <v>قالب تعمیری</v>
          </cell>
          <cell r="N482" t="str">
            <v>وایر</v>
          </cell>
          <cell r="AC482" t="str">
            <v>1405/05/25</v>
          </cell>
        </row>
        <row r="483">
          <cell r="B483" t="str">
            <v>پایه پرچ عقب نیسان</v>
          </cell>
          <cell r="C483" t="str">
            <v>قطعه تعمیری</v>
          </cell>
          <cell r="N483" t="str">
            <v>CNC</v>
          </cell>
          <cell r="AC483" t="str">
            <v>1405/05/25</v>
          </cell>
        </row>
        <row r="484">
          <cell r="B484" t="str">
            <v>دریل یزدخواستی کلاچ</v>
          </cell>
          <cell r="C484" t="str">
            <v>قطعه نو</v>
          </cell>
          <cell r="N484" t="str">
            <v>CNC</v>
          </cell>
          <cell r="AC484" t="str">
            <v>1405/05/25</v>
          </cell>
        </row>
        <row r="485">
          <cell r="B485" t="str">
            <v>دریل یزدخواستی کلاچ</v>
          </cell>
          <cell r="C485" t="str">
            <v>قطعه نو</v>
          </cell>
          <cell r="N485" t="str">
            <v>CNC</v>
          </cell>
          <cell r="AC485" t="str">
            <v>1405/05/25</v>
          </cell>
        </row>
        <row r="486">
          <cell r="B486" t="str">
            <v>آغشته کاری</v>
          </cell>
          <cell r="C486" t="str">
            <v>قطعه تعمیری</v>
          </cell>
          <cell r="N486" t="str">
            <v>تراش</v>
          </cell>
          <cell r="AC486" t="str">
            <v>1405/05/25</v>
          </cell>
        </row>
        <row r="487">
          <cell r="B487" t="str">
            <v>ساب ترابوزا</v>
          </cell>
          <cell r="C487" t="str">
            <v>قطعه نو</v>
          </cell>
          <cell r="N487" t="str">
            <v>تراش</v>
          </cell>
          <cell r="AC487" t="str">
            <v>1405/05/25</v>
          </cell>
        </row>
        <row r="488">
          <cell r="B488" t="str">
            <v>پخت کلاچ تیبا راست</v>
          </cell>
          <cell r="C488" t="str">
            <v>قالب نو</v>
          </cell>
          <cell r="N488" t="str">
            <v>CNC</v>
          </cell>
          <cell r="AC488" t="str">
            <v>1405/05/26</v>
          </cell>
        </row>
        <row r="489">
          <cell r="B489" t="str">
            <v>قالب پخت SAF</v>
          </cell>
          <cell r="C489" t="str">
            <v>قالب نو</v>
          </cell>
          <cell r="N489" t="str">
            <v>CNC</v>
          </cell>
          <cell r="AC489" t="str">
            <v>1405/05/26</v>
          </cell>
        </row>
        <row r="490">
          <cell r="B490" t="str">
            <v>پخت کلاچ لندکروز</v>
          </cell>
          <cell r="C490" t="str">
            <v>قالب تعمیری</v>
          </cell>
          <cell r="N490" t="str">
            <v>CNC</v>
          </cell>
          <cell r="AC490" t="str">
            <v>1405/05/26</v>
          </cell>
        </row>
        <row r="491">
          <cell r="B491" t="str">
            <v>قالب پخت SAF</v>
          </cell>
          <cell r="C491" t="str">
            <v>قالب نو</v>
          </cell>
          <cell r="N491" t="str">
            <v>CNC</v>
          </cell>
          <cell r="AC491" t="str">
            <v>1405/05/27</v>
          </cell>
        </row>
        <row r="492">
          <cell r="B492" t="str">
            <v>پخت کلاچ ایسوزو</v>
          </cell>
          <cell r="C492" t="str">
            <v>قالب تعمیری</v>
          </cell>
          <cell r="N492" t="str">
            <v>فرز</v>
          </cell>
          <cell r="AC492" t="str">
            <v>1405/05/26</v>
          </cell>
        </row>
        <row r="493">
          <cell r="B493" t="str">
            <v>پخت کلاچ ایسوزو</v>
          </cell>
          <cell r="C493" t="str">
            <v>قالب تعمیری</v>
          </cell>
          <cell r="N493" t="str">
            <v>فرز</v>
          </cell>
          <cell r="AC493" t="str">
            <v>1405/05/27</v>
          </cell>
        </row>
        <row r="494">
          <cell r="B494" t="str">
            <v>فوتون 107</v>
          </cell>
          <cell r="C494" t="str">
            <v>قالب تعمیری</v>
          </cell>
          <cell r="N494" t="str">
            <v>فرز</v>
          </cell>
          <cell r="AC494" t="str">
            <v>1405/05/26</v>
          </cell>
        </row>
        <row r="495">
          <cell r="B495" t="str">
            <v>فوتون 107</v>
          </cell>
          <cell r="C495" t="str">
            <v>قالب تعمیری</v>
          </cell>
          <cell r="N495" t="str">
            <v>فرز</v>
          </cell>
          <cell r="AC495" t="str">
            <v>1405/05/27</v>
          </cell>
        </row>
        <row r="496">
          <cell r="B496" t="str">
            <v>دریل یزدخواستی کلاچ</v>
          </cell>
          <cell r="C496" t="str">
            <v>قطعه نو</v>
          </cell>
          <cell r="N496" t="str">
            <v>CNC</v>
          </cell>
          <cell r="AC496" t="str">
            <v>1405/05/26</v>
          </cell>
        </row>
        <row r="497">
          <cell r="B497" t="str">
            <v>دریل یزدخواستی کلاچ</v>
          </cell>
          <cell r="C497" t="str">
            <v>قطعه نو</v>
          </cell>
          <cell r="N497" t="str">
            <v>CNC</v>
          </cell>
          <cell r="AC497" t="str">
            <v>1405/05/27</v>
          </cell>
        </row>
        <row r="498">
          <cell r="B498" t="str">
            <v>آغشته کاری</v>
          </cell>
          <cell r="C498" t="str">
            <v>قطعه تعمیری</v>
          </cell>
          <cell r="N498" t="str">
            <v>تراش</v>
          </cell>
          <cell r="AC498" t="str">
            <v>1405/05/26</v>
          </cell>
        </row>
        <row r="499">
          <cell r="B499" t="str">
            <v>سری تراش</v>
          </cell>
          <cell r="C499" t="str">
            <v>قطعه نو</v>
          </cell>
          <cell r="N499" t="str">
            <v>تراش</v>
          </cell>
          <cell r="AC499" t="str">
            <v>1405/05/26</v>
          </cell>
        </row>
        <row r="500">
          <cell r="B500" t="str">
            <v>دستگاه پشم فلز</v>
          </cell>
          <cell r="C500" t="str">
            <v>قطعه تعمیری</v>
          </cell>
          <cell r="N500" t="str">
            <v>تراش</v>
          </cell>
          <cell r="AC500" t="str">
            <v>1405/05/26</v>
          </cell>
        </row>
        <row r="501">
          <cell r="B501" t="str">
            <v>Pin zob ahan</v>
          </cell>
          <cell r="C501" t="str">
            <v>قطعه نو</v>
          </cell>
          <cell r="N501" t="str">
            <v>تراش</v>
          </cell>
          <cell r="AC501" t="str">
            <v>1405/05/26</v>
          </cell>
        </row>
        <row r="502">
          <cell r="B502" t="str">
            <v>Pin zob ahan</v>
          </cell>
          <cell r="C502" t="str">
            <v>قطعه نو</v>
          </cell>
          <cell r="N502" t="str">
            <v>تراش</v>
          </cell>
          <cell r="AC502" t="str">
            <v>1405/05/27</v>
          </cell>
        </row>
        <row r="503">
          <cell r="B503" t="str">
            <v>فوتون 107</v>
          </cell>
          <cell r="C503" t="str">
            <v>قالب تعمیری</v>
          </cell>
          <cell r="N503" t="str">
            <v>سنگ زنی</v>
          </cell>
          <cell r="AC503" t="str">
            <v>1405/05/26</v>
          </cell>
        </row>
        <row r="504">
          <cell r="B504" t="str">
            <v>پخت عقب پژو 405 شمشی پایه کوتاه</v>
          </cell>
          <cell r="C504" t="str">
            <v>قالب نو</v>
          </cell>
          <cell r="N504" t="str">
            <v>سنگ زنی</v>
          </cell>
          <cell r="AC504" t="str">
            <v>1405/05/26</v>
          </cell>
        </row>
        <row r="505">
          <cell r="B505" t="str">
            <v>قالب پخت SAF</v>
          </cell>
          <cell r="C505" t="str">
            <v>قالب تعمیری</v>
          </cell>
          <cell r="N505" t="str">
            <v>سنگ زنی</v>
          </cell>
          <cell r="AC505" t="str">
            <v>1405/05/26</v>
          </cell>
        </row>
        <row r="506">
          <cell r="B506" t="str">
            <v>قالب پخت SAF</v>
          </cell>
          <cell r="C506" t="str">
            <v>قالب تعمیری</v>
          </cell>
          <cell r="N506" t="str">
            <v>سنگ زنی</v>
          </cell>
          <cell r="AC506" t="str">
            <v>1405/05/27</v>
          </cell>
        </row>
        <row r="507">
          <cell r="B507" t="str">
            <v>پخت کلاچ پژو 206 TU5</v>
          </cell>
          <cell r="C507" t="str">
            <v>قالب تعمیری</v>
          </cell>
          <cell r="N507" t="str">
            <v>سنگ زنی</v>
          </cell>
          <cell r="AC507" t="str">
            <v>1405/05/27</v>
          </cell>
        </row>
        <row r="508">
          <cell r="B508" t="str">
            <v>فوتون 107</v>
          </cell>
          <cell r="C508" t="str">
            <v>قالب تعمیری</v>
          </cell>
          <cell r="N508" t="str">
            <v>سنگ زنی</v>
          </cell>
          <cell r="AC508" t="str">
            <v>1405/05/27</v>
          </cell>
        </row>
        <row r="509">
          <cell r="B509" t="str">
            <v>قالب پخت کلاچ پژو 405</v>
          </cell>
          <cell r="C509" t="str">
            <v>قالب تعمیری</v>
          </cell>
          <cell r="N509" t="str">
            <v>مونتاژ</v>
          </cell>
          <cell r="AC509" t="str">
            <v>1405/05/26</v>
          </cell>
        </row>
        <row r="510">
          <cell r="B510" t="str">
            <v>دستگاه پرس 600 تن</v>
          </cell>
          <cell r="C510" t="str">
            <v>قطعه نو</v>
          </cell>
          <cell r="N510" t="str">
            <v>مونتاژ</v>
          </cell>
          <cell r="AC510" t="str">
            <v>1405/05/26</v>
          </cell>
        </row>
        <row r="511">
          <cell r="B511" t="str">
            <v>پخت کلاچ پژو 206 TU5</v>
          </cell>
          <cell r="C511" t="str">
            <v>قالب تعمیری</v>
          </cell>
          <cell r="N511" t="str">
            <v>مونتاژ</v>
          </cell>
          <cell r="AC511" t="str">
            <v>1405/05/26</v>
          </cell>
        </row>
        <row r="512">
          <cell r="B512" t="str">
            <v>قالب عقب F12</v>
          </cell>
          <cell r="C512" t="str">
            <v>قالب نو</v>
          </cell>
          <cell r="N512" t="str">
            <v>مونتاژ</v>
          </cell>
          <cell r="AC512" t="str">
            <v>1405/05/27</v>
          </cell>
        </row>
        <row r="513">
          <cell r="B513" t="str">
            <v>قالب شمشی عقب پیکان</v>
          </cell>
          <cell r="C513" t="str">
            <v>قالب نو</v>
          </cell>
          <cell r="N513" t="str">
            <v>مونتاژ</v>
          </cell>
          <cell r="AC513" t="str">
            <v>1405/05/27</v>
          </cell>
        </row>
        <row r="514">
          <cell r="B514" t="str">
            <v>قالب شمشی عقب پیکان</v>
          </cell>
          <cell r="C514" t="str">
            <v>قالب نو</v>
          </cell>
          <cell r="N514" t="str">
            <v>مونتاژ</v>
          </cell>
          <cell r="AC514" t="str">
            <v>1405/05/27</v>
          </cell>
        </row>
        <row r="515">
          <cell r="B515" t="str">
            <v>قالب پخت کلاچ پژو 405</v>
          </cell>
          <cell r="C515" t="str">
            <v>قالب تعمیری</v>
          </cell>
          <cell r="N515" t="str">
            <v>مونتاژ</v>
          </cell>
          <cell r="AC515" t="str">
            <v>1405/05/27</v>
          </cell>
        </row>
        <row r="516">
          <cell r="B516" t="str">
            <v>قالب مترو مشهد</v>
          </cell>
          <cell r="C516" t="str">
            <v>قالب تعمیری</v>
          </cell>
          <cell r="N516" t="str">
            <v>مونتاژ</v>
          </cell>
          <cell r="AC516" t="str">
            <v>1405/05/27</v>
          </cell>
        </row>
        <row r="517">
          <cell r="B517" t="str">
            <v>ساب ترابوزا</v>
          </cell>
          <cell r="C517" t="str">
            <v>قطعه نو</v>
          </cell>
          <cell r="N517" t="str">
            <v>تراش</v>
          </cell>
          <cell r="AC517" t="str">
            <v>1405/05/26</v>
          </cell>
        </row>
        <row r="518">
          <cell r="B518" t="str">
            <v>آغشته کاری</v>
          </cell>
          <cell r="C518" t="str">
            <v>قطعه تعمیری</v>
          </cell>
          <cell r="N518" t="str">
            <v>تراش</v>
          </cell>
          <cell r="AC518" t="str">
            <v>1405/05/26</v>
          </cell>
        </row>
        <row r="519">
          <cell r="B519" t="str">
            <v>ساب سمباده ای</v>
          </cell>
          <cell r="C519" t="str">
            <v>قطعه تعمیری</v>
          </cell>
          <cell r="N519" t="str">
            <v>تراش</v>
          </cell>
          <cell r="AC519" t="str">
            <v>1405/05/26</v>
          </cell>
        </row>
        <row r="520">
          <cell r="B520" t="str">
            <v>ویوینگ</v>
          </cell>
          <cell r="C520" t="str">
            <v>قطعه نو</v>
          </cell>
          <cell r="N520" t="str">
            <v>تراش</v>
          </cell>
          <cell r="AC520" t="str">
            <v>1405/05/26</v>
          </cell>
        </row>
        <row r="521">
          <cell r="B521" t="str">
            <v>ویوینگ</v>
          </cell>
          <cell r="C521" t="str">
            <v>قطعه تعمیری</v>
          </cell>
          <cell r="N521" t="str">
            <v>تراش</v>
          </cell>
          <cell r="AC521" t="str">
            <v>1405/05/27</v>
          </cell>
        </row>
        <row r="522">
          <cell r="B522" t="str">
            <v>دستگاه پرس 600 تن</v>
          </cell>
          <cell r="C522" t="str">
            <v>قطعه نو</v>
          </cell>
          <cell r="N522" t="str">
            <v>تراش</v>
          </cell>
          <cell r="AC522" t="str">
            <v>1405/05/27</v>
          </cell>
        </row>
        <row r="523">
          <cell r="B523" t="str">
            <v>ویوینگ</v>
          </cell>
          <cell r="C523" t="str">
            <v>قطعه تعمیری</v>
          </cell>
          <cell r="N523" t="str">
            <v>دریل رادیال</v>
          </cell>
          <cell r="AC523" t="str">
            <v>1405/05/26</v>
          </cell>
        </row>
        <row r="524">
          <cell r="B524" t="str">
            <v>آغشته کاری</v>
          </cell>
          <cell r="C524" t="str">
            <v>قطعه تعمیری</v>
          </cell>
          <cell r="N524" t="str">
            <v>دریل رادیال</v>
          </cell>
          <cell r="AC524" t="str">
            <v>1405/05/26</v>
          </cell>
        </row>
        <row r="525">
          <cell r="B525" t="str">
            <v>قالب پخت کلاچ پژو 405</v>
          </cell>
          <cell r="C525" t="str">
            <v>قالب تعمیری</v>
          </cell>
          <cell r="N525" t="str">
            <v>مونتاژ</v>
          </cell>
          <cell r="AC525" t="str">
            <v>1405/05/26</v>
          </cell>
        </row>
        <row r="526">
          <cell r="B526" t="str">
            <v>پخت کلاچ پژو 206 TU5</v>
          </cell>
          <cell r="C526" t="str">
            <v>قالب تعمیری</v>
          </cell>
          <cell r="N526" t="str">
            <v>مونتاژ</v>
          </cell>
          <cell r="AC526" t="str">
            <v>1405/05/26</v>
          </cell>
        </row>
        <row r="527">
          <cell r="B527" t="str">
            <v>آغشته کاری</v>
          </cell>
          <cell r="C527" t="str">
            <v>قطعه تعمیری</v>
          </cell>
          <cell r="N527" t="str">
            <v>دریل رادیال</v>
          </cell>
          <cell r="AC527" t="str">
            <v>1405/05/27</v>
          </cell>
        </row>
        <row r="528">
          <cell r="B528" t="str">
            <v>ویوینگ</v>
          </cell>
          <cell r="C528" t="str">
            <v>قطعه تعمیری</v>
          </cell>
          <cell r="N528" t="str">
            <v>دریل رادیال</v>
          </cell>
          <cell r="AC528" t="str">
            <v>1405/05/27</v>
          </cell>
        </row>
        <row r="529">
          <cell r="B529" t="str">
            <v>قالب پخت کلاچ پژو 405</v>
          </cell>
          <cell r="C529" t="str">
            <v>قالب تعمیری</v>
          </cell>
          <cell r="N529" t="str">
            <v>مونتاژ</v>
          </cell>
          <cell r="AC529" t="str">
            <v>1405/05/27</v>
          </cell>
        </row>
        <row r="530">
          <cell r="B530" t="str">
            <v>قالب شمشی عقب پیکان</v>
          </cell>
          <cell r="C530" t="str">
            <v>قالب نو</v>
          </cell>
          <cell r="N530" t="str">
            <v>مونتاژ</v>
          </cell>
          <cell r="AC530" t="str">
            <v>1405/05/27</v>
          </cell>
        </row>
        <row r="531">
          <cell r="B531" t="str">
            <v>قالب عقب F12</v>
          </cell>
          <cell r="C531" t="str">
            <v>قالب نو</v>
          </cell>
          <cell r="N531" t="str">
            <v>مونتاژ</v>
          </cell>
          <cell r="AC531" t="str">
            <v>1405/05/27</v>
          </cell>
        </row>
        <row r="532">
          <cell r="B532" t="str">
            <v>قالب پخت کلاچ پژو 405</v>
          </cell>
          <cell r="C532" t="str">
            <v>قالب تعمیری</v>
          </cell>
          <cell r="N532" t="str">
            <v>دریل رادیال</v>
          </cell>
          <cell r="AC532" t="str">
            <v>1405/05/27</v>
          </cell>
        </row>
        <row r="533">
          <cell r="B533" t="str">
            <v>قالب پخت SAF</v>
          </cell>
          <cell r="C533" t="str">
            <v>قالب تعمیری</v>
          </cell>
          <cell r="N533" t="str">
            <v>وایر</v>
          </cell>
          <cell r="AC533" t="str">
            <v>1405/05/26</v>
          </cell>
        </row>
        <row r="534">
          <cell r="B534" t="str">
            <v>نگهدارنده پلاک قالب</v>
          </cell>
          <cell r="C534" t="str">
            <v>قطعه نو</v>
          </cell>
          <cell r="N534" t="str">
            <v>وایر</v>
          </cell>
          <cell r="AC534" t="str">
            <v>1405/05/26</v>
          </cell>
        </row>
        <row r="535">
          <cell r="B535" t="str">
            <v>Pin zob ahan</v>
          </cell>
          <cell r="C535" t="str">
            <v>قطعه نو</v>
          </cell>
          <cell r="N535" t="str">
            <v>وایر</v>
          </cell>
          <cell r="AC535" t="str">
            <v>1405/05/26</v>
          </cell>
        </row>
        <row r="536">
          <cell r="B536" t="str">
            <v>قلم ریو</v>
          </cell>
          <cell r="C536" t="str">
            <v>قطعه تعمیری</v>
          </cell>
          <cell r="N536" t="str">
            <v>وایر</v>
          </cell>
          <cell r="AC536" t="str">
            <v>1405/05/26</v>
          </cell>
        </row>
        <row r="537">
          <cell r="B537" t="str">
            <v>قالب پخت کلاچ پژو 405</v>
          </cell>
          <cell r="C537" t="str">
            <v>قالب تعمیری</v>
          </cell>
          <cell r="N537" t="str">
            <v>وایر</v>
          </cell>
          <cell r="AC537" t="str">
            <v>1405/05/26</v>
          </cell>
        </row>
        <row r="538">
          <cell r="B538" t="str">
            <v>دستگاه پرس 600 تن</v>
          </cell>
          <cell r="C538" t="str">
            <v>قطعه نو</v>
          </cell>
          <cell r="N538" t="str">
            <v>وایر</v>
          </cell>
          <cell r="AC538" t="str">
            <v>1405/05/26</v>
          </cell>
        </row>
        <row r="539">
          <cell r="B539" t="str">
            <v>فوتون 107</v>
          </cell>
          <cell r="C539" t="str">
            <v>قالب تعمیری</v>
          </cell>
          <cell r="N539" t="str">
            <v>وایر</v>
          </cell>
          <cell r="AC539" t="str">
            <v>1405/05/27</v>
          </cell>
        </row>
        <row r="540">
          <cell r="B540" t="str">
            <v>فوتون 107</v>
          </cell>
          <cell r="C540" t="str">
            <v>قالب تعمیری</v>
          </cell>
          <cell r="N540" t="str">
            <v>وایر</v>
          </cell>
          <cell r="AC540" t="str">
            <v>1405/05/27</v>
          </cell>
        </row>
        <row r="541">
          <cell r="B541" t="str">
            <v>قلم ریو</v>
          </cell>
          <cell r="C541" t="str">
            <v>قطعه تعمیری</v>
          </cell>
          <cell r="N541" t="str">
            <v>وایر</v>
          </cell>
          <cell r="AC541" t="str">
            <v>1405/05/27</v>
          </cell>
        </row>
        <row r="542">
          <cell r="B542" t="str">
            <v>قالب پخت کلاچ پژو 405</v>
          </cell>
          <cell r="C542" t="str">
            <v>قالب تعمیری</v>
          </cell>
          <cell r="N542" t="str">
            <v>وایر</v>
          </cell>
          <cell r="AC542" t="str">
            <v>1405/05/27</v>
          </cell>
        </row>
        <row r="543">
          <cell r="B543" t="str">
            <v>عقب لیفتراک</v>
          </cell>
          <cell r="C543" t="str">
            <v>قطعه نو</v>
          </cell>
          <cell r="N543" t="str">
            <v>وایر</v>
          </cell>
          <cell r="AC543" t="str">
            <v>1405/05/27</v>
          </cell>
        </row>
        <row r="544">
          <cell r="B544" t="str">
            <v>نگهدارنده پلاک قالب</v>
          </cell>
          <cell r="C544" t="str">
            <v>قطعه نو</v>
          </cell>
          <cell r="N544" t="str">
            <v>وایر</v>
          </cell>
          <cell r="AC544" t="str">
            <v>1405/05/27</v>
          </cell>
        </row>
        <row r="545">
          <cell r="B545" t="str">
            <v>پین عقب پژو 405</v>
          </cell>
          <cell r="C545" t="str">
            <v>قطعه نو</v>
          </cell>
          <cell r="N545" t="str">
            <v>سری تراش</v>
          </cell>
          <cell r="AC545" t="str">
            <v>1405/05/26</v>
          </cell>
        </row>
        <row r="546">
          <cell r="B546" t="str">
            <v>فوتون 107</v>
          </cell>
          <cell r="C546" t="str">
            <v>قالب تعمیری</v>
          </cell>
          <cell r="N546" t="str">
            <v>فرز</v>
          </cell>
          <cell r="AC546" t="str">
            <v>1405/05/28</v>
          </cell>
        </row>
        <row r="547">
          <cell r="B547" t="str">
            <v>دستگاه پرس 600 تن</v>
          </cell>
          <cell r="C547" t="str">
            <v>قطعه نو</v>
          </cell>
          <cell r="N547" t="str">
            <v>فرز</v>
          </cell>
          <cell r="AC547" t="str">
            <v>1405/05/28</v>
          </cell>
        </row>
        <row r="548">
          <cell r="B548" t="str">
            <v>بک پلیت ذوب آهن</v>
          </cell>
          <cell r="C548" t="str">
            <v>قطعه تعمیری</v>
          </cell>
          <cell r="N548" t="str">
            <v>فرز</v>
          </cell>
          <cell r="AC548" t="str">
            <v>1405/05/28</v>
          </cell>
        </row>
        <row r="549">
          <cell r="B549" t="str">
            <v>پرس لودری 70021</v>
          </cell>
          <cell r="C549" t="str">
            <v>قالب تعمیری</v>
          </cell>
          <cell r="N549" t="str">
            <v>فرز</v>
          </cell>
          <cell r="AC549" t="str">
            <v>1405/05/28</v>
          </cell>
        </row>
        <row r="550">
          <cell r="B550" t="str">
            <v>Pin zob ahan</v>
          </cell>
          <cell r="C550" t="str">
            <v>قطعه نو</v>
          </cell>
          <cell r="N550" t="str">
            <v>تراش</v>
          </cell>
          <cell r="AC550" t="str">
            <v>1405/05/28</v>
          </cell>
        </row>
        <row r="551">
          <cell r="B551" t="str">
            <v>پخت عقب پژو 405 شمشی پایه کوتاه</v>
          </cell>
          <cell r="C551" t="str">
            <v>قالب نو</v>
          </cell>
          <cell r="N551" t="str">
            <v>مونتاژ</v>
          </cell>
          <cell r="AC551" t="str">
            <v>1405/05/28</v>
          </cell>
        </row>
        <row r="552">
          <cell r="B552" t="str">
            <v>ساب سمباده ای</v>
          </cell>
          <cell r="C552" t="str">
            <v>قطعه تعمیری</v>
          </cell>
          <cell r="N552" t="str">
            <v>مونتاژ</v>
          </cell>
          <cell r="AC552" t="str">
            <v>1405/05/28</v>
          </cell>
        </row>
        <row r="553">
          <cell r="B553" t="str">
            <v>پخت کلاچ ایسوزو</v>
          </cell>
          <cell r="C553" t="str">
            <v>قالب تعمیری</v>
          </cell>
          <cell r="N553" t="str">
            <v>CNC</v>
          </cell>
          <cell r="AC553" t="str">
            <v>1405/05/28</v>
          </cell>
        </row>
        <row r="554">
          <cell r="B554" t="str">
            <v>قالب پخت SAF</v>
          </cell>
          <cell r="C554" t="str">
            <v>قالب نو</v>
          </cell>
          <cell r="N554" t="str">
            <v>CNC</v>
          </cell>
          <cell r="AC554" t="str">
            <v>1405/05/28</v>
          </cell>
        </row>
        <row r="555">
          <cell r="B555" t="str">
            <v>پخت عقب پژو 405 شمشی پایه کوتاه</v>
          </cell>
          <cell r="C555" t="str">
            <v>قالب نو</v>
          </cell>
          <cell r="N555" t="str">
            <v>CNC</v>
          </cell>
          <cell r="AC555" t="str">
            <v>1405/05/28</v>
          </cell>
        </row>
        <row r="556">
          <cell r="B556" t="str">
            <v>دریل یزدخواستی کلاچ</v>
          </cell>
          <cell r="C556" t="str">
            <v>قطعه نو</v>
          </cell>
          <cell r="N556" t="str">
            <v>CNC</v>
          </cell>
          <cell r="AC556" t="str">
            <v>1405/05/28</v>
          </cell>
        </row>
        <row r="557">
          <cell r="B557" t="str">
            <v>سوراخکاری پیلسان</v>
          </cell>
          <cell r="C557" t="str">
            <v>قطعه نو</v>
          </cell>
          <cell r="N557" t="str">
            <v>CNC</v>
          </cell>
          <cell r="AC557" t="str">
            <v>1405/05/28</v>
          </cell>
        </row>
        <row r="558">
          <cell r="B558" t="str">
            <v>دریل یزدخواستی کلاچ</v>
          </cell>
          <cell r="C558" t="str">
            <v>قطعه نو</v>
          </cell>
          <cell r="N558" t="str">
            <v>CNC</v>
          </cell>
          <cell r="AC558" t="str">
            <v>1405/05/28</v>
          </cell>
        </row>
        <row r="559">
          <cell r="B559" t="str">
            <v>قالب پخت SAF</v>
          </cell>
          <cell r="C559" t="str">
            <v>قالب نو</v>
          </cell>
          <cell r="N559" t="str">
            <v>سنگ زنی</v>
          </cell>
          <cell r="AC559" t="str">
            <v>1405/05/28</v>
          </cell>
        </row>
        <row r="560">
          <cell r="B560" t="str">
            <v>قالب مترو مشهد</v>
          </cell>
          <cell r="C560" t="str">
            <v>قالب تعمیری</v>
          </cell>
          <cell r="N560" t="str">
            <v>سنگ زنی</v>
          </cell>
          <cell r="AC560" t="str">
            <v>1405/05/28</v>
          </cell>
        </row>
        <row r="561">
          <cell r="B561" t="str">
            <v>قالب مترو مشهد</v>
          </cell>
          <cell r="C561" t="str">
            <v>قالب تعمیری</v>
          </cell>
          <cell r="N561" t="str">
            <v>سنگ زنی</v>
          </cell>
          <cell r="AC561" t="str">
            <v>1405/05/28</v>
          </cell>
        </row>
        <row r="562">
          <cell r="B562" t="str">
            <v>فوتون 107</v>
          </cell>
          <cell r="C562" t="str">
            <v>قالب تعمیری</v>
          </cell>
          <cell r="N562" t="str">
            <v>سنگ زنی</v>
          </cell>
          <cell r="AC562" t="str">
            <v>1405/05/28</v>
          </cell>
        </row>
        <row r="563">
          <cell r="B563" t="str">
            <v>نک آرایش BPW تاجدار</v>
          </cell>
          <cell r="C563" t="str">
            <v>قالب تعمیری</v>
          </cell>
          <cell r="N563" t="str">
            <v>سنگ زنی</v>
          </cell>
          <cell r="AC563" t="str">
            <v>1405/05/28</v>
          </cell>
        </row>
        <row r="564">
          <cell r="B564" t="str">
            <v>میکس</v>
          </cell>
          <cell r="C564" t="str">
            <v>قطعه تعمیری</v>
          </cell>
          <cell r="N564" t="str">
            <v>تراش</v>
          </cell>
          <cell r="AC564" t="str">
            <v>1405/05/28</v>
          </cell>
        </row>
        <row r="565">
          <cell r="B565" t="str">
            <v>ساب کونیک</v>
          </cell>
          <cell r="C565" t="str">
            <v>قطعه تعمیری</v>
          </cell>
          <cell r="N565" t="str">
            <v>تراش</v>
          </cell>
          <cell r="AC565" t="str">
            <v>1405/05/28</v>
          </cell>
        </row>
        <row r="566">
          <cell r="B566" t="str">
            <v>ویوینگ</v>
          </cell>
          <cell r="C566" t="str">
            <v>قطعه تعمیری</v>
          </cell>
          <cell r="N566" t="str">
            <v>مونتاژ</v>
          </cell>
          <cell r="AC566" t="str">
            <v>1405/05/25</v>
          </cell>
        </row>
        <row r="567">
          <cell r="B567" t="str">
            <v>ساب کونیک</v>
          </cell>
          <cell r="C567" t="str">
            <v>قطعه تعمیری</v>
          </cell>
          <cell r="N567" t="str">
            <v>تراش</v>
          </cell>
          <cell r="AC567" t="str">
            <v>1405/05/28</v>
          </cell>
        </row>
        <row r="568">
          <cell r="B568" t="str">
            <v>ساب سمباده ای</v>
          </cell>
          <cell r="C568" t="str">
            <v>قطعه تعمیری</v>
          </cell>
          <cell r="N568" t="str">
            <v>تراش</v>
          </cell>
          <cell r="AC568" t="str">
            <v>1405/05/28</v>
          </cell>
        </row>
        <row r="569">
          <cell r="B569" t="str">
            <v>فوتون 107</v>
          </cell>
          <cell r="C569" t="str">
            <v>قالب تعمیری</v>
          </cell>
          <cell r="N569" t="str">
            <v>وایر</v>
          </cell>
          <cell r="AC569" t="str">
            <v>1405/05/28</v>
          </cell>
        </row>
        <row r="570">
          <cell r="B570" t="str">
            <v>فوتون 107</v>
          </cell>
          <cell r="C570" t="str">
            <v>قالب تعمیری</v>
          </cell>
          <cell r="N570" t="str">
            <v>وایر</v>
          </cell>
          <cell r="AC570" t="str">
            <v>1405/05/28</v>
          </cell>
        </row>
        <row r="571">
          <cell r="B571" t="str">
            <v>نگهدارنده پلاک قالب</v>
          </cell>
          <cell r="C571" t="str">
            <v>قطعه نو</v>
          </cell>
          <cell r="N571" t="str">
            <v>وایر</v>
          </cell>
          <cell r="AC571" t="str">
            <v>1405/05/28</v>
          </cell>
        </row>
        <row r="572">
          <cell r="B572" t="str">
            <v>عقب لیفتراک</v>
          </cell>
          <cell r="C572" t="str">
            <v>قطعه نو</v>
          </cell>
          <cell r="N572" t="str">
            <v>وایر</v>
          </cell>
          <cell r="AC572" t="str">
            <v>1405/05/28</v>
          </cell>
        </row>
        <row r="573">
          <cell r="B573" t="str">
            <v>قالب عقب F12</v>
          </cell>
          <cell r="C573" t="str">
            <v>قالب نو</v>
          </cell>
          <cell r="N573" t="str">
            <v>مونتاژ</v>
          </cell>
          <cell r="AC573" t="str">
            <v>1405/05/28</v>
          </cell>
        </row>
        <row r="574">
          <cell r="B574" t="str">
            <v>پخت عقب پژو 405 شمشی پایه کوتاه</v>
          </cell>
          <cell r="C574" t="str">
            <v>قالب نو</v>
          </cell>
          <cell r="N574" t="str">
            <v>مونتاژ</v>
          </cell>
          <cell r="AC574" t="str">
            <v>1405/05/28</v>
          </cell>
        </row>
        <row r="575">
          <cell r="B575" t="str">
            <v>قالب عقب F12</v>
          </cell>
          <cell r="C575" t="str">
            <v>قالب نو</v>
          </cell>
          <cell r="N575" t="str">
            <v>مونتاژ</v>
          </cell>
          <cell r="AC575" t="str">
            <v>1405/05/29</v>
          </cell>
        </row>
        <row r="576">
          <cell r="B576" t="str">
            <v>کفشک قطاری</v>
          </cell>
          <cell r="C576" t="str">
            <v>قطعه تعمیری</v>
          </cell>
          <cell r="N576" t="str">
            <v>مونتاژ</v>
          </cell>
          <cell r="AC576" t="str">
            <v>1405/05/28</v>
          </cell>
        </row>
        <row r="577">
          <cell r="B577" t="str">
            <v>کفشک قطاری</v>
          </cell>
          <cell r="C577" t="str">
            <v>قطعه تعمیری</v>
          </cell>
          <cell r="N577" t="str">
            <v>مونتاژ</v>
          </cell>
          <cell r="AC577" t="str">
            <v>1405/05/29</v>
          </cell>
        </row>
        <row r="578">
          <cell r="B578" t="str">
            <v>پخت کلاچ ایویکو سوراخدار</v>
          </cell>
          <cell r="C578" t="str">
            <v>قالب تعمیری</v>
          </cell>
          <cell r="N578" t="str">
            <v>مونتاژ</v>
          </cell>
          <cell r="AC578" t="str">
            <v>1405/05/29</v>
          </cell>
        </row>
        <row r="579">
          <cell r="B579" t="str">
            <v>قالب پخت کلاچ</v>
          </cell>
          <cell r="C579" t="str">
            <v>قالب تعمیری</v>
          </cell>
          <cell r="N579" t="str">
            <v>فرز</v>
          </cell>
          <cell r="AC579" t="str">
            <v>1405/05/29</v>
          </cell>
        </row>
        <row r="580">
          <cell r="B580" t="str">
            <v>قالب پخت SAF</v>
          </cell>
          <cell r="C580" t="str">
            <v>قالب نو</v>
          </cell>
          <cell r="N580" t="str">
            <v>سنگ زنی</v>
          </cell>
          <cell r="AC580" t="str">
            <v>1405/05/29</v>
          </cell>
        </row>
        <row r="581">
          <cell r="B581" t="str">
            <v>پخت کلاچ پژو 206 TU5</v>
          </cell>
          <cell r="C581" t="str">
            <v>قالب تعمیری</v>
          </cell>
          <cell r="N581" t="str">
            <v>سنگ زنی</v>
          </cell>
          <cell r="AC581" t="str">
            <v>1405/05/29</v>
          </cell>
        </row>
        <row r="582">
          <cell r="B582" t="str">
            <v>قالب پخت SAF</v>
          </cell>
          <cell r="C582" t="str">
            <v>قالب تعمیری</v>
          </cell>
          <cell r="N582" t="str">
            <v>وایر</v>
          </cell>
          <cell r="AC582" t="str">
            <v>1405/05/29</v>
          </cell>
        </row>
        <row r="583">
          <cell r="B583" t="str">
            <v>قالب پخت SAF</v>
          </cell>
          <cell r="C583" t="str">
            <v>قالب تعمیری</v>
          </cell>
          <cell r="N583" t="str">
            <v>وایر</v>
          </cell>
          <cell r="AC583" t="str">
            <v>1405/05/29</v>
          </cell>
        </row>
        <row r="584">
          <cell r="B584" t="str">
            <v>قالب پخت SAF</v>
          </cell>
          <cell r="C584" t="str">
            <v>قالب تعمیری</v>
          </cell>
          <cell r="N584" t="str">
            <v>وایر</v>
          </cell>
          <cell r="AC584" t="str">
            <v>1405/05/29</v>
          </cell>
        </row>
        <row r="585">
          <cell r="B585" t="str">
            <v>فوتون 107</v>
          </cell>
          <cell r="C585" t="str">
            <v>قالب تعمیری</v>
          </cell>
          <cell r="N585" t="str">
            <v>وایر</v>
          </cell>
          <cell r="AC585" t="str">
            <v>1405/05/29</v>
          </cell>
        </row>
        <row r="586">
          <cell r="B586" t="str">
            <v>قطعه بیرونی</v>
          </cell>
          <cell r="C586" t="str">
            <v>قطعه تعمیری</v>
          </cell>
          <cell r="N586" t="str">
            <v>سوپردریل</v>
          </cell>
          <cell r="AC586" t="str">
            <v>1405/05/29</v>
          </cell>
        </row>
        <row r="587">
          <cell r="B587" t="str">
            <v>پخت عقب پژو 405 شمشی پایه کوتاه</v>
          </cell>
          <cell r="C587" t="str">
            <v>قالب نو</v>
          </cell>
          <cell r="N587" t="str">
            <v>CNC</v>
          </cell>
          <cell r="AC587" t="str">
            <v>1405/05/29</v>
          </cell>
        </row>
        <row r="588">
          <cell r="B588" t="str">
            <v>پخت کلاچ ایسوزو</v>
          </cell>
          <cell r="C588" t="str">
            <v>قالب تعمیری</v>
          </cell>
          <cell r="N588" t="str">
            <v>CNC</v>
          </cell>
          <cell r="AC588" t="str">
            <v>1405/05/29</v>
          </cell>
        </row>
        <row r="589">
          <cell r="B589" t="str">
            <v>دستگاه پرس 600 تن</v>
          </cell>
          <cell r="C589" t="str">
            <v>قطعه نو</v>
          </cell>
          <cell r="N589" t="str">
            <v>تراش</v>
          </cell>
          <cell r="AC589" t="str">
            <v>1405/05/29</v>
          </cell>
        </row>
        <row r="590">
          <cell r="B590" t="str">
            <v>نوار نقاله</v>
          </cell>
          <cell r="C590" t="str">
            <v>قطعه نو</v>
          </cell>
          <cell r="N590" t="str">
            <v>تراش</v>
          </cell>
          <cell r="AC590" t="str">
            <v>1405/05/29</v>
          </cell>
        </row>
        <row r="591">
          <cell r="B591" t="str">
            <v>نوار نقاله</v>
          </cell>
          <cell r="C591" t="str">
            <v>قطعه نو</v>
          </cell>
          <cell r="N591" t="str">
            <v>تراش</v>
          </cell>
          <cell r="AC591" t="str">
            <v>1405/05/29</v>
          </cell>
        </row>
        <row r="592">
          <cell r="B592" t="str">
            <v>میکس</v>
          </cell>
          <cell r="C592" t="str">
            <v>قطعه تعمیری</v>
          </cell>
          <cell r="N592" t="str">
            <v>تراش</v>
          </cell>
          <cell r="AC592" t="str">
            <v>1405/05/29</v>
          </cell>
        </row>
        <row r="593">
          <cell r="B593" t="str">
            <v>Pin zob ahan</v>
          </cell>
          <cell r="C593" t="str">
            <v>قطعه نو</v>
          </cell>
          <cell r="N593" t="str">
            <v>تراش</v>
          </cell>
          <cell r="AC593" t="str">
            <v>1405/05/29</v>
          </cell>
        </row>
        <row r="594">
          <cell r="B594" t="str">
            <v>پخت کلاچ پراید</v>
          </cell>
          <cell r="C594" t="str">
            <v>قالب تعمیری</v>
          </cell>
          <cell r="N594" t="str">
            <v>مونتاژ</v>
          </cell>
          <cell r="AC594" t="str">
            <v>1405/05/29</v>
          </cell>
        </row>
        <row r="595">
          <cell r="B595" t="str">
            <v>پخت عقب پژو 405 شمشی پایه کوتاه</v>
          </cell>
          <cell r="C595" t="str">
            <v>قالب نو</v>
          </cell>
          <cell r="N595" t="str">
            <v>مونتاژ</v>
          </cell>
          <cell r="AC595" t="str">
            <v>1405/05/29</v>
          </cell>
        </row>
        <row r="596">
          <cell r="B596" t="str">
            <v>پخت عقب پژو 405 شمشی پایه کوتاه</v>
          </cell>
          <cell r="C596" t="str">
            <v>قالب نو</v>
          </cell>
          <cell r="N596" t="str">
            <v>مونتاژ</v>
          </cell>
          <cell r="AC596" t="str">
            <v>1405/05/29</v>
          </cell>
        </row>
        <row r="597">
          <cell r="B597" t="str">
            <v>پخت کلاچ ایویکو سوراخدار</v>
          </cell>
          <cell r="C597" t="str">
            <v>قالب تعمیری</v>
          </cell>
          <cell r="N597" t="str">
            <v>مونتاژ</v>
          </cell>
          <cell r="AC597" t="str">
            <v>1405/05/29</v>
          </cell>
        </row>
        <row r="598">
          <cell r="B598" t="str">
            <v>پخت عقب پژو 405 شمشی پایه کوتاه</v>
          </cell>
          <cell r="C598" t="str">
            <v>قالب نو</v>
          </cell>
          <cell r="N598" t="str">
            <v>مونتاژ</v>
          </cell>
          <cell r="AC598" t="str">
            <v>1405/05/30</v>
          </cell>
        </row>
        <row r="599">
          <cell r="B599" t="str">
            <v>پخت عقب پژو 405 شمشی پایه کوتاه</v>
          </cell>
          <cell r="C599" t="str">
            <v>قالب نو</v>
          </cell>
          <cell r="N599" t="str">
            <v>CNC</v>
          </cell>
          <cell r="AC599" t="str">
            <v>1405/05/31</v>
          </cell>
        </row>
        <row r="600">
          <cell r="B600" t="str">
            <v>پخت کلاچ تیبا راست</v>
          </cell>
          <cell r="C600" t="str">
            <v>قالب نو</v>
          </cell>
          <cell r="N600" t="str">
            <v>CNC</v>
          </cell>
          <cell r="AC600" t="str">
            <v>1405/05/31</v>
          </cell>
        </row>
        <row r="601">
          <cell r="B601" t="str">
            <v>قالب پخت کلاچ</v>
          </cell>
          <cell r="C601" t="str">
            <v>قالب تعمیری</v>
          </cell>
          <cell r="N601" t="str">
            <v>فرز</v>
          </cell>
          <cell r="AC601" t="str">
            <v>1405/05/31</v>
          </cell>
        </row>
        <row r="602">
          <cell r="B602" t="str">
            <v>قالب مینی بوس آریا</v>
          </cell>
          <cell r="C602" t="str">
            <v>قالب نو</v>
          </cell>
          <cell r="N602" t="str">
            <v>CNC</v>
          </cell>
          <cell r="AC602" t="str">
            <v>1405/05/31</v>
          </cell>
        </row>
        <row r="603">
          <cell r="B603" t="str">
            <v>فوتون 107</v>
          </cell>
          <cell r="C603" t="str">
            <v>قالب تعمیری</v>
          </cell>
          <cell r="N603" t="str">
            <v>فرز</v>
          </cell>
          <cell r="AC603" t="str">
            <v>1405/05/31</v>
          </cell>
        </row>
        <row r="604">
          <cell r="B604" t="str">
            <v>قالب پخت کلاچ</v>
          </cell>
          <cell r="C604" t="str">
            <v>قالب تعمیری</v>
          </cell>
          <cell r="N604" t="str">
            <v>فرز</v>
          </cell>
          <cell r="AC604" t="str">
            <v>1405/05/31</v>
          </cell>
        </row>
        <row r="605">
          <cell r="B605" t="str">
            <v>پخت کلاچ لندکروز</v>
          </cell>
          <cell r="C605" t="str">
            <v>قالب تعمیری</v>
          </cell>
          <cell r="N605" t="str">
            <v>فرز</v>
          </cell>
          <cell r="AC605" t="str">
            <v>1405/05/31</v>
          </cell>
        </row>
        <row r="606">
          <cell r="B606" t="str">
            <v>Pin zob ahan</v>
          </cell>
          <cell r="C606" t="str">
            <v>قطعه نو</v>
          </cell>
          <cell r="N606" t="str">
            <v>تراش</v>
          </cell>
          <cell r="AC606" t="str">
            <v>1405/05/31</v>
          </cell>
        </row>
        <row r="607">
          <cell r="B607" t="str">
            <v>پخت 300 تن</v>
          </cell>
          <cell r="C607" t="str">
            <v>قطعه نو</v>
          </cell>
          <cell r="N607" t="str">
            <v>تراش</v>
          </cell>
          <cell r="AC607" t="str">
            <v>1405/05/31</v>
          </cell>
        </row>
        <row r="608">
          <cell r="B608" t="str">
            <v>پخت 300 تن</v>
          </cell>
          <cell r="C608" t="str">
            <v>قطعه نو</v>
          </cell>
          <cell r="N608" t="str">
            <v>تراش</v>
          </cell>
          <cell r="AC608" t="str">
            <v>1405/05/31</v>
          </cell>
        </row>
        <row r="609">
          <cell r="B609" t="str">
            <v>پخت کلاچ پژو 206 TU5</v>
          </cell>
          <cell r="C609" t="str">
            <v>قالب تعمیری</v>
          </cell>
          <cell r="N609" t="str">
            <v>سنگ زنی</v>
          </cell>
          <cell r="AC609" t="str">
            <v>1405/05/31</v>
          </cell>
        </row>
        <row r="610">
          <cell r="B610" t="str">
            <v>توری میدل باس</v>
          </cell>
          <cell r="C610" t="str">
            <v>قالب تعمیری</v>
          </cell>
          <cell r="N610" t="str">
            <v>سنگ زنی</v>
          </cell>
          <cell r="AC610" t="str">
            <v>1405/05/31</v>
          </cell>
        </row>
        <row r="611">
          <cell r="B611" t="str">
            <v>توری میدل باس</v>
          </cell>
          <cell r="C611" t="str">
            <v>قالب تعمیری</v>
          </cell>
          <cell r="N611" t="str">
            <v>سنگ زنی</v>
          </cell>
          <cell r="AC611" t="str">
            <v>1405/05/31</v>
          </cell>
        </row>
        <row r="612">
          <cell r="B612" t="str">
            <v>پخت کلاچ لندکروز</v>
          </cell>
          <cell r="C612" t="str">
            <v>قالب تعمیری</v>
          </cell>
          <cell r="N612" t="str">
            <v>سنگ زنی</v>
          </cell>
          <cell r="AC612" t="str">
            <v>1405/05/31</v>
          </cell>
        </row>
        <row r="613">
          <cell r="B613" t="str">
            <v>قالب شمشی عقب پیکان</v>
          </cell>
          <cell r="C613" t="str">
            <v>قالب نو</v>
          </cell>
          <cell r="N613" t="str">
            <v>وایر</v>
          </cell>
          <cell r="AC613" t="str">
            <v>1405/05/31</v>
          </cell>
        </row>
        <row r="614">
          <cell r="B614" t="str">
            <v>فوتون 107</v>
          </cell>
          <cell r="C614" t="str">
            <v>قالب تعمیری</v>
          </cell>
          <cell r="N614" t="str">
            <v>وایر</v>
          </cell>
          <cell r="AC614" t="str">
            <v>1405/05/31</v>
          </cell>
        </row>
        <row r="615">
          <cell r="B615" t="str">
            <v>دستگاه CNC</v>
          </cell>
          <cell r="C615" t="str">
            <v>قطعه نو</v>
          </cell>
          <cell r="N615" t="str">
            <v>تراش</v>
          </cell>
          <cell r="AC615" t="str">
            <v>1405/05/31</v>
          </cell>
        </row>
        <row r="616">
          <cell r="B616" t="str">
            <v>ساب کف گرگی</v>
          </cell>
          <cell r="C616" t="str">
            <v>قطعه تعمیری</v>
          </cell>
          <cell r="N616" t="str">
            <v>تراش</v>
          </cell>
          <cell r="AC616" t="str">
            <v>1405/05/31</v>
          </cell>
        </row>
        <row r="617">
          <cell r="B617" t="str">
            <v>نوار نقاله</v>
          </cell>
          <cell r="C617" t="str">
            <v>قطعه نو</v>
          </cell>
          <cell r="N617" t="str">
            <v>تراش</v>
          </cell>
          <cell r="AC617" t="str">
            <v>1405/05/31</v>
          </cell>
        </row>
        <row r="618">
          <cell r="B618" t="str">
            <v>نوار نقاله</v>
          </cell>
          <cell r="C618" t="str">
            <v>قطعه نو</v>
          </cell>
          <cell r="N618" t="str">
            <v>وایر</v>
          </cell>
          <cell r="AC618" t="str">
            <v>1405/05/31</v>
          </cell>
        </row>
        <row r="619">
          <cell r="B619" t="str">
            <v>دستگاه پرس 600 تن</v>
          </cell>
          <cell r="C619" t="str">
            <v>قطعه نو</v>
          </cell>
          <cell r="N619" t="str">
            <v>تراش</v>
          </cell>
          <cell r="AC619" t="str">
            <v>1405/05/31</v>
          </cell>
        </row>
        <row r="620">
          <cell r="B620" t="str">
            <v>کمپرسور باد</v>
          </cell>
          <cell r="C620" t="str">
            <v>قطعه نو</v>
          </cell>
          <cell r="N620" t="str">
            <v>تراش</v>
          </cell>
          <cell r="AC620" t="str">
            <v>1405/05/31</v>
          </cell>
        </row>
        <row r="621">
          <cell r="B621" t="str">
            <v>قالب عقب F12</v>
          </cell>
          <cell r="C621" t="str">
            <v>قالب نو</v>
          </cell>
          <cell r="N621" t="str">
            <v>مونتاژ</v>
          </cell>
          <cell r="AC621" t="str">
            <v>1405/05/31</v>
          </cell>
        </row>
        <row r="622">
          <cell r="B622" t="str">
            <v>نوار نقاله</v>
          </cell>
          <cell r="C622" t="str">
            <v>قطعه نو</v>
          </cell>
          <cell r="N622" t="str">
            <v>اره لنگ</v>
          </cell>
          <cell r="AC622" t="str">
            <v>1405/05/31</v>
          </cell>
        </row>
        <row r="623">
          <cell r="B623" t="str">
            <v>پین عقب پژو 405</v>
          </cell>
          <cell r="C623" t="str">
            <v>قطعه نو</v>
          </cell>
          <cell r="N623" t="str">
            <v>مونتاژ</v>
          </cell>
          <cell r="AC623" t="str">
            <v>1405/05/31</v>
          </cell>
        </row>
        <row r="624">
          <cell r="B624" t="str">
            <v>اصول 5S</v>
          </cell>
          <cell r="C624" t="str">
            <v>نظافت</v>
          </cell>
          <cell r="N624" t="str">
            <v>مونتاژ</v>
          </cell>
          <cell r="AC624" t="str">
            <v>1405/05/31</v>
          </cell>
        </row>
        <row r="625">
          <cell r="B625" t="str">
            <v>کلمپ زنی</v>
          </cell>
          <cell r="C625" t="str">
            <v>قطعه تعمیری</v>
          </cell>
          <cell r="N625" t="str">
            <v>دریل رادیال</v>
          </cell>
          <cell r="AC625" t="str">
            <v>1405/05/31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  <sheetName val="1شهریور"/>
    </sheetNames>
    <sheetDataSet>
      <sheetData sheetId="0"/>
      <sheetData sheetId="1"/>
      <sheetData sheetId="2"/>
      <sheetData sheetId="3"/>
      <sheetData sheetId="4">
        <row r="4">
          <cell r="B4" t="str">
            <v>شمش پراید</v>
          </cell>
        </row>
      </sheetData>
      <sheetData sheetId="5">
        <row r="4">
          <cell r="B4" t="str">
            <v>پخت کلاچ تیبا راست</v>
          </cell>
          <cell r="C4" t="str">
            <v>قالب نو</v>
          </cell>
          <cell r="N4" t="str">
            <v>CNC</v>
          </cell>
          <cell r="AC4" t="str">
            <v>1405/06/01</v>
          </cell>
        </row>
        <row r="5">
          <cell r="B5" t="str">
            <v>قالب پخت کلاچ</v>
          </cell>
          <cell r="C5" t="str">
            <v>قالب تعمیری</v>
          </cell>
          <cell r="N5" t="str">
            <v>فرز</v>
          </cell>
          <cell r="AC5" t="str">
            <v>1405/06/01</v>
          </cell>
        </row>
        <row r="6">
          <cell r="B6" t="str">
            <v>قالب پخت کلاچ</v>
          </cell>
          <cell r="C6" t="str">
            <v>قالب تعمیری</v>
          </cell>
          <cell r="N6" t="str">
            <v>فرز</v>
          </cell>
          <cell r="AC6" t="str">
            <v>1405/06/01</v>
          </cell>
        </row>
        <row r="7">
          <cell r="B7" t="str">
            <v>ساب ترابوزا</v>
          </cell>
          <cell r="C7" t="str">
            <v>قطعه نو</v>
          </cell>
          <cell r="N7" t="str">
            <v>تراش</v>
          </cell>
          <cell r="AC7" t="str">
            <v>1405/06/02</v>
          </cell>
        </row>
        <row r="8">
          <cell r="B8" t="str">
            <v>قالب پخت کلاچ</v>
          </cell>
          <cell r="C8" t="str">
            <v>قالب تعمیری</v>
          </cell>
          <cell r="N8" t="str">
            <v>فرز</v>
          </cell>
          <cell r="AC8" t="str">
            <v>1405/06/02</v>
          </cell>
        </row>
        <row r="9">
          <cell r="B9" t="str">
            <v>پخت عقب پژو 405 شمشی پایه کوتاه</v>
          </cell>
          <cell r="C9" t="str">
            <v>قالب نو</v>
          </cell>
          <cell r="N9" t="str">
            <v>CNC</v>
          </cell>
          <cell r="AC9" t="str">
            <v>1405/06/01</v>
          </cell>
        </row>
        <row r="10">
          <cell r="B10" t="str">
            <v>پخت کلاچ پژو 206 TU5</v>
          </cell>
          <cell r="C10" t="str">
            <v>قالب تعمیری</v>
          </cell>
          <cell r="N10" t="str">
            <v>CNC</v>
          </cell>
          <cell r="AC10" t="str">
            <v>1405/06/01</v>
          </cell>
        </row>
        <row r="11">
          <cell r="B11" t="str">
            <v>پخت کلاچ پژو 206 TU5</v>
          </cell>
          <cell r="C11" t="str">
            <v>قالب تعمیری</v>
          </cell>
          <cell r="N11" t="str">
            <v>CNC</v>
          </cell>
          <cell r="AC11" t="str">
            <v>1405/06/02</v>
          </cell>
        </row>
        <row r="12">
          <cell r="B12" t="str">
            <v>دستگاه پرس پخت</v>
          </cell>
          <cell r="C12" t="str">
            <v>قطعه نو</v>
          </cell>
          <cell r="N12" t="str">
            <v>تراش</v>
          </cell>
          <cell r="AC12" t="str">
            <v>1405/06/01</v>
          </cell>
        </row>
        <row r="13">
          <cell r="B13" t="str">
            <v>پخت کلاچ پژو 206 TU5</v>
          </cell>
          <cell r="C13" t="str">
            <v>قالب تعمیری</v>
          </cell>
          <cell r="N13" t="str">
            <v>تراش</v>
          </cell>
          <cell r="AC13" t="str">
            <v>1405/06/01</v>
          </cell>
        </row>
        <row r="14">
          <cell r="B14" t="str">
            <v>پخت کلاچ پژو 206 TU5</v>
          </cell>
          <cell r="C14" t="str">
            <v>قالب تعمیری</v>
          </cell>
          <cell r="N14" t="str">
            <v>تراش</v>
          </cell>
          <cell r="AC14" t="str">
            <v>1405/06/02</v>
          </cell>
        </row>
        <row r="15">
          <cell r="B15" t="str">
            <v>ساب کف گرگی</v>
          </cell>
          <cell r="C15" t="str">
            <v>قطعه نو</v>
          </cell>
          <cell r="N15" t="str">
            <v>تراش</v>
          </cell>
          <cell r="AC15" t="str">
            <v>1405/06/01</v>
          </cell>
        </row>
        <row r="16">
          <cell r="B16" t="str">
            <v>دستگاه پرس پخت</v>
          </cell>
          <cell r="C16" t="str">
            <v>قطعه تعمیری</v>
          </cell>
          <cell r="N16" t="str">
            <v>تراش</v>
          </cell>
          <cell r="AC16" t="str">
            <v>1405/06/01</v>
          </cell>
        </row>
        <row r="17">
          <cell r="B17" t="str">
            <v>دستگاه پرس پخت</v>
          </cell>
          <cell r="C17" t="str">
            <v>قطعه نو</v>
          </cell>
          <cell r="N17" t="str">
            <v>تراش</v>
          </cell>
          <cell r="AC17" t="str">
            <v>1405/06/01</v>
          </cell>
        </row>
        <row r="18">
          <cell r="B18" t="str">
            <v>دستگاه ساب الماسه</v>
          </cell>
          <cell r="C18" t="str">
            <v>قطعه تعمیری</v>
          </cell>
          <cell r="N18" t="str">
            <v>تراش</v>
          </cell>
          <cell r="AC18" t="str">
            <v>1405/06/01</v>
          </cell>
        </row>
        <row r="19">
          <cell r="B19" t="str">
            <v>دستگاه پرس پخت</v>
          </cell>
          <cell r="C19" t="str">
            <v>قطعه تعمیری</v>
          </cell>
          <cell r="N19" t="str">
            <v>مونتاژ</v>
          </cell>
          <cell r="AC19" t="str">
            <v>1405/06/01</v>
          </cell>
        </row>
        <row r="20">
          <cell r="B20" t="str">
            <v>پشم فلز آلمانی</v>
          </cell>
          <cell r="C20" t="str">
            <v>قطعه نو</v>
          </cell>
          <cell r="N20" t="str">
            <v>تراش</v>
          </cell>
          <cell r="AC20" t="str">
            <v>1405/06/02</v>
          </cell>
        </row>
        <row r="21">
          <cell r="B21" t="str">
            <v>دستگاه پرس 600 تن</v>
          </cell>
          <cell r="C21" t="str">
            <v>قطعه نو</v>
          </cell>
          <cell r="N21" t="str">
            <v>تراش</v>
          </cell>
          <cell r="AC21" t="str">
            <v>1405/06/02</v>
          </cell>
        </row>
        <row r="22">
          <cell r="B22" t="str">
            <v>ساب کف گرگی</v>
          </cell>
          <cell r="C22" t="str">
            <v>قطعه نو</v>
          </cell>
          <cell r="N22" t="str">
            <v>مونتاژ</v>
          </cell>
          <cell r="AC22" t="str">
            <v>1405/06/02</v>
          </cell>
        </row>
        <row r="23">
          <cell r="B23" t="str">
            <v>دستگاه پرس 600 تن</v>
          </cell>
          <cell r="C23" t="str">
            <v>قطعه نو</v>
          </cell>
          <cell r="N23" t="str">
            <v>مونتاژ</v>
          </cell>
          <cell r="AC23" t="str">
            <v>1405/06/02</v>
          </cell>
        </row>
        <row r="24">
          <cell r="B24" t="str">
            <v>قالب شمشی عقب پیکان</v>
          </cell>
          <cell r="C24" t="str">
            <v>قالب نو</v>
          </cell>
          <cell r="N24" t="str">
            <v>وایر</v>
          </cell>
          <cell r="AC24" t="str">
            <v>1405/06/02</v>
          </cell>
        </row>
        <row r="25">
          <cell r="B25" t="str">
            <v>نگهدارنده پلاک قالب</v>
          </cell>
          <cell r="C25" t="str">
            <v>قطعه نو</v>
          </cell>
          <cell r="N25" t="str">
            <v>وایر</v>
          </cell>
          <cell r="AC25" t="str">
            <v>1405/06/02</v>
          </cell>
        </row>
        <row r="26">
          <cell r="B26" t="str">
            <v>ویوینگ</v>
          </cell>
          <cell r="C26" t="str">
            <v>قطعه تعمیری</v>
          </cell>
          <cell r="N26" t="str">
            <v>وایر</v>
          </cell>
          <cell r="AC26" t="str">
            <v>1405/06/02</v>
          </cell>
        </row>
        <row r="27">
          <cell r="B27" t="str">
            <v>فوتون 107</v>
          </cell>
          <cell r="C27" t="str">
            <v>قالب تعمیری</v>
          </cell>
          <cell r="N27" t="str">
            <v>وایر</v>
          </cell>
          <cell r="AC27" t="str">
            <v>1405/06/02</v>
          </cell>
        </row>
        <row r="28">
          <cell r="B28" t="str">
            <v>پخت کلاچ لندکروز</v>
          </cell>
          <cell r="C28" t="str">
            <v>قالب تعمیری</v>
          </cell>
          <cell r="N28" t="str">
            <v>سنگ زنی</v>
          </cell>
          <cell r="AC28" t="str">
            <v>1405/06/01</v>
          </cell>
        </row>
        <row r="29">
          <cell r="B29" t="str">
            <v>پخت کلاچ لندکروز</v>
          </cell>
          <cell r="C29" t="str">
            <v>قالب تعمیری</v>
          </cell>
          <cell r="N29" t="str">
            <v>سنگ زنی</v>
          </cell>
          <cell r="AC29" t="str">
            <v>1405/06/01</v>
          </cell>
        </row>
        <row r="30">
          <cell r="B30" t="str">
            <v>فوتون 107</v>
          </cell>
          <cell r="C30" t="str">
            <v>قالب تعمیری</v>
          </cell>
          <cell r="N30" t="str">
            <v>سنگ زنی</v>
          </cell>
          <cell r="AC30" t="str">
            <v>1405/06/01</v>
          </cell>
        </row>
        <row r="31">
          <cell r="B31" t="str">
            <v>فوتون 107</v>
          </cell>
          <cell r="C31" t="str">
            <v>قالب تعمیری</v>
          </cell>
          <cell r="N31" t="str">
            <v>سنگ زنی</v>
          </cell>
          <cell r="AC31" t="str">
            <v>1405/06/02</v>
          </cell>
        </row>
        <row r="32">
          <cell r="B32" t="str">
            <v>قالب پخت کلاچ</v>
          </cell>
          <cell r="C32" t="str">
            <v>قالب تعمیری</v>
          </cell>
          <cell r="N32" t="str">
            <v>سنگ زنی</v>
          </cell>
          <cell r="AC32" t="str">
            <v>1405/06/02</v>
          </cell>
        </row>
        <row r="33">
          <cell r="B33" t="str">
            <v>اصول 5S</v>
          </cell>
          <cell r="C33" t="str">
            <v>نظافت</v>
          </cell>
          <cell r="N33" t="str">
            <v>مونتاژ</v>
          </cell>
          <cell r="AC33" t="str">
            <v>1405/06/02</v>
          </cell>
        </row>
        <row r="34">
          <cell r="B34" t="str">
            <v>دستگاه پرس پخت</v>
          </cell>
          <cell r="C34" t="str">
            <v>قطعه تعمیری</v>
          </cell>
          <cell r="N34" t="str">
            <v>مونتاژ</v>
          </cell>
          <cell r="AC34" t="str">
            <v>1405/06/02</v>
          </cell>
        </row>
        <row r="35">
          <cell r="B35" t="str">
            <v>برشی نیوفیس C&amp;C</v>
          </cell>
          <cell r="C35" t="str">
            <v>قالب نو</v>
          </cell>
          <cell r="N35" t="str">
            <v>تراش</v>
          </cell>
          <cell r="AC35" t="str">
            <v>1405/06/01</v>
          </cell>
        </row>
        <row r="36">
          <cell r="B36" t="str">
            <v>برشی نیوفیس C&amp;C</v>
          </cell>
          <cell r="C36" t="str">
            <v>قالب نو</v>
          </cell>
          <cell r="N36" t="str">
            <v>مونتاژ</v>
          </cell>
          <cell r="AC36" t="str">
            <v>1405/06/02</v>
          </cell>
        </row>
        <row r="37">
          <cell r="B37" t="str">
            <v>قالب پخت کلاچ</v>
          </cell>
          <cell r="C37" t="str">
            <v>قالب تعمیری</v>
          </cell>
          <cell r="N37" t="str">
            <v>فرز</v>
          </cell>
          <cell r="AC37" t="str">
            <v>1405/06/01</v>
          </cell>
        </row>
        <row r="38">
          <cell r="B38" t="str">
            <v>پخت کلاچ ایسوزو</v>
          </cell>
          <cell r="C38" t="str">
            <v>قالب تعمیری</v>
          </cell>
          <cell r="N38" t="str">
            <v>فرز</v>
          </cell>
          <cell r="AC38" t="str">
            <v>1405/06/01</v>
          </cell>
        </row>
        <row r="39">
          <cell r="B39" t="str">
            <v>قالب پخت کلاچ</v>
          </cell>
          <cell r="C39" t="str">
            <v>قالب تعمیری</v>
          </cell>
          <cell r="N39" t="str">
            <v>فرز</v>
          </cell>
          <cell r="AC39" t="str">
            <v>1405/06/01</v>
          </cell>
        </row>
        <row r="40">
          <cell r="B40" t="str">
            <v>قالب پخت کلاچ</v>
          </cell>
          <cell r="C40" t="str">
            <v>قالب تعمیری</v>
          </cell>
          <cell r="N40" t="str">
            <v>فرز</v>
          </cell>
          <cell r="AC40" t="str">
            <v>1405/06/02</v>
          </cell>
        </row>
        <row r="41">
          <cell r="B41" t="str">
            <v>قالب پخت کلاچ</v>
          </cell>
          <cell r="C41" t="str">
            <v>قالب تعمیری</v>
          </cell>
          <cell r="N41" t="str">
            <v>فرز</v>
          </cell>
          <cell r="AC41" t="str">
            <v>1405/06/02</v>
          </cell>
        </row>
        <row r="42">
          <cell r="B42" t="str">
            <v>قالب پخت کلاچ</v>
          </cell>
          <cell r="C42" t="str">
            <v>قالب تعمیری</v>
          </cell>
          <cell r="N42" t="str">
            <v>فرز</v>
          </cell>
          <cell r="AC42" t="str">
            <v>1405/06/02</v>
          </cell>
        </row>
        <row r="43">
          <cell r="B43" t="str">
            <v>اصول 5S</v>
          </cell>
          <cell r="C43" t="str">
            <v>نظافت</v>
          </cell>
          <cell r="N43" t="str">
            <v>مونتاژ</v>
          </cell>
          <cell r="AC43" t="str">
            <v>1405/06/01</v>
          </cell>
        </row>
        <row r="44">
          <cell r="B44" t="str">
            <v>نوار نقاله</v>
          </cell>
          <cell r="C44" t="str">
            <v>قطعه نو</v>
          </cell>
          <cell r="N44" t="str">
            <v>دریل رادیال</v>
          </cell>
          <cell r="AC44" t="str">
            <v>1405/06/01</v>
          </cell>
        </row>
        <row r="45">
          <cell r="B45" t="str">
            <v>نوار نقاله</v>
          </cell>
          <cell r="C45" t="str">
            <v>قطعه نو</v>
          </cell>
          <cell r="N45" t="str">
            <v>دریل رادیال</v>
          </cell>
          <cell r="AC45" t="str">
            <v>1405/06/01</v>
          </cell>
        </row>
        <row r="46">
          <cell r="B46" t="str">
            <v>پخت عقب پژو 405 شمشی پایه کوتاه</v>
          </cell>
          <cell r="C46" t="str">
            <v>قالب نو</v>
          </cell>
          <cell r="N46" t="str">
            <v>مونتاژ</v>
          </cell>
          <cell r="AC46" t="str">
            <v>1405/06/01</v>
          </cell>
        </row>
        <row r="47">
          <cell r="B47" t="str">
            <v>اصول 5S</v>
          </cell>
          <cell r="C47" t="str">
            <v>نظافت</v>
          </cell>
          <cell r="N47" t="str">
            <v>مونتاژ</v>
          </cell>
          <cell r="AC47" t="str">
            <v>1405/06/01</v>
          </cell>
        </row>
        <row r="48">
          <cell r="B48" t="str">
            <v>قالب عقب F12</v>
          </cell>
          <cell r="C48" t="str">
            <v>قالب نو</v>
          </cell>
          <cell r="N48" t="str">
            <v>مونتاژ</v>
          </cell>
          <cell r="AC48" t="str">
            <v>1405/06/01</v>
          </cell>
        </row>
        <row r="49">
          <cell r="B49" t="str">
            <v>برشی نیوفیس C&amp;C</v>
          </cell>
          <cell r="C49" t="str">
            <v>قالب نو</v>
          </cell>
          <cell r="N49" t="str">
            <v>اره لنگ</v>
          </cell>
          <cell r="AC49" t="str">
            <v>1405/06/01</v>
          </cell>
        </row>
        <row r="50">
          <cell r="B50" t="str">
            <v>دستگاه پرس پخت</v>
          </cell>
          <cell r="C50" t="str">
            <v>قطعه تعمیری</v>
          </cell>
          <cell r="N50" t="str">
            <v>مونتاژ</v>
          </cell>
          <cell r="AC50" t="str">
            <v>1405/06/01</v>
          </cell>
        </row>
        <row r="51">
          <cell r="B51" t="str">
            <v>کلمپ زنی</v>
          </cell>
          <cell r="C51" t="str">
            <v>قطعه تعمیری</v>
          </cell>
          <cell r="N51" t="str">
            <v>دریل رادیال</v>
          </cell>
          <cell r="AC51" t="str">
            <v>1405/06/03</v>
          </cell>
        </row>
        <row r="52">
          <cell r="B52" t="str">
            <v>قالب پخت کلاچ پژو 405</v>
          </cell>
          <cell r="C52" t="str">
            <v>قالب تعمیری</v>
          </cell>
          <cell r="N52" t="str">
            <v>دریل رادیال</v>
          </cell>
          <cell r="AC52" t="str">
            <v>1405/06/03</v>
          </cell>
        </row>
        <row r="53">
          <cell r="B53" t="str">
            <v>شمش پراید</v>
          </cell>
          <cell r="C53" t="str">
            <v>قالب نو</v>
          </cell>
          <cell r="N53" t="str">
            <v>مونتاژ</v>
          </cell>
          <cell r="AC53" t="str">
            <v>1405/06/04</v>
          </cell>
        </row>
        <row r="54">
          <cell r="B54" t="str">
            <v>کلمپ زنی</v>
          </cell>
          <cell r="C54" t="str">
            <v>قطعه تعمیری</v>
          </cell>
          <cell r="N54" t="str">
            <v>مونتاژ</v>
          </cell>
          <cell r="AC54" t="str">
            <v>1405/06/04</v>
          </cell>
        </row>
        <row r="55">
          <cell r="B55" t="str">
            <v>آسانسور</v>
          </cell>
          <cell r="C55" t="str">
            <v>قطعه تعمیری</v>
          </cell>
          <cell r="N55" t="str">
            <v>مونتاژ</v>
          </cell>
          <cell r="AC55" t="str">
            <v>1405/06/03</v>
          </cell>
        </row>
        <row r="56">
          <cell r="B56" t="str">
            <v>پین عقب پژو 405</v>
          </cell>
          <cell r="C56" t="str">
            <v>قطعه نو</v>
          </cell>
          <cell r="N56" t="str">
            <v>مونتاژ</v>
          </cell>
          <cell r="AC56" t="str">
            <v>1405/06/03</v>
          </cell>
        </row>
        <row r="57">
          <cell r="B57" t="str">
            <v>جلو ساب دیسکی</v>
          </cell>
          <cell r="C57" t="str">
            <v>قطعه نو</v>
          </cell>
          <cell r="N57" t="str">
            <v>اره لنگ</v>
          </cell>
          <cell r="AC57" t="str">
            <v>1405/06/03</v>
          </cell>
        </row>
        <row r="58">
          <cell r="B58" t="str">
            <v>پخت کلاچ ایسوزو</v>
          </cell>
          <cell r="C58" t="str">
            <v>قالب تعمیری</v>
          </cell>
          <cell r="N58" t="str">
            <v>مونتاژ</v>
          </cell>
          <cell r="AC58" t="str">
            <v>1405/06/03</v>
          </cell>
        </row>
        <row r="59">
          <cell r="B59" t="str">
            <v>شمش پراید</v>
          </cell>
          <cell r="C59" t="str">
            <v>قالب نو</v>
          </cell>
          <cell r="N59" t="str">
            <v>مونتاژ</v>
          </cell>
          <cell r="AC59" t="str">
            <v>1405/06/04</v>
          </cell>
        </row>
        <row r="60">
          <cell r="B60" t="str">
            <v>قالب پخت کلاچ</v>
          </cell>
          <cell r="C60" t="str">
            <v>قالب تعمیری</v>
          </cell>
          <cell r="N60" t="str">
            <v>سنگ زنی</v>
          </cell>
          <cell r="AC60" t="str">
            <v>1405/06/03</v>
          </cell>
        </row>
        <row r="61">
          <cell r="B61" t="str">
            <v>قالب شمشی عقب پیکان</v>
          </cell>
          <cell r="C61" t="str">
            <v>قالب نو</v>
          </cell>
          <cell r="N61" t="str">
            <v>سنگ زنی</v>
          </cell>
          <cell r="AC61" t="str">
            <v>1405/06/03</v>
          </cell>
        </row>
        <row r="62">
          <cell r="B62" t="str">
            <v>قالب پخت کلاچ</v>
          </cell>
          <cell r="C62" t="str">
            <v>قالب تعمیری</v>
          </cell>
          <cell r="N62" t="str">
            <v>سنگ زنی</v>
          </cell>
          <cell r="AC62" t="str">
            <v>1405/06/04</v>
          </cell>
        </row>
        <row r="63">
          <cell r="B63" t="str">
            <v>قالب شمشی عقب پیکان</v>
          </cell>
          <cell r="C63" t="str">
            <v>قالب نو</v>
          </cell>
          <cell r="N63" t="str">
            <v>سنگ زنی</v>
          </cell>
          <cell r="AC63" t="str">
            <v>1405/06/04</v>
          </cell>
        </row>
        <row r="64">
          <cell r="B64" t="str">
            <v>برشی نیوفیس C&amp;C</v>
          </cell>
          <cell r="C64" t="str">
            <v>قالب نو</v>
          </cell>
          <cell r="N64" t="str">
            <v>سنگ زنی</v>
          </cell>
          <cell r="AC64" t="str">
            <v>1405/06/04</v>
          </cell>
        </row>
        <row r="65">
          <cell r="B65" t="str">
            <v>برشی نیوفیس C&amp;C</v>
          </cell>
          <cell r="C65" t="str">
            <v>قالب نو</v>
          </cell>
          <cell r="N65" t="str">
            <v>سنگ زنی</v>
          </cell>
          <cell r="AC65" t="str">
            <v>1405/06/04</v>
          </cell>
        </row>
        <row r="66">
          <cell r="B66" t="str">
            <v>قالب پخت کلاچ</v>
          </cell>
          <cell r="C66" t="str">
            <v>قالب تعمیری</v>
          </cell>
          <cell r="N66" t="str">
            <v>فرز</v>
          </cell>
          <cell r="AC66" t="str">
            <v>1405/06/03</v>
          </cell>
        </row>
        <row r="67">
          <cell r="B67" t="str">
            <v>قالب پخت کلاچ</v>
          </cell>
          <cell r="C67" t="str">
            <v>قالب تعمیری</v>
          </cell>
          <cell r="N67" t="str">
            <v>فرز</v>
          </cell>
          <cell r="AC67" t="str">
            <v>1405/06/03</v>
          </cell>
        </row>
        <row r="68">
          <cell r="B68" t="str">
            <v>پشم فلز آلمانی</v>
          </cell>
          <cell r="C68" t="str">
            <v>قطعه نو</v>
          </cell>
          <cell r="N68" t="str">
            <v>فرز</v>
          </cell>
          <cell r="AC68" t="str">
            <v>1405/06/03</v>
          </cell>
        </row>
        <row r="69">
          <cell r="B69" t="str">
            <v>پشم فلز آلمانی</v>
          </cell>
          <cell r="C69" t="str">
            <v>قطعه نو</v>
          </cell>
          <cell r="N69" t="str">
            <v>فرز</v>
          </cell>
          <cell r="AC69" t="str">
            <v>1405/06/04</v>
          </cell>
        </row>
        <row r="70">
          <cell r="B70" t="str">
            <v>جلو ساب دیسکی</v>
          </cell>
          <cell r="C70" t="str">
            <v>قطعه نو</v>
          </cell>
          <cell r="N70" t="str">
            <v>فرز</v>
          </cell>
          <cell r="AC70" t="str">
            <v>1405/06/04</v>
          </cell>
        </row>
        <row r="71">
          <cell r="B71" t="str">
            <v>پخت عقب پژو 405 شمشی پایه کوتاه</v>
          </cell>
          <cell r="C71" t="str">
            <v>قالب نو</v>
          </cell>
          <cell r="N71" t="str">
            <v>فرز</v>
          </cell>
          <cell r="AC71" t="str">
            <v>1405/06/04</v>
          </cell>
        </row>
        <row r="72">
          <cell r="B72" t="str">
            <v>قالب پخت کلاچ</v>
          </cell>
          <cell r="C72" t="str">
            <v>قالب تعمیری</v>
          </cell>
          <cell r="N72" t="str">
            <v>فرز</v>
          </cell>
          <cell r="AC72" t="str">
            <v>1405/06/04</v>
          </cell>
        </row>
        <row r="73">
          <cell r="B73" t="str">
            <v>قالب پخت کلاچ</v>
          </cell>
          <cell r="C73" t="str">
            <v>قالب تعمیری</v>
          </cell>
          <cell r="N73" t="str">
            <v>فرز</v>
          </cell>
          <cell r="AC73" t="str">
            <v>1405/06/03</v>
          </cell>
        </row>
        <row r="74">
          <cell r="B74" t="str">
            <v>قالب پخت کلاچ</v>
          </cell>
          <cell r="C74" t="str">
            <v>قالب تعمیری</v>
          </cell>
          <cell r="N74" t="str">
            <v>فرز</v>
          </cell>
          <cell r="AC74" t="str">
            <v>1405/06/04</v>
          </cell>
        </row>
        <row r="75">
          <cell r="B75" t="str">
            <v>قالب پخت کلاچ</v>
          </cell>
          <cell r="C75" t="str">
            <v>قالب تعمیری</v>
          </cell>
          <cell r="N75" t="str">
            <v>فرز</v>
          </cell>
          <cell r="AC75" t="str">
            <v>1405/06/03</v>
          </cell>
        </row>
        <row r="76">
          <cell r="B76" t="str">
            <v>قالب پخت کلاچ</v>
          </cell>
          <cell r="C76" t="str">
            <v>قالب تعمیری</v>
          </cell>
          <cell r="N76" t="str">
            <v>فرز</v>
          </cell>
          <cell r="AC76" t="str">
            <v>1405/06/04</v>
          </cell>
        </row>
        <row r="77">
          <cell r="B77" t="str">
            <v xml:space="preserve">قالب پخت کلاچ پیکان </v>
          </cell>
          <cell r="C77" t="str">
            <v>قالب تعمیری</v>
          </cell>
          <cell r="N77" t="str">
            <v>تراش</v>
          </cell>
          <cell r="AC77" t="str">
            <v>1405/06/03</v>
          </cell>
        </row>
        <row r="78">
          <cell r="B78" t="str">
            <v>جلو ساب دیسکی</v>
          </cell>
          <cell r="C78" t="str">
            <v>قطعه نو</v>
          </cell>
          <cell r="N78" t="str">
            <v>تراش</v>
          </cell>
          <cell r="AC78" t="str">
            <v>1405/06/03</v>
          </cell>
        </row>
        <row r="79">
          <cell r="B79" t="str">
            <v>جلو ساب دیسکی</v>
          </cell>
          <cell r="C79" t="str">
            <v>قطعه نو</v>
          </cell>
          <cell r="N79" t="str">
            <v>تراش</v>
          </cell>
          <cell r="AC79" t="str">
            <v>1405/06/03</v>
          </cell>
        </row>
        <row r="80">
          <cell r="B80" t="str">
            <v>سری نقطه جوش</v>
          </cell>
          <cell r="C80" t="str">
            <v>قطعه تعمیری</v>
          </cell>
          <cell r="N80" t="str">
            <v>تراش</v>
          </cell>
          <cell r="AC80" t="str">
            <v>1405/06/03</v>
          </cell>
        </row>
        <row r="81">
          <cell r="B81" t="str">
            <v>آسانسور</v>
          </cell>
          <cell r="C81" t="str">
            <v>قطعه نو</v>
          </cell>
          <cell r="N81" t="str">
            <v>تراش</v>
          </cell>
          <cell r="AC81" t="str">
            <v>1405/06/04</v>
          </cell>
        </row>
        <row r="82">
          <cell r="B82" t="str">
            <v>آسانسور</v>
          </cell>
          <cell r="C82" t="str">
            <v>قطعه تعمیری</v>
          </cell>
          <cell r="N82" t="str">
            <v>تراش</v>
          </cell>
          <cell r="AC82" t="str">
            <v>1405/06/04</v>
          </cell>
        </row>
        <row r="83">
          <cell r="B83" t="str">
            <v>پشم فلز آلمانی</v>
          </cell>
          <cell r="C83" t="str">
            <v>قطعه تعمیری</v>
          </cell>
          <cell r="N83" t="str">
            <v>تراش</v>
          </cell>
          <cell r="AC83" t="str">
            <v>1405/06/04</v>
          </cell>
        </row>
        <row r="84">
          <cell r="B84" t="str">
            <v>پخت عقب پژو 405 شمشی پایه کوتاه</v>
          </cell>
          <cell r="C84" t="str">
            <v>قالب نو</v>
          </cell>
          <cell r="N84" t="str">
            <v>تراش</v>
          </cell>
          <cell r="AC84" t="str">
            <v>1405/06/04</v>
          </cell>
        </row>
        <row r="85">
          <cell r="B85" t="str">
            <v>شمش پراید</v>
          </cell>
          <cell r="C85" t="str">
            <v>قالب نو</v>
          </cell>
          <cell r="N85" t="str">
            <v>تراش</v>
          </cell>
          <cell r="AC85" t="str">
            <v>1405/06/04</v>
          </cell>
        </row>
        <row r="86">
          <cell r="B86" t="str">
            <v>ویوینگ</v>
          </cell>
          <cell r="C86" t="str">
            <v>قطعه تعمیری</v>
          </cell>
          <cell r="N86" t="str">
            <v>تراش</v>
          </cell>
          <cell r="AC86" t="str">
            <v>1405/06/03</v>
          </cell>
        </row>
        <row r="87">
          <cell r="B87" t="str">
            <v>جلو ساب دیسکی</v>
          </cell>
          <cell r="C87" t="str">
            <v>قطعه نو</v>
          </cell>
          <cell r="N87" t="str">
            <v>تراش</v>
          </cell>
          <cell r="AC87" t="str">
            <v>1405/06/03</v>
          </cell>
        </row>
        <row r="88">
          <cell r="B88" t="str">
            <v>جلو ساب دیسکی</v>
          </cell>
          <cell r="C88" t="str">
            <v>قطعه نو</v>
          </cell>
          <cell r="N88" t="str">
            <v>تراش</v>
          </cell>
          <cell r="AC88" t="str">
            <v>1405/06/03</v>
          </cell>
        </row>
        <row r="89">
          <cell r="B89" t="str">
            <v>پشم فلز آلمانی</v>
          </cell>
          <cell r="C89" t="str">
            <v>قطعه نو</v>
          </cell>
          <cell r="N89" t="str">
            <v>تراش</v>
          </cell>
          <cell r="AC89" t="str">
            <v>1405/06/03</v>
          </cell>
        </row>
        <row r="90">
          <cell r="B90" t="str">
            <v>پشم فلز آلمانی</v>
          </cell>
          <cell r="C90" t="str">
            <v>قطعه نو</v>
          </cell>
          <cell r="N90" t="str">
            <v>تراش</v>
          </cell>
          <cell r="AC90" t="str">
            <v>1405/06/04</v>
          </cell>
        </row>
        <row r="91">
          <cell r="B91" t="str">
            <v>ساب کف گرگی</v>
          </cell>
          <cell r="C91" t="str">
            <v>قطعه نو</v>
          </cell>
          <cell r="N91" t="str">
            <v>تراش</v>
          </cell>
          <cell r="AC91" t="str">
            <v>1405/06/04</v>
          </cell>
        </row>
        <row r="92">
          <cell r="B92" t="str">
            <v>پرچ زنی</v>
          </cell>
          <cell r="C92" t="str">
            <v>قطعه تعمیری</v>
          </cell>
          <cell r="N92" t="str">
            <v>تراش</v>
          </cell>
          <cell r="AC92" t="str">
            <v>1405/06/04</v>
          </cell>
        </row>
        <row r="93">
          <cell r="B93" t="str">
            <v>قالب شمشی عقب پیکان</v>
          </cell>
          <cell r="C93" t="str">
            <v>قالب نو</v>
          </cell>
          <cell r="N93" t="str">
            <v>وایر</v>
          </cell>
          <cell r="AC93" t="str">
            <v>1405/06/03</v>
          </cell>
        </row>
        <row r="94">
          <cell r="B94" t="str">
            <v>نگهدارنده پلاک قالب</v>
          </cell>
          <cell r="C94" t="str">
            <v>قطعه نو</v>
          </cell>
          <cell r="N94" t="str">
            <v>وایر</v>
          </cell>
          <cell r="AC94" t="str">
            <v>1405/06/03</v>
          </cell>
        </row>
        <row r="95">
          <cell r="B95" t="str">
            <v>فوتون 107</v>
          </cell>
          <cell r="C95" t="str">
            <v>قالب تعمیری</v>
          </cell>
          <cell r="N95" t="str">
            <v>وایر</v>
          </cell>
          <cell r="AC95" t="str">
            <v>1405/06/03</v>
          </cell>
        </row>
        <row r="96">
          <cell r="B96" t="str">
            <v>پخت کلاچ پژو 206 TU5</v>
          </cell>
          <cell r="C96" t="str">
            <v>قالب تعمیری</v>
          </cell>
          <cell r="N96" t="str">
            <v>CNC</v>
          </cell>
          <cell r="AC96" t="str">
            <v>1405/06/03</v>
          </cell>
        </row>
        <row r="97">
          <cell r="B97" t="str">
            <v>پخت کلاچ لندکروز</v>
          </cell>
          <cell r="C97" t="str">
            <v>قالب تعمیری</v>
          </cell>
          <cell r="N97" t="str">
            <v>CNC</v>
          </cell>
          <cell r="AC97" t="str">
            <v>1405/06/04</v>
          </cell>
        </row>
        <row r="98">
          <cell r="B98" t="str">
            <v>پخت کلاچ لندکروز</v>
          </cell>
          <cell r="C98" t="str">
            <v>قالب تعمیری</v>
          </cell>
          <cell r="N98" t="str">
            <v>CNC</v>
          </cell>
          <cell r="AC98" t="str">
            <v>1405/06/04</v>
          </cell>
        </row>
        <row r="99">
          <cell r="B99" t="str">
            <v>جلو سمند سورن</v>
          </cell>
          <cell r="C99" t="str">
            <v>قالب تعمیری</v>
          </cell>
          <cell r="N99" t="str">
            <v>CNC</v>
          </cell>
          <cell r="AC99" t="str">
            <v>1405/06/03</v>
          </cell>
        </row>
        <row r="100">
          <cell r="B100" t="str">
            <v>جلو سمند سورن</v>
          </cell>
          <cell r="C100" t="str">
            <v>قالب تعمیری</v>
          </cell>
          <cell r="N100" t="str">
            <v>CNC</v>
          </cell>
          <cell r="AC100" t="str">
            <v>1405/06/04</v>
          </cell>
        </row>
        <row r="101">
          <cell r="B101" t="str">
            <v>پخت کلاچ تیبا چپ</v>
          </cell>
          <cell r="C101" t="str">
            <v>قالب نو</v>
          </cell>
          <cell r="N101" t="str">
            <v>CNC</v>
          </cell>
          <cell r="AC101" t="str">
            <v>1405/06/02</v>
          </cell>
        </row>
        <row r="102">
          <cell r="B102" t="str">
            <v>پخت کلاچ تیبا چپ</v>
          </cell>
          <cell r="C102" t="str">
            <v>قالب نو</v>
          </cell>
          <cell r="N102" t="str">
            <v>CNC</v>
          </cell>
          <cell r="AC102" t="str">
            <v>1405/06/03</v>
          </cell>
        </row>
        <row r="103">
          <cell r="B103" t="str">
            <v>پخت کلاچ پژو 206 TU5</v>
          </cell>
          <cell r="C103" t="str">
            <v>قالب تعمیری</v>
          </cell>
          <cell r="N103" t="str">
            <v>CNC</v>
          </cell>
          <cell r="AC103" t="str">
            <v>1405/06/04</v>
          </cell>
        </row>
        <row r="104">
          <cell r="B104" t="str">
            <v>قالب شمشی عقب پیکان</v>
          </cell>
          <cell r="C104" t="str">
            <v>قالب نو</v>
          </cell>
          <cell r="N104" t="str">
            <v>CNC</v>
          </cell>
          <cell r="AC104" t="str">
            <v>1405/06/07</v>
          </cell>
        </row>
        <row r="105">
          <cell r="B105" t="str">
            <v>قالب شمشی عقب پیکان</v>
          </cell>
          <cell r="C105" t="str">
            <v>قالب نو</v>
          </cell>
          <cell r="N105" t="str">
            <v>CNC</v>
          </cell>
          <cell r="AC105" t="str">
            <v>1405/06/07</v>
          </cell>
        </row>
        <row r="106">
          <cell r="B106" t="str">
            <v>قالب پخت کلاچ</v>
          </cell>
          <cell r="C106" t="str">
            <v>قالب تعمیری</v>
          </cell>
          <cell r="N106" t="str">
            <v>فرز</v>
          </cell>
          <cell r="AC106" t="str">
            <v>1405/06/07</v>
          </cell>
        </row>
        <row r="107">
          <cell r="B107" t="str">
            <v>قالب پخت کلاچ</v>
          </cell>
          <cell r="C107" t="str">
            <v>قالب تعمیری</v>
          </cell>
          <cell r="N107" t="str">
            <v>فرز</v>
          </cell>
          <cell r="AC107" t="str">
            <v>1405/06/07</v>
          </cell>
        </row>
        <row r="108">
          <cell r="B108" t="str">
            <v>قالب پخت کلاچ</v>
          </cell>
          <cell r="C108" t="str">
            <v>قالب تعمیری</v>
          </cell>
          <cell r="N108" t="str">
            <v>فرز</v>
          </cell>
          <cell r="AC108" t="str">
            <v>1405/06/07</v>
          </cell>
        </row>
        <row r="109">
          <cell r="B109" t="str">
            <v>قالب پخت کلاچ</v>
          </cell>
          <cell r="C109" t="str">
            <v>قالب تعمیری</v>
          </cell>
          <cell r="N109" t="str">
            <v>سنگ زنی</v>
          </cell>
          <cell r="AC109" t="str">
            <v>1405/06/07</v>
          </cell>
        </row>
        <row r="110">
          <cell r="B110" t="str">
            <v>لنت ترمز دیسكی جلو دیما(خم)</v>
          </cell>
          <cell r="C110" t="str">
            <v>قالب تعمیری</v>
          </cell>
          <cell r="N110" t="str">
            <v>سنگ زنی</v>
          </cell>
          <cell r="AC110" t="str">
            <v>1405/06/07</v>
          </cell>
        </row>
        <row r="111">
          <cell r="B111" t="str">
            <v>لنت ترمز دیسكی جلو دیما(خم)</v>
          </cell>
          <cell r="C111" t="str">
            <v>قالب تعمیری</v>
          </cell>
          <cell r="N111" t="str">
            <v>سنگ زنی</v>
          </cell>
          <cell r="AC111" t="str">
            <v>1405/06/07</v>
          </cell>
        </row>
        <row r="112">
          <cell r="B112" t="str">
            <v>جلو سمند سورن</v>
          </cell>
          <cell r="C112" t="str">
            <v>قالب تعمیری</v>
          </cell>
          <cell r="N112" t="str">
            <v>سنگ زنی</v>
          </cell>
          <cell r="AC112" t="str">
            <v>1405/06/07</v>
          </cell>
        </row>
        <row r="113">
          <cell r="B113" t="str">
            <v>لنت صنعتی</v>
          </cell>
          <cell r="C113" t="str">
            <v>قطعه تعمیری</v>
          </cell>
          <cell r="N113" t="str">
            <v>دریل رادیال</v>
          </cell>
          <cell r="AC113" t="str">
            <v>1405/06/07</v>
          </cell>
        </row>
        <row r="114">
          <cell r="B114" t="str">
            <v>شمش پراید</v>
          </cell>
          <cell r="C114" t="str">
            <v>قالب نو</v>
          </cell>
          <cell r="N114" t="str">
            <v>مونتاژ</v>
          </cell>
          <cell r="AC114" t="str">
            <v>1405/06/07</v>
          </cell>
        </row>
        <row r="115">
          <cell r="B115" t="str">
            <v>پخت عقب پژو 405 شمشی پایه کوتاه</v>
          </cell>
          <cell r="C115" t="str">
            <v>قالب نو</v>
          </cell>
          <cell r="N115" t="str">
            <v>دریل رادیال</v>
          </cell>
          <cell r="AC115" t="str">
            <v>1405/06/07</v>
          </cell>
        </row>
        <row r="116">
          <cell r="B116" t="str">
            <v>قالب پخت کلاچ</v>
          </cell>
          <cell r="C116" t="str">
            <v>قالب تعمیری</v>
          </cell>
          <cell r="N116" t="str">
            <v>فرز</v>
          </cell>
          <cell r="AC116" t="str">
            <v>1405/06/07</v>
          </cell>
        </row>
        <row r="117">
          <cell r="B117" t="str">
            <v>سری نقطه جوش</v>
          </cell>
          <cell r="C117" t="str">
            <v>قطعه تعمیری</v>
          </cell>
          <cell r="N117" t="str">
            <v>تراش</v>
          </cell>
          <cell r="AC117" t="str">
            <v>1405/06/07</v>
          </cell>
        </row>
        <row r="118">
          <cell r="B118" t="str">
            <v>ساب کف گرگی</v>
          </cell>
          <cell r="C118" t="str">
            <v>قطعه نو</v>
          </cell>
          <cell r="N118" t="str">
            <v>تراش</v>
          </cell>
          <cell r="AC118" t="str">
            <v>1405/06/07</v>
          </cell>
        </row>
        <row r="119">
          <cell r="B119" t="str">
            <v>پخت کلاچ لندکروز</v>
          </cell>
          <cell r="C119" t="str">
            <v>قالب تعمیری</v>
          </cell>
          <cell r="N119" t="str">
            <v>CNC</v>
          </cell>
          <cell r="AC119" t="str">
            <v>1405/06/07</v>
          </cell>
        </row>
        <row r="120">
          <cell r="B120" t="str">
            <v>فوتون 107</v>
          </cell>
          <cell r="C120" t="str">
            <v>قالب تعمیری</v>
          </cell>
          <cell r="N120" t="str">
            <v>CNC</v>
          </cell>
          <cell r="AC120" t="str">
            <v>1405/06/07</v>
          </cell>
        </row>
        <row r="121">
          <cell r="B121" t="str">
            <v>جلو سمند سورن</v>
          </cell>
          <cell r="C121" t="str">
            <v>قالب تعمیری</v>
          </cell>
          <cell r="N121" t="str">
            <v>CNC</v>
          </cell>
          <cell r="AC121" t="str">
            <v>1405/06/07</v>
          </cell>
        </row>
        <row r="122">
          <cell r="B122" t="str">
            <v>قالب پخت کلاچ پژو 405</v>
          </cell>
          <cell r="C122" t="str">
            <v>قالب تعمیری</v>
          </cell>
          <cell r="N122" t="str">
            <v>CNC</v>
          </cell>
          <cell r="AC122" t="str">
            <v>1405/06/07</v>
          </cell>
        </row>
        <row r="123">
          <cell r="B123" t="str">
            <v>قالب پخت کلاچ</v>
          </cell>
          <cell r="C123" t="str">
            <v>قالب تعمیری</v>
          </cell>
          <cell r="N123" t="str">
            <v>فرز</v>
          </cell>
          <cell r="AC123" t="str">
            <v>1405/06/07</v>
          </cell>
        </row>
        <row r="124">
          <cell r="B124" t="str">
            <v>قالب پخت کلاچ</v>
          </cell>
          <cell r="C124" t="str">
            <v>قالب تعمیری</v>
          </cell>
          <cell r="N124" t="str">
            <v>فرز</v>
          </cell>
          <cell r="AC124" t="str">
            <v>1405/06/09</v>
          </cell>
        </row>
        <row r="125">
          <cell r="B125" t="str">
            <v>قالب پخت کلاچ</v>
          </cell>
          <cell r="C125" t="str">
            <v>قالب تعمیری</v>
          </cell>
          <cell r="N125" t="str">
            <v>فرز</v>
          </cell>
          <cell r="AC125" t="str">
            <v>1405/06/09</v>
          </cell>
        </row>
        <row r="126">
          <cell r="B126" t="str">
            <v>قالب پخت کلاچ</v>
          </cell>
          <cell r="C126" t="str">
            <v>قالب تعمیری</v>
          </cell>
          <cell r="N126" t="str">
            <v>فرز</v>
          </cell>
          <cell r="AC126" t="str">
            <v>1405/06/09</v>
          </cell>
        </row>
        <row r="127">
          <cell r="B127" t="str">
            <v>جلو سمند سورن</v>
          </cell>
          <cell r="C127" t="str">
            <v>قالب تعمیری</v>
          </cell>
          <cell r="N127" t="str">
            <v>فرز</v>
          </cell>
          <cell r="AC127" t="str">
            <v>1405/06/09</v>
          </cell>
        </row>
        <row r="128">
          <cell r="B128" t="str">
            <v>برشی نیوفیس C&amp;C</v>
          </cell>
          <cell r="C128" t="str">
            <v>قالب نو</v>
          </cell>
          <cell r="N128" t="str">
            <v>سوپردریل</v>
          </cell>
          <cell r="AC128" t="str">
            <v>1405/06/09</v>
          </cell>
        </row>
        <row r="129">
          <cell r="B129" t="str">
            <v>فوتون 107</v>
          </cell>
          <cell r="C129" t="str">
            <v>قالب تعمیری</v>
          </cell>
          <cell r="N129" t="str">
            <v>وایر</v>
          </cell>
          <cell r="AC129" t="str">
            <v>1405/06/09</v>
          </cell>
        </row>
        <row r="130">
          <cell r="B130" t="str">
            <v>برشی نیوفیس C&amp;C</v>
          </cell>
          <cell r="C130" t="str">
            <v>قالب نو</v>
          </cell>
          <cell r="N130" t="str">
            <v>وایر</v>
          </cell>
          <cell r="AC130" t="str">
            <v>1405/06/09</v>
          </cell>
        </row>
        <row r="131">
          <cell r="B131" t="str">
            <v>قالب شمشی عقب پیکان</v>
          </cell>
          <cell r="C131" t="str">
            <v>قالب نو</v>
          </cell>
          <cell r="N131" t="str">
            <v>وایر</v>
          </cell>
          <cell r="AC131" t="str">
            <v>1405/06/09</v>
          </cell>
        </row>
        <row r="132">
          <cell r="B132" t="str">
            <v>برشی نیوفیس C&amp;C</v>
          </cell>
          <cell r="C132" t="str">
            <v>قالب نو</v>
          </cell>
          <cell r="N132" t="str">
            <v>سوپردریل</v>
          </cell>
          <cell r="AC132" t="str">
            <v>1405/06/07</v>
          </cell>
        </row>
        <row r="133">
          <cell r="B133" t="str">
            <v>قالب شمشی عقب پیکان</v>
          </cell>
          <cell r="C133" t="str">
            <v>قالب نو</v>
          </cell>
          <cell r="N133" t="str">
            <v>وایر</v>
          </cell>
          <cell r="AC133" t="str">
            <v>1405/06/07</v>
          </cell>
        </row>
        <row r="134">
          <cell r="B134" t="str">
            <v>فوتون 107</v>
          </cell>
          <cell r="C134" t="str">
            <v>قالب تعمیری</v>
          </cell>
          <cell r="N134" t="str">
            <v>وایر</v>
          </cell>
          <cell r="AC134" t="str">
            <v>1405/06/07</v>
          </cell>
        </row>
        <row r="135">
          <cell r="B135" t="str">
            <v>شمش پراید</v>
          </cell>
          <cell r="C135" t="str">
            <v>قالب نو</v>
          </cell>
          <cell r="N135" t="str">
            <v>مونتاژ</v>
          </cell>
          <cell r="AC135" t="str">
            <v>1405/06/07</v>
          </cell>
        </row>
        <row r="136">
          <cell r="B136" t="str">
            <v>شمش پراید</v>
          </cell>
          <cell r="C136" t="str">
            <v>قالب نو</v>
          </cell>
          <cell r="N136" t="str">
            <v>مونتاژ</v>
          </cell>
          <cell r="AC136" t="str">
            <v>1405/06/07</v>
          </cell>
        </row>
        <row r="137">
          <cell r="B137" t="str">
            <v>قالب پخت کلاچ پژو 405</v>
          </cell>
          <cell r="C137" t="str">
            <v>قالب تعمیری</v>
          </cell>
          <cell r="N137" t="str">
            <v>CNC</v>
          </cell>
          <cell r="AC137" t="str">
            <v>1405/06/09</v>
          </cell>
        </row>
        <row r="138">
          <cell r="B138" t="str">
            <v>قالب شمشی عقب پیکان</v>
          </cell>
          <cell r="C138" t="str">
            <v>قالب نو</v>
          </cell>
          <cell r="N138" t="str">
            <v>CNC</v>
          </cell>
          <cell r="AC138" t="str">
            <v>1405/06/09</v>
          </cell>
        </row>
        <row r="139">
          <cell r="B139" t="str">
            <v>فوتون 107</v>
          </cell>
          <cell r="C139" t="str">
            <v>قالب تعمیری</v>
          </cell>
          <cell r="N139" t="str">
            <v>CNC</v>
          </cell>
          <cell r="AC139" t="str">
            <v>1405/06/09</v>
          </cell>
        </row>
        <row r="140">
          <cell r="B140" t="str">
            <v>فوتون 107</v>
          </cell>
          <cell r="C140" t="str">
            <v>قالب تعمیری</v>
          </cell>
          <cell r="N140" t="str">
            <v>CNC</v>
          </cell>
          <cell r="AC140" t="str">
            <v>1405/06/09</v>
          </cell>
        </row>
        <row r="141">
          <cell r="B141" t="str">
            <v>فوتون 107</v>
          </cell>
          <cell r="C141" t="str">
            <v>قالب تعمیری</v>
          </cell>
          <cell r="N141" t="str">
            <v>تراش</v>
          </cell>
          <cell r="AC141" t="str">
            <v>1405/06/09</v>
          </cell>
        </row>
        <row r="142">
          <cell r="B142" t="str">
            <v>قالب شمشی عقب پیکان</v>
          </cell>
          <cell r="C142" t="str">
            <v>قالب نو</v>
          </cell>
          <cell r="N142" t="str">
            <v>تراش</v>
          </cell>
          <cell r="AC142" t="str">
            <v>1405/06/09</v>
          </cell>
        </row>
        <row r="143">
          <cell r="B143" t="str">
            <v>قالب شمشی عقب پیکان</v>
          </cell>
          <cell r="C143" t="str">
            <v>قالب نو</v>
          </cell>
          <cell r="N143" t="str">
            <v>تراش</v>
          </cell>
          <cell r="AC143" t="str">
            <v>1405/06/09</v>
          </cell>
        </row>
        <row r="144">
          <cell r="B144" t="str">
            <v>سوراخکاری پیلسان</v>
          </cell>
          <cell r="C144" t="str">
            <v>قطعه نو</v>
          </cell>
          <cell r="N144" t="str">
            <v>CNC</v>
          </cell>
          <cell r="AC144" t="str">
            <v>1405/06/10</v>
          </cell>
        </row>
        <row r="145">
          <cell r="B145" t="str">
            <v>فوتون 107</v>
          </cell>
          <cell r="C145" t="str">
            <v>قالب تعمیری</v>
          </cell>
          <cell r="N145" t="str">
            <v>CNC</v>
          </cell>
          <cell r="AC145" t="str">
            <v>1405/06/10</v>
          </cell>
        </row>
        <row r="146">
          <cell r="B146" t="str">
            <v>شمش پراید</v>
          </cell>
          <cell r="C146" t="str">
            <v>قالب نو</v>
          </cell>
          <cell r="N146" t="str">
            <v>مونتاژ</v>
          </cell>
          <cell r="AC146" t="str">
            <v>1405/06/10</v>
          </cell>
        </row>
        <row r="147">
          <cell r="B147" t="str">
            <v>فوتون 107</v>
          </cell>
          <cell r="C147" t="str">
            <v>قالب تعمیری</v>
          </cell>
          <cell r="N147" t="str">
            <v>فرز</v>
          </cell>
          <cell r="AC147" t="str">
            <v>1405/06/10</v>
          </cell>
        </row>
        <row r="148">
          <cell r="B148" t="str">
            <v>لودر دیسکی XGL 50</v>
          </cell>
          <cell r="C148" t="str">
            <v>قالب نو</v>
          </cell>
          <cell r="N148" t="str">
            <v>مونتاژ</v>
          </cell>
          <cell r="AC148" t="str">
            <v>1405/06/10</v>
          </cell>
        </row>
        <row r="149">
          <cell r="B149" t="str">
            <v>دستگاه ساب الماسه</v>
          </cell>
          <cell r="C149" t="str">
            <v>قطعه نو</v>
          </cell>
          <cell r="N149" t="str">
            <v>فرز</v>
          </cell>
          <cell r="AC149" t="str">
            <v>1405/06/10</v>
          </cell>
        </row>
        <row r="150">
          <cell r="B150" t="str">
            <v>دستگاه ساب الماسه</v>
          </cell>
          <cell r="C150" t="str">
            <v>قطعه نو</v>
          </cell>
          <cell r="N150" t="str">
            <v>مونتاژ</v>
          </cell>
          <cell r="AC150" t="str">
            <v>1405/06/10</v>
          </cell>
        </row>
        <row r="151">
          <cell r="B151" t="str">
            <v>فوتون 107</v>
          </cell>
          <cell r="C151" t="str">
            <v>قالب تعمیری</v>
          </cell>
          <cell r="N151" t="str">
            <v>مونتاژ</v>
          </cell>
          <cell r="AC151" t="str">
            <v>1405/06/10</v>
          </cell>
        </row>
        <row r="152">
          <cell r="B152" t="str">
            <v>قالب مترو مشهد</v>
          </cell>
          <cell r="C152" t="str">
            <v>قالب تعمیری</v>
          </cell>
          <cell r="N152" t="str">
            <v>مونتاژ</v>
          </cell>
          <cell r="AC152" t="str">
            <v>1405/06/10</v>
          </cell>
        </row>
        <row r="153">
          <cell r="B153" t="str">
            <v>پخت کلاچ 309 سوراخدار</v>
          </cell>
          <cell r="C153" t="str">
            <v>قالب تعمیری</v>
          </cell>
          <cell r="N153" t="str">
            <v>مونتاژ</v>
          </cell>
          <cell r="AC153" t="str">
            <v>1405/06/10</v>
          </cell>
        </row>
        <row r="154">
          <cell r="B154" t="str">
            <v>شمش پراید</v>
          </cell>
          <cell r="C154" t="str">
            <v>قالب نو</v>
          </cell>
          <cell r="N154" t="str">
            <v>مونتاژ</v>
          </cell>
          <cell r="AC154" t="str">
            <v>1405/06/10</v>
          </cell>
        </row>
        <row r="155">
          <cell r="B155" t="str">
            <v>قالب مترو مشهد</v>
          </cell>
          <cell r="C155" t="str">
            <v>قالب تعمیری</v>
          </cell>
          <cell r="N155" t="str">
            <v>مونتاژ</v>
          </cell>
          <cell r="AC155" t="str">
            <v>1405/06/07</v>
          </cell>
        </row>
        <row r="156">
          <cell r="B156" t="str">
            <v>جلو سمند سورن</v>
          </cell>
          <cell r="C156" t="str">
            <v>قالب تعمیری</v>
          </cell>
          <cell r="N156" t="str">
            <v>اره لنگ</v>
          </cell>
          <cell r="AC156" t="str">
            <v>1405/06/07</v>
          </cell>
        </row>
        <row r="157">
          <cell r="B157" t="str">
            <v>پخت کلاچ 309 سوراخدار</v>
          </cell>
          <cell r="C157" t="str">
            <v>قالب تعمیری</v>
          </cell>
          <cell r="N157" t="str">
            <v>مونتاژ</v>
          </cell>
          <cell r="AC157" t="str">
            <v>1405/06/07</v>
          </cell>
        </row>
        <row r="158">
          <cell r="B158" t="str">
            <v>دستگاه ساب الماسه</v>
          </cell>
          <cell r="C158" t="str">
            <v>قطعه نو</v>
          </cell>
          <cell r="N158" t="str">
            <v>اره لنگ</v>
          </cell>
          <cell r="AC158" t="str">
            <v>1405/06/07</v>
          </cell>
        </row>
        <row r="159">
          <cell r="B159" t="str">
            <v>فوتون 107</v>
          </cell>
          <cell r="C159" t="str">
            <v>قالب تعمیری</v>
          </cell>
          <cell r="N159" t="str">
            <v>CNC</v>
          </cell>
          <cell r="AC159" t="str">
            <v>1405/06/10</v>
          </cell>
        </row>
        <row r="160">
          <cell r="B160" t="str">
            <v>لودر دیسکی XGL 50</v>
          </cell>
          <cell r="C160" t="str">
            <v>قالب نو</v>
          </cell>
          <cell r="N160" t="str">
            <v>CNC</v>
          </cell>
          <cell r="AC160" t="str">
            <v>1405/06/10</v>
          </cell>
        </row>
        <row r="161">
          <cell r="B161" t="str">
            <v>فوتون 107</v>
          </cell>
          <cell r="C161" t="str">
            <v>قالب تعمیری</v>
          </cell>
          <cell r="N161" t="str">
            <v>CNC</v>
          </cell>
          <cell r="AC161" t="str">
            <v>1405/06/10</v>
          </cell>
        </row>
        <row r="162">
          <cell r="B162" t="str">
            <v>قالب شمشی عقب پیکان</v>
          </cell>
          <cell r="C162" t="str">
            <v>قالب نو</v>
          </cell>
          <cell r="N162" t="str">
            <v>CNC</v>
          </cell>
          <cell r="AC162" t="str">
            <v>1405/06/10</v>
          </cell>
        </row>
        <row r="163">
          <cell r="B163" t="str">
            <v>قالب مترو مشهد</v>
          </cell>
          <cell r="C163" t="str">
            <v>قالب تعمیری</v>
          </cell>
          <cell r="N163" t="str">
            <v>فرز</v>
          </cell>
          <cell r="AC163" t="str">
            <v>1405/06/10</v>
          </cell>
        </row>
        <row r="164">
          <cell r="B164" t="str">
            <v>قالب مترو مشهد</v>
          </cell>
          <cell r="C164" t="str">
            <v>قالب تعمیری</v>
          </cell>
          <cell r="N164" t="str">
            <v>فرز</v>
          </cell>
          <cell r="AC164" t="str">
            <v>1405/06/10</v>
          </cell>
        </row>
        <row r="165">
          <cell r="B165" t="str">
            <v>قالب پخت کلاچ</v>
          </cell>
          <cell r="C165" t="str">
            <v>قالب تعمیری</v>
          </cell>
          <cell r="N165" t="str">
            <v>فرز</v>
          </cell>
          <cell r="AC165" t="str">
            <v>1405/06/10</v>
          </cell>
        </row>
        <row r="166">
          <cell r="B166" t="str">
            <v>دستگاه ساب الماسه</v>
          </cell>
          <cell r="C166" t="str">
            <v>قطعه نو</v>
          </cell>
          <cell r="N166" t="str">
            <v>تراش</v>
          </cell>
          <cell r="AC166" t="str">
            <v>1405/06/10</v>
          </cell>
        </row>
        <row r="167">
          <cell r="B167" t="str">
            <v>پخت کلاچ 309 سوراخدار</v>
          </cell>
          <cell r="C167" t="str">
            <v>قالب تعمیری</v>
          </cell>
          <cell r="N167" t="str">
            <v>تراش</v>
          </cell>
          <cell r="AC167" t="str">
            <v>1405/06/10</v>
          </cell>
        </row>
        <row r="168">
          <cell r="B168" t="str">
            <v>دستگاه ساب الماسه</v>
          </cell>
          <cell r="C168" t="str">
            <v>قطعه نو</v>
          </cell>
          <cell r="N168" t="str">
            <v>تراش</v>
          </cell>
          <cell r="AC168" t="str">
            <v>1405/06/10</v>
          </cell>
        </row>
        <row r="169">
          <cell r="B169" t="str">
            <v>دستگاه کشش سیم مفتول</v>
          </cell>
          <cell r="C169" t="str">
            <v>قطعه نو</v>
          </cell>
          <cell r="N169" t="str">
            <v>تراش</v>
          </cell>
          <cell r="AC169" t="str">
            <v>1405/06/10</v>
          </cell>
        </row>
        <row r="170">
          <cell r="B170" t="str">
            <v>قالب 29162</v>
          </cell>
          <cell r="C170" t="str">
            <v>قالب تعمیری</v>
          </cell>
          <cell r="N170" t="str">
            <v>وایر</v>
          </cell>
          <cell r="AC170" t="str">
            <v>1405/06/10</v>
          </cell>
        </row>
        <row r="171">
          <cell r="B171" t="str">
            <v>برشی نیوفیس C&amp;C</v>
          </cell>
          <cell r="C171" t="str">
            <v>قالب نو</v>
          </cell>
          <cell r="N171" t="str">
            <v>وایر</v>
          </cell>
          <cell r="AC171" t="str">
            <v>1405/06/10</v>
          </cell>
        </row>
        <row r="172">
          <cell r="B172" t="str">
            <v>شمش پراید</v>
          </cell>
          <cell r="C172" t="str">
            <v>قالب نو</v>
          </cell>
          <cell r="N172" t="str">
            <v>وایر</v>
          </cell>
          <cell r="AC172" t="str">
            <v>1405/06/10</v>
          </cell>
        </row>
        <row r="173">
          <cell r="B173" t="str">
            <v>برشی نیوفیس C&amp;C</v>
          </cell>
          <cell r="C173" t="str">
            <v>قالب نو</v>
          </cell>
          <cell r="N173" t="str">
            <v>وایر</v>
          </cell>
          <cell r="AC173" t="str">
            <v>1405/06/10</v>
          </cell>
        </row>
        <row r="174">
          <cell r="B174" t="str">
            <v>قطعه بیرونی</v>
          </cell>
          <cell r="C174" t="str">
            <v>قطعه تعمیری</v>
          </cell>
          <cell r="N174" t="str">
            <v>سوپردریل</v>
          </cell>
          <cell r="AC174" t="str">
            <v>1405/06/10</v>
          </cell>
        </row>
        <row r="175">
          <cell r="B175" t="str">
            <v>پخت عقب پژو 405 شمشی پایه کوتاه</v>
          </cell>
          <cell r="C175" t="str">
            <v>قالب نو</v>
          </cell>
          <cell r="N175" t="str">
            <v>مونتاژ</v>
          </cell>
          <cell r="AC175" t="str">
            <v>1405/06/10</v>
          </cell>
        </row>
        <row r="176">
          <cell r="B176" t="str">
            <v>پخت کلاچ 309 سوراخدار</v>
          </cell>
          <cell r="C176" t="str">
            <v>قالب تعمیری</v>
          </cell>
          <cell r="N176" t="str">
            <v>مونتاژ</v>
          </cell>
          <cell r="AC176" t="str">
            <v>1405/06/10</v>
          </cell>
        </row>
        <row r="177">
          <cell r="B177" t="str">
            <v>دستگاه کشش سیم مفتول</v>
          </cell>
          <cell r="C177" t="str">
            <v>قطعه نو</v>
          </cell>
          <cell r="N177" t="str">
            <v>دریل رادیال</v>
          </cell>
          <cell r="AC177" t="str">
            <v>1405/06/10</v>
          </cell>
        </row>
        <row r="178">
          <cell r="B178" t="str">
            <v>پخت کلاچ 309 سوراخدار</v>
          </cell>
          <cell r="C178" t="str">
            <v>قالب تعمیری</v>
          </cell>
          <cell r="N178" t="str">
            <v>دریل رادیال</v>
          </cell>
          <cell r="AC178" t="str">
            <v>1405/06/10</v>
          </cell>
        </row>
        <row r="179">
          <cell r="B179" t="str">
            <v>لنت صنعتی</v>
          </cell>
          <cell r="C179" t="str">
            <v>قطعه تعمیری</v>
          </cell>
          <cell r="N179" t="str">
            <v>دریل رادیال</v>
          </cell>
          <cell r="AC179" t="str">
            <v>1405/06/10</v>
          </cell>
        </row>
        <row r="180">
          <cell r="B180" t="str">
            <v>جلو سمند سورن</v>
          </cell>
          <cell r="C180" t="str">
            <v>قالب تعمیری</v>
          </cell>
          <cell r="N180" t="str">
            <v>دریل رادیال</v>
          </cell>
          <cell r="AC180" t="str">
            <v>1405/06/10</v>
          </cell>
        </row>
        <row r="181">
          <cell r="B181" t="str">
            <v>لنت صنعتی</v>
          </cell>
          <cell r="C181" t="str">
            <v>قطعه تعمیری</v>
          </cell>
          <cell r="N181" t="str">
            <v>دریل رادیال</v>
          </cell>
          <cell r="AC181" t="str">
            <v>1405/06/10</v>
          </cell>
        </row>
        <row r="182">
          <cell r="B182" t="str">
            <v>قالب مترو مشهد</v>
          </cell>
          <cell r="C182" t="str">
            <v>قالب تعمیری</v>
          </cell>
          <cell r="N182" t="str">
            <v>دریل رادیال</v>
          </cell>
          <cell r="AC182" t="str">
            <v>1405/06/10</v>
          </cell>
        </row>
        <row r="183">
          <cell r="B183" t="str">
            <v>پخت کلاچ 309 سوراخدار</v>
          </cell>
          <cell r="C183" t="str">
            <v>قالب تعمیری</v>
          </cell>
          <cell r="N183" t="str">
            <v>مونتاژ</v>
          </cell>
          <cell r="AC183" t="str">
            <v>1405/06/10</v>
          </cell>
        </row>
        <row r="184">
          <cell r="B184" t="str">
            <v>قالب مترو مشهد</v>
          </cell>
          <cell r="C184" t="str">
            <v>قالب تعمیری</v>
          </cell>
          <cell r="N184" t="str">
            <v>دریل رادیال</v>
          </cell>
          <cell r="AC184" t="str">
            <v>1405/06/10</v>
          </cell>
        </row>
        <row r="185">
          <cell r="B185" t="str">
            <v>قالب پخت کلاچ</v>
          </cell>
          <cell r="C185" t="str">
            <v>قالب تعمیری</v>
          </cell>
          <cell r="N185" t="str">
            <v>فرز</v>
          </cell>
          <cell r="AC185" t="str">
            <v>1405/06/11</v>
          </cell>
        </row>
        <row r="186">
          <cell r="B186" t="str">
            <v>قالب شمشی عقب پیکان</v>
          </cell>
          <cell r="C186" t="str">
            <v>قالب نو</v>
          </cell>
          <cell r="N186" t="str">
            <v>فرز</v>
          </cell>
          <cell r="AC186" t="str">
            <v>1405/06/11</v>
          </cell>
        </row>
        <row r="187">
          <cell r="B187" t="str">
            <v>ساب ترابوزا</v>
          </cell>
          <cell r="C187" t="str">
            <v>قطعه نو</v>
          </cell>
          <cell r="N187" t="str">
            <v>تراش</v>
          </cell>
          <cell r="AC187" t="str">
            <v>1405/06/11</v>
          </cell>
        </row>
        <row r="188">
          <cell r="B188" t="str">
            <v>قالب شمشی عقب پیکان</v>
          </cell>
          <cell r="C188" t="str">
            <v>قالب نو</v>
          </cell>
          <cell r="N188" t="str">
            <v>CNC</v>
          </cell>
          <cell r="AC188" t="str">
            <v>1405/06/11</v>
          </cell>
        </row>
        <row r="189">
          <cell r="B189" t="str">
            <v>فوتون 107</v>
          </cell>
          <cell r="C189" t="str">
            <v>قالب تعمیری</v>
          </cell>
          <cell r="N189" t="str">
            <v>CNC</v>
          </cell>
          <cell r="AC189" t="str">
            <v>1405/06/11</v>
          </cell>
        </row>
        <row r="190">
          <cell r="B190" t="str">
            <v>برشی نیوفیس C&amp;C</v>
          </cell>
          <cell r="C190" t="str">
            <v>قالب نو</v>
          </cell>
          <cell r="N190" t="str">
            <v>CNC</v>
          </cell>
          <cell r="AC190" t="str">
            <v>1405/06/11</v>
          </cell>
        </row>
        <row r="191">
          <cell r="B191" t="str">
            <v>فوتون 107</v>
          </cell>
          <cell r="C191" t="str">
            <v>قالب تعمیری</v>
          </cell>
          <cell r="N191" t="str">
            <v>CNC</v>
          </cell>
          <cell r="AC191" t="str">
            <v>1405/06/11</v>
          </cell>
        </row>
        <row r="192">
          <cell r="B192" t="str">
            <v>پخت عقب پژو 405 شمشی پایه کوتاه</v>
          </cell>
          <cell r="C192" t="str">
            <v>قالب نو</v>
          </cell>
          <cell r="N192" t="str">
            <v>CNC</v>
          </cell>
          <cell r="AC192" t="str">
            <v>1405/06/11</v>
          </cell>
        </row>
        <row r="193">
          <cell r="B193" t="str">
            <v>قالب مینی بوس آریا</v>
          </cell>
          <cell r="C193" t="str">
            <v>قالب نو</v>
          </cell>
          <cell r="N193" t="str">
            <v>CNC</v>
          </cell>
          <cell r="AC193" t="str">
            <v>1405/06/11</v>
          </cell>
        </row>
        <row r="194">
          <cell r="B194" t="str">
            <v>ویوینگ</v>
          </cell>
          <cell r="C194" t="str">
            <v>قطعه تعمیری</v>
          </cell>
          <cell r="N194" t="str">
            <v>تراش</v>
          </cell>
          <cell r="AC194" t="str">
            <v>1405/06/11</v>
          </cell>
        </row>
        <row r="195">
          <cell r="B195" t="str">
            <v>دستگاه کشش سیم مفتول</v>
          </cell>
          <cell r="C195" t="str">
            <v>قطعه نو</v>
          </cell>
          <cell r="N195" t="str">
            <v>تراش</v>
          </cell>
          <cell r="AC195" t="str">
            <v>1405/06/11</v>
          </cell>
        </row>
        <row r="196">
          <cell r="B196" t="str">
            <v>جلو سمند سورن</v>
          </cell>
          <cell r="C196" t="str">
            <v>قالب تعمیری</v>
          </cell>
          <cell r="N196" t="str">
            <v>تراش</v>
          </cell>
          <cell r="AC196" t="str">
            <v>1405/06/11</v>
          </cell>
        </row>
        <row r="197">
          <cell r="B197" t="str">
            <v>قطعه بیرونی</v>
          </cell>
          <cell r="C197" t="str">
            <v>قطعه تعمیری</v>
          </cell>
          <cell r="N197" t="str">
            <v>سوپردریل</v>
          </cell>
          <cell r="AC197" t="str">
            <v>1405/06/11</v>
          </cell>
        </row>
        <row r="198">
          <cell r="B198" t="str">
            <v>پخت کلاچ 309 سوراخدار</v>
          </cell>
          <cell r="C198" t="str">
            <v>قالب تعمیری</v>
          </cell>
          <cell r="N198" t="str">
            <v>وایر</v>
          </cell>
          <cell r="AC198" t="str">
            <v>1405/06/11</v>
          </cell>
        </row>
        <row r="199">
          <cell r="B199" t="str">
            <v>قالب پخت SAF</v>
          </cell>
          <cell r="C199" t="str">
            <v>قالب نو</v>
          </cell>
          <cell r="N199" t="str">
            <v>وایر</v>
          </cell>
          <cell r="AC199" t="str">
            <v>1405/06/11</v>
          </cell>
        </row>
        <row r="200">
          <cell r="B200" t="str">
            <v>جلو سمند سورن</v>
          </cell>
          <cell r="C200" t="str">
            <v>قالب تعمیری</v>
          </cell>
          <cell r="N200" t="str">
            <v>مونتاژ</v>
          </cell>
          <cell r="AC200" t="str">
            <v>1405/06/11</v>
          </cell>
        </row>
        <row r="201">
          <cell r="B201" t="str">
            <v>پخت کلاچ 309 سوراخدار</v>
          </cell>
          <cell r="C201" t="str">
            <v>قالب تعمیری</v>
          </cell>
          <cell r="N201" t="str">
            <v>مونتاژ</v>
          </cell>
          <cell r="AC201" t="str">
            <v>1405/06/11</v>
          </cell>
        </row>
        <row r="202">
          <cell r="B202" t="str">
            <v>سنگ مغناطیسی</v>
          </cell>
          <cell r="C202" t="str">
            <v>دستگاه تعمیری</v>
          </cell>
          <cell r="N202" t="str">
            <v>مونتاژ</v>
          </cell>
          <cell r="AC202" t="str">
            <v>1405/06/11</v>
          </cell>
        </row>
        <row r="203">
          <cell r="B203" t="str">
            <v>فوتون 107</v>
          </cell>
          <cell r="C203" t="str">
            <v>قالب تعمیری</v>
          </cell>
          <cell r="N203" t="str">
            <v>مونتاژ</v>
          </cell>
          <cell r="AC203" t="str">
            <v>1405/06/11</v>
          </cell>
        </row>
        <row r="204">
          <cell r="B204" t="str">
            <v>قالب مترو مشهد</v>
          </cell>
          <cell r="C204" t="str">
            <v>قالب تعمیری</v>
          </cell>
          <cell r="N204" t="str">
            <v>مونتاژ</v>
          </cell>
          <cell r="AC204" t="str">
            <v>1405/06/11</v>
          </cell>
        </row>
        <row r="205">
          <cell r="B205" t="str">
            <v>پخت کلاچ پراید</v>
          </cell>
          <cell r="C205" t="str">
            <v>قالب تعمیری</v>
          </cell>
          <cell r="N205" t="str">
            <v>مونتاژ</v>
          </cell>
          <cell r="AC205" t="str">
            <v>1405/06/11</v>
          </cell>
        </row>
        <row r="206">
          <cell r="B206" t="str">
            <v>کامیونت هیوندای</v>
          </cell>
          <cell r="C206" t="str">
            <v>قالب نو</v>
          </cell>
          <cell r="N206" t="str">
            <v>فرز</v>
          </cell>
          <cell r="AC206" t="str">
            <v>1405/06/14</v>
          </cell>
        </row>
        <row r="207">
          <cell r="B207" t="str">
            <v>خودرو دیزل آذربایجان</v>
          </cell>
          <cell r="C207" t="str">
            <v>قالب نو</v>
          </cell>
          <cell r="N207" t="str">
            <v>CNC</v>
          </cell>
          <cell r="AC207" t="str">
            <v>1405/06/14</v>
          </cell>
        </row>
        <row r="208">
          <cell r="B208" t="str">
            <v>کامیونت هیوندای</v>
          </cell>
          <cell r="C208" t="str">
            <v>قالب نو</v>
          </cell>
          <cell r="N208" t="str">
            <v>فرز</v>
          </cell>
          <cell r="AC208" t="str">
            <v>1405/06/14</v>
          </cell>
        </row>
        <row r="209">
          <cell r="B209" t="str">
            <v>قالب پخت کلاچ</v>
          </cell>
          <cell r="C209" t="str">
            <v>قالب تعمیری</v>
          </cell>
          <cell r="N209" t="str">
            <v>فرز</v>
          </cell>
          <cell r="AC209" t="str">
            <v>1405/06/14</v>
          </cell>
        </row>
        <row r="210">
          <cell r="B210" t="str">
            <v>قالب پخت کلاچ</v>
          </cell>
          <cell r="C210" t="str">
            <v>قالب تعمیری</v>
          </cell>
          <cell r="N210" t="str">
            <v>فرز</v>
          </cell>
          <cell r="AC210" t="str">
            <v>1405/06/14</v>
          </cell>
        </row>
        <row r="211">
          <cell r="B211" t="str">
            <v>قالب مینی بوس آریا</v>
          </cell>
          <cell r="C211" t="str">
            <v>قالب نو</v>
          </cell>
          <cell r="N211" t="str">
            <v>CNC</v>
          </cell>
          <cell r="AC211" t="str">
            <v>1405/06/14</v>
          </cell>
        </row>
        <row r="212">
          <cell r="B212" t="str">
            <v>قالب مینی بوس آریا</v>
          </cell>
          <cell r="C212" t="str">
            <v>قالب نو</v>
          </cell>
          <cell r="N212" t="str">
            <v>CNC</v>
          </cell>
          <cell r="AC212" t="str">
            <v>1405/06/14</v>
          </cell>
        </row>
        <row r="213">
          <cell r="B213" t="str">
            <v>کلمپ زنی</v>
          </cell>
          <cell r="C213" t="str">
            <v>قطعه تعمیری</v>
          </cell>
          <cell r="N213" t="str">
            <v>تراش</v>
          </cell>
          <cell r="AC213" t="str">
            <v>1405/06/14</v>
          </cell>
        </row>
        <row r="214">
          <cell r="B214" t="str">
            <v>ویوینگ</v>
          </cell>
          <cell r="C214" t="str">
            <v>قطعه تعمیری</v>
          </cell>
          <cell r="N214" t="str">
            <v>تراش</v>
          </cell>
          <cell r="AC214" t="str">
            <v>1405/06/14</v>
          </cell>
        </row>
        <row r="215">
          <cell r="B215" t="str">
            <v>ساب سمباده ای</v>
          </cell>
          <cell r="C215" t="str">
            <v>قطعه نو</v>
          </cell>
          <cell r="N215" t="str">
            <v>تراش</v>
          </cell>
          <cell r="AC215" t="str">
            <v>1405/06/14</v>
          </cell>
        </row>
        <row r="216">
          <cell r="B216" t="str">
            <v>برشی نیوفیس C&amp;C</v>
          </cell>
          <cell r="C216" t="str">
            <v>قالب نو</v>
          </cell>
          <cell r="N216" t="str">
            <v>CNC</v>
          </cell>
          <cell r="AC216" t="str">
            <v>1405/06/14</v>
          </cell>
        </row>
        <row r="217">
          <cell r="B217" t="str">
            <v>سوراخکاری پیلسان</v>
          </cell>
          <cell r="C217" t="str">
            <v>قطعه نو</v>
          </cell>
          <cell r="N217" t="str">
            <v>CNC</v>
          </cell>
          <cell r="AC217" t="str">
            <v>1405/06/14</v>
          </cell>
        </row>
        <row r="218">
          <cell r="B218" t="str">
            <v>دریل یزدخواستی کلاچ</v>
          </cell>
          <cell r="C218" t="str">
            <v>قطعه نو</v>
          </cell>
          <cell r="N218" t="str">
            <v>CNC</v>
          </cell>
          <cell r="AC218" t="str">
            <v>1405/06/14</v>
          </cell>
        </row>
        <row r="219">
          <cell r="B219" t="str">
            <v>لودر دیسکی XGL 50</v>
          </cell>
          <cell r="C219" t="str">
            <v>قالب نو</v>
          </cell>
          <cell r="N219" t="str">
            <v>CNC</v>
          </cell>
          <cell r="AC219" t="str">
            <v>1405/06/14</v>
          </cell>
        </row>
        <row r="220">
          <cell r="B220" t="str">
            <v>پخت کلاچ 309 سوراخدار</v>
          </cell>
          <cell r="C220" t="str">
            <v>قالب تعمیری</v>
          </cell>
          <cell r="N220" t="str">
            <v>وایر</v>
          </cell>
          <cell r="AC220" t="str">
            <v>1405/06/14</v>
          </cell>
        </row>
        <row r="221">
          <cell r="B221" t="str">
            <v>قالب پخت SAF</v>
          </cell>
          <cell r="C221" t="str">
            <v>قالب نو</v>
          </cell>
          <cell r="N221" t="str">
            <v>وایر</v>
          </cell>
          <cell r="AC221" t="str">
            <v>1405/06/14</v>
          </cell>
        </row>
        <row r="222">
          <cell r="B222" t="str">
            <v>قطعه بیرونی</v>
          </cell>
          <cell r="C222" t="str">
            <v>قطعه تعمیری</v>
          </cell>
          <cell r="N222" t="str">
            <v>سوپردریل</v>
          </cell>
          <cell r="AC222" t="str">
            <v>1405/06/14</v>
          </cell>
        </row>
        <row r="223">
          <cell r="B223" t="str">
            <v>قالب مترو مشهد</v>
          </cell>
          <cell r="C223" t="str">
            <v>قالب تعمیری</v>
          </cell>
          <cell r="N223" t="str">
            <v>اره لنگ</v>
          </cell>
          <cell r="AC223" t="str">
            <v>1405/06/14</v>
          </cell>
        </row>
        <row r="224">
          <cell r="B224" t="str">
            <v>پخت کلاچ هوو</v>
          </cell>
          <cell r="C224" t="str">
            <v>قالب تعمیری</v>
          </cell>
          <cell r="N224" t="str">
            <v>مونتاژ</v>
          </cell>
          <cell r="AC224" t="str">
            <v>1405/06/14</v>
          </cell>
        </row>
        <row r="225">
          <cell r="B225" t="str">
            <v>برشی نیوفیس C&amp;C</v>
          </cell>
          <cell r="C225" t="str">
            <v>قالب نو</v>
          </cell>
          <cell r="N225" t="str">
            <v>مونتاژ</v>
          </cell>
          <cell r="AC225" t="str">
            <v>1405/06/14</v>
          </cell>
        </row>
        <row r="226">
          <cell r="B226" t="str">
            <v>قالب شمشی عقب پیکان</v>
          </cell>
          <cell r="C226" t="str">
            <v>قالب نو</v>
          </cell>
          <cell r="N226" t="str">
            <v>مونتاژ</v>
          </cell>
          <cell r="AC226" t="str">
            <v>1405/06/14</v>
          </cell>
        </row>
        <row r="227">
          <cell r="B227" t="str">
            <v>ویوینگ</v>
          </cell>
          <cell r="C227" t="str">
            <v>قطعه نو</v>
          </cell>
          <cell r="N227" t="str">
            <v>تراش</v>
          </cell>
          <cell r="AC227" t="str">
            <v>1405/06/14</v>
          </cell>
        </row>
        <row r="228">
          <cell r="B228" t="str">
            <v>ساب سمباده ای</v>
          </cell>
          <cell r="C228" t="str">
            <v>قطعه نو</v>
          </cell>
          <cell r="N228" t="str">
            <v>تراش</v>
          </cell>
          <cell r="AC228" t="str">
            <v>1405/06/14</v>
          </cell>
        </row>
        <row r="229">
          <cell r="B229" t="str">
            <v>پخت کلاچ ایسوزو</v>
          </cell>
          <cell r="C229" t="str">
            <v>قالب تعمیری</v>
          </cell>
          <cell r="N229" t="str">
            <v>تراش</v>
          </cell>
          <cell r="AC229" t="str">
            <v>1405/06/14</v>
          </cell>
        </row>
        <row r="230">
          <cell r="B230" t="str">
            <v>قالب پخت کلاچ</v>
          </cell>
          <cell r="C230" t="str">
            <v>قالب تعمیری</v>
          </cell>
          <cell r="N230" t="str">
            <v>سنگ زنی</v>
          </cell>
          <cell r="AC230" t="str">
            <v>1405/06/14</v>
          </cell>
        </row>
        <row r="231">
          <cell r="B231" t="str">
            <v>کامیونت هیوندای</v>
          </cell>
          <cell r="C231" t="str">
            <v>قالب نو</v>
          </cell>
          <cell r="N231" t="str">
            <v>سنگ زنی</v>
          </cell>
          <cell r="AC231" t="str">
            <v>1405/06/14</v>
          </cell>
        </row>
        <row r="232">
          <cell r="B232" t="str">
            <v>کامیونت هیوندای</v>
          </cell>
          <cell r="C232" t="str">
            <v>قالب نو</v>
          </cell>
          <cell r="N232" t="str">
            <v>سنگ زنی</v>
          </cell>
          <cell r="AC232" t="str">
            <v>1405/06/14</v>
          </cell>
        </row>
        <row r="233">
          <cell r="B233" t="str">
            <v>دریل یزدخواستی کلاچ</v>
          </cell>
          <cell r="C233" t="str">
            <v>قطعه نو</v>
          </cell>
          <cell r="N233" t="str">
            <v>CNC</v>
          </cell>
          <cell r="AC233" t="str">
            <v>1405/06/15</v>
          </cell>
        </row>
        <row r="234">
          <cell r="B234" t="str">
            <v xml:space="preserve">قالب پخت کلاچ پیکان </v>
          </cell>
          <cell r="C234" t="str">
            <v>قالب تعمیری</v>
          </cell>
          <cell r="N234" t="str">
            <v>CNC</v>
          </cell>
          <cell r="AC234" t="str">
            <v>1405/06/15</v>
          </cell>
        </row>
        <row r="235">
          <cell r="B235" t="str">
            <v>قالب پخت کلاچ</v>
          </cell>
          <cell r="C235" t="str">
            <v>قالب تعمیری</v>
          </cell>
          <cell r="N235" t="str">
            <v>فرز</v>
          </cell>
          <cell r="AC235" t="str">
            <v>1405/06/15</v>
          </cell>
        </row>
        <row r="236">
          <cell r="B236" t="str">
            <v>قالب مینی بوس آریا</v>
          </cell>
          <cell r="C236" t="str">
            <v>قالب نو</v>
          </cell>
          <cell r="N236" t="str">
            <v>CNC</v>
          </cell>
          <cell r="AC236" t="str">
            <v>1405/06/15</v>
          </cell>
        </row>
        <row r="237">
          <cell r="B237" t="str">
            <v>خودرو دیزل آذربایجان</v>
          </cell>
          <cell r="C237" t="str">
            <v>قالب نو</v>
          </cell>
          <cell r="N237" t="str">
            <v>CNC</v>
          </cell>
          <cell r="AC237" t="str">
            <v>1405/06/15</v>
          </cell>
        </row>
        <row r="238">
          <cell r="B238" t="str">
            <v>کامیونت هیوندای</v>
          </cell>
          <cell r="C238" t="str">
            <v>قالب نو</v>
          </cell>
          <cell r="N238" t="str">
            <v>فرز</v>
          </cell>
          <cell r="AC238" t="str">
            <v>1405/06/15</v>
          </cell>
        </row>
        <row r="239">
          <cell r="B239" t="str">
            <v>کامیونت هیوندای</v>
          </cell>
          <cell r="C239" t="str">
            <v>قالب نو</v>
          </cell>
          <cell r="N239" t="str">
            <v>فرز</v>
          </cell>
          <cell r="AC239" t="str">
            <v>1405/06/15</v>
          </cell>
        </row>
        <row r="240">
          <cell r="B240" t="str">
            <v>سنگ مغناطیسی</v>
          </cell>
          <cell r="C240" t="str">
            <v>دستگاه تعمیری</v>
          </cell>
          <cell r="N240" t="str">
            <v>فرز</v>
          </cell>
          <cell r="AC240" t="str">
            <v>1405/06/15</v>
          </cell>
        </row>
        <row r="241">
          <cell r="B241" t="str">
            <v>قالب پخت کلاچ</v>
          </cell>
          <cell r="C241" t="str">
            <v>قالب تعمیری</v>
          </cell>
          <cell r="N241" t="str">
            <v>فرز</v>
          </cell>
          <cell r="AC241" t="str">
            <v>1405/06/15</v>
          </cell>
        </row>
        <row r="242">
          <cell r="B242" t="str">
            <v>ساب سمباده ای</v>
          </cell>
          <cell r="C242" t="str">
            <v>قطعه نو</v>
          </cell>
          <cell r="N242" t="str">
            <v>تراش</v>
          </cell>
          <cell r="AC242" t="str">
            <v>1405/06/15</v>
          </cell>
        </row>
        <row r="243">
          <cell r="B243" t="str">
            <v>پخت عقب پژو 405 شمشی پایه کوتاه</v>
          </cell>
          <cell r="C243" t="str">
            <v>قالب نو</v>
          </cell>
          <cell r="N243" t="str">
            <v>وایر</v>
          </cell>
          <cell r="AC243" t="str">
            <v>1405/06/15</v>
          </cell>
        </row>
        <row r="244">
          <cell r="B244" t="str">
            <v>پخت کلاچ 309 سوراخدار</v>
          </cell>
          <cell r="C244" t="str">
            <v>قالب تعمیری</v>
          </cell>
          <cell r="N244" t="str">
            <v>وایر</v>
          </cell>
          <cell r="AC244" t="str">
            <v>1405/06/15</v>
          </cell>
        </row>
        <row r="245">
          <cell r="B245" t="str">
            <v>لودر دیسکی XGL 50</v>
          </cell>
          <cell r="C245" t="str">
            <v>قالب نو</v>
          </cell>
          <cell r="N245" t="str">
            <v>وایر</v>
          </cell>
          <cell r="AC245" t="str">
            <v>1405/06/15</v>
          </cell>
        </row>
        <row r="246">
          <cell r="B246" t="str">
            <v>کامیونت هیوندای</v>
          </cell>
          <cell r="C246" t="str">
            <v>قالب نو</v>
          </cell>
          <cell r="N246" t="str">
            <v>سنگ زنی</v>
          </cell>
          <cell r="AC246" t="str">
            <v>1405/06/15</v>
          </cell>
        </row>
        <row r="247">
          <cell r="B247" t="str">
            <v>قالب پخت SAF</v>
          </cell>
          <cell r="C247" t="str">
            <v>قالب نو</v>
          </cell>
          <cell r="N247" t="str">
            <v>سنگ زنی</v>
          </cell>
          <cell r="AC247" t="str">
            <v>1405/06/15</v>
          </cell>
        </row>
        <row r="248">
          <cell r="B248" t="str">
            <v>قالب پخت کلاچ</v>
          </cell>
          <cell r="C248" t="str">
            <v>قالب تعمیری</v>
          </cell>
          <cell r="N248" t="str">
            <v>سنگ زنی</v>
          </cell>
          <cell r="AC248" t="str">
            <v>1405/06/15</v>
          </cell>
        </row>
        <row r="249">
          <cell r="B249" t="str">
            <v>خودرو دیزل آذربایجان</v>
          </cell>
          <cell r="C249" t="str">
            <v>قالب نو</v>
          </cell>
          <cell r="N249" t="str">
            <v>مونتاژ</v>
          </cell>
          <cell r="AC249" t="str">
            <v>1405/06/15</v>
          </cell>
        </row>
        <row r="250">
          <cell r="B250" t="str">
            <v>قالب مترو مشهد</v>
          </cell>
          <cell r="C250" t="str">
            <v>قالب تعمیری</v>
          </cell>
          <cell r="N250" t="str">
            <v>مونتاژ</v>
          </cell>
          <cell r="AC250" t="str">
            <v>1405/06/15</v>
          </cell>
        </row>
        <row r="251">
          <cell r="B251" t="str">
            <v>سنگ مغناطیسی</v>
          </cell>
          <cell r="C251" t="str">
            <v>دستگاه تعمیری</v>
          </cell>
          <cell r="N251" t="str">
            <v>مونتاژ</v>
          </cell>
          <cell r="AC251" t="str">
            <v>1405/06/15</v>
          </cell>
        </row>
        <row r="252">
          <cell r="B252" t="str">
            <v>ساب سمباده ای</v>
          </cell>
          <cell r="C252" t="str">
            <v>قطعه نو</v>
          </cell>
          <cell r="N252" t="str">
            <v>تراش</v>
          </cell>
          <cell r="AC252" t="str">
            <v>1405/06/15</v>
          </cell>
        </row>
        <row r="253">
          <cell r="B253" t="str">
            <v>ساب ترابوزا</v>
          </cell>
          <cell r="C253" t="str">
            <v>قطعه نو</v>
          </cell>
          <cell r="N253" t="str">
            <v>تراش</v>
          </cell>
          <cell r="AC253" t="str">
            <v>1405/06/15</v>
          </cell>
        </row>
        <row r="254">
          <cell r="B254" t="str">
            <v>ساب الماسه</v>
          </cell>
          <cell r="C254" t="str">
            <v>قطعه تعمیری</v>
          </cell>
          <cell r="N254" t="str">
            <v>تراش</v>
          </cell>
          <cell r="AC254" t="str">
            <v>1405/06/15</v>
          </cell>
        </row>
        <row r="255">
          <cell r="B255" t="str">
            <v>ساب ترابوزا</v>
          </cell>
          <cell r="C255" t="str">
            <v>قطعه تعمیری</v>
          </cell>
          <cell r="N255" t="str">
            <v>دریل رادیال</v>
          </cell>
          <cell r="AC255" t="str">
            <v>1405/06/15</v>
          </cell>
        </row>
        <row r="256">
          <cell r="B256" t="str">
            <v>دستگاه پرس پخت</v>
          </cell>
          <cell r="C256" t="str">
            <v>قطعه تعمیری</v>
          </cell>
          <cell r="N256" t="str">
            <v>دریل رادیال</v>
          </cell>
          <cell r="AC256" t="str">
            <v>1405/06/15</v>
          </cell>
        </row>
        <row r="257">
          <cell r="B257" t="str">
            <v>ویوینگ</v>
          </cell>
          <cell r="C257" t="str">
            <v>قطعه تعمیری</v>
          </cell>
          <cell r="N257" t="str">
            <v>دریل رادیال</v>
          </cell>
          <cell r="AC257" t="str">
            <v>1405/06/15</v>
          </cell>
        </row>
        <row r="258">
          <cell r="B258" t="str">
            <v>قالب مترو مشهد</v>
          </cell>
          <cell r="C258" t="str">
            <v>قالب تعمیری</v>
          </cell>
          <cell r="N258" t="str">
            <v>دریل رادیال</v>
          </cell>
          <cell r="AC258" t="str">
            <v>1405/06/15</v>
          </cell>
        </row>
        <row r="259">
          <cell r="B259" t="str">
            <v>قالب مترو مشهد</v>
          </cell>
          <cell r="C259" t="str">
            <v>قالب تعمیری</v>
          </cell>
          <cell r="N259" t="str">
            <v>مونتاژ</v>
          </cell>
          <cell r="AC259" t="str">
            <v>1405/06/15</v>
          </cell>
        </row>
        <row r="260">
          <cell r="B260" t="str">
            <v>پخت کلاچ 309 سوراخدار</v>
          </cell>
          <cell r="C260" t="str">
            <v>قالب تعمیری</v>
          </cell>
          <cell r="N260" t="str">
            <v>دریل رادیال</v>
          </cell>
          <cell r="AC260" t="str">
            <v>1405/06/15</v>
          </cell>
        </row>
        <row r="261">
          <cell r="B261" t="str">
            <v>جلو سمند سورن</v>
          </cell>
          <cell r="C261" t="str">
            <v>قالب تعمیری</v>
          </cell>
          <cell r="N261" t="str">
            <v>مونتاژ</v>
          </cell>
          <cell r="AC261" t="str">
            <v>1405/06/11</v>
          </cell>
        </row>
        <row r="262">
          <cell r="B262" t="str">
            <v>قالب مترو مشهد</v>
          </cell>
          <cell r="C262" t="str">
            <v>قالب تعمیری</v>
          </cell>
          <cell r="N262" t="str">
            <v>دریل رادیال</v>
          </cell>
          <cell r="AC262" t="str">
            <v>1405/06/11</v>
          </cell>
        </row>
        <row r="263">
          <cell r="B263" t="str">
            <v>پخت کلاچ 309 سوراخدار</v>
          </cell>
          <cell r="C263" t="str">
            <v>قالب تعمیری</v>
          </cell>
          <cell r="N263" t="str">
            <v>مونتاژ</v>
          </cell>
          <cell r="AC263" t="str">
            <v>1405/06/11</v>
          </cell>
        </row>
        <row r="264">
          <cell r="B264" t="str">
            <v>خودرو دیزل آذربایجان</v>
          </cell>
          <cell r="C264" t="str">
            <v>قالب نو</v>
          </cell>
          <cell r="N264" t="str">
            <v>CNC</v>
          </cell>
          <cell r="AC264" t="str">
            <v>1405/06/16</v>
          </cell>
        </row>
        <row r="265">
          <cell r="B265" t="str">
            <v xml:space="preserve">قالب پخت کلاچ پیکان </v>
          </cell>
          <cell r="C265" t="str">
            <v>قالب تعمیری</v>
          </cell>
          <cell r="N265" t="str">
            <v>CNC</v>
          </cell>
          <cell r="AC265" t="str">
            <v>1405/06/16</v>
          </cell>
        </row>
        <row r="266">
          <cell r="B266" t="str">
            <v>کامیونت هیوندای</v>
          </cell>
          <cell r="C266" t="str">
            <v>قالب نو</v>
          </cell>
          <cell r="N266" t="str">
            <v>فرز</v>
          </cell>
          <cell r="AC266" t="str">
            <v>1405/06/16</v>
          </cell>
        </row>
        <row r="267">
          <cell r="B267" t="str">
            <v>قالب پخت کلاچ</v>
          </cell>
          <cell r="C267" t="str">
            <v>قالب تعمیری</v>
          </cell>
          <cell r="N267" t="str">
            <v>فرز</v>
          </cell>
          <cell r="AC267" t="str">
            <v>1405/06/16</v>
          </cell>
        </row>
        <row r="268">
          <cell r="B268" t="str">
            <v>فرز Taksan</v>
          </cell>
          <cell r="C268" t="str">
            <v>دستگاه تعمیری</v>
          </cell>
          <cell r="N268" t="str">
            <v>فرز</v>
          </cell>
          <cell r="AC268" t="str">
            <v>1405/06/16</v>
          </cell>
        </row>
        <row r="269">
          <cell r="B269" t="str">
            <v>کامیونت هیوندای</v>
          </cell>
          <cell r="C269" t="str">
            <v>قالب نو</v>
          </cell>
          <cell r="N269" t="str">
            <v>فرز</v>
          </cell>
          <cell r="AC269" t="str">
            <v>1405/06/16</v>
          </cell>
        </row>
        <row r="270">
          <cell r="B270" t="str">
            <v>کامیونت هیوندای</v>
          </cell>
          <cell r="C270" t="str">
            <v>قالب نو</v>
          </cell>
          <cell r="N270" t="str">
            <v>فرز</v>
          </cell>
          <cell r="AC270" t="str">
            <v>1405/06/16</v>
          </cell>
        </row>
        <row r="271">
          <cell r="B271" t="str">
            <v>چکش تست لنت</v>
          </cell>
          <cell r="C271" t="str">
            <v>قطعه تعمیری</v>
          </cell>
          <cell r="N271" t="str">
            <v>فرز</v>
          </cell>
          <cell r="AC271" t="str">
            <v>1405/06/16</v>
          </cell>
        </row>
        <row r="272">
          <cell r="B272" t="str">
            <v>پخت کلاچ 309 سوراخدار</v>
          </cell>
          <cell r="C272" t="str">
            <v>قالب تعمیری</v>
          </cell>
          <cell r="N272" t="str">
            <v>تراش</v>
          </cell>
          <cell r="AC272" t="str">
            <v>1405/06/16</v>
          </cell>
        </row>
        <row r="273">
          <cell r="B273" t="str">
            <v>دستگاه برش جمعی</v>
          </cell>
          <cell r="C273" t="str">
            <v>قطعه تعمیری</v>
          </cell>
          <cell r="N273" t="str">
            <v>تراش</v>
          </cell>
          <cell r="AC273" t="str">
            <v>1405/06/16</v>
          </cell>
        </row>
        <row r="274">
          <cell r="B274" t="str">
            <v>سری نقطه جوش</v>
          </cell>
          <cell r="C274" t="str">
            <v>قطعه تعمیری</v>
          </cell>
          <cell r="N274" t="str">
            <v>تراش</v>
          </cell>
          <cell r="AC274" t="str">
            <v>1405/06/16</v>
          </cell>
        </row>
        <row r="275">
          <cell r="B275" t="str">
            <v>قالب پخت SAF</v>
          </cell>
          <cell r="C275" t="str">
            <v>قالب نو</v>
          </cell>
          <cell r="N275" t="str">
            <v>تراش</v>
          </cell>
          <cell r="AC275" t="str">
            <v>1405/06/16</v>
          </cell>
        </row>
        <row r="276">
          <cell r="B276" t="str">
            <v>پخت عقب پژو 405 شمشی پایه کوتاه</v>
          </cell>
          <cell r="C276" t="str">
            <v>قالب نو</v>
          </cell>
          <cell r="N276" t="str">
            <v>وایر</v>
          </cell>
          <cell r="AC276" t="str">
            <v>1405/06/16</v>
          </cell>
        </row>
        <row r="277">
          <cell r="B277" t="str">
            <v>فیکسچر سوراخکاری  لنت دایان انرژی</v>
          </cell>
          <cell r="C277" t="str">
            <v>قطعه نو</v>
          </cell>
          <cell r="N277" t="str">
            <v>وایر</v>
          </cell>
          <cell r="AC277" t="str">
            <v>1405/06/16</v>
          </cell>
        </row>
        <row r="278">
          <cell r="B278" t="str">
            <v>پشم فلز آلمانی</v>
          </cell>
          <cell r="C278" t="str">
            <v>قطعه نو</v>
          </cell>
          <cell r="N278" t="str">
            <v>وایر</v>
          </cell>
          <cell r="AC278" t="str">
            <v>1405/06/16</v>
          </cell>
        </row>
        <row r="279">
          <cell r="B279" t="str">
            <v>ساب ترابوزا</v>
          </cell>
          <cell r="C279" t="str">
            <v>قطعه نو</v>
          </cell>
          <cell r="N279" t="str">
            <v>تراش</v>
          </cell>
          <cell r="AC279" t="str">
            <v>1405/06/16</v>
          </cell>
        </row>
        <row r="280">
          <cell r="B280" t="str">
            <v>پشم فلز آلمانی</v>
          </cell>
          <cell r="C280" t="str">
            <v>قطعه نو</v>
          </cell>
          <cell r="N280" t="str">
            <v>تراش</v>
          </cell>
          <cell r="AC280" t="str">
            <v>1405/06/16</v>
          </cell>
        </row>
        <row r="281">
          <cell r="B281" t="str">
            <v>اصول 5S</v>
          </cell>
          <cell r="C281" t="str">
            <v>نظافت</v>
          </cell>
          <cell r="N281" t="str">
            <v>مونتاژ</v>
          </cell>
          <cell r="AC281" t="str">
            <v>1405/06/16</v>
          </cell>
        </row>
        <row r="282">
          <cell r="B282" t="str">
            <v>خودرو دیزل آذربایجان</v>
          </cell>
          <cell r="C282" t="str">
            <v>قالب نو</v>
          </cell>
          <cell r="N282" t="str">
            <v>مونتاژ</v>
          </cell>
          <cell r="AC282" t="str">
            <v>1405/06/16</v>
          </cell>
        </row>
        <row r="283">
          <cell r="B283" t="str">
            <v>قالب پخت SAF</v>
          </cell>
          <cell r="C283" t="str">
            <v>قالب نو</v>
          </cell>
          <cell r="N283" t="str">
            <v>مونتاژ</v>
          </cell>
          <cell r="AC283" t="str">
            <v>1405/06/16</v>
          </cell>
        </row>
        <row r="284">
          <cell r="B284" t="str">
            <v>قالب پخت SAF</v>
          </cell>
          <cell r="C284" t="str">
            <v>قالب نو</v>
          </cell>
          <cell r="N284" t="str">
            <v>مونتاژ</v>
          </cell>
          <cell r="AC284" t="str">
            <v>1405/06/16</v>
          </cell>
        </row>
        <row r="285">
          <cell r="B285" t="str">
            <v>Grinding Machine Drum</v>
          </cell>
          <cell r="C285" t="str">
            <v>قطعه نو</v>
          </cell>
          <cell r="N285" t="str">
            <v>تراش</v>
          </cell>
          <cell r="AC285" t="str">
            <v>1405/06/16</v>
          </cell>
        </row>
        <row r="286">
          <cell r="B286" t="str">
            <v>قالب پخت SAF</v>
          </cell>
          <cell r="C286" t="str">
            <v>قالب تعمیری</v>
          </cell>
          <cell r="N286" t="str">
            <v>مونتاژ</v>
          </cell>
          <cell r="AC286" t="str">
            <v>1405/06/16</v>
          </cell>
        </row>
        <row r="287">
          <cell r="B287" t="str">
            <v>پخت کلاچ 309 سوراخدار</v>
          </cell>
          <cell r="C287" t="str">
            <v>قالب تعمیری</v>
          </cell>
          <cell r="N287" t="str">
            <v>اره لنگ</v>
          </cell>
          <cell r="AC287" t="str">
            <v>1405/06/16</v>
          </cell>
        </row>
        <row r="288">
          <cell r="B288" t="str">
            <v>قالب پخت SAF</v>
          </cell>
          <cell r="C288" t="str">
            <v>قالب نو</v>
          </cell>
          <cell r="N288" t="str">
            <v>مونتاژ</v>
          </cell>
          <cell r="AC288" t="str">
            <v>1405/06/16</v>
          </cell>
        </row>
        <row r="289">
          <cell r="B289" t="str">
            <v>قالب پخت SAF</v>
          </cell>
          <cell r="C289" t="str">
            <v>قالب تعمیری</v>
          </cell>
          <cell r="N289" t="str">
            <v>دریل رادیال</v>
          </cell>
          <cell r="AC289" t="str">
            <v>1405/06/16</v>
          </cell>
        </row>
        <row r="290">
          <cell r="B290" t="str">
            <v>قالب پخت SAF</v>
          </cell>
          <cell r="C290" t="str">
            <v>قالب تعمیری</v>
          </cell>
          <cell r="N290" t="str">
            <v>دریل رادیال</v>
          </cell>
          <cell r="AC290" t="str">
            <v>1405/06/16</v>
          </cell>
        </row>
        <row r="291">
          <cell r="B291" t="str">
            <v>پخت کلاچ 309 سوراخدار</v>
          </cell>
          <cell r="C291" t="str">
            <v>قالب تعمیری</v>
          </cell>
          <cell r="N291" t="str">
            <v>اره لنگ</v>
          </cell>
          <cell r="AC291" t="str">
            <v>1405/06/16</v>
          </cell>
        </row>
        <row r="292">
          <cell r="B292" t="str">
            <v>پشم فلز آلمانی</v>
          </cell>
          <cell r="C292" t="str">
            <v>قطعه نو</v>
          </cell>
          <cell r="N292" t="str">
            <v>دریل رادیال</v>
          </cell>
          <cell r="AC292" t="str">
            <v>1405/06/16</v>
          </cell>
        </row>
        <row r="293">
          <cell r="B293" t="str">
            <v>قالب پخت SAF</v>
          </cell>
          <cell r="C293" t="str">
            <v>قالب تعمیری</v>
          </cell>
          <cell r="N293" t="str">
            <v>مونتاژ</v>
          </cell>
          <cell r="AC293" t="str">
            <v>1405/06/16</v>
          </cell>
        </row>
        <row r="294">
          <cell r="B294" t="str">
            <v>دریل یزدخواستی کلاچ</v>
          </cell>
          <cell r="C294" t="str">
            <v>قطعه نو</v>
          </cell>
          <cell r="N294" t="str">
            <v>CNC</v>
          </cell>
          <cell r="AC294" t="str">
            <v>1405/06/16</v>
          </cell>
        </row>
        <row r="295">
          <cell r="B295" t="str">
            <v>سوراخکاری پیلسان</v>
          </cell>
          <cell r="C295" t="str">
            <v>قطعه نو</v>
          </cell>
          <cell r="N295" t="str">
            <v>CNC</v>
          </cell>
          <cell r="AC295" t="str">
            <v>1405/06/16</v>
          </cell>
        </row>
        <row r="307">
          <cell r="B307"/>
        </row>
        <row r="309">
          <cell r="B309"/>
        </row>
        <row r="321">
          <cell r="C321"/>
        </row>
        <row r="323">
          <cell r="B323"/>
        </row>
        <row r="324">
          <cell r="C324"/>
        </row>
        <row r="336">
          <cell r="C336"/>
        </row>
        <row r="337">
          <cell r="B337"/>
        </row>
        <row r="338">
          <cell r="C338"/>
        </row>
        <row r="340">
          <cell r="C340"/>
        </row>
        <row r="341">
          <cell r="B341"/>
        </row>
        <row r="345">
          <cell r="C345"/>
        </row>
        <row r="346">
          <cell r="B346"/>
        </row>
        <row r="352">
          <cell r="C352"/>
        </row>
        <row r="363">
          <cell r="B363"/>
        </row>
        <row r="364">
          <cell r="C364"/>
        </row>
        <row r="367">
          <cell r="B367"/>
        </row>
        <row r="422">
          <cell r="C422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>
        <row r="4">
          <cell r="B4" t="str">
            <v>کوره ابزار زنی</v>
          </cell>
          <cell r="C4" t="str">
            <v>قطعه تعمیری</v>
          </cell>
          <cell r="AF4">
            <v>8</v>
          </cell>
        </row>
        <row r="5">
          <cell r="B5" t="str">
            <v>کوره ابزار زنی</v>
          </cell>
          <cell r="C5" t="str">
            <v>قطعه تعمیری</v>
          </cell>
          <cell r="AF5">
            <v>8</v>
          </cell>
        </row>
        <row r="6">
          <cell r="B6" t="str">
            <v>برش توری پگاسوز</v>
          </cell>
          <cell r="C6" t="str">
            <v>قالب تعمیری</v>
          </cell>
          <cell r="AF6">
            <v>8</v>
          </cell>
        </row>
        <row r="7">
          <cell r="B7" t="str">
            <v>دستگاه پشم فلز چینی</v>
          </cell>
          <cell r="C7" t="str">
            <v>قطعه نو</v>
          </cell>
          <cell r="AF7">
            <v>8</v>
          </cell>
        </row>
        <row r="8">
          <cell r="B8" t="str">
            <v>دستگاه پشم فلز چینی</v>
          </cell>
          <cell r="C8" t="str">
            <v>قطعه نو</v>
          </cell>
          <cell r="AF8">
            <v>8</v>
          </cell>
        </row>
        <row r="9">
          <cell r="B9" t="str">
            <v>قالب ولوو سوپر</v>
          </cell>
          <cell r="C9" t="str">
            <v>قالب تعمیری</v>
          </cell>
          <cell r="AF9">
            <v>8</v>
          </cell>
        </row>
        <row r="10">
          <cell r="B10" t="str">
            <v>قالب پخت کلاچ پیکان آرژانتینی</v>
          </cell>
          <cell r="C10" t="str">
            <v>قالب تعمیری</v>
          </cell>
          <cell r="AF10">
            <v>2</v>
          </cell>
        </row>
        <row r="11">
          <cell r="B11" t="str">
            <v>قالب پخت کلاچ پیکان آرژانتینی</v>
          </cell>
          <cell r="C11" t="str">
            <v>قالب تعمیری</v>
          </cell>
          <cell r="AF11">
            <v>5</v>
          </cell>
        </row>
        <row r="12">
          <cell r="B12" t="str">
            <v>قالب پخت کلاچ پیکان آرژانتینی</v>
          </cell>
          <cell r="C12" t="str">
            <v>قالب تعمیری</v>
          </cell>
          <cell r="AF12">
            <v>2</v>
          </cell>
        </row>
        <row r="13">
          <cell r="B13" t="str">
            <v>قالب اکسپرس</v>
          </cell>
          <cell r="C13" t="str">
            <v>قالب تعمیری</v>
          </cell>
          <cell r="AF13">
            <v>5</v>
          </cell>
        </row>
        <row r="14">
          <cell r="B14" t="str">
            <v>قالب پخت کلاچ پیکان آرژانتینی</v>
          </cell>
          <cell r="C14" t="str">
            <v>قالب تعمیری</v>
          </cell>
          <cell r="AF14">
            <v>7</v>
          </cell>
        </row>
        <row r="15">
          <cell r="B15" t="str">
            <v>قالب اکسپرس</v>
          </cell>
          <cell r="C15" t="str">
            <v>قالب تعمیری</v>
          </cell>
          <cell r="AF15">
            <v>5</v>
          </cell>
        </row>
        <row r="16">
          <cell r="B16" t="str">
            <v>کوره ابزار زنی</v>
          </cell>
          <cell r="C16" t="str">
            <v>قطعه تعمیری</v>
          </cell>
          <cell r="AF16">
            <v>0.5</v>
          </cell>
        </row>
        <row r="17">
          <cell r="B17" t="str">
            <v>دستگاه پشم فلز چینی</v>
          </cell>
          <cell r="C17" t="str">
            <v>قطعه نو</v>
          </cell>
          <cell r="AF17">
            <v>2</v>
          </cell>
        </row>
        <row r="18">
          <cell r="B18" t="str">
            <v>پخت کلاچ پراید</v>
          </cell>
          <cell r="C18" t="str">
            <v>قالب تعمیری</v>
          </cell>
          <cell r="AF18">
            <v>2</v>
          </cell>
        </row>
        <row r="19">
          <cell r="B19" t="str">
            <v>قالب پخت کلاچ پیکان</v>
          </cell>
          <cell r="C19" t="str">
            <v>قالب تعمیری</v>
          </cell>
          <cell r="AF19">
            <v>2</v>
          </cell>
        </row>
        <row r="20">
          <cell r="B20" t="str">
            <v>قالب پخت کلاچ پیکان</v>
          </cell>
          <cell r="C20" t="str">
            <v>قالب تعمیری</v>
          </cell>
          <cell r="AF20">
            <v>2.5</v>
          </cell>
        </row>
        <row r="21">
          <cell r="B21" t="str">
            <v>پخت کلاچ پراید</v>
          </cell>
          <cell r="C21" t="str">
            <v>قالب تعمیری</v>
          </cell>
          <cell r="AF21">
            <v>2</v>
          </cell>
        </row>
        <row r="22">
          <cell r="B22" t="str">
            <v>پخت کلاچ پراید</v>
          </cell>
          <cell r="C22" t="str">
            <v>قالب تعمیری</v>
          </cell>
          <cell r="AF22">
            <v>2</v>
          </cell>
        </row>
        <row r="23">
          <cell r="B23" t="str">
            <v>قالب اکسپرس</v>
          </cell>
          <cell r="C23" t="str">
            <v>قالب تعمیری</v>
          </cell>
          <cell r="AF23">
            <v>2.5</v>
          </cell>
        </row>
        <row r="24">
          <cell r="B24" t="str">
            <v>قالب ولوو سوپر</v>
          </cell>
          <cell r="C24" t="str">
            <v>قالب تعمیری</v>
          </cell>
          <cell r="AF24">
            <v>4</v>
          </cell>
        </row>
        <row r="25">
          <cell r="B25" t="str">
            <v>قالب پخت کلاچ پیکان</v>
          </cell>
          <cell r="C25" t="str">
            <v>قالب تعمیری</v>
          </cell>
          <cell r="AF25">
            <v>2.5</v>
          </cell>
        </row>
        <row r="26">
          <cell r="B26" t="str">
            <v>قالب پخت کلاچ پیکان</v>
          </cell>
          <cell r="C26" t="str">
            <v>قالب تعمیری</v>
          </cell>
          <cell r="AF26">
            <v>4</v>
          </cell>
        </row>
        <row r="27">
          <cell r="B27" t="str">
            <v>شابلون پراید خاردار</v>
          </cell>
          <cell r="C27" t="str">
            <v>قطعه نو</v>
          </cell>
          <cell r="AF27">
            <v>3</v>
          </cell>
        </row>
        <row r="28">
          <cell r="B28" t="str">
            <v>کوره ابزار زنی</v>
          </cell>
          <cell r="C28" t="str">
            <v>قطعه تعمیری</v>
          </cell>
          <cell r="AF28">
            <v>1</v>
          </cell>
        </row>
        <row r="29">
          <cell r="B29" t="str">
            <v>قالب پخت کلاچ پیکان</v>
          </cell>
          <cell r="C29" t="str">
            <v>قالب تعمیری</v>
          </cell>
          <cell r="AF29">
            <v>4</v>
          </cell>
        </row>
        <row r="30">
          <cell r="B30" t="str">
            <v>قالب ولوو سوپر</v>
          </cell>
          <cell r="C30" t="str">
            <v>قالب تعمیری</v>
          </cell>
          <cell r="AF30">
            <v>8</v>
          </cell>
        </row>
        <row r="31">
          <cell r="B31" t="str">
            <v>دستگاه پشم فلز چینی</v>
          </cell>
          <cell r="C31" t="str">
            <v>قطعه نو</v>
          </cell>
          <cell r="AF31">
            <v>8</v>
          </cell>
        </row>
        <row r="32">
          <cell r="B32" t="str">
            <v>برش جمعی عقب ریو</v>
          </cell>
          <cell r="C32" t="str">
            <v>قطعه نو</v>
          </cell>
          <cell r="AF32">
            <v>8</v>
          </cell>
        </row>
        <row r="33">
          <cell r="B33" t="str">
            <v>شابلون پراید بی خار</v>
          </cell>
          <cell r="C33" t="str">
            <v>قطعه نو</v>
          </cell>
          <cell r="AF33">
            <v>7.5</v>
          </cell>
        </row>
        <row r="34">
          <cell r="B34" t="str">
            <v>قالب ترنست</v>
          </cell>
          <cell r="C34" t="str">
            <v>قالب تعمیری</v>
          </cell>
          <cell r="AF34">
            <v>3.5</v>
          </cell>
        </row>
        <row r="35">
          <cell r="B35" t="str">
            <v>ویوینگ</v>
          </cell>
          <cell r="C35" t="str">
            <v>قطعه نو</v>
          </cell>
          <cell r="AF35">
            <v>7.5</v>
          </cell>
        </row>
        <row r="36">
          <cell r="B36" t="str">
            <v>ساب سمباده ای</v>
          </cell>
          <cell r="C36" t="str">
            <v>قطعه تعمیری</v>
          </cell>
          <cell r="AF36">
            <v>2.5</v>
          </cell>
        </row>
        <row r="37">
          <cell r="B37" t="str">
            <v>دستگاه پشم فلز آلمانی</v>
          </cell>
          <cell r="C37" t="str">
            <v>قطعه نو</v>
          </cell>
          <cell r="AF37">
            <v>2.6666666666666665</v>
          </cell>
        </row>
        <row r="38">
          <cell r="B38" t="str">
            <v>دستگاه پشم فلز آلمانی</v>
          </cell>
          <cell r="C38" t="str">
            <v>قطعه نو</v>
          </cell>
          <cell r="AF38">
            <v>2.6666666666666665</v>
          </cell>
        </row>
        <row r="39">
          <cell r="B39" t="str">
            <v>قالب پراید خاردار</v>
          </cell>
          <cell r="C39" t="str">
            <v>قالب تعمیری</v>
          </cell>
          <cell r="AF39">
            <v>6.5</v>
          </cell>
        </row>
        <row r="40">
          <cell r="B40" t="str">
            <v>قالب پخت کلاچ پیکان</v>
          </cell>
          <cell r="C40" t="str">
            <v>قالب تعمیری</v>
          </cell>
          <cell r="AF40">
            <v>6.5</v>
          </cell>
        </row>
        <row r="41">
          <cell r="B41" t="str">
            <v>قالب پخت کلاچ پیکان</v>
          </cell>
          <cell r="C41" t="str">
            <v>قالب تعمیری</v>
          </cell>
          <cell r="AF41">
            <v>6.5</v>
          </cell>
        </row>
        <row r="42">
          <cell r="B42" t="str">
            <v>پخت کلاچ پراید</v>
          </cell>
          <cell r="C42" t="str">
            <v>قالب تعمیری</v>
          </cell>
          <cell r="AF42">
            <v>5.5</v>
          </cell>
        </row>
        <row r="43">
          <cell r="B43" t="str">
            <v>پخت کلاچ پراید</v>
          </cell>
          <cell r="C43" t="str">
            <v>قالب تعمیری</v>
          </cell>
          <cell r="AF43">
            <v>4.5</v>
          </cell>
        </row>
        <row r="44">
          <cell r="B44" t="str">
            <v>ساب سمباده ای</v>
          </cell>
          <cell r="C44" t="str">
            <v>قطعه تعمیری</v>
          </cell>
          <cell r="AF44">
            <v>1</v>
          </cell>
        </row>
        <row r="45">
          <cell r="B45" t="str">
            <v>قالب پراید خاردار</v>
          </cell>
          <cell r="C45" t="str">
            <v>قالب تعمیری</v>
          </cell>
          <cell r="AF45">
            <v>8</v>
          </cell>
        </row>
        <row r="46">
          <cell r="B46" t="str">
            <v>قالب پخت کلاچ پیکان</v>
          </cell>
          <cell r="C46" t="str">
            <v>قالب تعمیری</v>
          </cell>
          <cell r="AF46">
            <v>3</v>
          </cell>
        </row>
        <row r="47">
          <cell r="B47" t="str">
            <v>کوره ابزار زنی</v>
          </cell>
          <cell r="C47" t="str">
            <v>قطعه تعمیری</v>
          </cell>
          <cell r="AF47">
            <v>0.5</v>
          </cell>
        </row>
        <row r="48">
          <cell r="B48" t="str">
            <v>دستگاه پشم فلز چینی</v>
          </cell>
          <cell r="C48" t="str">
            <v>قطعه نو</v>
          </cell>
          <cell r="AF48">
            <v>2</v>
          </cell>
        </row>
        <row r="49">
          <cell r="B49" t="str">
            <v>پخت کلاچ پراید</v>
          </cell>
          <cell r="C49" t="str">
            <v>قالب تعمیری</v>
          </cell>
          <cell r="AF49">
            <v>2</v>
          </cell>
        </row>
        <row r="50">
          <cell r="B50" t="str">
            <v>قالب پخت کلاچ پیکان</v>
          </cell>
          <cell r="C50" t="str">
            <v>قالب تعمیری</v>
          </cell>
          <cell r="AF50">
            <v>2</v>
          </cell>
        </row>
        <row r="51">
          <cell r="B51" t="str">
            <v>قالب پخت کلاچ پیکان</v>
          </cell>
          <cell r="C51" t="str">
            <v>قالب تعمیری</v>
          </cell>
          <cell r="AF51">
            <v>2.5</v>
          </cell>
        </row>
        <row r="52">
          <cell r="B52" t="str">
            <v>پخت کلاچ پراید</v>
          </cell>
          <cell r="C52" t="str">
            <v>قالب تعمیری</v>
          </cell>
          <cell r="AF52">
            <v>2</v>
          </cell>
        </row>
        <row r="53">
          <cell r="B53" t="str">
            <v>پخت کلاچ پراید</v>
          </cell>
          <cell r="C53" t="str">
            <v>قالب تعمیری</v>
          </cell>
          <cell r="AF53">
            <v>2</v>
          </cell>
        </row>
        <row r="54">
          <cell r="B54" t="str">
            <v>قالب اکسپرس</v>
          </cell>
          <cell r="C54" t="str">
            <v>قالب تعمیری</v>
          </cell>
          <cell r="AF54">
            <v>2.5</v>
          </cell>
        </row>
        <row r="55">
          <cell r="B55" t="str">
            <v>قالب ولوو سوپر</v>
          </cell>
          <cell r="C55" t="str">
            <v>قالب تعمیری</v>
          </cell>
          <cell r="AF55">
            <v>4</v>
          </cell>
        </row>
        <row r="56">
          <cell r="B56" t="str">
            <v>قالب پخت کلاچ پیکان</v>
          </cell>
          <cell r="C56" t="str">
            <v>قالب تعمیری</v>
          </cell>
          <cell r="AF56">
            <v>2.5</v>
          </cell>
        </row>
        <row r="57">
          <cell r="B57" t="str">
            <v>قالب پخت کلاچ پیکان</v>
          </cell>
          <cell r="C57" t="str">
            <v>قالب تعمیری</v>
          </cell>
          <cell r="AF57">
            <v>4</v>
          </cell>
        </row>
        <row r="58">
          <cell r="B58" t="str">
            <v>شابلون پراید خاردار</v>
          </cell>
          <cell r="C58" t="str">
            <v>قطعه نو</v>
          </cell>
          <cell r="AF58">
            <v>3</v>
          </cell>
        </row>
        <row r="59">
          <cell r="B59" t="str">
            <v>کوره ابزار زنی</v>
          </cell>
          <cell r="C59" t="str">
            <v>قطعه تعمیری</v>
          </cell>
          <cell r="AF59">
            <v>1</v>
          </cell>
        </row>
        <row r="60">
          <cell r="B60" t="str">
            <v>قالب پخت کلاچ پیکان</v>
          </cell>
          <cell r="C60" t="str">
            <v>قالب تعمیری</v>
          </cell>
          <cell r="AF60">
            <v>4</v>
          </cell>
        </row>
        <row r="61">
          <cell r="B61" t="str">
            <v>دستگاه پشم فلز آلمانی</v>
          </cell>
          <cell r="C61" t="str">
            <v>قطعه نو</v>
          </cell>
          <cell r="AF61">
            <v>10</v>
          </cell>
        </row>
        <row r="62">
          <cell r="B62" t="str">
            <v>دستگاه پشم فلز آلمانی</v>
          </cell>
          <cell r="C62" t="str">
            <v>قطعه نو</v>
          </cell>
          <cell r="AF62">
            <v>10</v>
          </cell>
        </row>
        <row r="63">
          <cell r="B63" t="str">
            <v>پخت کلاچ پراید</v>
          </cell>
          <cell r="C63" t="str">
            <v>قالب تعمیری</v>
          </cell>
          <cell r="AF63">
            <v>6</v>
          </cell>
        </row>
        <row r="64">
          <cell r="B64" t="str">
            <v>پخت کلاچ پراید</v>
          </cell>
          <cell r="C64" t="str">
            <v>قالب تعمیری</v>
          </cell>
          <cell r="AF64">
            <v>5</v>
          </cell>
        </row>
        <row r="65">
          <cell r="B65" t="str">
            <v>پخت کلاچ پراید</v>
          </cell>
          <cell r="C65" t="str">
            <v>قالب تعمیری</v>
          </cell>
          <cell r="AF65">
            <v>4.5</v>
          </cell>
        </row>
        <row r="66">
          <cell r="B66" t="str">
            <v>قالب پخت کلاچ پژو 405</v>
          </cell>
          <cell r="C66" t="str">
            <v>قالب تعمیری</v>
          </cell>
          <cell r="AF66">
            <v>6.5</v>
          </cell>
        </row>
        <row r="67">
          <cell r="B67" t="str">
            <v>ساب سمباده ای</v>
          </cell>
          <cell r="C67" t="str">
            <v>قطعه تعمیری</v>
          </cell>
          <cell r="AF67">
            <v>2</v>
          </cell>
        </row>
        <row r="68">
          <cell r="B68" t="str">
            <v>قالب پخت کلاچ پیکان</v>
          </cell>
          <cell r="C68" t="str">
            <v>قالب تعمیری</v>
          </cell>
          <cell r="AF68">
            <v>3</v>
          </cell>
        </row>
        <row r="69">
          <cell r="B69" t="str">
            <v>دستگاه پشم فلز آلمانی</v>
          </cell>
          <cell r="C69" t="str">
            <v>قطعه نو</v>
          </cell>
          <cell r="AF69">
            <v>6</v>
          </cell>
        </row>
        <row r="70">
          <cell r="B70" t="str">
            <v>شابلون پراید خاردار</v>
          </cell>
          <cell r="C70" t="str">
            <v>قطعه نو</v>
          </cell>
          <cell r="AF70">
            <v>2</v>
          </cell>
        </row>
        <row r="71">
          <cell r="B71" t="str">
            <v>قالب ترنست</v>
          </cell>
          <cell r="C71" t="str">
            <v>قالب تعمیری</v>
          </cell>
          <cell r="AF71">
            <v>2</v>
          </cell>
        </row>
        <row r="72">
          <cell r="B72" t="str">
            <v>قالب پخت کلاچ پیکان</v>
          </cell>
          <cell r="C72" t="str">
            <v>قالب تعمیری</v>
          </cell>
          <cell r="AF72">
            <v>1</v>
          </cell>
        </row>
        <row r="73">
          <cell r="B73" t="str">
            <v>شابلون پراید خاردار</v>
          </cell>
          <cell r="C73" t="str">
            <v>قطعه نو</v>
          </cell>
          <cell r="AF73">
            <v>2</v>
          </cell>
        </row>
        <row r="74">
          <cell r="B74" t="str">
            <v>قالب ترنست</v>
          </cell>
          <cell r="C74" t="str">
            <v>قالب تعمیری</v>
          </cell>
          <cell r="AF74">
            <v>2</v>
          </cell>
        </row>
        <row r="75">
          <cell r="B75" t="str">
            <v>قالب پخت کلاچ پیکان</v>
          </cell>
          <cell r="C75" t="str">
            <v>قالب تعمیری</v>
          </cell>
          <cell r="AF75">
            <v>1</v>
          </cell>
        </row>
        <row r="76">
          <cell r="B76" t="str">
            <v>قالب ولوو سوپر</v>
          </cell>
          <cell r="C76" t="str">
            <v>قالب تعمیری</v>
          </cell>
          <cell r="AF76">
            <v>8</v>
          </cell>
        </row>
        <row r="77">
          <cell r="B77" t="str">
            <v>دستگاه پشم فلز چینی</v>
          </cell>
          <cell r="C77" t="str">
            <v>قطعه نو</v>
          </cell>
          <cell r="AF77">
            <v>8</v>
          </cell>
        </row>
        <row r="78">
          <cell r="B78" t="str">
            <v>برش جمعی عقب ریو</v>
          </cell>
          <cell r="C78" t="str">
            <v>قطعه نو</v>
          </cell>
          <cell r="AF78">
            <v>8</v>
          </cell>
        </row>
        <row r="79">
          <cell r="B79" t="str">
            <v>قالب ترنست</v>
          </cell>
          <cell r="C79" t="str">
            <v>قالب تعمیری</v>
          </cell>
          <cell r="AF79">
            <v>3.5</v>
          </cell>
        </row>
        <row r="80">
          <cell r="B80" t="str">
            <v>دستگاه پشم فلز آلمانی</v>
          </cell>
          <cell r="C80" t="str">
            <v>قطعه نو</v>
          </cell>
          <cell r="AF80">
            <v>4</v>
          </cell>
        </row>
        <row r="81">
          <cell r="B81" t="str">
            <v>قالب پراید خاردار</v>
          </cell>
          <cell r="C81" t="str">
            <v>قالب تعمیری</v>
          </cell>
          <cell r="AF81">
            <v>3.5</v>
          </cell>
        </row>
        <row r="82">
          <cell r="B82" t="str">
            <v>قالب پخت کلاچ پیکان</v>
          </cell>
          <cell r="C82" t="str">
            <v>قالب تعمیری</v>
          </cell>
          <cell r="AF82">
            <v>6.5</v>
          </cell>
        </row>
        <row r="83">
          <cell r="B83" t="str">
            <v>پخت کلاچ پراید</v>
          </cell>
          <cell r="C83" t="str">
            <v>قالب تعمیری</v>
          </cell>
          <cell r="AF83">
            <v>3.5</v>
          </cell>
        </row>
        <row r="84">
          <cell r="B84" t="str">
            <v>پخت کلاچ پراید</v>
          </cell>
          <cell r="C84" t="str">
            <v>قالب تعمیری</v>
          </cell>
          <cell r="AF84">
            <v>2</v>
          </cell>
        </row>
        <row r="85">
          <cell r="B85" t="str">
            <v>قالب پخت کلاچ پیکان</v>
          </cell>
          <cell r="C85" t="str">
            <v>قالب تعمیری</v>
          </cell>
          <cell r="AF85">
            <v>7</v>
          </cell>
        </row>
        <row r="86">
          <cell r="B86" t="str">
            <v>قالب پخت کلاچ پیکان</v>
          </cell>
          <cell r="C86" t="str">
            <v>قالب تعمیری</v>
          </cell>
          <cell r="AF86">
            <v>2</v>
          </cell>
        </row>
        <row r="87">
          <cell r="B87" t="str">
            <v>قالب پخت کلاچ پژو 405</v>
          </cell>
          <cell r="C87" t="str">
            <v>قالب تعمیری</v>
          </cell>
          <cell r="AF87">
            <v>2.5</v>
          </cell>
        </row>
        <row r="88">
          <cell r="B88" t="str">
            <v>قالب پخت کلاچ پژو 405</v>
          </cell>
          <cell r="C88" t="str">
            <v>قالب تعمیری</v>
          </cell>
          <cell r="AF88">
            <v>2.5</v>
          </cell>
        </row>
        <row r="89">
          <cell r="B89" t="str">
            <v>قالب پخت کلاچ پژو 405</v>
          </cell>
          <cell r="C89" t="str">
            <v>قالب تعمیری</v>
          </cell>
          <cell r="AF89">
            <v>2</v>
          </cell>
        </row>
        <row r="90">
          <cell r="B90" t="str">
            <v>ویوینگ</v>
          </cell>
          <cell r="C90" t="str">
            <v>قطعه تعمیری</v>
          </cell>
          <cell r="AF90">
            <v>3</v>
          </cell>
        </row>
        <row r="91">
          <cell r="B91" t="str">
            <v>قالب پخت کلاچ پژو 405</v>
          </cell>
          <cell r="C91" t="str">
            <v>قالب تعمیری</v>
          </cell>
          <cell r="AF91">
            <v>2.5</v>
          </cell>
        </row>
        <row r="92">
          <cell r="B92" t="str">
            <v>قالب پخت کلاچ پژو 405</v>
          </cell>
          <cell r="C92" t="str">
            <v>قالب تعمیری</v>
          </cell>
          <cell r="AF92">
            <v>2.5</v>
          </cell>
        </row>
        <row r="93">
          <cell r="B93" t="str">
            <v>قالب پخت کلاچ پژو 405</v>
          </cell>
          <cell r="C93" t="str">
            <v>قالب تعمیری</v>
          </cell>
          <cell r="AF93">
            <v>2</v>
          </cell>
        </row>
        <row r="94">
          <cell r="B94" t="str">
            <v>ویوینگ</v>
          </cell>
          <cell r="C94" t="str">
            <v>قطعه تعمیری</v>
          </cell>
          <cell r="AF94">
            <v>3</v>
          </cell>
        </row>
        <row r="95">
          <cell r="B95" t="str">
            <v>ضایعات جمع کن پشم فلز آلمانی</v>
          </cell>
          <cell r="C95" t="str">
            <v>دستگاه نو</v>
          </cell>
          <cell r="AF95">
            <v>7.5</v>
          </cell>
        </row>
        <row r="96">
          <cell r="B96" t="str">
            <v>قالب ولوو سوپر</v>
          </cell>
          <cell r="C96" t="str">
            <v>قالب تعمیری</v>
          </cell>
          <cell r="AF96">
            <v>12</v>
          </cell>
        </row>
        <row r="97">
          <cell r="B97" t="str">
            <v>برش جمعی عقب ریو</v>
          </cell>
          <cell r="C97" t="str">
            <v>قطعه نو</v>
          </cell>
          <cell r="AF97">
            <v>4</v>
          </cell>
        </row>
        <row r="98">
          <cell r="B98" t="str">
            <v>قالب پخت کلاچ پیکان</v>
          </cell>
          <cell r="C98" t="str">
            <v>قالب تعمیری</v>
          </cell>
          <cell r="AF98">
            <v>8</v>
          </cell>
        </row>
        <row r="99">
          <cell r="B99" t="str">
            <v>ساب سمباده ای</v>
          </cell>
          <cell r="C99" t="str">
            <v>قطعه تعمیری</v>
          </cell>
          <cell r="AF99">
            <v>5</v>
          </cell>
        </row>
        <row r="100">
          <cell r="B100" t="str">
            <v>برش جمعی عقب ریو</v>
          </cell>
          <cell r="C100" t="str">
            <v>قطعه نو</v>
          </cell>
          <cell r="AF100">
            <v>5</v>
          </cell>
        </row>
        <row r="101">
          <cell r="B101" t="str">
            <v>ضایعات جمع کن پشم فلز آلمانی</v>
          </cell>
          <cell r="C101" t="str">
            <v>دستگاه نو</v>
          </cell>
          <cell r="AF101">
            <v>11</v>
          </cell>
        </row>
        <row r="102">
          <cell r="B102" t="str">
            <v>قالب پراید خاردار</v>
          </cell>
          <cell r="C102" t="str">
            <v>قالب تعمیری</v>
          </cell>
          <cell r="AF102">
            <v>5.5</v>
          </cell>
        </row>
        <row r="103">
          <cell r="B103" t="str">
            <v>دستگاه پشم فلز چینی</v>
          </cell>
          <cell r="C103" t="str">
            <v>قطعه نو</v>
          </cell>
          <cell r="AF103">
            <v>5.5</v>
          </cell>
        </row>
        <row r="104">
          <cell r="B104" t="str">
            <v>ویوینگ</v>
          </cell>
          <cell r="C104" t="str">
            <v>قطعه نو</v>
          </cell>
          <cell r="AF104">
            <v>7.5</v>
          </cell>
        </row>
        <row r="105">
          <cell r="B105" t="str">
            <v>دستگاه پشم فلز آلمانی</v>
          </cell>
          <cell r="C105" t="str">
            <v>قطعه نو</v>
          </cell>
          <cell r="AF105">
            <v>11</v>
          </cell>
        </row>
        <row r="106">
          <cell r="B106" t="str">
            <v>ابزار زنی</v>
          </cell>
          <cell r="C106" t="str">
            <v>قطعه تعمیری</v>
          </cell>
          <cell r="AF106">
            <v>4</v>
          </cell>
        </row>
        <row r="107">
          <cell r="B107" t="str">
            <v>دستگاه پشم فلز چینی</v>
          </cell>
          <cell r="C107" t="str">
            <v>قطعه نو</v>
          </cell>
          <cell r="AF107">
            <v>5.5</v>
          </cell>
        </row>
        <row r="108">
          <cell r="B108" t="str">
            <v>قالب ولوو سوپر</v>
          </cell>
          <cell r="C108" t="str">
            <v>قالب تعمیری</v>
          </cell>
          <cell r="AF108">
            <v>12</v>
          </cell>
        </row>
        <row r="109">
          <cell r="B109" t="str">
            <v>برش جمعی عقب ریو</v>
          </cell>
          <cell r="C109" t="str">
            <v>قطعه نو</v>
          </cell>
          <cell r="AF109">
            <v>4</v>
          </cell>
        </row>
        <row r="110">
          <cell r="B110" t="str">
            <v>قالب پخت کلاچ پیکان</v>
          </cell>
          <cell r="C110" t="str">
            <v>قالب تعمیری</v>
          </cell>
          <cell r="AF110">
            <v>8</v>
          </cell>
        </row>
        <row r="111">
          <cell r="B111" t="str">
            <v>ویوینگ</v>
          </cell>
          <cell r="C111" t="str">
            <v>قطعه تعمیری</v>
          </cell>
          <cell r="AF111">
            <v>12</v>
          </cell>
        </row>
        <row r="112">
          <cell r="B112" t="str">
            <v>قالب پخت کلاچ پیکان</v>
          </cell>
          <cell r="C112" t="str">
            <v>قالب تعمیری</v>
          </cell>
          <cell r="AF112">
            <v>4</v>
          </cell>
        </row>
        <row r="113">
          <cell r="B113" t="str">
            <v>دستگاه پشم فلز چینی</v>
          </cell>
          <cell r="C113" t="str">
            <v>قطعه نو</v>
          </cell>
          <cell r="AF113">
            <v>2</v>
          </cell>
        </row>
        <row r="114">
          <cell r="B114" t="str">
            <v>قالب پخت کلاچ پژو 405</v>
          </cell>
          <cell r="C114" t="str">
            <v>قالب تعمیری</v>
          </cell>
          <cell r="AF114">
            <v>5</v>
          </cell>
        </row>
        <row r="115">
          <cell r="B115" t="str">
            <v>ساب سمباده ای</v>
          </cell>
          <cell r="C115" t="str">
            <v>قطعه تعمیری</v>
          </cell>
          <cell r="AF115">
            <v>2</v>
          </cell>
        </row>
        <row r="116">
          <cell r="B116" t="str">
            <v>دستگاه پرس پخت</v>
          </cell>
          <cell r="C116" t="str">
            <v>قطعه نو</v>
          </cell>
          <cell r="AF116">
            <v>3</v>
          </cell>
        </row>
        <row r="117">
          <cell r="B117" t="str">
            <v>ویوینگ</v>
          </cell>
          <cell r="C117" t="str">
            <v>قطعه نو</v>
          </cell>
          <cell r="AF117">
            <v>1</v>
          </cell>
        </row>
        <row r="118">
          <cell r="B118" t="str">
            <v>دستگاه پرس پخت</v>
          </cell>
          <cell r="C118" t="str">
            <v>قطعه نو</v>
          </cell>
          <cell r="AF118">
            <v>10</v>
          </cell>
        </row>
        <row r="119">
          <cell r="B119" t="str">
            <v>دستگاه پرس پخت</v>
          </cell>
          <cell r="C119" t="str">
            <v>قطعه نو</v>
          </cell>
          <cell r="AF119">
            <v>1</v>
          </cell>
        </row>
        <row r="120">
          <cell r="B120" t="str">
            <v>دستگاه پشم فلز چینی</v>
          </cell>
          <cell r="C120" t="str">
            <v>قطعه نو</v>
          </cell>
          <cell r="AF120">
            <v>2</v>
          </cell>
        </row>
        <row r="121">
          <cell r="B121" t="str">
            <v>برش جمعی عقب ریو</v>
          </cell>
          <cell r="C121" t="str">
            <v>قطعه نو</v>
          </cell>
          <cell r="AF121">
            <v>2</v>
          </cell>
        </row>
        <row r="122">
          <cell r="B122" t="str">
            <v>قالب پخت کلاچ پیکان</v>
          </cell>
          <cell r="C122" t="str">
            <v>قالب تعمیری</v>
          </cell>
          <cell r="AF122">
            <v>3</v>
          </cell>
        </row>
        <row r="123">
          <cell r="B123" t="str">
            <v>قالب جلو ریو</v>
          </cell>
          <cell r="C123" t="str">
            <v>قالب تعمیری</v>
          </cell>
          <cell r="AF123">
            <v>3</v>
          </cell>
        </row>
        <row r="124">
          <cell r="B124" t="str">
            <v>دستگاه پشم فلز چینی</v>
          </cell>
          <cell r="C124" t="str">
            <v>قطعه نو</v>
          </cell>
          <cell r="AF124">
            <v>2</v>
          </cell>
        </row>
        <row r="125">
          <cell r="B125" t="str">
            <v>برش جمعی عقب ریو</v>
          </cell>
          <cell r="C125" t="str">
            <v>قطعه نو</v>
          </cell>
          <cell r="AF125">
            <v>2</v>
          </cell>
        </row>
        <row r="126">
          <cell r="B126" t="str">
            <v>قالب پخت کلاچ پیکان</v>
          </cell>
          <cell r="C126" t="str">
            <v>قالب تعمیری</v>
          </cell>
          <cell r="AF126">
            <v>3</v>
          </cell>
        </row>
        <row r="127">
          <cell r="B127" t="str">
            <v>قالب جلو ریو</v>
          </cell>
          <cell r="C127" t="str">
            <v>قالب تعمیری</v>
          </cell>
          <cell r="AF127">
            <v>3</v>
          </cell>
        </row>
        <row r="128">
          <cell r="B128" t="str">
            <v>دستگاه پرس پخت</v>
          </cell>
          <cell r="C128" t="str">
            <v>قطعه نو</v>
          </cell>
          <cell r="AF128">
            <v>2</v>
          </cell>
        </row>
        <row r="129">
          <cell r="B129" t="str">
            <v>ویوینگ</v>
          </cell>
          <cell r="C129" t="str">
            <v>قطعه نو</v>
          </cell>
          <cell r="AF129">
            <v>4</v>
          </cell>
        </row>
        <row r="130">
          <cell r="B130" t="str">
            <v>سری تراش</v>
          </cell>
          <cell r="C130" t="str">
            <v>دستگاه تعمیری</v>
          </cell>
          <cell r="AF130">
            <v>2</v>
          </cell>
        </row>
        <row r="131">
          <cell r="B131" t="str">
            <v>ضایعات جمع کن پشم فلز آلمانی</v>
          </cell>
          <cell r="C131" t="str">
            <v>دستگاه نو</v>
          </cell>
          <cell r="AF131">
            <v>11</v>
          </cell>
        </row>
        <row r="132">
          <cell r="B132" t="str">
            <v>دستگاه پشم فلز چینی</v>
          </cell>
          <cell r="C132" t="str">
            <v>قطعه نو</v>
          </cell>
          <cell r="AF132">
            <v>11</v>
          </cell>
        </row>
        <row r="133">
          <cell r="B133" t="str">
            <v>قالب پخت کلاچ پژو 405</v>
          </cell>
          <cell r="C133" t="str">
            <v>قالب تعمیری</v>
          </cell>
          <cell r="AF133">
            <v>10</v>
          </cell>
        </row>
        <row r="134">
          <cell r="B134" t="str">
            <v>قالب شیم ریو</v>
          </cell>
          <cell r="C134" t="str">
            <v>قالب تعمیری</v>
          </cell>
          <cell r="AF134">
            <v>0.5</v>
          </cell>
        </row>
        <row r="135">
          <cell r="B135" t="str">
            <v>قالب شیم ریو</v>
          </cell>
          <cell r="C135" t="str">
            <v>قالب تعمیری</v>
          </cell>
          <cell r="AF135">
            <v>0.5</v>
          </cell>
        </row>
        <row r="136">
          <cell r="B136" t="str">
            <v>قالب 309 سوراخدار</v>
          </cell>
          <cell r="C136" t="str">
            <v>قالب تعمیری</v>
          </cell>
          <cell r="AF136">
            <v>3</v>
          </cell>
        </row>
        <row r="137">
          <cell r="B137" t="str">
            <v>دستگاه پرس پخت کلاچ</v>
          </cell>
          <cell r="C137" t="str">
            <v>قطعه تعمیری</v>
          </cell>
          <cell r="AF137">
            <v>3</v>
          </cell>
        </row>
        <row r="138">
          <cell r="B138" t="str">
            <v>قالب 309 سوراخدار</v>
          </cell>
          <cell r="C138" t="str">
            <v>قالب تعمیری</v>
          </cell>
          <cell r="AF138">
            <v>3</v>
          </cell>
        </row>
        <row r="139">
          <cell r="B139" t="str">
            <v>پخت کلاچ پراید</v>
          </cell>
          <cell r="C139" t="str">
            <v>قالب تعمیری</v>
          </cell>
          <cell r="AF139">
            <v>3.5</v>
          </cell>
        </row>
        <row r="140">
          <cell r="B140" t="str">
            <v>پخت کلاچ پراید</v>
          </cell>
          <cell r="C140" t="str">
            <v>قالب تعمیری</v>
          </cell>
          <cell r="AF140">
            <v>2</v>
          </cell>
        </row>
        <row r="141">
          <cell r="B141" t="str">
            <v>پخت کلاچ پراید</v>
          </cell>
          <cell r="C141" t="str">
            <v>قالب تعمیری</v>
          </cell>
          <cell r="AF141">
            <v>2</v>
          </cell>
        </row>
        <row r="142">
          <cell r="B142" t="str">
            <v>قالب پخت کلاچ پژو 405</v>
          </cell>
          <cell r="C142" t="str">
            <v>قالب تعمیری</v>
          </cell>
          <cell r="AF142">
            <v>3.5</v>
          </cell>
        </row>
        <row r="143">
          <cell r="B143" t="str">
            <v>همزن آغشته کاری</v>
          </cell>
          <cell r="C143" t="str">
            <v>قطعه تعمیری</v>
          </cell>
          <cell r="AF143">
            <v>10</v>
          </cell>
        </row>
        <row r="144">
          <cell r="B144" t="str">
            <v>همزن آغشته کاری</v>
          </cell>
          <cell r="C144" t="str">
            <v>قطعه تعمیری</v>
          </cell>
          <cell r="AF144">
            <v>1</v>
          </cell>
        </row>
        <row r="145">
          <cell r="B145" t="str">
            <v>قالب شیم ریو</v>
          </cell>
          <cell r="C145" t="str">
            <v>قالب تعمیری</v>
          </cell>
          <cell r="AF145">
            <v>2</v>
          </cell>
        </row>
        <row r="146">
          <cell r="B146" t="str">
            <v>قالب 309 سوراخدار</v>
          </cell>
          <cell r="C146" t="str">
            <v>قالب تعمیری</v>
          </cell>
          <cell r="AF146">
            <v>3</v>
          </cell>
        </row>
        <row r="147">
          <cell r="B147" t="str">
            <v>پخت کلاچ پراید</v>
          </cell>
          <cell r="C147" t="str">
            <v>قالب تعمیری</v>
          </cell>
          <cell r="AF147">
            <v>2</v>
          </cell>
        </row>
        <row r="148">
          <cell r="B148" t="str">
            <v>دستگاه پشم فلز چینی</v>
          </cell>
          <cell r="C148" t="str">
            <v>قطعه نو</v>
          </cell>
          <cell r="AF148">
            <v>2</v>
          </cell>
        </row>
        <row r="149">
          <cell r="B149" t="str">
            <v>دستگاه پشم فلز چینی</v>
          </cell>
          <cell r="C149" t="str">
            <v>قطعه نو</v>
          </cell>
          <cell r="AF149">
            <v>5.5</v>
          </cell>
        </row>
        <row r="150">
          <cell r="B150" t="str">
            <v>اصول 5S</v>
          </cell>
          <cell r="C150" t="str">
            <v>نظافت</v>
          </cell>
          <cell r="AF150">
            <v>2</v>
          </cell>
        </row>
        <row r="151">
          <cell r="B151" t="str">
            <v>قالب پخت کلاچ پژو 405</v>
          </cell>
          <cell r="C151" t="str">
            <v>قالب تعمیری</v>
          </cell>
          <cell r="AF151">
            <v>2</v>
          </cell>
        </row>
        <row r="152">
          <cell r="B152" t="str">
            <v>دستگاه پشم فلز آلمانی</v>
          </cell>
          <cell r="C152" t="str">
            <v>قطعه نو</v>
          </cell>
          <cell r="AF152">
            <v>3.5</v>
          </cell>
        </row>
        <row r="153">
          <cell r="B153" t="str">
            <v>اصول 5S</v>
          </cell>
          <cell r="C153" t="str">
            <v>نظافت</v>
          </cell>
          <cell r="AF153">
            <v>2</v>
          </cell>
        </row>
        <row r="154">
          <cell r="B154" t="str">
            <v>همزن آغشته کاری</v>
          </cell>
          <cell r="C154" t="str">
            <v>قطعه تعمیری</v>
          </cell>
          <cell r="AF154">
            <v>2</v>
          </cell>
        </row>
        <row r="155">
          <cell r="B155" t="str">
            <v>دستگاه پشم فلز آلمانی</v>
          </cell>
          <cell r="C155" t="str">
            <v>قطعه نو</v>
          </cell>
          <cell r="AF155">
            <v>3.5</v>
          </cell>
        </row>
        <row r="156">
          <cell r="B156" t="str">
            <v>اصول 5S</v>
          </cell>
          <cell r="C156" t="str">
            <v>نظافت</v>
          </cell>
          <cell r="AF156">
            <v>2</v>
          </cell>
        </row>
        <row r="157">
          <cell r="B157" t="str">
            <v>ضایعات جمع کن پشم فلز آلمانی</v>
          </cell>
          <cell r="C157" t="str">
            <v>دستگاه نو</v>
          </cell>
          <cell r="AF157">
            <v>5</v>
          </cell>
        </row>
        <row r="158">
          <cell r="B158" t="str">
            <v>اصول 5S</v>
          </cell>
          <cell r="C158" t="str">
            <v>نظافت</v>
          </cell>
          <cell r="AF158">
            <v>1</v>
          </cell>
        </row>
        <row r="159">
          <cell r="B159" t="str">
            <v>دستگاه پشم فلز چینی</v>
          </cell>
          <cell r="C159" t="str">
            <v>قطعه نو</v>
          </cell>
          <cell r="AF159">
            <v>4</v>
          </cell>
        </row>
        <row r="160">
          <cell r="B160" t="str">
            <v>قالب پخت کلاچ پژو 405</v>
          </cell>
          <cell r="C160" t="str">
            <v>قالب تعمیری</v>
          </cell>
          <cell r="AF160">
            <v>1.5</v>
          </cell>
        </row>
        <row r="161">
          <cell r="B161" t="str">
            <v>اصول 5S</v>
          </cell>
          <cell r="C161" t="str">
            <v>نظافت</v>
          </cell>
          <cell r="AF161">
            <v>2</v>
          </cell>
        </row>
        <row r="162">
          <cell r="B162" t="str">
            <v>قالب پخت کلاچ پژو 405</v>
          </cell>
          <cell r="C162" t="str">
            <v>قالب تعمیری</v>
          </cell>
          <cell r="AF162">
            <v>2</v>
          </cell>
        </row>
        <row r="163">
          <cell r="B163" t="str">
            <v>قالب برش SAF</v>
          </cell>
          <cell r="C163" t="str">
            <v>قالب تعمیری</v>
          </cell>
          <cell r="AF163">
            <v>1</v>
          </cell>
        </row>
        <row r="164">
          <cell r="B164" t="str">
            <v>قالب پخت کلاچ پژو 405</v>
          </cell>
          <cell r="C164" t="str">
            <v>قالب تعمیری</v>
          </cell>
          <cell r="AF164">
            <v>3</v>
          </cell>
        </row>
        <row r="165">
          <cell r="B165" t="str">
            <v>اصول 5S</v>
          </cell>
          <cell r="C165" t="str">
            <v>نظافت</v>
          </cell>
          <cell r="AF165">
            <v>1.5</v>
          </cell>
        </row>
        <row r="166">
          <cell r="B166" t="str">
            <v>دستگاه پشم فلز آلمانی</v>
          </cell>
          <cell r="C166" t="str">
            <v>قطعه تعمیری</v>
          </cell>
          <cell r="AF166">
            <v>2</v>
          </cell>
        </row>
        <row r="167">
          <cell r="B167" t="str">
            <v>سری تراش</v>
          </cell>
          <cell r="C167" t="str">
            <v>دستگاه تعمیری</v>
          </cell>
          <cell r="AF167">
            <v>1</v>
          </cell>
        </row>
        <row r="168">
          <cell r="B168" t="str">
            <v>اصول 5S</v>
          </cell>
          <cell r="C168" t="str">
            <v>نظافت</v>
          </cell>
          <cell r="AF168">
            <v>1</v>
          </cell>
        </row>
        <row r="169">
          <cell r="B169" t="str">
            <v>دستگاه پرس پخت کلاچ</v>
          </cell>
          <cell r="C169" t="str">
            <v>قطعه تعمیری</v>
          </cell>
          <cell r="AF169">
            <v>1.5</v>
          </cell>
        </row>
        <row r="170">
          <cell r="B170" t="str">
            <v>قالب پخت کلاچ پژو 405</v>
          </cell>
          <cell r="C170" t="str">
            <v>قالب تعمیری</v>
          </cell>
          <cell r="AF170">
            <v>2</v>
          </cell>
        </row>
        <row r="171">
          <cell r="B171" t="str">
            <v>همزن آغشته کاری</v>
          </cell>
          <cell r="C171" t="str">
            <v>قطعه تعمیری</v>
          </cell>
          <cell r="AF171">
            <v>1</v>
          </cell>
        </row>
        <row r="172">
          <cell r="B172" t="str">
            <v>دستگاه پشم فلز آلمانی</v>
          </cell>
          <cell r="C172" t="str">
            <v>قطعه تعمیری</v>
          </cell>
          <cell r="AF172">
            <v>1.5</v>
          </cell>
        </row>
        <row r="173">
          <cell r="B173" t="str">
            <v>اصول 5S</v>
          </cell>
          <cell r="C173" t="str">
            <v>نظافت</v>
          </cell>
          <cell r="AF173">
            <v>2</v>
          </cell>
        </row>
        <row r="174">
          <cell r="B174" t="str">
            <v>برش جمعی عقب ریو</v>
          </cell>
          <cell r="C174" t="str">
            <v>قطعه نو</v>
          </cell>
          <cell r="AF174">
            <v>12</v>
          </cell>
        </row>
        <row r="175">
          <cell r="B175" t="str">
            <v>برش جمعی عقب ریو</v>
          </cell>
          <cell r="C175" t="str">
            <v>قطعه نو</v>
          </cell>
          <cell r="AF175">
            <v>5</v>
          </cell>
        </row>
        <row r="176">
          <cell r="B176" t="str">
            <v>دستگاه پشم فلز چینی</v>
          </cell>
          <cell r="C176" t="str">
            <v>قطعه نو</v>
          </cell>
          <cell r="AF176">
            <v>11</v>
          </cell>
        </row>
        <row r="177">
          <cell r="B177" t="str">
            <v>سری تراش</v>
          </cell>
          <cell r="C177" t="str">
            <v>دستگاه تعمیری</v>
          </cell>
          <cell r="AF177">
            <v>4</v>
          </cell>
        </row>
        <row r="178">
          <cell r="B178" t="str">
            <v>هواکش</v>
          </cell>
          <cell r="C178" t="str">
            <v>قطعه تعمیری</v>
          </cell>
          <cell r="AF178">
            <v>4.5</v>
          </cell>
        </row>
        <row r="179">
          <cell r="B179" t="str">
            <v>هواکش</v>
          </cell>
          <cell r="C179" t="str">
            <v>قطعه تعمیری</v>
          </cell>
          <cell r="AF179">
            <v>4.5</v>
          </cell>
        </row>
        <row r="180">
          <cell r="B180" t="str">
            <v>دستگاه پشم فلز آلمانی</v>
          </cell>
          <cell r="C180" t="str">
            <v>قطعه نو</v>
          </cell>
          <cell r="AF180">
            <v>3.5</v>
          </cell>
        </row>
        <row r="181">
          <cell r="B181" t="str">
            <v>دستگاه پرچ زنی</v>
          </cell>
          <cell r="C181" t="str">
            <v>قطعه تعمیری</v>
          </cell>
          <cell r="AF181">
            <v>3</v>
          </cell>
        </row>
        <row r="182">
          <cell r="B182" t="str">
            <v>دستگاه تسمه کش</v>
          </cell>
          <cell r="C182" t="str">
            <v>قطعه تعمیری</v>
          </cell>
          <cell r="AF182">
            <v>0.75</v>
          </cell>
        </row>
        <row r="183">
          <cell r="B183" t="str">
            <v>قالب پخت کلاچ پژو 405</v>
          </cell>
          <cell r="C183" t="str">
            <v>قالب تعمیری</v>
          </cell>
          <cell r="AF183">
            <v>3.75</v>
          </cell>
        </row>
        <row r="184">
          <cell r="B184" t="str">
            <v>قالب پخت کلاچ پژو 405</v>
          </cell>
          <cell r="C184" t="str">
            <v>قالب تعمیری</v>
          </cell>
          <cell r="AF184">
            <v>3</v>
          </cell>
        </row>
        <row r="185">
          <cell r="B185" t="str">
            <v>قالب آرایش کوبه و نک SAF</v>
          </cell>
          <cell r="C185" t="str">
            <v>قالب تعمیری</v>
          </cell>
          <cell r="AF185">
            <v>2</v>
          </cell>
        </row>
        <row r="186">
          <cell r="B186" t="str">
            <v>قالب آرایش جافنری ویچای</v>
          </cell>
          <cell r="C186" t="str">
            <v>قالب تعمیری</v>
          </cell>
          <cell r="AF186">
            <v>2</v>
          </cell>
        </row>
        <row r="187">
          <cell r="B187" t="str">
            <v>پخت کلاچ پراید</v>
          </cell>
          <cell r="C187" t="str">
            <v>قالب تعمیری</v>
          </cell>
          <cell r="AF187">
            <v>4</v>
          </cell>
        </row>
        <row r="188">
          <cell r="B188" t="str">
            <v>دستگاه پرس پخت</v>
          </cell>
          <cell r="C188" t="str">
            <v>قطعه نو</v>
          </cell>
          <cell r="AF188">
            <v>2</v>
          </cell>
        </row>
        <row r="189">
          <cell r="B189" t="str">
            <v>دستگاه پرس پخت</v>
          </cell>
          <cell r="C189" t="str">
            <v>قطعه نو</v>
          </cell>
          <cell r="AF189">
            <v>2</v>
          </cell>
        </row>
        <row r="190">
          <cell r="B190" t="str">
            <v>ضایعات جمع کن پشم فلز آلمانی</v>
          </cell>
          <cell r="C190" t="str">
            <v>دستگاه نو</v>
          </cell>
          <cell r="AF190">
            <v>7</v>
          </cell>
        </row>
        <row r="191">
          <cell r="B191" t="str">
            <v>دستگاه پشم فلز چینی</v>
          </cell>
          <cell r="C191" t="str">
            <v>قطعه نو</v>
          </cell>
          <cell r="AF191">
            <v>5</v>
          </cell>
        </row>
        <row r="192">
          <cell r="B192" t="str">
            <v>قالب برشی پیلسان</v>
          </cell>
          <cell r="C192" t="str">
            <v>قالب تعمیری</v>
          </cell>
          <cell r="AF192">
            <v>2.5</v>
          </cell>
        </row>
        <row r="193">
          <cell r="B193" t="str">
            <v>قالب 309 سوراخدار</v>
          </cell>
          <cell r="C193" t="str">
            <v>قالب تعمیری</v>
          </cell>
          <cell r="AF193">
            <v>3.5</v>
          </cell>
        </row>
        <row r="194">
          <cell r="B194" t="str">
            <v>برش جمعی عقب ریو</v>
          </cell>
          <cell r="C194" t="str">
            <v>قطعه نو</v>
          </cell>
          <cell r="AF194">
            <v>6</v>
          </cell>
        </row>
        <row r="195">
          <cell r="B195" t="str">
            <v>برش جمعی عقب ریو</v>
          </cell>
          <cell r="C195" t="str">
            <v>قطعه نو</v>
          </cell>
          <cell r="AF195">
            <v>6</v>
          </cell>
        </row>
        <row r="196">
          <cell r="B196" t="str">
            <v>همزن آغشته کاری</v>
          </cell>
          <cell r="C196" t="str">
            <v>قطعه تعمیری</v>
          </cell>
          <cell r="AF196">
            <v>3</v>
          </cell>
        </row>
        <row r="197">
          <cell r="B197" t="str">
            <v>قلم پین برلیانس</v>
          </cell>
          <cell r="C197" t="str">
            <v>قطعه تعمیری</v>
          </cell>
          <cell r="AF197">
            <v>2</v>
          </cell>
        </row>
        <row r="198">
          <cell r="B198" t="str">
            <v>قالب اصلاح دسته کفشک مترو K</v>
          </cell>
          <cell r="C198" t="str">
            <v>قالب نو</v>
          </cell>
          <cell r="AF198">
            <v>11.5</v>
          </cell>
        </row>
        <row r="199">
          <cell r="B199" t="str">
            <v>برش توری پگاسوز</v>
          </cell>
          <cell r="C199" t="str">
            <v>قالب نو</v>
          </cell>
          <cell r="AF199">
            <v>12</v>
          </cell>
        </row>
        <row r="200">
          <cell r="B200" t="str">
            <v>برش جمعی عقب ریو</v>
          </cell>
          <cell r="C200" t="str">
            <v>قطعه نو</v>
          </cell>
          <cell r="AF200">
            <v>0.5</v>
          </cell>
        </row>
        <row r="201">
          <cell r="B201" t="str">
            <v>قالب اصلاح دسته کفشک مترو K</v>
          </cell>
          <cell r="C201" t="str">
            <v>قالب نو</v>
          </cell>
          <cell r="AF201">
            <v>3</v>
          </cell>
        </row>
        <row r="202">
          <cell r="B202" t="str">
            <v>ضایعات جمع کن پشم فلز آلمانی</v>
          </cell>
          <cell r="C202" t="str">
            <v>دستگاه نو</v>
          </cell>
          <cell r="AF202">
            <v>11</v>
          </cell>
        </row>
        <row r="203">
          <cell r="B203" t="str">
            <v>ضایعات جمع کن پشم فلز آلمانی</v>
          </cell>
          <cell r="C203" t="str">
            <v>دستگاه نو</v>
          </cell>
          <cell r="AF203">
            <v>5.5</v>
          </cell>
        </row>
        <row r="204">
          <cell r="B204" t="str">
            <v>دستگاه ویوینگ</v>
          </cell>
          <cell r="C204" t="str">
            <v>قطعه تعمیری</v>
          </cell>
          <cell r="AF204">
            <v>2</v>
          </cell>
        </row>
        <row r="205">
          <cell r="B205" t="str">
            <v>قالب 309 سوراخدار</v>
          </cell>
          <cell r="C205" t="str">
            <v>قالب تعمیری</v>
          </cell>
          <cell r="AF205">
            <v>3.5</v>
          </cell>
        </row>
        <row r="206">
          <cell r="B206" t="str">
            <v>CNC 7203</v>
          </cell>
          <cell r="C206" t="str">
            <v>دستگاه تعمیری</v>
          </cell>
          <cell r="AF206">
            <v>10</v>
          </cell>
        </row>
        <row r="207">
          <cell r="B207" t="str">
            <v>دستگاه کشش پشم فلز</v>
          </cell>
          <cell r="C207" t="str">
            <v>قطعه نو</v>
          </cell>
          <cell r="AF207">
            <v>4</v>
          </cell>
        </row>
        <row r="208">
          <cell r="B208" t="str">
            <v>ضایعات جمع کن پشم فلز آلمانی</v>
          </cell>
          <cell r="C208" t="str">
            <v>دستگاه نو</v>
          </cell>
          <cell r="AF208">
            <v>2</v>
          </cell>
        </row>
        <row r="209">
          <cell r="B209" t="str">
            <v>ویوینگ</v>
          </cell>
          <cell r="C209" t="str">
            <v>قطعه نو</v>
          </cell>
          <cell r="AF209">
            <v>4</v>
          </cell>
        </row>
        <row r="210">
          <cell r="B210" t="str">
            <v>سری تراش</v>
          </cell>
          <cell r="C210" t="str">
            <v>دستگاه تعمیری</v>
          </cell>
          <cell r="AF210">
            <v>5</v>
          </cell>
        </row>
        <row r="211">
          <cell r="B211" t="str">
            <v>دستگاه پشم فلز چینی</v>
          </cell>
          <cell r="C211" t="str">
            <v>قطعه نو</v>
          </cell>
          <cell r="AF211">
            <v>4</v>
          </cell>
        </row>
        <row r="212">
          <cell r="B212" t="str">
            <v>ویوینگ</v>
          </cell>
          <cell r="C212" t="str">
            <v>قطعه نو</v>
          </cell>
          <cell r="AF212">
            <v>2</v>
          </cell>
        </row>
        <row r="213">
          <cell r="B213" t="str">
            <v>دستگاه جوش</v>
          </cell>
          <cell r="C213" t="str">
            <v>دستگاه تعمیری</v>
          </cell>
          <cell r="AF213">
            <v>2</v>
          </cell>
        </row>
        <row r="214">
          <cell r="B214" t="str">
            <v>قالب پخت کلاچ پژو 405</v>
          </cell>
          <cell r="C214" t="str">
            <v>قالب تعمیری</v>
          </cell>
          <cell r="AF214">
            <v>3.5</v>
          </cell>
        </row>
        <row r="215">
          <cell r="B215" t="str">
            <v>قالب پخت کلاچ پژو 405</v>
          </cell>
          <cell r="C215" t="str">
            <v>قالب تعمیری</v>
          </cell>
          <cell r="AF215">
            <v>4</v>
          </cell>
        </row>
        <row r="216">
          <cell r="B216" t="str">
            <v>دستگاه پشم فلز آلمانی</v>
          </cell>
          <cell r="C216" t="str">
            <v>قطعه نو</v>
          </cell>
          <cell r="AF216">
            <v>3.5</v>
          </cell>
        </row>
        <row r="217">
          <cell r="B217" t="str">
            <v>قالب 309 سوراخدار</v>
          </cell>
          <cell r="C217" t="str">
            <v>قالب تعمیری</v>
          </cell>
          <cell r="AF217">
            <v>3</v>
          </cell>
        </row>
        <row r="218">
          <cell r="B218" t="str">
            <v>دستگاه پشم فلز آلمانی</v>
          </cell>
          <cell r="C218" t="str">
            <v>قطعه تعمیری</v>
          </cell>
          <cell r="AF218">
            <v>1</v>
          </cell>
        </row>
        <row r="219">
          <cell r="B219" t="str">
            <v>ضایعات جمع کن پشم فلز آلمانی</v>
          </cell>
          <cell r="C219" t="str">
            <v>دستگاه نو</v>
          </cell>
          <cell r="AF219">
            <v>3.5</v>
          </cell>
        </row>
        <row r="220">
          <cell r="B220" t="str">
            <v>دستگاه پشم فلز آلمانی</v>
          </cell>
          <cell r="C220" t="str">
            <v>قطعه تعمیری</v>
          </cell>
          <cell r="AF220">
            <v>2.5</v>
          </cell>
        </row>
        <row r="221">
          <cell r="B221" t="str">
            <v>ویوینگ</v>
          </cell>
          <cell r="C221" t="str">
            <v>قطعه نو</v>
          </cell>
          <cell r="AF221">
            <v>0.5</v>
          </cell>
        </row>
        <row r="222">
          <cell r="B222" t="str">
            <v>ضایعات جمع کن پشم فلز آلمانی</v>
          </cell>
          <cell r="C222" t="str">
            <v>دستگاه نو</v>
          </cell>
          <cell r="AF222">
            <v>6</v>
          </cell>
        </row>
        <row r="223">
          <cell r="B223" t="str">
            <v>قالب پراید خاردار</v>
          </cell>
          <cell r="C223" t="str">
            <v>قالب تعمیری</v>
          </cell>
          <cell r="AF223">
            <v>1</v>
          </cell>
        </row>
        <row r="224">
          <cell r="B224" t="str">
            <v>پخت کلاچ پراید</v>
          </cell>
          <cell r="C224" t="str">
            <v>قالب تعمیری</v>
          </cell>
          <cell r="AF224">
            <v>7</v>
          </cell>
        </row>
        <row r="225">
          <cell r="B225" t="str">
            <v>دستگاه پشم فلز آلمانی</v>
          </cell>
          <cell r="C225" t="str">
            <v>قطعه نو</v>
          </cell>
          <cell r="AF225">
            <v>4</v>
          </cell>
        </row>
        <row r="226">
          <cell r="B226" t="str">
            <v>دستگاه کشش پشم فلز</v>
          </cell>
          <cell r="C226" t="str">
            <v>قطعه نو</v>
          </cell>
          <cell r="AF226">
            <v>8</v>
          </cell>
        </row>
        <row r="227">
          <cell r="B227" t="str">
            <v>دستگاه پشم فلز آلمانی</v>
          </cell>
          <cell r="C227" t="str">
            <v>قطعه نو</v>
          </cell>
          <cell r="AF227">
            <v>2</v>
          </cell>
        </row>
        <row r="228">
          <cell r="B228" t="str">
            <v>قالب شیم ریو</v>
          </cell>
          <cell r="C228" t="str">
            <v>قالب تعمیری</v>
          </cell>
          <cell r="AF228">
            <v>2</v>
          </cell>
        </row>
        <row r="229">
          <cell r="B229" t="str">
            <v>ضایعات جمع کن پشم فلز آلمانی</v>
          </cell>
          <cell r="C229" t="str">
            <v>دستگاه نو</v>
          </cell>
          <cell r="AF229">
            <v>4</v>
          </cell>
        </row>
        <row r="230">
          <cell r="B230" t="str">
            <v>ویوینگ</v>
          </cell>
          <cell r="C230" t="str">
            <v>قطعه نو</v>
          </cell>
          <cell r="AF230">
            <v>1</v>
          </cell>
        </row>
        <row r="231">
          <cell r="B231" t="str">
            <v>قالب 309 سوراخدار</v>
          </cell>
          <cell r="C231" t="str">
            <v>قالب تعمیری</v>
          </cell>
          <cell r="AF231">
            <v>2</v>
          </cell>
        </row>
        <row r="232">
          <cell r="B232" t="str">
            <v>ضایعات جمع کن پشم فلز آلمانی</v>
          </cell>
          <cell r="C232" t="str">
            <v>دستگاه نو</v>
          </cell>
          <cell r="AF232">
            <v>3</v>
          </cell>
        </row>
        <row r="233">
          <cell r="B233" t="str">
            <v>قالب پراید خاردار</v>
          </cell>
          <cell r="C233" t="str">
            <v>قالب تعمیری</v>
          </cell>
          <cell r="AF233">
            <v>2</v>
          </cell>
        </row>
        <row r="234">
          <cell r="B234" t="str">
            <v>ساب سمباده ای</v>
          </cell>
          <cell r="C234" t="str">
            <v>قطعه تعمیری</v>
          </cell>
          <cell r="AF234">
            <v>11</v>
          </cell>
        </row>
        <row r="235">
          <cell r="B235" t="str">
            <v>دستگاه پرس 250 تن</v>
          </cell>
          <cell r="C235" t="str">
            <v>قطعه تعمیری</v>
          </cell>
          <cell r="AF235">
            <v>5.833333333333333</v>
          </cell>
        </row>
        <row r="236">
          <cell r="B236" t="str">
            <v>پین برلیانس</v>
          </cell>
          <cell r="C236" t="str">
            <v>قطعه نو</v>
          </cell>
          <cell r="AF236">
            <v>7.5</v>
          </cell>
        </row>
        <row r="237">
          <cell r="B237" t="str">
            <v>ضایعات جمع کن پشم فلز آلمانی</v>
          </cell>
          <cell r="C237" t="str">
            <v>دستگاه نو</v>
          </cell>
          <cell r="AF237">
            <v>11</v>
          </cell>
        </row>
        <row r="238">
          <cell r="B238" t="str">
            <v>قالب کوبه نک پیلسان</v>
          </cell>
          <cell r="C238" t="str">
            <v>قالب تعمیری</v>
          </cell>
          <cell r="AF238">
            <v>4</v>
          </cell>
        </row>
        <row r="239">
          <cell r="B239" t="str">
            <v>دستگاه پرس پخت کلاچ</v>
          </cell>
          <cell r="C239" t="str">
            <v>قطعه تعمیری</v>
          </cell>
          <cell r="AF239">
            <v>3.5</v>
          </cell>
        </row>
        <row r="240">
          <cell r="B240" t="str">
            <v>قالب شیم ریو</v>
          </cell>
          <cell r="C240" t="str">
            <v>قالب تعمیری</v>
          </cell>
          <cell r="AF240">
            <v>3.5</v>
          </cell>
        </row>
        <row r="241">
          <cell r="B241" t="str">
            <v>قالب شیم پژو 405</v>
          </cell>
          <cell r="C241" t="str">
            <v>قالب تعمیری</v>
          </cell>
          <cell r="AF241">
            <v>3.5</v>
          </cell>
        </row>
        <row r="242">
          <cell r="B242" t="str">
            <v>قالب 309 سوراخدار</v>
          </cell>
          <cell r="C242" t="str">
            <v>قالب تعمیری</v>
          </cell>
          <cell r="AF242">
            <v>2</v>
          </cell>
        </row>
        <row r="243">
          <cell r="B243" t="str">
            <v>قالب پراید خاردار</v>
          </cell>
          <cell r="C243" t="str">
            <v>قالب تعمیری</v>
          </cell>
          <cell r="AF243">
            <v>1</v>
          </cell>
        </row>
        <row r="244">
          <cell r="B244" t="str">
            <v>ضایعات جمع کن پشم فلز آلمانی</v>
          </cell>
          <cell r="C244" t="str">
            <v>دستگاه نو</v>
          </cell>
          <cell r="AF244">
            <v>11</v>
          </cell>
        </row>
        <row r="245">
          <cell r="B245" t="str">
            <v>پین برلیانس</v>
          </cell>
          <cell r="C245" t="str">
            <v>قطعه نو</v>
          </cell>
          <cell r="AF245">
            <v>8</v>
          </cell>
        </row>
        <row r="246">
          <cell r="B246" t="str">
            <v>دستگاه ساب دیسکی چینی</v>
          </cell>
          <cell r="C246" t="str">
            <v>قطعه تعمیری</v>
          </cell>
          <cell r="AF246">
            <v>2.5</v>
          </cell>
        </row>
        <row r="247">
          <cell r="B247" t="str">
            <v>قالب خشاب زنی</v>
          </cell>
          <cell r="C247" t="str">
            <v>قطعه تعمیری</v>
          </cell>
          <cell r="AF247">
            <v>5</v>
          </cell>
        </row>
        <row r="248">
          <cell r="B248" t="str">
            <v>دستگاه پرس 250 تن</v>
          </cell>
          <cell r="C248" t="str">
            <v>قطعه تعمیری</v>
          </cell>
          <cell r="AF248">
            <v>11</v>
          </cell>
        </row>
        <row r="249">
          <cell r="B249" t="str">
            <v>قالب کوبه نک پیلسان</v>
          </cell>
          <cell r="C249" t="str">
            <v>قالب تعمیری</v>
          </cell>
          <cell r="AF249">
            <v>7.5</v>
          </cell>
        </row>
        <row r="250">
          <cell r="B250" t="str">
            <v>قالب پخت کلاچ پیکان</v>
          </cell>
          <cell r="C250" t="str">
            <v>قالب تعمیری</v>
          </cell>
          <cell r="AF250">
            <v>3.5</v>
          </cell>
        </row>
        <row r="251">
          <cell r="B251" t="str">
            <v>دستگاه پشم فلز آلمانی</v>
          </cell>
          <cell r="C251" t="str">
            <v>قطعه نو</v>
          </cell>
          <cell r="AF251">
            <v>5</v>
          </cell>
        </row>
        <row r="252">
          <cell r="B252" t="str">
            <v>قالب آرایش SAF</v>
          </cell>
          <cell r="C252" t="str">
            <v>قالب تعمیری</v>
          </cell>
          <cell r="AF252">
            <v>1</v>
          </cell>
        </row>
        <row r="253">
          <cell r="B253" t="str">
            <v>قالب کوبه نک SAF</v>
          </cell>
          <cell r="C253" t="str">
            <v>قالب تعمیری</v>
          </cell>
          <cell r="AF253">
            <v>1</v>
          </cell>
        </row>
        <row r="254">
          <cell r="B254" t="str">
            <v>قالب پراید خاردار</v>
          </cell>
          <cell r="C254" t="str">
            <v>قالب تعمیری</v>
          </cell>
          <cell r="AF254">
            <v>4</v>
          </cell>
        </row>
        <row r="255">
          <cell r="B255" t="str">
            <v>دستگاه ساب سمباده ای</v>
          </cell>
          <cell r="C255" t="str">
            <v>قطعه نو</v>
          </cell>
          <cell r="AF255">
            <v>4</v>
          </cell>
        </row>
        <row r="256">
          <cell r="B256" t="str">
            <v>قالب خشاب زنی</v>
          </cell>
          <cell r="C256" t="str">
            <v>قطعه تعمیری</v>
          </cell>
          <cell r="AF256">
            <v>3.5</v>
          </cell>
        </row>
        <row r="257">
          <cell r="B257" t="str">
            <v>دریل سوراخکاری کلاچ</v>
          </cell>
          <cell r="C257" t="str">
            <v>قطعه تعمیری</v>
          </cell>
          <cell r="AF257">
            <v>0.5</v>
          </cell>
        </row>
        <row r="258">
          <cell r="B258" t="str">
            <v>ضایعات جمع کن پشم فلز آلمانی</v>
          </cell>
          <cell r="C258" t="str">
            <v>دستگاه نو</v>
          </cell>
          <cell r="AF258">
            <v>1</v>
          </cell>
        </row>
        <row r="259">
          <cell r="B259" t="str">
            <v>ضایعات جمع کن پشم فلز آلمانی</v>
          </cell>
          <cell r="C259" t="str">
            <v>دستگاه نو</v>
          </cell>
          <cell r="AF259">
            <v>2</v>
          </cell>
        </row>
        <row r="260">
          <cell r="B260" t="str">
            <v>قالب پراید خاردار</v>
          </cell>
          <cell r="C260" t="str">
            <v>قالب تعمیری</v>
          </cell>
          <cell r="AF260">
            <v>3</v>
          </cell>
        </row>
        <row r="261">
          <cell r="B261" t="str">
            <v>دستگاه سنگ مغناطیسی 7501</v>
          </cell>
          <cell r="C261" t="str">
            <v>دستگاه تعمیری</v>
          </cell>
          <cell r="AF261">
            <v>2</v>
          </cell>
        </row>
        <row r="262">
          <cell r="B262" t="str">
            <v>ضایعات جمع کن پشم فلز آلمانی</v>
          </cell>
          <cell r="C262" t="str">
            <v>دستگاه نو</v>
          </cell>
          <cell r="AF262">
            <v>1</v>
          </cell>
        </row>
        <row r="263">
          <cell r="B263" t="str">
            <v>ضایعات جمع کن پشم فلز آلمانی</v>
          </cell>
          <cell r="C263" t="str">
            <v>دستگاه نو</v>
          </cell>
          <cell r="AF263">
            <v>1</v>
          </cell>
        </row>
        <row r="264">
          <cell r="B264" t="str">
            <v>دستگاه پخت کلاچ</v>
          </cell>
          <cell r="C264" t="str">
            <v>قطعه تعمیری</v>
          </cell>
          <cell r="AF264">
            <v>1.5</v>
          </cell>
        </row>
        <row r="265">
          <cell r="B265" t="str">
            <v>دستگاه پخت کلاچ</v>
          </cell>
          <cell r="C265" t="str">
            <v>قطعه تعمیری</v>
          </cell>
          <cell r="AF265">
            <v>3</v>
          </cell>
        </row>
        <row r="266">
          <cell r="B266" t="str">
            <v>ضایعات جمع کن پشم فلز آلمانی</v>
          </cell>
          <cell r="C266" t="str">
            <v>دستگاه نو</v>
          </cell>
          <cell r="AF266">
            <v>1.5</v>
          </cell>
        </row>
        <row r="267">
          <cell r="B267" t="str">
            <v>دستگاه سنگ مغناطیسی 7501</v>
          </cell>
          <cell r="C267" t="str">
            <v>دستگاه تعمیری</v>
          </cell>
          <cell r="AF267">
            <v>2</v>
          </cell>
        </row>
        <row r="268">
          <cell r="B268" t="str">
            <v>دستگاه پرس 250 تن</v>
          </cell>
          <cell r="C268" t="str">
            <v>قطعه تعمیری</v>
          </cell>
          <cell r="AF268">
            <v>3.5</v>
          </cell>
        </row>
        <row r="269">
          <cell r="B269" t="str">
            <v>قالب پخت کلاچ پژو 405</v>
          </cell>
          <cell r="C269" t="str">
            <v>قالب تعمیری</v>
          </cell>
          <cell r="AF269">
            <v>3</v>
          </cell>
        </row>
        <row r="270">
          <cell r="B270" t="str">
            <v>دستگاه پشم فلز آلمانی</v>
          </cell>
          <cell r="C270" t="str">
            <v>قطعه نو</v>
          </cell>
          <cell r="AF270">
            <v>4</v>
          </cell>
        </row>
        <row r="271">
          <cell r="B271" t="str">
            <v>قالب پراید خاردار</v>
          </cell>
          <cell r="C271" t="str">
            <v>قالب تعمیری</v>
          </cell>
          <cell r="AF271">
            <v>7</v>
          </cell>
        </row>
        <row r="272">
          <cell r="B272" t="str">
            <v>اصول 5S</v>
          </cell>
          <cell r="C272" t="str">
            <v>نظافت</v>
          </cell>
          <cell r="AF272">
            <v>1</v>
          </cell>
        </row>
        <row r="273">
          <cell r="B273" t="str">
            <v>دستگاه پرس 250 تن</v>
          </cell>
          <cell r="C273" t="str">
            <v>قطعه تعمیری</v>
          </cell>
          <cell r="AF273">
            <v>4</v>
          </cell>
        </row>
        <row r="274">
          <cell r="B274" t="str">
            <v>دستگاه پرس 250 تن</v>
          </cell>
          <cell r="C274" t="str">
            <v>قطعه تعمیری</v>
          </cell>
          <cell r="AF274">
            <v>2</v>
          </cell>
        </row>
        <row r="275">
          <cell r="B275" t="str">
            <v>اصول 5S</v>
          </cell>
          <cell r="C275" t="str">
            <v>نظافت</v>
          </cell>
          <cell r="AF275">
            <v>1</v>
          </cell>
        </row>
        <row r="276">
          <cell r="B276" t="str">
            <v>دستگاه پرس 250 تن</v>
          </cell>
          <cell r="C276" t="str">
            <v>قطعه تعمیری</v>
          </cell>
          <cell r="AF276">
            <v>5</v>
          </cell>
        </row>
        <row r="277">
          <cell r="B277" t="str">
            <v>قالب خشاب زنی</v>
          </cell>
          <cell r="C277" t="str">
            <v>قطعه تعمیری</v>
          </cell>
          <cell r="AF277">
            <v>2.5</v>
          </cell>
        </row>
        <row r="278">
          <cell r="B278" t="str">
            <v>پین برلیانس</v>
          </cell>
          <cell r="C278" t="str">
            <v>قطعه نو</v>
          </cell>
          <cell r="AF278">
            <v>8</v>
          </cell>
        </row>
        <row r="279">
          <cell r="B279" t="str">
            <v>دستگاه آسیاب پرت کلاچ</v>
          </cell>
          <cell r="C279" t="str">
            <v>قطعه تعمیری</v>
          </cell>
          <cell r="AF279">
            <v>1</v>
          </cell>
        </row>
        <row r="280">
          <cell r="B280" t="str">
            <v>دستگاه تسمه کش</v>
          </cell>
          <cell r="C280" t="str">
            <v>قطعه تعمیری</v>
          </cell>
          <cell r="AF280">
            <v>2</v>
          </cell>
        </row>
        <row r="281">
          <cell r="B281" t="str">
            <v>اصول 5S</v>
          </cell>
          <cell r="C281" t="str">
            <v>نظافت</v>
          </cell>
          <cell r="AF281">
            <v>2</v>
          </cell>
        </row>
        <row r="282">
          <cell r="B282" t="str">
            <v>پین برلیانس</v>
          </cell>
          <cell r="C282" t="str">
            <v>قطعه نو</v>
          </cell>
          <cell r="AF282">
            <v>8</v>
          </cell>
        </row>
        <row r="283">
          <cell r="B283" t="str">
            <v>قطعه شرکت چینی</v>
          </cell>
          <cell r="C283" t="str">
            <v>قطعه تعمیری</v>
          </cell>
          <cell r="AF283">
            <v>9</v>
          </cell>
        </row>
        <row r="284">
          <cell r="B284" t="str">
            <v>قالب خشاب زنی</v>
          </cell>
          <cell r="C284" t="str">
            <v>قطعه تعمیری</v>
          </cell>
          <cell r="AF284">
            <v>1</v>
          </cell>
        </row>
        <row r="285">
          <cell r="B285" t="str">
            <v>خط مصرف</v>
          </cell>
          <cell r="C285" t="str">
            <v>قطعه تعمیری</v>
          </cell>
          <cell r="AF285">
            <v>6.666666666666667</v>
          </cell>
        </row>
        <row r="286">
          <cell r="B286" t="str">
            <v>دستگاه ویوینگ</v>
          </cell>
          <cell r="C286" t="str">
            <v>قطعه نو</v>
          </cell>
          <cell r="AF286">
            <v>3.3333333333333335</v>
          </cell>
        </row>
        <row r="287">
          <cell r="B287" t="str">
            <v>قالب پخت کلاچ پیکان</v>
          </cell>
          <cell r="C287" t="str">
            <v>قالب تعمیری</v>
          </cell>
          <cell r="AF287">
            <v>11</v>
          </cell>
        </row>
        <row r="288">
          <cell r="B288" t="str">
            <v>قالب پخت کلاچ پژو 405</v>
          </cell>
          <cell r="C288" t="str">
            <v>قالب تعمیری</v>
          </cell>
          <cell r="AF288">
            <v>4.5</v>
          </cell>
        </row>
        <row r="289">
          <cell r="B289" t="str">
            <v>قالب پخت کلاچ پیکان آرژانتینی</v>
          </cell>
          <cell r="C289" t="str">
            <v>قالب تعمیری</v>
          </cell>
          <cell r="AF289">
            <v>3</v>
          </cell>
        </row>
        <row r="290">
          <cell r="B290" t="str">
            <v>قالب پراید خاردار</v>
          </cell>
          <cell r="C290" t="str">
            <v>قالب تعمیری</v>
          </cell>
          <cell r="AF290">
            <v>3.5</v>
          </cell>
        </row>
        <row r="291">
          <cell r="B291" t="str">
            <v>دستگاه پشم فلز آلمانی</v>
          </cell>
          <cell r="C291" t="str">
            <v>قطعه نو</v>
          </cell>
          <cell r="AF291">
            <v>11</v>
          </cell>
        </row>
        <row r="292">
          <cell r="B292" t="str">
            <v>قالب پراید خاردار</v>
          </cell>
          <cell r="C292" t="str">
            <v>قالب تعمیری</v>
          </cell>
          <cell r="AF292">
            <v>9</v>
          </cell>
        </row>
        <row r="293">
          <cell r="B293" t="str">
            <v>فیکسچر پژو</v>
          </cell>
          <cell r="C293" t="str">
            <v>قطعه تعمیری</v>
          </cell>
          <cell r="AF293">
            <v>1</v>
          </cell>
        </row>
        <row r="294">
          <cell r="B294" t="str">
            <v>دستگاه پشم فلز آلمانی</v>
          </cell>
          <cell r="C294" t="str">
            <v>قطعه نو</v>
          </cell>
          <cell r="AF294">
            <v>8</v>
          </cell>
        </row>
        <row r="295">
          <cell r="B295" t="str">
            <v>دستگاه پشم فلز چینی</v>
          </cell>
          <cell r="C295" t="str">
            <v>قطعه نو</v>
          </cell>
          <cell r="AF295">
            <v>12</v>
          </cell>
        </row>
        <row r="296">
          <cell r="B296" t="str">
            <v>دستگاه پشم فلز چینی</v>
          </cell>
          <cell r="C296" t="str">
            <v>قطعه نو</v>
          </cell>
          <cell r="AF296">
            <v>12</v>
          </cell>
        </row>
        <row r="297">
          <cell r="B297" t="str">
            <v>قالب اصلاح دسته کفشک مترو K</v>
          </cell>
          <cell r="C297" t="str">
            <v>قالب نو</v>
          </cell>
          <cell r="AF297">
            <v>12</v>
          </cell>
        </row>
        <row r="298">
          <cell r="B298" t="str">
            <v xml:space="preserve">دستگاه مهر زنی </v>
          </cell>
          <cell r="C298" t="str">
            <v>قطعه نو</v>
          </cell>
          <cell r="AF298">
            <v>12</v>
          </cell>
        </row>
        <row r="299">
          <cell r="B299" t="str">
            <v>دستگاه پشم فلز چینی</v>
          </cell>
          <cell r="C299" t="str">
            <v>قطعه نو</v>
          </cell>
          <cell r="AF299">
            <v>12</v>
          </cell>
        </row>
        <row r="300">
          <cell r="B300" t="str">
            <v>دستگاه پشم فلز چینی</v>
          </cell>
          <cell r="C300" t="str">
            <v>قطعه نو</v>
          </cell>
          <cell r="AF300">
            <v>12</v>
          </cell>
        </row>
        <row r="301">
          <cell r="B301" t="str">
            <v>قالب اصلاح دسته کفشک مترو K</v>
          </cell>
          <cell r="C301" t="str">
            <v>قالب نو</v>
          </cell>
          <cell r="AF301">
            <v>12</v>
          </cell>
        </row>
        <row r="302">
          <cell r="B302" t="str">
            <v xml:space="preserve">دستگاه مهر زنی </v>
          </cell>
          <cell r="C302" t="str">
            <v>قطعه نو</v>
          </cell>
          <cell r="AF302">
            <v>12</v>
          </cell>
        </row>
        <row r="303">
          <cell r="B303" t="str">
            <v>قالب پخت کلاچ پیکان</v>
          </cell>
          <cell r="C303" t="str">
            <v>قالب تعمیری</v>
          </cell>
          <cell r="AF303">
            <v>11</v>
          </cell>
        </row>
        <row r="304">
          <cell r="B304" t="str">
            <v>پین برلیانس</v>
          </cell>
          <cell r="C304" t="str">
            <v>قطعه نو</v>
          </cell>
          <cell r="AF304">
            <v>7.5</v>
          </cell>
        </row>
        <row r="305">
          <cell r="B305" t="str">
            <v>ضایعات جمع کن پشم فلز آلمانی</v>
          </cell>
          <cell r="C305" t="str">
            <v>دستگاه نو</v>
          </cell>
          <cell r="AF305">
            <v>5.5</v>
          </cell>
        </row>
        <row r="306">
          <cell r="B306" t="str">
            <v>ضایعات جمع کن پشم فلز آلمانی</v>
          </cell>
          <cell r="C306" t="str">
            <v>دستگاه نو</v>
          </cell>
          <cell r="AF306">
            <v>5.5</v>
          </cell>
        </row>
        <row r="307">
          <cell r="B307" t="str">
            <v>دستگاه پشم فلز آلمانی</v>
          </cell>
          <cell r="C307" t="str">
            <v>قطعه نو</v>
          </cell>
          <cell r="AF307">
            <v>11</v>
          </cell>
        </row>
        <row r="308">
          <cell r="B308" t="str">
            <v>قالب پخت کلاچ پیکان آرژانتینی</v>
          </cell>
          <cell r="C308" t="str">
            <v>قالب تعمیری</v>
          </cell>
          <cell r="AF308">
            <v>4.5</v>
          </cell>
        </row>
        <row r="309">
          <cell r="B309" t="str">
            <v>قالب شیم پژو 405</v>
          </cell>
          <cell r="C309" t="str">
            <v>قالب تعمیری</v>
          </cell>
          <cell r="AF309">
            <v>3.5</v>
          </cell>
        </row>
        <row r="310">
          <cell r="B310" t="str">
            <v>ضایعات جمع کن پشم فلز آلمانی</v>
          </cell>
          <cell r="C310" t="str">
            <v>دستگاه نو</v>
          </cell>
          <cell r="AF310">
            <v>2</v>
          </cell>
        </row>
        <row r="311">
          <cell r="B311" t="str">
            <v>قالب شیم ریو</v>
          </cell>
          <cell r="C311" t="str">
            <v>قالب تعمیری</v>
          </cell>
          <cell r="AF311">
            <v>2</v>
          </cell>
        </row>
        <row r="312">
          <cell r="B312" t="str">
            <v>دستگاه چسب زنی</v>
          </cell>
          <cell r="C312" t="str">
            <v>دستگاه تعمیری</v>
          </cell>
          <cell r="AF312">
            <v>3</v>
          </cell>
        </row>
        <row r="313">
          <cell r="B313" t="str">
            <v>قالب پخت کلاچ پیکان آرژانتینی</v>
          </cell>
          <cell r="C313" t="str">
            <v>قالب تعمیری</v>
          </cell>
          <cell r="AF313">
            <v>2</v>
          </cell>
        </row>
        <row r="314">
          <cell r="B314" t="str">
            <v>ضایعات جمع کن پشم فلز آلمانی</v>
          </cell>
          <cell r="C314" t="str">
            <v>دستگاه نو</v>
          </cell>
          <cell r="AF314">
            <v>1.5</v>
          </cell>
        </row>
        <row r="315">
          <cell r="B315" t="str">
            <v>پخت عقب پژو 405 شمشی پایه کوتاه</v>
          </cell>
          <cell r="C315" t="str">
            <v>قالب نو</v>
          </cell>
          <cell r="AF315">
            <v>2.5</v>
          </cell>
        </row>
        <row r="316">
          <cell r="B316" t="str">
            <v>قالب شیم ریو</v>
          </cell>
          <cell r="C316" t="str">
            <v>قالب تعمیری</v>
          </cell>
          <cell r="AF316">
            <v>1</v>
          </cell>
        </row>
        <row r="317">
          <cell r="B317" t="str">
            <v>قالب پراید خاردار</v>
          </cell>
          <cell r="C317" t="str">
            <v>قالب تعمیری</v>
          </cell>
          <cell r="AF317">
            <v>2</v>
          </cell>
        </row>
        <row r="318">
          <cell r="B318" t="str">
            <v>پخت عقب پژو 405 شمشی پایه کوتاه</v>
          </cell>
          <cell r="C318" t="str">
            <v>قالب نو</v>
          </cell>
          <cell r="AF318">
            <v>4</v>
          </cell>
        </row>
        <row r="319">
          <cell r="B319" t="str">
            <v>دستگاه پشم فلز آلمانی</v>
          </cell>
          <cell r="C319" t="str">
            <v>قطعه نو</v>
          </cell>
          <cell r="AF319">
            <v>12</v>
          </cell>
        </row>
        <row r="320">
          <cell r="B320" t="str">
            <v>قالب اصلاح دسته کفشک مترو K</v>
          </cell>
          <cell r="C320" t="str">
            <v>قالب نو</v>
          </cell>
          <cell r="AF320">
            <v>3</v>
          </cell>
        </row>
        <row r="321">
          <cell r="B321" t="str">
            <v>ضایعات جمع کن پشم فلز آلمانی</v>
          </cell>
          <cell r="C321" t="str">
            <v>دستگاه نو</v>
          </cell>
          <cell r="AF321">
            <v>3</v>
          </cell>
        </row>
        <row r="322">
          <cell r="B322" t="str">
            <v>دستگاه پشم فلز چینی</v>
          </cell>
          <cell r="C322" t="str">
            <v>قطعه نو</v>
          </cell>
          <cell r="AF322">
            <v>12</v>
          </cell>
        </row>
        <row r="323">
          <cell r="B323" t="str">
            <v>قالب پراید خاردار</v>
          </cell>
          <cell r="C323" t="str">
            <v>قالب تعمیری</v>
          </cell>
          <cell r="AF323">
            <v>9</v>
          </cell>
        </row>
        <row r="324">
          <cell r="B324" t="str">
            <v xml:space="preserve">دستگاه مهر زنی </v>
          </cell>
          <cell r="C324" t="str">
            <v>قطعه نو</v>
          </cell>
          <cell r="AF324">
            <v>9</v>
          </cell>
        </row>
        <row r="325">
          <cell r="B325" t="str">
            <v>دستگاه ساب سمباده ای</v>
          </cell>
          <cell r="C325" t="str">
            <v>قطعه تعمیری</v>
          </cell>
          <cell r="AF325">
            <v>4</v>
          </cell>
        </row>
        <row r="326">
          <cell r="B326" t="str">
            <v>دستگاه ساب جدید</v>
          </cell>
          <cell r="C326" t="str">
            <v>قطعه نو</v>
          </cell>
          <cell r="AF326">
            <v>5</v>
          </cell>
        </row>
        <row r="327">
          <cell r="B327" t="str">
            <v>فیکسچر پژو</v>
          </cell>
          <cell r="C327" t="str">
            <v>قطعه تعمیری</v>
          </cell>
          <cell r="AF327">
            <v>1</v>
          </cell>
        </row>
        <row r="328">
          <cell r="B328" t="str">
            <v>ساب کونیک</v>
          </cell>
          <cell r="C328" t="str">
            <v>قطعه تعمیری</v>
          </cell>
          <cell r="AF328">
            <v>1</v>
          </cell>
        </row>
        <row r="329">
          <cell r="B329" t="str">
            <v>دستگاه پرس 250 تن</v>
          </cell>
          <cell r="C329" t="str">
            <v>قطعه تعمیری</v>
          </cell>
          <cell r="AF329">
            <v>3</v>
          </cell>
        </row>
        <row r="330">
          <cell r="B330" t="str">
            <v>ضایعات جمع کن پشم فلز آلمانی</v>
          </cell>
          <cell r="C330" t="str">
            <v>دستگاه نو</v>
          </cell>
          <cell r="AF330">
            <v>1</v>
          </cell>
        </row>
        <row r="331">
          <cell r="B331" t="str">
            <v>قطعه شرکت چینی</v>
          </cell>
          <cell r="C331" t="str">
            <v>قطعه تعمیری</v>
          </cell>
          <cell r="AF331">
            <v>11</v>
          </cell>
        </row>
        <row r="332">
          <cell r="B332" t="str">
            <v>پخت کلاچ پراید</v>
          </cell>
          <cell r="C332" t="str">
            <v>قالب تعمیری</v>
          </cell>
          <cell r="AF332">
            <v>11</v>
          </cell>
        </row>
        <row r="333">
          <cell r="B333" t="str">
            <v>قالب پخت کلاچ پیکان</v>
          </cell>
          <cell r="C333" t="str">
            <v>قالب تعمیری</v>
          </cell>
          <cell r="AF333">
            <v>6.5</v>
          </cell>
        </row>
        <row r="334">
          <cell r="B334" t="str">
            <v>دستگاه ساب جدید</v>
          </cell>
          <cell r="C334" t="str">
            <v>قطعه نو</v>
          </cell>
          <cell r="AF334">
            <v>3.75</v>
          </cell>
        </row>
        <row r="335">
          <cell r="B335" t="str">
            <v>دستگاه ساب جدید</v>
          </cell>
          <cell r="C335" t="str">
            <v>قطعه نو</v>
          </cell>
          <cell r="AF335">
            <v>3.75</v>
          </cell>
        </row>
        <row r="336">
          <cell r="B336" t="str">
            <v>قالب جلو ریو</v>
          </cell>
          <cell r="C336" t="str">
            <v>قالب تعمیری</v>
          </cell>
          <cell r="AF336">
            <v>3</v>
          </cell>
        </row>
        <row r="337">
          <cell r="B337" t="str">
            <v>دستگاه پرس 600 تن</v>
          </cell>
          <cell r="C337" t="str">
            <v>قطعه نو</v>
          </cell>
          <cell r="AF337">
            <v>3</v>
          </cell>
        </row>
        <row r="338">
          <cell r="B338" t="str">
            <v>دستگاه پرس 600 تن</v>
          </cell>
          <cell r="C338" t="str">
            <v>قطعه تعمیری</v>
          </cell>
          <cell r="AF338">
            <v>3</v>
          </cell>
        </row>
        <row r="339">
          <cell r="B339" t="str">
            <v>دستگاه کمپرسور باد</v>
          </cell>
          <cell r="C339" t="str">
            <v>قطعه تعمیری</v>
          </cell>
          <cell r="AF339">
            <v>2.75</v>
          </cell>
        </row>
        <row r="340">
          <cell r="B340" t="str">
            <v>ضایعات جمع کن پشم فلز آلمانی</v>
          </cell>
          <cell r="C340" t="str">
            <v>دستگاه نو</v>
          </cell>
          <cell r="AF340">
            <v>2.75</v>
          </cell>
        </row>
        <row r="341">
          <cell r="B341" t="str">
            <v>دستگاه پرس پخت</v>
          </cell>
          <cell r="C341" t="str">
            <v>قطعه نو</v>
          </cell>
          <cell r="AF341">
            <v>2.75</v>
          </cell>
        </row>
        <row r="342">
          <cell r="B342" t="str">
            <v>برش جمعی عقب ریو</v>
          </cell>
          <cell r="C342" t="str">
            <v>قطعه نو</v>
          </cell>
          <cell r="AF342">
            <v>2.75</v>
          </cell>
        </row>
        <row r="343">
          <cell r="B343" t="str">
            <v>دستگاه CNC 7203</v>
          </cell>
          <cell r="C343" t="str">
            <v>دستگاه تعمیری</v>
          </cell>
          <cell r="AF343">
            <v>7.5</v>
          </cell>
        </row>
        <row r="344">
          <cell r="B344" t="str">
            <v>قالب پخت کلاچ پیکان</v>
          </cell>
          <cell r="C344" t="str">
            <v>قالب تعمیری</v>
          </cell>
          <cell r="AF344">
            <v>3.5</v>
          </cell>
        </row>
        <row r="345">
          <cell r="B345" t="str">
            <v>دستگاه پشم فلز آلمانی</v>
          </cell>
          <cell r="C345" t="str">
            <v>قطعه نو</v>
          </cell>
          <cell r="AF345">
            <v>12</v>
          </cell>
        </row>
        <row r="346">
          <cell r="B346" t="str">
            <v>قالب پراید خاردار</v>
          </cell>
          <cell r="C346" t="str">
            <v>قالب تعمیری</v>
          </cell>
          <cell r="AF346">
            <v>12</v>
          </cell>
        </row>
        <row r="347">
          <cell r="B347" t="str">
            <v xml:space="preserve">دستگاه مهر زنی </v>
          </cell>
          <cell r="C347" t="str">
            <v>قطعه نو</v>
          </cell>
          <cell r="AF347">
            <v>9</v>
          </cell>
        </row>
        <row r="348">
          <cell r="B348" t="str">
            <v>دستگاه پشم فلز آلمانی</v>
          </cell>
          <cell r="C348" t="str">
            <v>قطعه نو</v>
          </cell>
          <cell r="AF348">
            <v>3</v>
          </cell>
        </row>
        <row r="349">
          <cell r="B349" t="str">
            <v>دستگاه پشم فلز چینی</v>
          </cell>
          <cell r="C349" t="str">
            <v>قطعه نو</v>
          </cell>
          <cell r="AF349">
            <v>12</v>
          </cell>
        </row>
        <row r="350">
          <cell r="B350" t="str">
            <v>ضایعات جمع کن پشم فلز آلمانی</v>
          </cell>
          <cell r="C350" t="str">
            <v>دستگاه نو</v>
          </cell>
          <cell r="AF350">
            <v>1</v>
          </cell>
        </row>
        <row r="351">
          <cell r="B351" t="str">
            <v>دستگاه پشم فلز آلمانی</v>
          </cell>
          <cell r="C351" t="str">
            <v>قطعه تعمیری</v>
          </cell>
          <cell r="AF351">
            <v>2</v>
          </cell>
        </row>
        <row r="352">
          <cell r="B352" t="str">
            <v>پخت کلاچ پراید</v>
          </cell>
          <cell r="C352" t="str">
            <v>قالب تعمیری</v>
          </cell>
          <cell r="AF352">
            <v>1</v>
          </cell>
        </row>
        <row r="353">
          <cell r="B353" t="str">
            <v>قالب پخت کلاچ پژو 405</v>
          </cell>
          <cell r="C353" t="str">
            <v>قالب تعمیری</v>
          </cell>
          <cell r="AF353">
            <v>1</v>
          </cell>
        </row>
        <row r="354">
          <cell r="B354" t="str">
            <v>قالب شیم ریو</v>
          </cell>
          <cell r="C354" t="str">
            <v>قالب تعمیری</v>
          </cell>
          <cell r="AF354">
            <v>1</v>
          </cell>
        </row>
        <row r="355">
          <cell r="B355" t="str">
            <v>قالب شیم پژو 405</v>
          </cell>
          <cell r="C355" t="str">
            <v>قالب تعمیری</v>
          </cell>
          <cell r="AF355">
            <v>1</v>
          </cell>
        </row>
        <row r="356">
          <cell r="B356" t="str">
            <v>دستگاه پشم فلز آلمانی</v>
          </cell>
          <cell r="C356" t="str">
            <v>قطعه نو</v>
          </cell>
          <cell r="AF356">
            <v>3.5</v>
          </cell>
        </row>
        <row r="357">
          <cell r="B357" t="str">
            <v>قالب پخت کلاچ پیکان آرژانتینی</v>
          </cell>
          <cell r="C357" t="str">
            <v>قالب تعمیری</v>
          </cell>
          <cell r="AF357">
            <v>7</v>
          </cell>
        </row>
        <row r="358">
          <cell r="B358" t="str">
            <v>برش جمعی عقب ریو</v>
          </cell>
          <cell r="C358" t="str">
            <v>قطعه نو</v>
          </cell>
          <cell r="AF358">
            <v>2</v>
          </cell>
        </row>
        <row r="359">
          <cell r="B359" t="str">
            <v>قالب شیم پژو 405</v>
          </cell>
          <cell r="C359" t="str">
            <v>قالب تعمیری</v>
          </cell>
          <cell r="AF359">
            <v>1</v>
          </cell>
        </row>
        <row r="360">
          <cell r="B360" t="str">
            <v>پخت کلاچ پراید</v>
          </cell>
          <cell r="C360" t="str">
            <v>قالب تعمیری</v>
          </cell>
          <cell r="AF360">
            <v>1</v>
          </cell>
        </row>
        <row r="361">
          <cell r="B361" t="str">
            <v>قالب پخت کلاچ پیکان</v>
          </cell>
          <cell r="C361" t="str">
            <v>قالب تعمیری</v>
          </cell>
          <cell r="AF361">
            <v>7.5</v>
          </cell>
        </row>
        <row r="362">
          <cell r="B362" t="str">
            <v>پخت کلاچ پراید</v>
          </cell>
          <cell r="C362" t="str">
            <v>قالب تعمیری</v>
          </cell>
          <cell r="AF362">
            <v>1</v>
          </cell>
        </row>
        <row r="363">
          <cell r="B363" t="str">
            <v>قالب پخت کلاچ پژو 405</v>
          </cell>
          <cell r="C363" t="str">
            <v>قالب تعمیری</v>
          </cell>
          <cell r="AF363">
            <v>1</v>
          </cell>
        </row>
        <row r="364">
          <cell r="B364" t="str">
            <v>قالب پراید خاردار</v>
          </cell>
          <cell r="C364" t="str">
            <v>قالب تعمیری</v>
          </cell>
          <cell r="AF364">
            <v>2</v>
          </cell>
        </row>
        <row r="365">
          <cell r="B365" t="str">
            <v>قالب شیم پژو 405</v>
          </cell>
          <cell r="C365" t="str">
            <v>قالب تعمیری</v>
          </cell>
          <cell r="AF365">
            <v>1</v>
          </cell>
        </row>
        <row r="366">
          <cell r="B366" t="str">
            <v>قالب شیم ریو</v>
          </cell>
          <cell r="C366" t="str">
            <v>قالب تعمیری</v>
          </cell>
          <cell r="AF366">
            <v>1</v>
          </cell>
        </row>
        <row r="367">
          <cell r="AF367">
            <v>0</v>
          </cell>
        </row>
        <row r="368">
          <cell r="AF368">
            <v>0</v>
          </cell>
        </row>
        <row r="369">
          <cell r="AF369">
            <v>0</v>
          </cell>
        </row>
        <row r="370">
          <cell r="AF370">
            <v>0</v>
          </cell>
        </row>
        <row r="371">
          <cell r="AF371">
            <v>0</v>
          </cell>
        </row>
        <row r="372">
          <cell r="AF372">
            <v>0</v>
          </cell>
        </row>
        <row r="373">
          <cell r="AF373">
            <v>0</v>
          </cell>
        </row>
        <row r="374">
          <cell r="AF374">
            <v>0</v>
          </cell>
        </row>
        <row r="375">
          <cell r="AF375">
            <v>0</v>
          </cell>
        </row>
        <row r="376">
          <cell r="AF376">
            <v>0</v>
          </cell>
        </row>
        <row r="377">
          <cell r="AF377">
            <v>0</v>
          </cell>
        </row>
        <row r="378">
          <cell r="AF378">
            <v>0</v>
          </cell>
        </row>
        <row r="379">
          <cell r="AF379">
            <v>0</v>
          </cell>
        </row>
        <row r="380">
          <cell r="AF380">
            <v>0</v>
          </cell>
        </row>
        <row r="381">
          <cell r="AF381">
            <v>0</v>
          </cell>
        </row>
        <row r="382">
          <cell r="AF382">
            <v>0</v>
          </cell>
        </row>
        <row r="383">
          <cell r="AF383">
            <v>0</v>
          </cell>
        </row>
        <row r="384">
          <cell r="AF384">
            <v>0</v>
          </cell>
        </row>
        <row r="385">
          <cell r="AF385">
            <v>0</v>
          </cell>
        </row>
        <row r="386">
          <cell r="AF386">
            <v>0</v>
          </cell>
        </row>
        <row r="387">
          <cell r="AF387">
            <v>0</v>
          </cell>
        </row>
        <row r="388">
          <cell r="AF388">
            <v>0</v>
          </cell>
        </row>
        <row r="389">
          <cell r="AF389">
            <v>0</v>
          </cell>
        </row>
        <row r="390">
          <cell r="AF390">
            <v>0</v>
          </cell>
        </row>
        <row r="391">
          <cell r="AF391">
            <v>0</v>
          </cell>
        </row>
        <row r="392">
          <cell r="AF392">
            <v>0</v>
          </cell>
        </row>
        <row r="393">
          <cell r="AF393">
            <v>0</v>
          </cell>
        </row>
        <row r="394">
          <cell r="AF394">
            <v>0</v>
          </cell>
        </row>
        <row r="395">
          <cell r="AF395">
            <v>0</v>
          </cell>
        </row>
        <row r="396">
          <cell r="AF396">
            <v>0</v>
          </cell>
        </row>
        <row r="397">
          <cell r="AF397">
            <v>0</v>
          </cell>
        </row>
        <row r="398">
          <cell r="AF398">
            <v>0</v>
          </cell>
        </row>
        <row r="399">
          <cell r="AF399">
            <v>0</v>
          </cell>
        </row>
        <row r="400">
          <cell r="AF400">
            <v>0</v>
          </cell>
        </row>
        <row r="401">
          <cell r="AF401">
            <v>0</v>
          </cell>
        </row>
        <row r="402">
          <cell r="AF402">
            <v>0</v>
          </cell>
        </row>
        <row r="403">
          <cell r="AF403">
            <v>0</v>
          </cell>
        </row>
        <row r="404">
          <cell r="AF404">
            <v>0</v>
          </cell>
        </row>
        <row r="405">
          <cell r="AF405">
            <v>0</v>
          </cell>
        </row>
        <row r="406">
          <cell r="AF406">
            <v>0</v>
          </cell>
        </row>
        <row r="407">
          <cell r="AF407">
            <v>0</v>
          </cell>
        </row>
        <row r="408">
          <cell r="AF408">
            <v>0</v>
          </cell>
        </row>
        <row r="409">
          <cell r="AF409">
            <v>0</v>
          </cell>
        </row>
        <row r="410">
          <cell r="AF410">
            <v>0</v>
          </cell>
        </row>
        <row r="411">
          <cell r="AF411">
            <v>0</v>
          </cell>
        </row>
        <row r="412">
          <cell r="AF412">
            <v>0</v>
          </cell>
        </row>
        <row r="413">
          <cell r="AF413">
            <v>0</v>
          </cell>
        </row>
        <row r="414">
          <cell r="AF414">
            <v>0</v>
          </cell>
        </row>
        <row r="415">
          <cell r="AF415">
            <v>0</v>
          </cell>
        </row>
        <row r="416">
          <cell r="AF416">
            <v>0</v>
          </cell>
        </row>
        <row r="417">
          <cell r="AF417">
            <v>0</v>
          </cell>
        </row>
        <row r="418">
          <cell r="AF418">
            <v>0</v>
          </cell>
        </row>
        <row r="419">
          <cell r="AF419">
            <v>0</v>
          </cell>
        </row>
        <row r="420">
          <cell r="AF420">
            <v>0</v>
          </cell>
        </row>
        <row r="421">
          <cell r="AF421">
            <v>0</v>
          </cell>
        </row>
        <row r="422">
          <cell r="AF422">
            <v>0</v>
          </cell>
        </row>
        <row r="423">
          <cell r="AF423">
            <v>0</v>
          </cell>
        </row>
        <row r="424">
          <cell r="AF424">
            <v>0</v>
          </cell>
        </row>
        <row r="425">
          <cell r="AF425">
            <v>0</v>
          </cell>
        </row>
        <row r="426">
          <cell r="AF426">
            <v>0</v>
          </cell>
        </row>
        <row r="427">
          <cell r="AF427">
            <v>0</v>
          </cell>
        </row>
        <row r="428">
          <cell r="AF428">
            <v>0</v>
          </cell>
        </row>
        <row r="429">
          <cell r="AF429">
            <v>0</v>
          </cell>
        </row>
        <row r="430">
          <cell r="AF430">
            <v>0</v>
          </cell>
        </row>
        <row r="431">
          <cell r="AF431">
            <v>0</v>
          </cell>
        </row>
        <row r="432">
          <cell r="AF432">
            <v>0</v>
          </cell>
        </row>
        <row r="433">
          <cell r="AF433">
            <v>0</v>
          </cell>
        </row>
        <row r="434">
          <cell r="AF434">
            <v>0</v>
          </cell>
        </row>
        <row r="435">
          <cell r="AF435">
            <v>0</v>
          </cell>
        </row>
        <row r="436">
          <cell r="AF436">
            <v>0</v>
          </cell>
        </row>
        <row r="437">
          <cell r="AF437">
            <v>0</v>
          </cell>
        </row>
        <row r="438">
          <cell r="AF438">
            <v>0</v>
          </cell>
        </row>
        <row r="439">
          <cell r="AF439">
            <v>0</v>
          </cell>
        </row>
        <row r="440">
          <cell r="AF440">
            <v>0</v>
          </cell>
        </row>
        <row r="441">
          <cell r="AF441">
            <v>0</v>
          </cell>
        </row>
        <row r="442">
          <cell r="AF442">
            <v>0</v>
          </cell>
        </row>
        <row r="443">
          <cell r="AF443">
            <v>0</v>
          </cell>
        </row>
        <row r="444">
          <cell r="AF444">
            <v>0</v>
          </cell>
        </row>
        <row r="445">
          <cell r="AF445">
            <v>0</v>
          </cell>
        </row>
        <row r="446">
          <cell r="AF446">
            <v>0</v>
          </cell>
        </row>
        <row r="447">
          <cell r="AF447">
            <v>0</v>
          </cell>
        </row>
        <row r="448">
          <cell r="AF448">
            <v>0</v>
          </cell>
        </row>
        <row r="449">
          <cell r="AF449">
            <v>0</v>
          </cell>
        </row>
        <row r="450">
          <cell r="AF450">
            <v>0</v>
          </cell>
        </row>
        <row r="451">
          <cell r="AF451">
            <v>0</v>
          </cell>
        </row>
        <row r="452">
          <cell r="AF452">
            <v>0</v>
          </cell>
        </row>
        <row r="453">
          <cell r="AF453">
            <v>0</v>
          </cell>
        </row>
        <row r="454">
          <cell r="AF454">
            <v>0</v>
          </cell>
        </row>
        <row r="455">
          <cell r="AF455">
            <v>0</v>
          </cell>
        </row>
        <row r="456">
          <cell r="AF456">
            <v>0</v>
          </cell>
        </row>
        <row r="457">
          <cell r="AF457">
            <v>0</v>
          </cell>
        </row>
        <row r="458">
          <cell r="AF458">
            <v>0</v>
          </cell>
        </row>
        <row r="459">
          <cell r="AF459">
            <v>0</v>
          </cell>
        </row>
        <row r="460">
          <cell r="AF460">
            <v>0</v>
          </cell>
        </row>
        <row r="461">
          <cell r="AF461">
            <v>0</v>
          </cell>
        </row>
        <row r="462">
          <cell r="AF462">
            <v>0</v>
          </cell>
        </row>
        <row r="463">
          <cell r="AF463">
            <v>0</v>
          </cell>
        </row>
        <row r="464">
          <cell r="AF464">
            <v>0</v>
          </cell>
        </row>
        <row r="465">
          <cell r="AF465">
            <v>0</v>
          </cell>
        </row>
        <row r="466">
          <cell r="AF466">
            <v>0</v>
          </cell>
        </row>
        <row r="467">
          <cell r="AF467">
            <v>0</v>
          </cell>
        </row>
        <row r="468">
          <cell r="AF468">
            <v>0</v>
          </cell>
        </row>
        <row r="469">
          <cell r="AF469">
            <v>0</v>
          </cell>
        </row>
        <row r="470">
          <cell r="AF470">
            <v>0</v>
          </cell>
        </row>
        <row r="471">
          <cell r="AF471">
            <v>0</v>
          </cell>
        </row>
        <row r="472">
          <cell r="AF472">
            <v>0</v>
          </cell>
        </row>
        <row r="473">
          <cell r="AF473">
            <v>0</v>
          </cell>
        </row>
        <row r="474">
          <cell r="AF474">
            <v>0</v>
          </cell>
        </row>
        <row r="475">
          <cell r="AF475">
            <v>0</v>
          </cell>
        </row>
        <row r="476">
          <cell r="AF476">
            <v>0</v>
          </cell>
        </row>
        <row r="477">
          <cell r="AF477">
            <v>0</v>
          </cell>
        </row>
        <row r="478">
          <cell r="AF478">
            <v>0</v>
          </cell>
        </row>
        <row r="479">
          <cell r="AF479">
            <v>0</v>
          </cell>
        </row>
        <row r="480">
          <cell r="AF480">
            <v>0</v>
          </cell>
        </row>
        <row r="481">
          <cell r="AF481">
            <v>0</v>
          </cell>
        </row>
        <row r="482">
          <cell r="AF482">
            <v>0</v>
          </cell>
        </row>
        <row r="483">
          <cell r="AF483">
            <v>0</v>
          </cell>
        </row>
        <row r="484">
          <cell r="AF484">
            <v>0</v>
          </cell>
        </row>
        <row r="485">
          <cell r="AF485">
            <v>0</v>
          </cell>
        </row>
        <row r="486">
          <cell r="AF486">
            <v>0</v>
          </cell>
        </row>
        <row r="487">
          <cell r="AF487">
            <v>0</v>
          </cell>
        </row>
        <row r="488">
          <cell r="AF488">
            <v>0</v>
          </cell>
        </row>
        <row r="489">
          <cell r="AF489">
            <v>0</v>
          </cell>
        </row>
        <row r="490">
          <cell r="AF490">
            <v>0</v>
          </cell>
        </row>
        <row r="491">
          <cell r="AF491">
            <v>0</v>
          </cell>
        </row>
        <row r="492">
          <cell r="AF492">
            <v>0</v>
          </cell>
        </row>
        <row r="493">
          <cell r="AF493">
            <v>0</v>
          </cell>
        </row>
        <row r="494">
          <cell r="AF494">
            <v>0</v>
          </cell>
        </row>
        <row r="495">
          <cell r="AF495">
            <v>0</v>
          </cell>
        </row>
        <row r="496">
          <cell r="AF496">
            <v>0</v>
          </cell>
        </row>
        <row r="497">
          <cell r="AF497">
            <v>0</v>
          </cell>
        </row>
        <row r="498">
          <cell r="AF498">
            <v>0</v>
          </cell>
        </row>
        <row r="499">
          <cell r="AF499">
            <v>0</v>
          </cell>
        </row>
        <row r="500">
          <cell r="AF500">
            <v>0</v>
          </cell>
        </row>
        <row r="501">
          <cell r="AF501">
            <v>0</v>
          </cell>
        </row>
        <row r="502">
          <cell r="AF502">
            <v>0</v>
          </cell>
        </row>
        <row r="503">
          <cell r="AF503">
            <v>0</v>
          </cell>
        </row>
        <row r="504">
          <cell r="AF504">
            <v>0</v>
          </cell>
        </row>
        <row r="505">
          <cell r="AF505">
            <v>0</v>
          </cell>
        </row>
        <row r="506">
          <cell r="AF506">
            <v>0</v>
          </cell>
        </row>
        <row r="507">
          <cell r="AF507">
            <v>0</v>
          </cell>
        </row>
        <row r="508">
          <cell r="AF508">
            <v>0</v>
          </cell>
        </row>
        <row r="509">
          <cell r="AF509">
            <v>0</v>
          </cell>
        </row>
        <row r="510">
          <cell r="AF510">
            <v>0</v>
          </cell>
        </row>
        <row r="511">
          <cell r="AF511">
            <v>0</v>
          </cell>
        </row>
        <row r="512">
          <cell r="AF512">
            <v>0</v>
          </cell>
        </row>
        <row r="513">
          <cell r="AF513">
            <v>0</v>
          </cell>
        </row>
        <row r="514">
          <cell r="AF514">
            <v>0</v>
          </cell>
        </row>
        <row r="515">
          <cell r="AF515">
            <v>0</v>
          </cell>
        </row>
        <row r="516">
          <cell r="AF516">
            <v>0</v>
          </cell>
        </row>
        <row r="517">
          <cell r="AF517">
            <v>0</v>
          </cell>
        </row>
        <row r="518">
          <cell r="AF518">
            <v>0</v>
          </cell>
        </row>
        <row r="519">
          <cell r="AF519">
            <v>0</v>
          </cell>
        </row>
        <row r="520">
          <cell r="AF520">
            <v>0</v>
          </cell>
        </row>
        <row r="521">
          <cell r="AF521">
            <v>0</v>
          </cell>
        </row>
        <row r="522">
          <cell r="AF522">
            <v>0</v>
          </cell>
        </row>
        <row r="523">
          <cell r="AF523">
            <v>0</v>
          </cell>
        </row>
        <row r="524">
          <cell r="AF524">
            <v>0</v>
          </cell>
        </row>
        <row r="525">
          <cell r="AF525">
            <v>0</v>
          </cell>
        </row>
        <row r="526">
          <cell r="AF526">
            <v>0</v>
          </cell>
        </row>
        <row r="527">
          <cell r="AF527">
            <v>0</v>
          </cell>
        </row>
        <row r="528">
          <cell r="AF528">
            <v>0</v>
          </cell>
        </row>
        <row r="529">
          <cell r="AF529">
            <v>0</v>
          </cell>
        </row>
        <row r="530">
          <cell r="AF530">
            <v>0</v>
          </cell>
        </row>
        <row r="531">
          <cell r="AF531">
            <v>0</v>
          </cell>
        </row>
        <row r="532">
          <cell r="AF532">
            <v>0</v>
          </cell>
        </row>
        <row r="533">
          <cell r="AF533">
            <v>0</v>
          </cell>
        </row>
        <row r="534">
          <cell r="AF534">
            <v>0</v>
          </cell>
        </row>
        <row r="535">
          <cell r="AF535">
            <v>0</v>
          </cell>
        </row>
        <row r="536">
          <cell r="AF536">
            <v>0</v>
          </cell>
        </row>
        <row r="537">
          <cell r="AF537">
            <v>0</v>
          </cell>
        </row>
        <row r="538">
          <cell r="AF538">
            <v>0</v>
          </cell>
        </row>
        <row r="539">
          <cell r="AF539">
            <v>0</v>
          </cell>
        </row>
        <row r="540">
          <cell r="AF540">
            <v>0</v>
          </cell>
        </row>
        <row r="541">
          <cell r="AF541">
            <v>0</v>
          </cell>
        </row>
        <row r="542">
          <cell r="AF542">
            <v>0</v>
          </cell>
        </row>
        <row r="543">
          <cell r="AF543">
            <v>0</v>
          </cell>
        </row>
        <row r="544">
          <cell r="AF544">
            <v>0</v>
          </cell>
        </row>
        <row r="545">
          <cell r="AF545">
            <v>0</v>
          </cell>
        </row>
        <row r="546">
          <cell r="AF546">
            <v>0</v>
          </cell>
        </row>
        <row r="547">
          <cell r="AF547">
            <v>0</v>
          </cell>
        </row>
        <row r="548">
          <cell r="AF548">
            <v>0</v>
          </cell>
        </row>
        <row r="549">
          <cell r="AF549">
            <v>0</v>
          </cell>
        </row>
        <row r="550">
          <cell r="AF550">
            <v>0</v>
          </cell>
        </row>
        <row r="551">
          <cell r="AF551">
            <v>0</v>
          </cell>
        </row>
        <row r="552">
          <cell r="AF552">
            <v>0</v>
          </cell>
        </row>
        <row r="553">
          <cell r="AF553">
            <v>0</v>
          </cell>
        </row>
        <row r="554">
          <cell r="AF554">
            <v>0</v>
          </cell>
        </row>
        <row r="555">
          <cell r="AF555">
            <v>0</v>
          </cell>
        </row>
        <row r="556">
          <cell r="AF556">
            <v>0</v>
          </cell>
        </row>
        <row r="557">
          <cell r="AF557">
            <v>0</v>
          </cell>
        </row>
        <row r="558">
          <cell r="AF558">
            <v>0</v>
          </cell>
        </row>
        <row r="559">
          <cell r="AF559">
            <v>0</v>
          </cell>
        </row>
        <row r="560">
          <cell r="AF560">
            <v>0</v>
          </cell>
        </row>
        <row r="561">
          <cell r="AF561">
            <v>0</v>
          </cell>
        </row>
        <row r="562">
          <cell r="AF562">
            <v>0</v>
          </cell>
        </row>
        <row r="563">
          <cell r="AF563">
            <v>0</v>
          </cell>
        </row>
        <row r="564">
          <cell r="AF564">
            <v>0</v>
          </cell>
        </row>
        <row r="565">
          <cell r="AF565">
            <v>0</v>
          </cell>
        </row>
        <row r="566">
          <cell r="AF566">
            <v>0</v>
          </cell>
        </row>
        <row r="567">
          <cell r="AF567">
            <v>0</v>
          </cell>
        </row>
        <row r="568">
          <cell r="AF568">
            <v>0</v>
          </cell>
        </row>
        <row r="569">
          <cell r="AF569">
            <v>0</v>
          </cell>
        </row>
        <row r="570">
          <cell r="AF570">
            <v>0</v>
          </cell>
        </row>
        <row r="571">
          <cell r="AF571">
            <v>0</v>
          </cell>
        </row>
        <row r="572">
          <cell r="AF572">
            <v>0</v>
          </cell>
        </row>
        <row r="573">
          <cell r="AF573">
            <v>0</v>
          </cell>
        </row>
        <row r="574">
          <cell r="AF574">
            <v>0</v>
          </cell>
        </row>
        <row r="575">
          <cell r="AF575">
            <v>0</v>
          </cell>
        </row>
        <row r="576">
          <cell r="AF576">
            <v>0</v>
          </cell>
        </row>
        <row r="577">
          <cell r="AF577">
            <v>0</v>
          </cell>
        </row>
        <row r="578">
          <cell r="AF578">
            <v>0</v>
          </cell>
        </row>
        <row r="579">
          <cell r="AF579">
            <v>0</v>
          </cell>
        </row>
        <row r="580">
          <cell r="AF580">
            <v>0</v>
          </cell>
        </row>
        <row r="581">
          <cell r="AF581">
            <v>0</v>
          </cell>
        </row>
        <row r="582">
          <cell r="AF582">
            <v>0</v>
          </cell>
        </row>
        <row r="583">
          <cell r="AF583">
            <v>0</v>
          </cell>
        </row>
        <row r="584">
          <cell r="AF584">
            <v>0</v>
          </cell>
        </row>
        <row r="585">
          <cell r="AF585">
            <v>0</v>
          </cell>
        </row>
        <row r="586">
          <cell r="AF586">
            <v>0</v>
          </cell>
        </row>
        <row r="587">
          <cell r="AF587">
            <v>0</v>
          </cell>
        </row>
        <row r="588">
          <cell r="AF588">
            <v>0</v>
          </cell>
        </row>
        <row r="589">
          <cell r="AF589">
            <v>0</v>
          </cell>
        </row>
        <row r="590">
          <cell r="AF590">
            <v>0</v>
          </cell>
        </row>
        <row r="591">
          <cell r="AF591">
            <v>0</v>
          </cell>
        </row>
        <row r="592">
          <cell r="AF592">
            <v>0</v>
          </cell>
        </row>
        <row r="593">
          <cell r="AF593">
            <v>0</v>
          </cell>
        </row>
        <row r="594">
          <cell r="AF594">
            <v>0</v>
          </cell>
        </row>
        <row r="595">
          <cell r="AF595">
            <v>0</v>
          </cell>
        </row>
        <row r="596">
          <cell r="AF596">
            <v>0</v>
          </cell>
        </row>
        <row r="597">
          <cell r="AF597">
            <v>0</v>
          </cell>
        </row>
        <row r="598">
          <cell r="AF598">
            <v>0</v>
          </cell>
        </row>
        <row r="599">
          <cell r="AF599">
            <v>0</v>
          </cell>
        </row>
        <row r="600">
          <cell r="AF600">
            <v>0</v>
          </cell>
        </row>
        <row r="601">
          <cell r="AF601">
            <v>0</v>
          </cell>
        </row>
        <row r="602">
          <cell r="AF602">
            <v>0</v>
          </cell>
        </row>
        <row r="603">
          <cell r="AF603">
            <v>0</v>
          </cell>
        </row>
        <row r="604">
          <cell r="AF604">
            <v>0</v>
          </cell>
        </row>
        <row r="605">
          <cell r="AF605">
            <v>0</v>
          </cell>
        </row>
        <row r="606">
          <cell r="AF606">
            <v>0</v>
          </cell>
        </row>
        <row r="607">
          <cell r="AF607">
            <v>0</v>
          </cell>
        </row>
        <row r="608">
          <cell r="AF608">
            <v>0</v>
          </cell>
        </row>
        <row r="609">
          <cell r="AF609">
            <v>0</v>
          </cell>
        </row>
        <row r="610">
          <cell r="AF610">
            <v>0</v>
          </cell>
        </row>
        <row r="611">
          <cell r="AF611">
            <v>0</v>
          </cell>
        </row>
        <row r="612">
          <cell r="AF612">
            <v>0</v>
          </cell>
        </row>
        <row r="613">
          <cell r="AF613">
            <v>0</v>
          </cell>
        </row>
        <row r="614">
          <cell r="AF614">
            <v>0</v>
          </cell>
        </row>
        <row r="615">
          <cell r="AF615">
            <v>0</v>
          </cell>
        </row>
        <row r="616">
          <cell r="AF616">
            <v>0</v>
          </cell>
        </row>
        <row r="617">
          <cell r="AF617">
            <v>0</v>
          </cell>
        </row>
        <row r="618">
          <cell r="AF618">
            <v>0</v>
          </cell>
        </row>
        <row r="619">
          <cell r="AF619">
            <v>0</v>
          </cell>
        </row>
        <row r="620">
          <cell r="AF620">
            <v>0</v>
          </cell>
        </row>
        <row r="621">
          <cell r="AF621">
            <v>0</v>
          </cell>
        </row>
        <row r="622">
          <cell r="AF622">
            <v>0</v>
          </cell>
        </row>
        <row r="623">
          <cell r="AF623">
            <v>0</v>
          </cell>
        </row>
        <row r="624">
          <cell r="AF624">
            <v>0</v>
          </cell>
        </row>
        <row r="625">
          <cell r="AF625">
            <v>0</v>
          </cell>
        </row>
        <row r="626">
          <cell r="AF626">
            <v>0</v>
          </cell>
        </row>
        <row r="627">
          <cell r="AF627">
            <v>0</v>
          </cell>
        </row>
        <row r="628">
          <cell r="AF628">
            <v>0</v>
          </cell>
        </row>
        <row r="629">
          <cell r="AF629">
            <v>0</v>
          </cell>
        </row>
        <row r="630">
          <cell r="AF630">
            <v>0</v>
          </cell>
        </row>
        <row r="631">
          <cell r="AF631">
            <v>0</v>
          </cell>
        </row>
        <row r="632">
          <cell r="AF632">
            <v>0</v>
          </cell>
        </row>
        <row r="633">
          <cell r="AF633">
            <v>0</v>
          </cell>
        </row>
        <row r="634">
          <cell r="AF634">
            <v>0</v>
          </cell>
        </row>
        <row r="635">
          <cell r="AF635">
            <v>0</v>
          </cell>
        </row>
        <row r="636">
          <cell r="AF636">
            <v>0</v>
          </cell>
        </row>
        <row r="637">
          <cell r="AF637">
            <v>0</v>
          </cell>
        </row>
        <row r="638">
          <cell r="AF638">
            <v>0</v>
          </cell>
        </row>
        <row r="639">
          <cell r="AF639">
            <v>0</v>
          </cell>
        </row>
        <row r="640">
          <cell r="AF640">
            <v>0</v>
          </cell>
        </row>
        <row r="641">
          <cell r="AF641">
            <v>0</v>
          </cell>
        </row>
        <row r="642">
          <cell r="AF642">
            <v>0</v>
          </cell>
        </row>
        <row r="643">
          <cell r="AF643">
            <v>0</v>
          </cell>
        </row>
        <row r="644">
          <cell r="AF644">
            <v>0</v>
          </cell>
        </row>
        <row r="645">
          <cell r="AF645">
            <v>0</v>
          </cell>
        </row>
        <row r="646">
          <cell r="AF646">
            <v>0</v>
          </cell>
        </row>
        <row r="647">
          <cell r="AF647">
            <v>0</v>
          </cell>
        </row>
        <row r="648">
          <cell r="AF648">
            <v>0</v>
          </cell>
        </row>
        <row r="649">
          <cell r="AF649">
            <v>0</v>
          </cell>
        </row>
        <row r="650">
          <cell r="AF650">
            <v>0</v>
          </cell>
        </row>
        <row r="651">
          <cell r="AF651">
            <v>0</v>
          </cell>
        </row>
        <row r="652">
          <cell r="AF652">
            <v>0</v>
          </cell>
        </row>
        <row r="653">
          <cell r="AF653">
            <v>0</v>
          </cell>
        </row>
        <row r="654">
          <cell r="AF654">
            <v>0</v>
          </cell>
        </row>
        <row r="655">
          <cell r="AF655">
            <v>0</v>
          </cell>
        </row>
        <row r="656">
          <cell r="AF656">
            <v>0</v>
          </cell>
        </row>
        <row r="657">
          <cell r="AF657">
            <v>0</v>
          </cell>
        </row>
        <row r="658">
          <cell r="AF658">
            <v>0</v>
          </cell>
        </row>
        <row r="659">
          <cell r="AF659">
            <v>0</v>
          </cell>
        </row>
        <row r="660">
          <cell r="AF660">
            <v>0</v>
          </cell>
        </row>
        <row r="661">
          <cell r="AF661">
            <v>0</v>
          </cell>
        </row>
        <row r="662">
          <cell r="AF662">
            <v>0</v>
          </cell>
        </row>
        <row r="663">
          <cell r="AF663">
            <v>0</v>
          </cell>
        </row>
        <row r="664">
          <cell r="AF664">
            <v>0</v>
          </cell>
        </row>
        <row r="665">
          <cell r="AF665">
            <v>0</v>
          </cell>
        </row>
        <row r="666">
          <cell r="AF666">
            <v>0</v>
          </cell>
        </row>
        <row r="667">
          <cell r="AF667">
            <v>0</v>
          </cell>
        </row>
        <row r="668">
          <cell r="AF668">
            <v>0</v>
          </cell>
        </row>
        <row r="669">
          <cell r="AF669">
            <v>0</v>
          </cell>
        </row>
        <row r="670">
          <cell r="AF670">
            <v>0</v>
          </cell>
        </row>
        <row r="671">
          <cell r="AF671">
            <v>0</v>
          </cell>
        </row>
        <row r="672">
          <cell r="AF672">
            <v>0</v>
          </cell>
        </row>
        <row r="673">
          <cell r="AF673">
            <v>0</v>
          </cell>
        </row>
        <row r="674">
          <cell r="AF674">
            <v>0</v>
          </cell>
        </row>
        <row r="675">
          <cell r="AF675">
            <v>0</v>
          </cell>
        </row>
        <row r="676">
          <cell r="AF676">
            <v>0</v>
          </cell>
        </row>
        <row r="677">
          <cell r="AF677">
            <v>0</v>
          </cell>
        </row>
        <row r="678">
          <cell r="AF678">
            <v>0</v>
          </cell>
        </row>
        <row r="679">
          <cell r="AF679">
            <v>0</v>
          </cell>
        </row>
        <row r="680">
          <cell r="AF680">
            <v>0</v>
          </cell>
        </row>
        <row r="681">
          <cell r="AF681">
            <v>0</v>
          </cell>
        </row>
        <row r="682">
          <cell r="AF682">
            <v>0</v>
          </cell>
        </row>
        <row r="683">
          <cell r="AF683">
            <v>0</v>
          </cell>
        </row>
        <row r="684">
          <cell r="AF684">
            <v>0</v>
          </cell>
        </row>
        <row r="685">
          <cell r="AF685">
            <v>0</v>
          </cell>
        </row>
        <row r="686">
          <cell r="AF686">
            <v>0</v>
          </cell>
        </row>
        <row r="687">
          <cell r="AF687">
            <v>0</v>
          </cell>
        </row>
        <row r="688">
          <cell r="AF688">
            <v>0</v>
          </cell>
        </row>
        <row r="689">
          <cell r="AF689">
            <v>0</v>
          </cell>
        </row>
        <row r="690">
          <cell r="AF690">
            <v>0</v>
          </cell>
        </row>
        <row r="691">
          <cell r="AF691">
            <v>0</v>
          </cell>
        </row>
        <row r="692">
          <cell r="AF692">
            <v>0</v>
          </cell>
        </row>
        <row r="693">
          <cell r="AF693">
            <v>0</v>
          </cell>
        </row>
        <row r="694">
          <cell r="AF694">
            <v>0</v>
          </cell>
        </row>
        <row r="695">
          <cell r="AF695">
            <v>0</v>
          </cell>
        </row>
        <row r="696">
          <cell r="AF696">
            <v>0</v>
          </cell>
        </row>
        <row r="697">
          <cell r="AF697">
            <v>0</v>
          </cell>
        </row>
        <row r="698">
          <cell r="AF698">
            <v>0</v>
          </cell>
        </row>
        <row r="699">
          <cell r="AF699">
            <v>0</v>
          </cell>
        </row>
        <row r="700">
          <cell r="AF700">
            <v>0</v>
          </cell>
        </row>
        <row r="701">
          <cell r="AF701">
            <v>0</v>
          </cell>
        </row>
        <row r="702">
          <cell r="AF702">
            <v>0</v>
          </cell>
        </row>
        <row r="703">
          <cell r="AF703">
            <v>0</v>
          </cell>
        </row>
        <row r="704">
          <cell r="AF704">
            <v>0</v>
          </cell>
        </row>
        <row r="705">
          <cell r="AF705">
            <v>0</v>
          </cell>
        </row>
        <row r="706">
          <cell r="AF706">
            <v>0</v>
          </cell>
        </row>
        <row r="707">
          <cell r="AF707">
            <v>0</v>
          </cell>
        </row>
        <row r="708">
          <cell r="AF708">
            <v>0</v>
          </cell>
        </row>
        <row r="709">
          <cell r="AF709">
            <v>0</v>
          </cell>
        </row>
        <row r="710">
          <cell r="AF710">
            <v>0</v>
          </cell>
        </row>
        <row r="711">
          <cell r="AF711">
            <v>0</v>
          </cell>
        </row>
        <row r="712">
          <cell r="AF712">
            <v>0</v>
          </cell>
        </row>
        <row r="713">
          <cell r="AF713">
            <v>0</v>
          </cell>
        </row>
        <row r="714">
          <cell r="AF714">
            <v>0</v>
          </cell>
        </row>
        <row r="715">
          <cell r="AF715">
            <v>0</v>
          </cell>
        </row>
        <row r="716">
          <cell r="AF716">
            <v>0</v>
          </cell>
        </row>
        <row r="717">
          <cell r="AF717">
            <v>0</v>
          </cell>
        </row>
        <row r="718">
          <cell r="AF718">
            <v>0</v>
          </cell>
        </row>
        <row r="719">
          <cell r="AF719">
            <v>0</v>
          </cell>
        </row>
        <row r="720">
          <cell r="AF720">
            <v>0</v>
          </cell>
        </row>
        <row r="721">
          <cell r="AF721">
            <v>0</v>
          </cell>
        </row>
        <row r="722">
          <cell r="AF722">
            <v>0</v>
          </cell>
        </row>
        <row r="723">
          <cell r="AF723">
            <v>0</v>
          </cell>
        </row>
        <row r="724">
          <cell r="AF724">
            <v>0</v>
          </cell>
        </row>
        <row r="725">
          <cell r="AF725">
            <v>0</v>
          </cell>
        </row>
        <row r="726">
          <cell r="AF726">
            <v>0</v>
          </cell>
        </row>
        <row r="727">
          <cell r="AF727">
            <v>0</v>
          </cell>
        </row>
        <row r="728">
          <cell r="AF728">
            <v>0</v>
          </cell>
        </row>
        <row r="729">
          <cell r="AF729">
            <v>0</v>
          </cell>
        </row>
        <row r="730">
          <cell r="AF730">
            <v>0</v>
          </cell>
        </row>
        <row r="731">
          <cell r="AF731">
            <v>0</v>
          </cell>
        </row>
        <row r="732">
          <cell r="AF732">
            <v>0</v>
          </cell>
        </row>
        <row r="733">
          <cell r="AF733">
            <v>0</v>
          </cell>
        </row>
        <row r="734">
          <cell r="AF734">
            <v>0</v>
          </cell>
        </row>
        <row r="735">
          <cell r="AF735">
            <v>0</v>
          </cell>
        </row>
        <row r="736">
          <cell r="AF736">
            <v>0</v>
          </cell>
        </row>
        <row r="737">
          <cell r="AF737">
            <v>0</v>
          </cell>
        </row>
        <row r="738">
          <cell r="AF738">
            <v>0</v>
          </cell>
        </row>
        <row r="739">
          <cell r="AF739">
            <v>0</v>
          </cell>
        </row>
        <row r="740">
          <cell r="AF740">
            <v>0</v>
          </cell>
        </row>
        <row r="741">
          <cell r="AF741">
            <v>0</v>
          </cell>
        </row>
        <row r="742">
          <cell r="AF742">
            <v>0</v>
          </cell>
        </row>
        <row r="743">
          <cell r="AF743">
            <v>0</v>
          </cell>
        </row>
        <row r="744">
          <cell r="AF744">
            <v>0</v>
          </cell>
        </row>
        <row r="745">
          <cell r="AF745">
            <v>0</v>
          </cell>
        </row>
        <row r="746">
          <cell r="AF746">
            <v>0</v>
          </cell>
        </row>
        <row r="747">
          <cell r="AF747">
            <v>0</v>
          </cell>
        </row>
        <row r="748">
          <cell r="AF748">
            <v>0</v>
          </cell>
        </row>
        <row r="749">
          <cell r="AF749">
            <v>0</v>
          </cell>
        </row>
        <row r="750">
          <cell r="AF750">
            <v>0</v>
          </cell>
        </row>
        <row r="751">
          <cell r="AF751">
            <v>0</v>
          </cell>
        </row>
        <row r="752">
          <cell r="AF752">
            <v>0</v>
          </cell>
        </row>
        <row r="753">
          <cell r="AF753">
            <v>0</v>
          </cell>
        </row>
        <row r="754">
          <cell r="AF754">
            <v>0</v>
          </cell>
        </row>
        <row r="755">
          <cell r="AF755">
            <v>0</v>
          </cell>
        </row>
        <row r="756">
          <cell r="AF756">
            <v>0</v>
          </cell>
        </row>
        <row r="757">
          <cell r="AF757">
            <v>0</v>
          </cell>
        </row>
        <row r="758">
          <cell r="AF758">
            <v>0</v>
          </cell>
        </row>
        <row r="759">
          <cell r="AF759">
            <v>0</v>
          </cell>
        </row>
        <row r="760">
          <cell r="AF760">
            <v>0</v>
          </cell>
        </row>
        <row r="761">
          <cell r="AF761">
            <v>0</v>
          </cell>
        </row>
        <row r="762">
          <cell r="AF762">
            <v>0</v>
          </cell>
        </row>
        <row r="763">
          <cell r="AF763">
            <v>0</v>
          </cell>
        </row>
        <row r="764">
          <cell r="AF764">
            <v>0</v>
          </cell>
        </row>
        <row r="765">
          <cell r="AF765">
            <v>0</v>
          </cell>
        </row>
        <row r="766">
          <cell r="AF766">
            <v>0</v>
          </cell>
        </row>
        <row r="767">
          <cell r="AF767">
            <v>0</v>
          </cell>
        </row>
        <row r="768">
          <cell r="AF768">
            <v>0</v>
          </cell>
        </row>
        <row r="769">
          <cell r="AF769">
            <v>0</v>
          </cell>
        </row>
        <row r="770">
          <cell r="AF770">
            <v>0</v>
          </cell>
        </row>
        <row r="771">
          <cell r="AF771">
            <v>0</v>
          </cell>
        </row>
        <row r="772">
          <cell r="AF772">
            <v>0</v>
          </cell>
        </row>
        <row r="773">
          <cell r="AF773">
            <v>0</v>
          </cell>
        </row>
        <row r="774">
          <cell r="AF774">
            <v>0</v>
          </cell>
        </row>
        <row r="775">
          <cell r="AF775">
            <v>0</v>
          </cell>
        </row>
        <row r="776">
          <cell r="AF776">
            <v>0</v>
          </cell>
        </row>
        <row r="777">
          <cell r="AF777">
            <v>0</v>
          </cell>
        </row>
        <row r="778">
          <cell r="AF778">
            <v>0</v>
          </cell>
        </row>
        <row r="779">
          <cell r="AF779">
            <v>0</v>
          </cell>
        </row>
        <row r="780">
          <cell r="AF780">
            <v>0</v>
          </cell>
        </row>
        <row r="781">
          <cell r="AF781">
            <v>0</v>
          </cell>
        </row>
        <row r="782">
          <cell r="AF782">
            <v>0</v>
          </cell>
        </row>
        <row r="783">
          <cell r="AF783">
            <v>0</v>
          </cell>
        </row>
        <row r="784">
          <cell r="AF784">
            <v>0</v>
          </cell>
        </row>
        <row r="785">
          <cell r="AF785">
            <v>0</v>
          </cell>
        </row>
        <row r="786">
          <cell r="AF786">
            <v>0</v>
          </cell>
        </row>
        <row r="787">
          <cell r="AF787">
            <v>0</v>
          </cell>
        </row>
        <row r="788">
          <cell r="AF788">
            <v>0</v>
          </cell>
        </row>
        <row r="789">
          <cell r="AF789">
            <v>0</v>
          </cell>
        </row>
        <row r="790">
          <cell r="AF790">
            <v>0</v>
          </cell>
        </row>
        <row r="791">
          <cell r="AF791">
            <v>0</v>
          </cell>
        </row>
        <row r="792">
          <cell r="AF792">
            <v>0</v>
          </cell>
        </row>
        <row r="793">
          <cell r="AF793">
            <v>0</v>
          </cell>
        </row>
        <row r="794">
          <cell r="AF794">
            <v>0</v>
          </cell>
        </row>
        <row r="795">
          <cell r="AF795">
            <v>0</v>
          </cell>
        </row>
        <row r="796">
          <cell r="AF796">
            <v>0</v>
          </cell>
        </row>
        <row r="797">
          <cell r="AF797">
            <v>0</v>
          </cell>
        </row>
        <row r="798">
          <cell r="AF798">
            <v>0</v>
          </cell>
        </row>
        <row r="799">
          <cell r="AF799">
            <v>0</v>
          </cell>
        </row>
        <row r="800">
          <cell r="AF800">
            <v>0</v>
          </cell>
        </row>
        <row r="801">
          <cell r="AF801">
            <v>0</v>
          </cell>
        </row>
        <row r="802">
          <cell r="AF802">
            <v>0</v>
          </cell>
        </row>
        <row r="803">
          <cell r="AF803">
            <v>0</v>
          </cell>
        </row>
        <row r="804">
          <cell r="AF804">
            <v>0</v>
          </cell>
        </row>
        <row r="805">
          <cell r="AF805">
            <v>0</v>
          </cell>
        </row>
        <row r="806">
          <cell r="AF806">
            <v>0</v>
          </cell>
        </row>
        <row r="807">
          <cell r="AF807">
            <v>0</v>
          </cell>
        </row>
        <row r="808">
          <cell r="AF808">
            <v>0</v>
          </cell>
        </row>
        <row r="809">
          <cell r="AF809">
            <v>0</v>
          </cell>
        </row>
        <row r="810">
          <cell r="AF810">
            <v>0</v>
          </cell>
        </row>
        <row r="811">
          <cell r="AF811">
            <v>0</v>
          </cell>
        </row>
        <row r="812">
          <cell r="AF812">
            <v>0</v>
          </cell>
        </row>
        <row r="813">
          <cell r="AF813">
            <v>0</v>
          </cell>
        </row>
      </sheetData>
      <sheetData sheetId="1">
        <row r="4">
          <cell r="B4" t="str">
            <v>قالب خشاب زنی</v>
          </cell>
          <cell r="C4" t="str">
            <v>قطعه تعمیری</v>
          </cell>
          <cell r="AF4">
            <v>4.7333333333333334</v>
          </cell>
        </row>
        <row r="5">
          <cell r="B5" t="str">
            <v>پخت کلاچ پژو 206 TU5</v>
          </cell>
          <cell r="C5" t="str">
            <v>قالب تعمیری</v>
          </cell>
          <cell r="AF5">
            <v>8</v>
          </cell>
        </row>
        <row r="6">
          <cell r="B6" t="str">
            <v>پخت کلاچ پراید</v>
          </cell>
          <cell r="C6" t="str">
            <v>قالب تعمیری</v>
          </cell>
          <cell r="AF6">
            <v>11</v>
          </cell>
        </row>
        <row r="7">
          <cell r="B7" t="str">
            <v>قالب پخت کلاچ پیکان</v>
          </cell>
          <cell r="C7" t="str">
            <v>قالب تعمیری</v>
          </cell>
          <cell r="AF7">
            <v>7.5</v>
          </cell>
        </row>
        <row r="8">
          <cell r="B8" t="str">
            <v>دستگاه پشم فلز چینی</v>
          </cell>
          <cell r="C8" t="str">
            <v>قطعه نو</v>
          </cell>
          <cell r="AF8">
            <v>1</v>
          </cell>
        </row>
        <row r="9">
          <cell r="B9" t="str">
            <v>دستگاه پرس 600 تن</v>
          </cell>
          <cell r="C9" t="str">
            <v>قطعه تعمیری</v>
          </cell>
          <cell r="AF9">
            <v>9</v>
          </cell>
        </row>
        <row r="10">
          <cell r="B10" t="str">
            <v>دستگاه پشم فلز چینی</v>
          </cell>
          <cell r="C10" t="str">
            <v>قطعه نو</v>
          </cell>
          <cell r="AF10">
            <v>1</v>
          </cell>
        </row>
        <row r="11">
          <cell r="B11" t="str">
            <v>دستگاه پشم فلز آلمانی</v>
          </cell>
          <cell r="C11" t="str">
            <v>قطعه نو</v>
          </cell>
          <cell r="AF11">
            <v>10</v>
          </cell>
        </row>
        <row r="12">
          <cell r="B12" t="str">
            <v>قالب پراید خاردار</v>
          </cell>
          <cell r="C12" t="str">
            <v>قالب تعمیری</v>
          </cell>
          <cell r="AF12">
            <v>6</v>
          </cell>
        </row>
        <row r="13">
          <cell r="B13" t="str">
            <v>دستگاه پشم فلز آلمانی</v>
          </cell>
          <cell r="C13" t="str">
            <v>قطعه نو</v>
          </cell>
          <cell r="AF13">
            <v>2</v>
          </cell>
        </row>
        <row r="14">
          <cell r="B14" t="str">
            <v>قالب پراید خاردار</v>
          </cell>
          <cell r="C14" t="str">
            <v>قالب تعمیری</v>
          </cell>
          <cell r="AF14">
            <v>8</v>
          </cell>
        </row>
        <row r="15">
          <cell r="B15" t="str">
            <v>دستگاه پشم فلز چینی</v>
          </cell>
          <cell r="C15" t="str">
            <v>قطعه نو</v>
          </cell>
          <cell r="AF15">
            <v>12</v>
          </cell>
        </row>
        <row r="16">
          <cell r="B16" t="str">
            <v>دستگاه پشم فلز چینی</v>
          </cell>
          <cell r="C16" t="str">
            <v>قطعه نو</v>
          </cell>
          <cell r="AF16">
            <v>4</v>
          </cell>
        </row>
        <row r="17">
          <cell r="B17" t="str">
            <v>دستگاه ساب جدید</v>
          </cell>
          <cell r="C17" t="str">
            <v>قطعه نو</v>
          </cell>
          <cell r="AF17">
            <v>4</v>
          </cell>
        </row>
        <row r="18">
          <cell r="B18" t="str">
            <v>دستگاه ساب جدید</v>
          </cell>
          <cell r="C18" t="str">
            <v>قطعه نو</v>
          </cell>
          <cell r="AF18">
            <v>3.5</v>
          </cell>
        </row>
        <row r="19">
          <cell r="B19" t="str">
            <v>دستگاه پشم فلز آلمانی</v>
          </cell>
          <cell r="C19" t="str">
            <v>قطعه نو</v>
          </cell>
          <cell r="AF19">
            <v>2.5</v>
          </cell>
        </row>
        <row r="20">
          <cell r="B20" t="str">
            <v xml:space="preserve">دستگاه مهر زنی </v>
          </cell>
          <cell r="C20" t="str">
            <v>قطعه نو</v>
          </cell>
          <cell r="AF20">
            <v>2</v>
          </cell>
        </row>
        <row r="21">
          <cell r="B21" t="str">
            <v>دستگاه پشم فلز آلمانی</v>
          </cell>
          <cell r="C21" t="str">
            <v>قطعه نو</v>
          </cell>
          <cell r="AF21">
            <v>2.5</v>
          </cell>
        </row>
        <row r="22">
          <cell r="B22" t="str">
            <v>قالب پخت کلاچ پیکان آرژانتینی</v>
          </cell>
          <cell r="C22" t="str">
            <v>قالب تعمیری</v>
          </cell>
          <cell r="AF22">
            <v>5.5</v>
          </cell>
        </row>
        <row r="23">
          <cell r="B23" t="str">
            <v>قالب پخت کلاچ پیکان</v>
          </cell>
          <cell r="C23" t="str">
            <v>قالب تعمیری</v>
          </cell>
          <cell r="AF23">
            <v>5.5</v>
          </cell>
        </row>
        <row r="24">
          <cell r="B24" t="str">
            <v>قالب پخت کلاچ پیکان</v>
          </cell>
          <cell r="C24" t="str">
            <v>قالب تعمیری</v>
          </cell>
          <cell r="AF24">
            <v>4</v>
          </cell>
        </row>
        <row r="25">
          <cell r="B25" t="str">
            <v>قالب پخت کلاچ پیکان</v>
          </cell>
          <cell r="C25" t="str">
            <v>قالب تعمیری</v>
          </cell>
          <cell r="AF25">
            <v>4</v>
          </cell>
        </row>
        <row r="26">
          <cell r="B26" t="str">
            <v>قالب خشاب زنی</v>
          </cell>
          <cell r="C26" t="str">
            <v>قطعه تعمیری</v>
          </cell>
          <cell r="AF26">
            <v>5.5</v>
          </cell>
        </row>
        <row r="27">
          <cell r="B27" t="str">
            <v>دستگاه پرس پخت</v>
          </cell>
          <cell r="C27" t="str">
            <v>قطعه تعمیری</v>
          </cell>
          <cell r="AF27">
            <v>4.916666666666667</v>
          </cell>
        </row>
        <row r="28">
          <cell r="B28" t="str">
            <v>پخت کلاچ پراید</v>
          </cell>
          <cell r="C28" t="str">
            <v>قالب تعمیری</v>
          </cell>
          <cell r="AF28">
            <v>2</v>
          </cell>
        </row>
        <row r="29">
          <cell r="B29" t="str">
            <v>قالب شیم پژو 405</v>
          </cell>
          <cell r="C29" t="str">
            <v>قالب تعمیری</v>
          </cell>
          <cell r="AF29">
            <v>1</v>
          </cell>
        </row>
        <row r="30">
          <cell r="B30" t="str">
            <v>پخت عقب پژو 405 شمشی پایه کوتاه</v>
          </cell>
          <cell r="C30" t="str">
            <v>قالب نو</v>
          </cell>
          <cell r="AF30">
            <v>8</v>
          </cell>
        </row>
        <row r="31">
          <cell r="B31" t="str">
            <v>دستگاه پشم فلز آلمانی</v>
          </cell>
          <cell r="C31" t="str">
            <v>قطعه نو</v>
          </cell>
          <cell r="AF31">
            <v>12</v>
          </cell>
        </row>
        <row r="32">
          <cell r="B32" t="str">
            <v>دستگاه پشم فلز آلمانی</v>
          </cell>
          <cell r="C32" t="str">
            <v>قطعه نو</v>
          </cell>
          <cell r="AF32">
            <v>12</v>
          </cell>
        </row>
        <row r="33">
          <cell r="B33" t="str">
            <v>قالب پراید خاردار</v>
          </cell>
          <cell r="C33" t="str">
            <v>قالب تعمیری</v>
          </cell>
          <cell r="AF33">
            <v>12</v>
          </cell>
        </row>
        <row r="34">
          <cell r="B34" t="str">
            <v>دستگاه پشم فلز چینی</v>
          </cell>
          <cell r="C34" t="str">
            <v>قطعه نو</v>
          </cell>
          <cell r="AF34">
            <v>12</v>
          </cell>
        </row>
        <row r="35">
          <cell r="B35" t="str">
            <v>دستگاه ساب جدید</v>
          </cell>
          <cell r="C35" t="str">
            <v>قطعه نو</v>
          </cell>
          <cell r="AF35">
            <v>2.5</v>
          </cell>
        </row>
        <row r="36">
          <cell r="B36" t="str">
            <v>ویوینگ</v>
          </cell>
          <cell r="C36" t="str">
            <v>قطعه نو</v>
          </cell>
          <cell r="AF36">
            <v>3</v>
          </cell>
        </row>
        <row r="37">
          <cell r="B37" t="str">
            <v>قالب شیم پژو 405</v>
          </cell>
          <cell r="C37" t="str">
            <v>قالب تعمیری</v>
          </cell>
          <cell r="AF37">
            <v>4</v>
          </cell>
        </row>
        <row r="38">
          <cell r="B38" t="str">
            <v>پخت کلاچ پژو 206 TU5</v>
          </cell>
          <cell r="C38" t="str">
            <v>قالب تعمیری</v>
          </cell>
          <cell r="AF38">
            <v>4</v>
          </cell>
        </row>
        <row r="39">
          <cell r="B39" t="str">
            <v>ابزار زنی</v>
          </cell>
          <cell r="C39" t="str">
            <v>قطعه نو</v>
          </cell>
          <cell r="AF39">
            <v>2</v>
          </cell>
        </row>
        <row r="40">
          <cell r="B40" t="str">
            <v>دستگاه ساب سمباده ای</v>
          </cell>
          <cell r="C40" t="str">
            <v>قطعه تعمیری</v>
          </cell>
          <cell r="AF40">
            <v>1</v>
          </cell>
        </row>
        <row r="41">
          <cell r="B41" t="str">
            <v>دستگاه پرس 600 تن</v>
          </cell>
          <cell r="C41" t="str">
            <v>قطعه نو</v>
          </cell>
          <cell r="AF41">
            <v>3</v>
          </cell>
        </row>
        <row r="42">
          <cell r="B42" t="str">
            <v>دستگاه سوراخکاری کلاچ</v>
          </cell>
          <cell r="C42" t="str">
            <v>قطعه تعمیری</v>
          </cell>
          <cell r="AF42">
            <v>2</v>
          </cell>
        </row>
        <row r="43">
          <cell r="B43" t="str">
            <v>قالب پخت کلاچ پیکان</v>
          </cell>
          <cell r="C43" t="str">
            <v>قالب تعمیری</v>
          </cell>
          <cell r="AF43">
            <v>2</v>
          </cell>
        </row>
        <row r="44">
          <cell r="B44" t="str">
            <v>پخت کلاچ پژو 206 TU5</v>
          </cell>
          <cell r="C44" t="str">
            <v>قالب تعمیری</v>
          </cell>
          <cell r="AF44">
            <v>4</v>
          </cell>
        </row>
        <row r="45">
          <cell r="B45" t="str">
            <v>دستگاه ساب جدید</v>
          </cell>
          <cell r="C45" t="str">
            <v>قطعه نو</v>
          </cell>
          <cell r="AF45">
            <v>2</v>
          </cell>
        </row>
        <row r="46">
          <cell r="B46" t="str">
            <v>دستگاه پشم فلز آلمانی</v>
          </cell>
          <cell r="C46" t="str">
            <v>قطعه نو</v>
          </cell>
          <cell r="AF46">
            <v>1.5</v>
          </cell>
        </row>
        <row r="47">
          <cell r="B47" t="str">
            <v>قالب پخت کلاچ پیکان</v>
          </cell>
          <cell r="C47" t="str">
            <v>قالب تعمیری</v>
          </cell>
          <cell r="AF47">
            <v>7.5</v>
          </cell>
        </row>
        <row r="48">
          <cell r="B48" t="str">
            <v>قالب پخت کلاچ پژو 405</v>
          </cell>
          <cell r="C48" t="str">
            <v>قالب تعمیری</v>
          </cell>
          <cell r="AF48">
            <v>6.5</v>
          </cell>
        </row>
        <row r="49">
          <cell r="B49" t="str">
            <v>قالب پخت کلاچ پیکان</v>
          </cell>
          <cell r="C49" t="str">
            <v>قالب تعمیری</v>
          </cell>
          <cell r="AF49">
            <v>7.5</v>
          </cell>
        </row>
        <row r="50">
          <cell r="B50" t="str">
            <v>پخت کلاچ پراید</v>
          </cell>
          <cell r="C50" t="str">
            <v>قالب تعمیری</v>
          </cell>
          <cell r="AF50">
            <v>6.5</v>
          </cell>
        </row>
        <row r="51">
          <cell r="B51" t="str">
            <v>همزن مواد</v>
          </cell>
          <cell r="C51" t="str">
            <v>قطعه تعمیری</v>
          </cell>
          <cell r="AF51">
            <v>1</v>
          </cell>
        </row>
        <row r="52">
          <cell r="B52" t="str">
            <v>پخت عقب پژو 405 شمشی پایه کوتاه</v>
          </cell>
          <cell r="C52" t="str">
            <v>قالب نو</v>
          </cell>
          <cell r="AF52">
            <v>5.5</v>
          </cell>
        </row>
        <row r="53">
          <cell r="B53" t="str">
            <v>پخت کلاچ پراید</v>
          </cell>
          <cell r="C53" t="str">
            <v>قالب تعمیری</v>
          </cell>
          <cell r="AF53">
            <v>1</v>
          </cell>
        </row>
        <row r="54">
          <cell r="B54" t="str">
            <v>اصول 5S</v>
          </cell>
          <cell r="C54" t="str">
            <v>نظافت</v>
          </cell>
          <cell r="AF54">
            <v>1</v>
          </cell>
        </row>
        <row r="55">
          <cell r="B55" t="str">
            <v>دستگاه شیرینگ</v>
          </cell>
          <cell r="C55" t="str">
            <v>قطعه نو</v>
          </cell>
          <cell r="AF55">
            <v>3</v>
          </cell>
        </row>
        <row r="56">
          <cell r="B56" t="str">
            <v>ساب کونیک</v>
          </cell>
          <cell r="C56" t="str">
            <v>قطعه نو</v>
          </cell>
          <cell r="AF56">
            <v>3</v>
          </cell>
        </row>
        <row r="57">
          <cell r="B57" t="str">
            <v>اصول 5S</v>
          </cell>
          <cell r="C57" t="str">
            <v>نظافت</v>
          </cell>
          <cell r="AF57">
            <v>1</v>
          </cell>
        </row>
        <row r="58">
          <cell r="B58" t="str">
            <v>ویوینگ</v>
          </cell>
          <cell r="C58" t="str">
            <v>قطعه نو</v>
          </cell>
          <cell r="AF58">
            <v>4</v>
          </cell>
        </row>
        <row r="59">
          <cell r="B59" t="str">
            <v>دستگاه پشم فلز آلمانی</v>
          </cell>
          <cell r="C59" t="str">
            <v>قطعه نو</v>
          </cell>
          <cell r="AF59">
            <v>3</v>
          </cell>
        </row>
        <row r="60">
          <cell r="B60" t="str">
            <v>ساب کلاچ</v>
          </cell>
          <cell r="C60" t="str">
            <v>قطعه نو</v>
          </cell>
          <cell r="AF60">
            <v>5</v>
          </cell>
        </row>
        <row r="61">
          <cell r="B61" t="str">
            <v>ویوینگ</v>
          </cell>
          <cell r="C61" t="str">
            <v>قطعه تعمیری</v>
          </cell>
          <cell r="AF61">
            <v>8</v>
          </cell>
        </row>
        <row r="62">
          <cell r="B62" t="str">
            <v>قالب پراید خاردار</v>
          </cell>
          <cell r="C62" t="str">
            <v>قالب تعمیری</v>
          </cell>
          <cell r="AF62">
            <v>8</v>
          </cell>
        </row>
        <row r="63">
          <cell r="B63" t="str">
            <v>دستگاه پشم فلز چینی</v>
          </cell>
          <cell r="C63" t="str">
            <v>قطعه نو</v>
          </cell>
          <cell r="AF63">
            <v>8</v>
          </cell>
        </row>
        <row r="64">
          <cell r="B64" t="str">
            <v>قالب خشاب زنی</v>
          </cell>
          <cell r="C64" t="str">
            <v>قطعه تعمیری</v>
          </cell>
          <cell r="AF64">
            <v>2</v>
          </cell>
        </row>
        <row r="65">
          <cell r="B65" t="str">
            <v>ساب کونیک</v>
          </cell>
          <cell r="C65" t="str">
            <v>قطعه نو</v>
          </cell>
          <cell r="AF65">
            <v>2.5</v>
          </cell>
        </row>
        <row r="66">
          <cell r="B66" t="str">
            <v>همزن مواد</v>
          </cell>
          <cell r="C66" t="str">
            <v>قطعه تعمیری</v>
          </cell>
          <cell r="AF66">
            <v>3</v>
          </cell>
        </row>
        <row r="67">
          <cell r="B67" t="str">
            <v>قالب پخت کلاچ پیکان</v>
          </cell>
          <cell r="C67" t="str">
            <v>قالب تعمیری</v>
          </cell>
          <cell r="AF67">
            <v>7</v>
          </cell>
        </row>
        <row r="68">
          <cell r="B68" t="str">
            <v>قالب 309 سوراخدار</v>
          </cell>
          <cell r="C68" t="str">
            <v>قالب تعمیری</v>
          </cell>
          <cell r="AF68">
            <v>2</v>
          </cell>
        </row>
        <row r="69">
          <cell r="B69" t="str">
            <v>قالب پخت کلاچ پیکان آرژانتینی</v>
          </cell>
          <cell r="C69" t="str">
            <v>قالب تعمیری</v>
          </cell>
          <cell r="AF69">
            <v>2</v>
          </cell>
        </row>
        <row r="70">
          <cell r="B70" t="str">
            <v xml:space="preserve">پخت کلاچ پراید سکو </v>
          </cell>
          <cell r="C70" t="str">
            <v>قالب تعمیری</v>
          </cell>
          <cell r="AF70">
            <v>2</v>
          </cell>
        </row>
        <row r="71">
          <cell r="B71" t="str">
            <v>اصول 5S</v>
          </cell>
          <cell r="C71" t="str">
            <v>نظافت</v>
          </cell>
          <cell r="AF71">
            <v>1</v>
          </cell>
        </row>
        <row r="72">
          <cell r="B72" t="str">
            <v>قالب 309 سوراخدار</v>
          </cell>
          <cell r="C72" t="str">
            <v>قالب تعمیری</v>
          </cell>
          <cell r="AF72">
            <v>2</v>
          </cell>
        </row>
        <row r="73">
          <cell r="B73" t="str">
            <v>قالب پخت کلاچ پیکان آرژانتینی</v>
          </cell>
          <cell r="C73" t="str">
            <v>قالب تعمیری</v>
          </cell>
          <cell r="AF73">
            <v>2</v>
          </cell>
        </row>
        <row r="74">
          <cell r="B74" t="str">
            <v xml:space="preserve">پخت کلاچ پراید سکو </v>
          </cell>
          <cell r="C74" t="str">
            <v>قالب تعمیری</v>
          </cell>
          <cell r="AF74">
            <v>2</v>
          </cell>
        </row>
        <row r="75">
          <cell r="B75" t="str">
            <v>اصول 5S</v>
          </cell>
          <cell r="C75" t="str">
            <v>نظافت</v>
          </cell>
          <cell r="AF75">
            <v>1</v>
          </cell>
        </row>
        <row r="76">
          <cell r="B76" t="str">
            <v>قالب پخت کلاچ پیکان آرژانتینی</v>
          </cell>
          <cell r="C76" t="str">
            <v>قالب تعمیری</v>
          </cell>
          <cell r="AF76">
            <v>11</v>
          </cell>
        </row>
        <row r="77">
          <cell r="B77" t="str">
            <v>برش جمعی عقب ریو</v>
          </cell>
          <cell r="C77" t="str">
            <v>قطعه نو</v>
          </cell>
          <cell r="AF77">
            <v>9.6666666666666661</v>
          </cell>
        </row>
        <row r="78">
          <cell r="B78" t="str">
            <v>دستگاه پشم فلز</v>
          </cell>
          <cell r="C78" t="str">
            <v>قطعه تعمیری</v>
          </cell>
          <cell r="AF78">
            <v>6.5</v>
          </cell>
        </row>
        <row r="79">
          <cell r="B79" t="str">
            <v>قالب 309 سوراخدار</v>
          </cell>
          <cell r="C79" t="str">
            <v>قالب تعمیری</v>
          </cell>
          <cell r="AF79">
            <v>11</v>
          </cell>
        </row>
        <row r="80">
          <cell r="B80" t="str">
            <v>پین عقب پژو 405</v>
          </cell>
          <cell r="C80" t="str">
            <v>قطعه نو</v>
          </cell>
          <cell r="AF80">
            <v>7.5</v>
          </cell>
        </row>
        <row r="81">
          <cell r="B81" t="str">
            <v>قالب پخت کلاچ پیکان</v>
          </cell>
          <cell r="C81" t="str">
            <v>قالب تعمیری</v>
          </cell>
          <cell r="AF81">
            <v>7.5</v>
          </cell>
        </row>
        <row r="82">
          <cell r="B82" t="str">
            <v>قالب جلو ریو</v>
          </cell>
          <cell r="C82" t="str">
            <v>قالب تعمیری</v>
          </cell>
          <cell r="AF82">
            <v>3.5</v>
          </cell>
        </row>
        <row r="83">
          <cell r="B83" t="str">
            <v>پخت کلاچ پراید</v>
          </cell>
          <cell r="C83" t="str">
            <v>قالب تعمیری</v>
          </cell>
          <cell r="AF83">
            <v>3.5</v>
          </cell>
        </row>
        <row r="84">
          <cell r="B84" t="str">
            <v>پخت کلاچ پراید</v>
          </cell>
          <cell r="C84" t="str">
            <v>قالب تعمیری</v>
          </cell>
          <cell r="AF84">
            <v>7.5</v>
          </cell>
        </row>
        <row r="85">
          <cell r="B85" t="str">
            <v>پخت کلاچ پراید</v>
          </cell>
          <cell r="C85" t="str">
            <v>قالب تعمیری</v>
          </cell>
          <cell r="AF85">
            <v>1.8333333333333333</v>
          </cell>
        </row>
        <row r="86">
          <cell r="B86" t="str">
            <v>پخت کلاچ پراید</v>
          </cell>
          <cell r="C86" t="str">
            <v>قالب تعمیری</v>
          </cell>
          <cell r="AF86">
            <v>1.8333333333333333</v>
          </cell>
        </row>
        <row r="87">
          <cell r="B87" t="str">
            <v>قالب پخت کلاچ پژو 405</v>
          </cell>
          <cell r="C87" t="str">
            <v>قالب تعمیری</v>
          </cell>
          <cell r="AF87">
            <v>1.8333333333333333</v>
          </cell>
        </row>
        <row r="88">
          <cell r="B88" t="str">
            <v>پخت کلاچ پراید</v>
          </cell>
          <cell r="C88" t="str">
            <v>قالب تعمیری</v>
          </cell>
          <cell r="AF88">
            <v>1.5</v>
          </cell>
        </row>
        <row r="89">
          <cell r="B89" t="str">
            <v>قالب پخت کلاچ پژو 405</v>
          </cell>
          <cell r="C89" t="str">
            <v>قالب تعمیری</v>
          </cell>
          <cell r="AF89">
            <v>1.5</v>
          </cell>
        </row>
        <row r="90">
          <cell r="B90" t="str">
            <v>قالب پخت کلاچ پژو 405</v>
          </cell>
          <cell r="C90" t="str">
            <v>قالب تعمیری</v>
          </cell>
          <cell r="AF90">
            <v>1.5</v>
          </cell>
        </row>
        <row r="91">
          <cell r="B91" t="str">
            <v>قالب شیم پژو 405</v>
          </cell>
          <cell r="C91" t="str">
            <v>قالب تعمیری</v>
          </cell>
          <cell r="AF91">
            <v>1</v>
          </cell>
        </row>
        <row r="92">
          <cell r="B92" t="str">
            <v>ساب کونیک</v>
          </cell>
          <cell r="C92" t="str">
            <v>قطعه نو</v>
          </cell>
          <cell r="AF92">
            <v>5</v>
          </cell>
        </row>
        <row r="93">
          <cell r="B93" t="str">
            <v>پرچ زنی</v>
          </cell>
          <cell r="C93" t="str">
            <v>قطعه تعمیری</v>
          </cell>
          <cell r="AF93">
            <v>1</v>
          </cell>
        </row>
        <row r="94">
          <cell r="B94" t="str">
            <v>پرس پخت</v>
          </cell>
          <cell r="C94" t="str">
            <v>قطعه تعمیری</v>
          </cell>
          <cell r="AF94">
            <v>1</v>
          </cell>
        </row>
        <row r="95">
          <cell r="B95" t="str">
            <v>پرس پخت</v>
          </cell>
          <cell r="C95" t="str">
            <v>قطعه تعمیری</v>
          </cell>
          <cell r="AF95">
            <v>2</v>
          </cell>
        </row>
        <row r="96">
          <cell r="B96" t="str">
            <v>برش جمعی عقب ریو</v>
          </cell>
          <cell r="C96" t="str">
            <v>قطعه نو</v>
          </cell>
          <cell r="AF96">
            <v>2</v>
          </cell>
        </row>
        <row r="97">
          <cell r="B97" t="str">
            <v>پرس پخت</v>
          </cell>
          <cell r="C97" t="str">
            <v>قطعه تعمیری</v>
          </cell>
          <cell r="AF97">
            <v>2</v>
          </cell>
        </row>
        <row r="98">
          <cell r="B98" t="str">
            <v>پخت کلاچ پژو 206 TU5</v>
          </cell>
          <cell r="C98" t="str">
            <v>قالب تعمیری</v>
          </cell>
          <cell r="AF98">
            <v>2</v>
          </cell>
        </row>
        <row r="99">
          <cell r="B99" t="str">
            <v xml:space="preserve">پخت کلاچ پراید سکو </v>
          </cell>
          <cell r="C99" t="str">
            <v>قالب تعمیری</v>
          </cell>
          <cell r="AF99">
            <v>2</v>
          </cell>
        </row>
        <row r="100">
          <cell r="B100" t="str">
            <v>دستگاه پشم فلز آلمانی</v>
          </cell>
          <cell r="C100" t="str">
            <v>قطعه نو</v>
          </cell>
          <cell r="AF100">
            <v>6</v>
          </cell>
        </row>
        <row r="101">
          <cell r="B101" t="str">
            <v>پخت کلاچ پژو 206 TU5</v>
          </cell>
          <cell r="C101" t="str">
            <v>قالب تعمیری</v>
          </cell>
          <cell r="AF101">
            <v>2</v>
          </cell>
        </row>
        <row r="102">
          <cell r="B102" t="str">
            <v xml:space="preserve">پخت کلاچ پراید سکو </v>
          </cell>
          <cell r="C102" t="str">
            <v>قالب تعمیری</v>
          </cell>
          <cell r="AF102">
            <v>2</v>
          </cell>
        </row>
        <row r="103">
          <cell r="B103" t="str">
            <v>ساب کلاچ</v>
          </cell>
          <cell r="C103" t="str">
            <v>قطعه نو</v>
          </cell>
          <cell r="AF103">
            <v>10</v>
          </cell>
        </row>
        <row r="104">
          <cell r="B104" t="str">
            <v>ویوینگ</v>
          </cell>
          <cell r="C104" t="str">
            <v>قطعه تعمیری</v>
          </cell>
          <cell r="AF104">
            <v>2</v>
          </cell>
        </row>
        <row r="105">
          <cell r="B105" t="str">
            <v>قالب پراید خاردار</v>
          </cell>
          <cell r="C105" t="str">
            <v>قالب تعمیری</v>
          </cell>
          <cell r="AF105">
            <v>4</v>
          </cell>
        </row>
        <row r="106">
          <cell r="B106" t="str">
            <v>ویوینگ</v>
          </cell>
          <cell r="C106" t="str">
            <v>قطعه تعمیری</v>
          </cell>
          <cell r="AF106">
            <v>2</v>
          </cell>
        </row>
        <row r="107">
          <cell r="B107" t="str">
            <v>قالب پخت کلاچ پیکان آرژانتینی</v>
          </cell>
          <cell r="C107" t="str">
            <v>قالب تعمیری</v>
          </cell>
          <cell r="AF107">
            <v>8</v>
          </cell>
        </row>
        <row r="108">
          <cell r="B108" t="str">
            <v>ویوینگ</v>
          </cell>
          <cell r="C108" t="str">
            <v>قطعه نو</v>
          </cell>
          <cell r="AF108">
            <v>2</v>
          </cell>
        </row>
        <row r="109">
          <cell r="B109" t="str">
            <v>دستگاه پشم فلز چینی</v>
          </cell>
          <cell r="C109" t="str">
            <v>قطعه نو</v>
          </cell>
          <cell r="AF109">
            <v>10</v>
          </cell>
        </row>
        <row r="110">
          <cell r="B110" t="str">
            <v>پین عقب پژو 405</v>
          </cell>
          <cell r="C110" t="str">
            <v>قطعه نو</v>
          </cell>
          <cell r="AF110">
            <v>7.5</v>
          </cell>
        </row>
        <row r="111">
          <cell r="B111" t="str">
            <v>قالب پخت کلاچ پیکان</v>
          </cell>
          <cell r="C111" t="str">
            <v>قالب تعمیری</v>
          </cell>
          <cell r="AF111">
            <v>7.5</v>
          </cell>
        </row>
        <row r="112">
          <cell r="B112" t="str">
            <v>دستگاه پشم فلز</v>
          </cell>
          <cell r="C112" t="str">
            <v>قطعه تعمیری</v>
          </cell>
          <cell r="AF112">
            <v>6.5</v>
          </cell>
        </row>
        <row r="113">
          <cell r="B113" t="str">
            <v>قالب جلو ریو</v>
          </cell>
          <cell r="C113" t="str">
            <v>قالب تعمیری</v>
          </cell>
          <cell r="AF113">
            <v>11</v>
          </cell>
        </row>
        <row r="114">
          <cell r="B114" t="str">
            <v>قالب 309 سوراخدار</v>
          </cell>
          <cell r="C114" t="str">
            <v>قالب تعمیری</v>
          </cell>
          <cell r="AF114">
            <v>5.5</v>
          </cell>
        </row>
        <row r="115">
          <cell r="B115" t="str">
            <v>پخت کلاچ پراید</v>
          </cell>
          <cell r="C115" t="str">
            <v>قالب تعمیری</v>
          </cell>
          <cell r="AF115">
            <v>2</v>
          </cell>
        </row>
        <row r="116">
          <cell r="B116" t="str">
            <v>پخت کلاچ پراید</v>
          </cell>
          <cell r="C116" t="str">
            <v>قالب تعمیری</v>
          </cell>
          <cell r="AF116">
            <v>7.5</v>
          </cell>
        </row>
        <row r="117">
          <cell r="B117" t="str">
            <v>قالب پخت کلاچ پژو 405</v>
          </cell>
          <cell r="C117" t="str">
            <v>قالب تعمیری</v>
          </cell>
          <cell r="AF117">
            <v>3.5</v>
          </cell>
        </row>
        <row r="118">
          <cell r="B118" t="str">
            <v>ساب کلاچ</v>
          </cell>
          <cell r="C118" t="str">
            <v>قطعه نو</v>
          </cell>
          <cell r="AF118">
            <v>8</v>
          </cell>
        </row>
        <row r="119">
          <cell r="B119" t="str">
            <v>Hammer Mill Machine</v>
          </cell>
          <cell r="C119" t="str">
            <v>دستگاه نو</v>
          </cell>
          <cell r="AF119">
            <v>12</v>
          </cell>
        </row>
        <row r="120">
          <cell r="B120" t="str">
            <v>ساب کونیک</v>
          </cell>
          <cell r="C120" t="str">
            <v>قطعه نو</v>
          </cell>
          <cell r="AF120">
            <v>8</v>
          </cell>
        </row>
        <row r="121">
          <cell r="B121" t="str">
            <v>دستگاه پشم فلز چینی</v>
          </cell>
          <cell r="C121" t="str">
            <v>قطعه نو</v>
          </cell>
          <cell r="AF121">
            <v>12</v>
          </cell>
        </row>
        <row r="122">
          <cell r="B122" t="str">
            <v>برش جمعی عقب ریو</v>
          </cell>
          <cell r="C122" t="str">
            <v>قطعه نو</v>
          </cell>
          <cell r="AF122">
            <v>4</v>
          </cell>
        </row>
        <row r="123">
          <cell r="B123" t="str">
            <v>دستگاه ساب سمباده ای</v>
          </cell>
          <cell r="C123" t="str">
            <v>قطعه تعمیری</v>
          </cell>
          <cell r="AF123">
            <v>2</v>
          </cell>
        </row>
        <row r="124">
          <cell r="B124" t="str">
            <v>پمپ</v>
          </cell>
          <cell r="C124" t="str">
            <v>قطعه نو</v>
          </cell>
          <cell r="AF124">
            <v>4</v>
          </cell>
        </row>
        <row r="125">
          <cell r="B125" t="str">
            <v>برش جمعی عقب ریو</v>
          </cell>
          <cell r="C125" t="str">
            <v>قطعه نو</v>
          </cell>
          <cell r="AF125">
            <v>4</v>
          </cell>
        </row>
        <row r="126">
          <cell r="B126" t="str">
            <v>پخت کلاچ پراید</v>
          </cell>
          <cell r="C126" t="str">
            <v>قالب تعمیری</v>
          </cell>
          <cell r="AF126">
            <v>1</v>
          </cell>
        </row>
        <row r="127">
          <cell r="B127" t="str">
            <v xml:space="preserve">پخت کلاچ پراید سکو </v>
          </cell>
          <cell r="C127" t="str">
            <v>قالب تعمیری</v>
          </cell>
          <cell r="AF127">
            <v>3</v>
          </cell>
        </row>
        <row r="128">
          <cell r="B128" t="str">
            <v>قالب پخت کلاچ پیکان آرژانتینی</v>
          </cell>
          <cell r="C128" t="str">
            <v>قالب تعمیری</v>
          </cell>
          <cell r="AF128">
            <v>2</v>
          </cell>
        </row>
        <row r="129">
          <cell r="B129" t="str">
            <v>قالب 309 سوراخدار</v>
          </cell>
          <cell r="C129" t="str">
            <v>قالب تعمیری</v>
          </cell>
          <cell r="AF129">
            <v>2</v>
          </cell>
        </row>
        <row r="130">
          <cell r="B130" t="str">
            <v>قالب شیم پژو 405</v>
          </cell>
          <cell r="C130" t="str">
            <v>قالب تعمیری</v>
          </cell>
          <cell r="AF130">
            <v>1</v>
          </cell>
        </row>
        <row r="131">
          <cell r="B131" t="str">
            <v>قالب پژو 405 دیسکی</v>
          </cell>
          <cell r="C131" t="str">
            <v>قالب تعمیری</v>
          </cell>
          <cell r="AF131">
            <v>2</v>
          </cell>
        </row>
        <row r="132">
          <cell r="B132" t="str">
            <v>دریل سوراخکاری</v>
          </cell>
          <cell r="C132" t="str">
            <v>قطعه نو</v>
          </cell>
          <cell r="AF132">
            <v>3</v>
          </cell>
        </row>
        <row r="133">
          <cell r="B133" t="str">
            <v>دریل سوراخکاری</v>
          </cell>
          <cell r="C133" t="str">
            <v>قطعه تعمیری</v>
          </cell>
          <cell r="AF133">
            <v>3</v>
          </cell>
        </row>
        <row r="134">
          <cell r="B134" t="str">
            <v>دریل سوراخکاری</v>
          </cell>
          <cell r="C134" t="str">
            <v>قطعه تعمیری</v>
          </cell>
          <cell r="AF134">
            <v>2</v>
          </cell>
        </row>
        <row r="135">
          <cell r="B135" t="str">
            <v>فرز 7103</v>
          </cell>
          <cell r="C135" t="str">
            <v>قطعه نو</v>
          </cell>
          <cell r="AF135">
            <v>1</v>
          </cell>
        </row>
        <row r="136">
          <cell r="B136" t="str">
            <v xml:space="preserve">پخت کلاچ پراید سکو </v>
          </cell>
          <cell r="C136" t="str">
            <v>قالب تعمیری</v>
          </cell>
          <cell r="AF136">
            <v>3</v>
          </cell>
        </row>
        <row r="137">
          <cell r="B137" t="str">
            <v>قالب پخت کلاچ پیکان آرژانتینی</v>
          </cell>
          <cell r="C137" t="str">
            <v>قالب تعمیری</v>
          </cell>
          <cell r="AF137">
            <v>2.5</v>
          </cell>
        </row>
        <row r="138">
          <cell r="B138" t="str">
            <v>قالب 309 سوراخدار</v>
          </cell>
          <cell r="C138" t="str">
            <v>قالب تعمیری</v>
          </cell>
          <cell r="AF138">
            <v>1</v>
          </cell>
        </row>
        <row r="139">
          <cell r="B139" t="str">
            <v>قالب پژو 405 دیسکی</v>
          </cell>
          <cell r="C139" t="str">
            <v>قالب تعمیری</v>
          </cell>
          <cell r="AF139">
            <v>2</v>
          </cell>
        </row>
        <row r="140">
          <cell r="B140" t="str">
            <v>قالب جلو ریو</v>
          </cell>
          <cell r="C140" t="str">
            <v>قالب تعمیری</v>
          </cell>
          <cell r="AF140">
            <v>6</v>
          </cell>
        </row>
        <row r="141">
          <cell r="B141" t="str">
            <v>قالب پخت کلاچ پیکان آرژانتینی</v>
          </cell>
          <cell r="C141" t="str">
            <v>قالب تعمیری</v>
          </cell>
          <cell r="AF141">
            <v>1</v>
          </cell>
        </row>
        <row r="142">
          <cell r="B142" t="str">
            <v>پخت عقب پژو 405 شمشی پایه کوتاه</v>
          </cell>
          <cell r="C142" t="str">
            <v>قالب نو</v>
          </cell>
          <cell r="AF142">
            <v>4</v>
          </cell>
        </row>
        <row r="143">
          <cell r="B143" t="str">
            <v>پخت عقب پژو 405 شمشی پایه کوتاه</v>
          </cell>
          <cell r="C143" t="str">
            <v>قالب نو</v>
          </cell>
          <cell r="AF143">
            <v>6</v>
          </cell>
        </row>
        <row r="144">
          <cell r="B144" t="str">
            <v>قالب شیم پژو 405</v>
          </cell>
          <cell r="C144" t="str">
            <v>قالب تعمیری</v>
          </cell>
          <cell r="AF144">
            <v>3</v>
          </cell>
        </row>
        <row r="145">
          <cell r="B145" t="str">
            <v>دستگاه پشم فلز چینی</v>
          </cell>
          <cell r="C145" t="str">
            <v>قطعه نو</v>
          </cell>
          <cell r="AF145">
            <v>2</v>
          </cell>
        </row>
        <row r="146">
          <cell r="B146" t="str">
            <v>پخت کلاچ پراید</v>
          </cell>
          <cell r="C146" t="str">
            <v>قالب تعمیری</v>
          </cell>
          <cell r="AF146">
            <v>11</v>
          </cell>
        </row>
        <row r="147">
          <cell r="B147" t="str">
            <v>قالب پخت کلاچ پیکان</v>
          </cell>
          <cell r="C147" t="str">
            <v>قالب تعمیری</v>
          </cell>
          <cell r="AF147">
            <v>6.5</v>
          </cell>
        </row>
        <row r="148">
          <cell r="B148" t="str">
            <v>قالب پخت کلاچ پیکان</v>
          </cell>
          <cell r="C148" t="str">
            <v>قالب تعمیری</v>
          </cell>
          <cell r="AF148">
            <v>4.5</v>
          </cell>
        </row>
        <row r="149">
          <cell r="B149" t="str">
            <v>پین عقب پژو 405</v>
          </cell>
          <cell r="C149" t="str">
            <v>قطعه نو</v>
          </cell>
          <cell r="AF149">
            <v>7.5</v>
          </cell>
        </row>
        <row r="150">
          <cell r="B150" t="str">
            <v>ساب کلاچ</v>
          </cell>
          <cell r="C150" t="str">
            <v>قطعه تعمیری</v>
          </cell>
          <cell r="AF150">
            <v>3</v>
          </cell>
        </row>
        <row r="151">
          <cell r="B151" t="str">
            <v>قالب پخت کلاچ پژو 405</v>
          </cell>
          <cell r="C151" t="str">
            <v>قالب تعمیری</v>
          </cell>
          <cell r="AF151">
            <v>5.5</v>
          </cell>
        </row>
        <row r="152">
          <cell r="B152" t="str">
            <v>قالب پخت کلاچ پژو 405</v>
          </cell>
          <cell r="C152" t="str">
            <v>قالب تعمیری</v>
          </cell>
          <cell r="AF152">
            <v>5.5</v>
          </cell>
        </row>
        <row r="153">
          <cell r="B153" t="str">
            <v>دستگاه پشم فلز</v>
          </cell>
          <cell r="C153" t="str">
            <v>قطعه تعمیری</v>
          </cell>
          <cell r="AF153">
            <v>1.5</v>
          </cell>
        </row>
        <row r="154">
          <cell r="B154" t="str">
            <v>پخت عقب پژو 405 شمشی پایه کوتاه</v>
          </cell>
          <cell r="C154" t="str">
            <v>قالب نو</v>
          </cell>
          <cell r="AF154">
            <v>5</v>
          </cell>
        </row>
        <row r="155">
          <cell r="B155" t="str">
            <v>پخت کلاچ پراید</v>
          </cell>
          <cell r="C155" t="str">
            <v>قالب تعمیری</v>
          </cell>
          <cell r="AF155">
            <v>4</v>
          </cell>
        </row>
        <row r="156">
          <cell r="B156" t="str">
            <v>ویوینگ</v>
          </cell>
          <cell r="C156" t="str">
            <v>قطعه نو</v>
          </cell>
          <cell r="AF156">
            <v>2</v>
          </cell>
        </row>
        <row r="157">
          <cell r="B157" t="str">
            <v>Hammer Mill Machine</v>
          </cell>
          <cell r="C157" t="str">
            <v>دستگاه نو</v>
          </cell>
          <cell r="AF157">
            <v>3.5</v>
          </cell>
        </row>
        <row r="158">
          <cell r="B158" t="str">
            <v>Hammer Mill Machine</v>
          </cell>
          <cell r="C158" t="str">
            <v>دستگاه نو</v>
          </cell>
          <cell r="AF158">
            <v>12</v>
          </cell>
        </row>
        <row r="159">
          <cell r="B159" t="str">
            <v>Hammer Mill Machine</v>
          </cell>
          <cell r="C159" t="str">
            <v>دستگاه نو</v>
          </cell>
          <cell r="AF159">
            <v>12</v>
          </cell>
        </row>
        <row r="160">
          <cell r="B160" t="str">
            <v>Hammer Mill Machine</v>
          </cell>
          <cell r="C160" t="str">
            <v>دستگاه نو</v>
          </cell>
          <cell r="AF160">
            <v>12</v>
          </cell>
        </row>
        <row r="161">
          <cell r="B161" t="str">
            <v>دستگاه پشم فلز چینی</v>
          </cell>
          <cell r="C161" t="str">
            <v>قطعه نو</v>
          </cell>
          <cell r="AF161">
            <v>9</v>
          </cell>
        </row>
        <row r="162">
          <cell r="B162" t="str">
            <v>برش جمعی عقب ریو</v>
          </cell>
          <cell r="C162" t="str">
            <v>قطعه نو</v>
          </cell>
          <cell r="AF162">
            <v>3</v>
          </cell>
        </row>
        <row r="163">
          <cell r="B163" t="str">
            <v>قالب جلو ریو</v>
          </cell>
          <cell r="C163" t="str">
            <v>قالب تعمیری</v>
          </cell>
          <cell r="AF163">
            <v>2</v>
          </cell>
        </row>
        <row r="164">
          <cell r="B164" t="str">
            <v>دستگاه پشم فلز</v>
          </cell>
          <cell r="C164" t="str">
            <v>قطعه تعمیری</v>
          </cell>
          <cell r="AF164">
            <v>5</v>
          </cell>
        </row>
        <row r="165">
          <cell r="B165" t="str">
            <v>قالب شیم پژو 405</v>
          </cell>
          <cell r="C165" t="str">
            <v>قالب نو</v>
          </cell>
          <cell r="AF165">
            <v>4</v>
          </cell>
        </row>
        <row r="166">
          <cell r="B166" t="str">
            <v>لیفتراک</v>
          </cell>
          <cell r="C166" t="str">
            <v>قطعه تعمیری</v>
          </cell>
          <cell r="AF166">
            <v>3</v>
          </cell>
        </row>
        <row r="167">
          <cell r="B167" t="str">
            <v>لیفتراک</v>
          </cell>
          <cell r="C167" t="str">
            <v>قطعه تعمیری</v>
          </cell>
          <cell r="AF167">
            <v>6</v>
          </cell>
        </row>
        <row r="168">
          <cell r="B168" t="str">
            <v>قالب پخت کلاچ پیکان آرژانتینی</v>
          </cell>
          <cell r="C168" t="str">
            <v>قالب تعمیری</v>
          </cell>
          <cell r="AF168">
            <v>2</v>
          </cell>
        </row>
        <row r="169">
          <cell r="B169" t="str">
            <v>ویوینگ</v>
          </cell>
          <cell r="C169" t="str">
            <v>قطعه تعمیری</v>
          </cell>
          <cell r="AF169">
            <v>1.5</v>
          </cell>
        </row>
        <row r="170">
          <cell r="B170" t="str">
            <v>لیفتراک</v>
          </cell>
          <cell r="C170" t="str">
            <v>قطعه تعمیری</v>
          </cell>
          <cell r="AF170">
            <v>2.5</v>
          </cell>
        </row>
        <row r="171">
          <cell r="B171" t="str">
            <v>قالب پژو 405 دیسکی</v>
          </cell>
          <cell r="C171" t="str">
            <v>قالب تعمیری</v>
          </cell>
          <cell r="AF171">
            <v>5</v>
          </cell>
        </row>
        <row r="172">
          <cell r="B172" t="str">
            <v>قالب پژو 405 دیسکی</v>
          </cell>
          <cell r="C172" t="str">
            <v>قالب تعمیری</v>
          </cell>
          <cell r="AF172">
            <v>1</v>
          </cell>
        </row>
        <row r="173">
          <cell r="B173" t="str">
            <v>قالب پخت کلاچ پیکان</v>
          </cell>
          <cell r="C173" t="str">
            <v>قالب تعمیری</v>
          </cell>
          <cell r="AF173">
            <v>1</v>
          </cell>
        </row>
        <row r="174">
          <cell r="B174" t="str">
            <v>پخت کلاچ پراید</v>
          </cell>
          <cell r="C174" t="str">
            <v>قالب تعمیری</v>
          </cell>
          <cell r="AF174">
            <v>11</v>
          </cell>
        </row>
        <row r="175">
          <cell r="B175" t="str">
            <v>پخت کلاچ پراید</v>
          </cell>
          <cell r="C175" t="str">
            <v>قالب تعمیری</v>
          </cell>
          <cell r="AF175">
            <v>8</v>
          </cell>
        </row>
        <row r="176">
          <cell r="B176" t="str">
            <v>پین عقب پژو 405</v>
          </cell>
          <cell r="C176" t="str">
            <v>قطعه نو</v>
          </cell>
          <cell r="AF176">
            <v>7.5</v>
          </cell>
        </row>
        <row r="177">
          <cell r="B177" t="str">
            <v>پخت عقب پژو 405 شمشی پایه کوتاه</v>
          </cell>
          <cell r="C177" t="str">
            <v>قالب نو</v>
          </cell>
          <cell r="AF177">
            <v>6.5</v>
          </cell>
        </row>
        <row r="178">
          <cell r="B178" t="str">
            <v>قالب عقب F12</v>
          </cell>
          <cell r="C178" t="str">
            <v>قالب تعمیری</v>
          </cell>
          <cell r="AF178">
            <v>11</v>
          </cell>
        </row>
        <row r="179">
          <cell r="B179" t="str">
            <v>Hammer Mill Machine</v>
          </cell>
          <cell r="C179" t="str">
            <v>دستگاه نو</v>
          </cell>
          <cell r="AF179">
            <v>11</v>
          </cell>
        </row>
        <row r="180">
          <cell r="B180" t="str">
            <v>پخت کلاچ پراید</v>
          </cell>
          <cell r="C180" t="str">
            <v>قالب تعمیری</v>
          </cell>
          <cell r="AF180">
            <v>2</v>
          </cell>
        </row>
        <row r="181">
          <cell r="B181" t="str">
            <v>قالب 309 سوراخدار</v>
          </cell>
          <cell r="C181" t="str">
            <v>قالب تعمیری</v>
          </cell>
          <cell r="AF181">
            <v>3</v>
          </cell>
        </row>
        <row r="182">
          <cell r="B182" t="str">
            <v>قالب پخت کلاچ پژو 405</v>
          </cell>
          <cell r="C182" t="str">
            <v>قالب تعمیری</v>
          </cell>
          <cell r="AF182">
            <v>6</v>
          </cell>
        </row>
        <row r="183">
          <cell r="B183" t="str">
            <v>قالب پخت کلاچ پیکان</v>
          </cell>
          <cell r="C183" t="str">
            <v>قالب تعمیری</v>
          </cell>
          <cell r="AF183">
            <v>6.5</v>
          </cell>
        </row>
        <row r="184">
          <cell r="B184" t="str">
            <v>پخت کلاچ پراید</v>
          </cell>
          <cell r="C184" t="str">
            <v>قالب تعمیری</v>
          </cell>
          <cell r="AF184">
            <v>4.5</v>
          </cell>
        </row>
        <row r="185">
          <cell r="B185" t="str">
            <v>Hammer Mill Machine</v>
          </cell>
          <cell r="C185" t="str">
            <v>دستگاه نو</v>
          </cell>
          <cell r="AF185">
            <v>10</v>
          </cell>
        </row>
        <row r="186">
          <cell r="B186" t="str">
            <v>Hammer Mill Machine</v>
          </cell>
          <cell r="C186" t="str">
            <v>دستگاه نو</v>
          </cell>
          <cell r="AF186">
            <v>10</v>
          </cell>
        </row>
        <row r="187">
          <cell r="B187" t="str">
            <v>Hammer Mill Machine</v>
          </cell>
          <cell r="C187" t="str">
            <v>دستگاه نو</v>
          </cell>
          <cell r="AF187">
            <v>10</v>
          </cell>
        </row>
        <row r="188">
          <cell r="B188" t="str">
            <v>دستگاه پشم فلز چینی</v>
          </cell>
          <cell r="C188" t="str">
            <v>قطعه نو</v>
          </cell>
          <cell r="AF188">
            <v>8</v>
          </cell>
        </row>
        <row r="189">
          <cell r="B189" t="str">
            <v>قالب پژو 405 دیسکی</v>
          </cell>
          <cell r="C189" t="str">
            <v>قالب تعمیری</v>
          </cell>
          <cell r="AF189">
            <v>4</v>
          </cell>
        </row>
        <row r="190">
          <cell r="B190" t="str">
            <v>قالب پخت کلاچ پژو 405</v>
          </cell>
          <cell r="C190" t="str">
            <v>قالب تعمیری</v>
          </cell>
          <cell r="AF190">
            <v>3</v>
          </cell>
        </row>
        <row r="191">
          <cell r="B191" t="str">
            <v>قالب شیم پژو 405</v>
          </cell>
          <cell r="C191" t="str">
            <v>قالب تعمیری</v>
          </cell>
          <cell r="AF191">
            <v>1</v>
          </cell>
        </row>
        <row r="192">
          <cell r="B192" t="str">
            <v>قالب جلو ریو</v>
          </cell>
          <cell r="C192" t="str">
            <v>قالب تعمیری</v>
          </cell>
          <cell r="AF192">
            <v>7</v>
          </cell>
        </row>
        <row r="193">
          <cell r="B193" t="str">
            <v>قالب پراید خاردار</v>
          </cell>
          <cell r="C193" t="str">
            <v>قالب تعمیری</v>
          </cell>
          <cell r="AF193">
            <v>1</v>
          </cell>
        </row>
        <row r="194">
          <cell r="B194" t="str">
            <v>قالب شیم پژو 405</v>
          </cell>
          <cell r="C194" t="str">
            <v>قالب تعمیری</v>
          </cell>
          <cell r="AF194">
            <v>2</v>
          </cell>
        </row>
        <row r="195">
          <cell r="B195" t="str">
            <v>قالب جلو ریو</v>
          </cell>
          <cell r="C195" t="str">
            <v>قالب تعمیری</v>
          </cell>
          <cell r="AF195">
            <v>4</v>
          </cell>
        </row>
        <row r="196">
          <cell r="B196" t="str">
            <v>قالب پخت کلاچ پیکان</v>
          </cell>
          <cell r="C196" t="str">
            <v>قالب تعمیری</v>
          </cell>
          <cell r="AF196">
            <v>1</v>
          </cell>
        </row>
        <row r="197">
          <cell r="B197" t="str">
            <v>قالب 309 سوراخدار</v>
          </cell>
          <cell r="C197" t="str">
            <v>قالب تعمیری</v>
          </cell>
          <cell r="AF197">
            <v>1</v>
          </cell>
        </row>
        <row r="198">
          <cell r="B198" t="str">
            <v>قالب جلو ریو</v>
          </cell>
          <cell r="C198" t="str">
            <v>قالب تعمیری</v>
          </cell>
          <cell r="AF198">
            <v>2</v>
          </cell>
        </row>
        <row r="199">
          <cell r="B199" t="str">
            <v>قالب پخت کلاچ پیکان</v>
          </cell>
          <cell r="C199" t="str">
            <v>قالب تعمیری</v>
          </cell>
          <cell r="AF199">
            <v>4</v>
          </cell>
        </row>
        <row r="200">
          <cell r="B200" t="str">
            <v>قالب 309 سوراخدار</v>
          </cell>
          <cell r="C200" t="str">
            <v>قالب تعمیری</v>
          </cell>
          <cell r="AF200">
            <v>1</v>
          </cell>
        </row>
        <row r="201">
          <cell r="B201" t="str">
            <v>قالب جلو ریو</v>
          </cell>
          <cell r="C201" t="str">
            <v>قالب تعمیری</v>
          </cell>
          <cell r="AF201">
            <v>1</v>
          </cell>
        </row>
        <row r="202">
          <cell r="B202" t="str">
            <v>پخت کلاچ پراید</v>
          </cell>
          <cell r="C202" t="str">
            <v>قالب تعمیری</v>
          </cell>
          <cell r="AF202">
            <v>11</v>
          </cell>
        </row>
        <row r="203">
          <cell r="B203" t="str">
            <v>قالب پخت کلاچ پژو 405</v>
          </cell>
          <cell r="C203" t="str">
            <v>قالب تعمیری</v>
          </cell>
          <cell r="AF203">
            <v>5</v>
          </cell>
        </row>
        <row r="204">
          <cell r="B204" t="str">
            <v>قالب عقب F12</v>
          </cell>
          <cell r="C204" t="str">
            <v>قالب تعمیری</v>
          </cell>
          <cell r="AF204">
            <v>9</v>
          </cell>
        </row>
        <row r="205">
          <cell r="B205" t="str">
            <v>قالب عقب F12</v>
          </cell>
          <cell r="C205" t="str">
            <v>قالب تعمیری</v>
          </cell>
          <cell r="AF205">
            <v>2</v>
          </cell>
        </row>
        <row r="206">
          <cell r="B206" t="str">
            <v>پخت کلاچ پراید</v>
          </cell>
          <cell r="C206" t="str">
            <v>قالب تعمیری</v>
          </cell>
          <cell r="AF206">
            <v>11</v>
          </cell>
        </row>
        <row r="207">
          <cell r="B207" t="str">
            <v>قالب جلو ریو</v>
          </cell>
          <cell r="C207" t="str">
            <v>قالب تعمیری</v>
          </cell>
          <cell r="AF207">
            <v>4</v>
          </cell>
        </row>
        <row r="208">
          <cell r="B208" t="str">
            <v>قالب پخت کلاچ پیکان</v>
          </cell>
          <cell r="C208" t="str">
            <v>قالب تعمیری</v>
          </cell>
          <cell r="AF208">
            <v>2</v>
          </cell>
        </row>
        <row r="209">
          <cell r="B209" t="str">
            <v>قالب پخت کلاچ پژو 405</v>
          </cell>
          <cell r="C209" t="str">
            <v>قالب تعمیری</v>
          </cell>
          <cell r="AF209">
            <v>5</v>
          </cell>
        </row>
        <row r="210">
          <cell r="B210" t="str">
            <v>پین عقب پژو 405</v>
          </cell>
          <cell r="C210" t="str">
            <v>قطعه نو</v>
          </cell>
          <cell r="AF210">
            <v>7.5</v>
          </cell>
        </row>
        <row r="211">
          <cell r="B211" t="str">
            <v>Hammer Mill Machine</v>
          </cell>
          <cell r="C211" t="str">
            <v>دستگاه نو</v>
          </cell>
          <cell r="AF211">
            <v>5</v>
          </cell>
        </row>
        <row r="212">
          <cell r="B212" t="str">
            <v>Hammer Mill Machine</v>
          </cell>
          <cell r="C212" t="str">
            <v>دستگاه نو</v>
          </cell>
          <cell r="AF212">
            <v>4.166666666666667</v>
          </cell>
        </row>
        <row r="213">
          <cell r="B213" t="str">
            <v>لیفتراک</v>
          </cell>
          <cell r="C213" t="str">
            <v>قطعه تعمیری</v>
          </cell>
          <cell r="AF213">
            <v>1.8333333333333333</v>
          </cell>
        </row>
        <row r="214">
          <cell r="B214" t="str">
            <v>قالب 309 سوراخدار</v>
          </cell>
          <cell r="C214" t="str">
            <v>قالب تعمیری</v>
          </cell>
          <cell r="AF214">
            <v>6</v>
          </cell>
        </row>
        <row r="215">
          <cell r="B215" t="str">
            <v>پخت عقب پژو 405 شمشی پایه کوتاه</v>
          </cell>
          <cell r="C215" t="str">
            <v>قالب نو</v>
          </cell>
          <cell r="AF215">
            <v>3</v>
          </cell>
        </row>
        <row r="216">
          <cell r="B216" t="str">
            <v>قالب پخت کلاچ پژو 405</v>
          </cell>
          <cell r="C216" t="str">
            <v>قالب تعمیری</v>
          </cell>
          <cell r="AF216">
            <v>1</v>
          </cell>
        </row>
        <row r="217">
          <cell r="B217" t="str">
            <v>Hammer Mill Machine</v>
          </cell>
          <cell r="C217" t="str">
            <v>دستگاه نو</v>
          </cell>
          <cell r="AF217">
            <v>11</v>
          </cell>
        </row>
        <row r="218">
          <cell r="B218" t="str">
            <v>Hammer Mill Machine</v>
          </cell>
          <cell r="C218" t="str">
            <v>دستگاه نو</v>
          </cell>
          <cell r="AF218">
            <v>11</v>
          </cell>
        </row>
        <row r="219">
          <cell r="B219" t="str">
            <v>Hammer Mill Machine</v>
          </cell>
          <cell r="C219" t="str">
            <v>دستگاه نو</v>
          </cell>
          <cell r="AF219">
            <v>11</v>
          </cell>
        </row>
        <row r="220">
          <cell r="B220" t="str">
            <v>قالب پژو 405 دیسکی</v>
          </cell>
          <cell r="C220" t="str">
            <v>قالب تعمیری</v>
          </cell>
          <cell r="AF220">
            <v>11</v>
          </cell>
        </row>
        <row r="221">
          <cell r="B221" t="str">
            <v>قالب 309 سوراخدار</v>
          </cell>
          <cell r="C221" t="str">
            <v>قالب تعمیری</v>
          </cell>
          <cell r="AF221">
            <v>3</v>
          </cell>
        </row>
        <row r="222">
          <cell r="B222" t="str">
            <v>پخت عقب پژو 405 شمشی پایه کوتاه</v>
          </cell>
          <cell r="C222" t="str">
            <v>قالب نو</v>
          </cell>
          <cell r="AF222">
            <v>3</v>
          </cell>
        </row>
        <row r="223">
          <cell r="B223" t="str">
            <v>قالب شیم پژو 405</v>
          </cell>
          <cell r="C223" t="str">
            <v>قالب تعمیری</v>
          </cell>
          <cell r="AF223">
            <v>2</v>
          </cell>
        </row>
        <row r="224">
          <cell r="B224" t="str">
            <v>قالب پخت کلاچ پیکان</v>
          </cell>
          <cell r="C224" t="str">
            <v>قالب تعمیری</v>
          </cell>
          <cell r="AF224">
            <v>1</v>
          </cell>
        </row>
        <row r="225">
          <cell r="B225" t="str">
            <v>Hammer Mill Machine</v>
          </cell>
          <cell r="C225" t="str">
            <v>دستگاه نو</v>
          </cell>
          <cell r="AF225">
            <v>11</v>
          </cell>
        </row>
        <row r="226">
          <cell r="B226" t="str">
            <v>پخت عقب پژو 405 شمشی پایه کوتاه</v>
          </cell>
          <cell r="C226" t="str">
            <v>قالب نو</v>
          </cell>
          <cell r="AF226">
            <v>3.8333333333333335</v>
          </cell>
        </row>
        <row r="227">
          <cell r="B227" t="str">
            <v>قالب شیم ریو</v>
          </cell>
          <cell r="C227" t="str">
            <v>قالب تعمیری</v>
          </cell>
          <cell r="AF227">
            <v>2.75</v>
          </cell>
        </row>
        <row r="228">
          <cell r="B228" t="str">
            <v>Hammer Mill Machine</v>
          </cell>
          <cell r="C228" t="str">
            <v>دستگاه نو</v>
          </cell>
          <cell r="AF228">
            <v>5</v>
          </cell>
        </row>
        <row r="229">
          <cell r="B229" t="str">
            <v>اصول 5S</v>
          </cell>
          <cell r="C229" t="str">
            <v>نظافت</v>
          </cell>
          <cell r="AF229">
            <v>1</v>
          </cell>
        </row>
        <row r="230">
          <cell r="B230" t="str">
            <v>پخت کلاچ پراید</v>
          </cell>
          <cell r="C230" t="str">
            <v>قالب تعمیری</v>
          </cell>
          <cell r="AF230">
            <v>7.5</v>
          </cell>
        </row>
        <row r="231">
          <cell r="B231" t="str">
            <v>پین عقب پژو 405</v>
          </cell>
          <cell r="C231" t="str">
            <v>قطعه نو</v>
          </cell>
          <cell r="AF231">
            <v>4</v>
          </cell>
        </row>
        <row r="232">
          <cell r="B232" t="str">
            <v>قالب پخت کلاچ پیکان</v>
          </cell>
          <cell r="C232" t="str">
            <v>قالب تعمیری</v>
          </cell>
          <cell r="AF232">
            <v>6</v>
          </cell>
        </row>
        <row r="233">
          <cell r="B233" t="str">
            <v>قالب پخت کلاچ پیکان</v>
          </cell>
          <cell r="C233" t="str">
            <v>قالب تعمیری</v>
          </cell>
          <cell r="AF233">
            <v>1.5</v>
          </cell>
        </row>
        <row r="234">
          <cell r="B234" t="str">
            <v>قالب پخت کلاچ پژو 405</v>
          </cell>
          <cell r="C234" t="str">
            <v>قالب تعمیری</v>
          </cell>
          <cell r="AF234">
            <v>6.5</v>
          </cell>
        </row>
        <row r="235">
          <cell r="B235" t="str">
            <v>اصول 5S</v>
          </cell>
          <cell r="C235" t="str">
            <v>نظافت</v>
          </cell>
          <cell r="AF235">
            <v>1</v>
          </cell>
        </row>
        <row r="236">
          <cell r="B236" t="str">
            <v>قالب عقب F12</v>
          </cell>
          <cell r="C236" t="str">
            <v>قالب تعمیری</v>
          </cell>
          <cell r="AF236">
            <v>3.5</v>
          </cell>
        </row>
        <row r="237">
          <cell r="B237" t="str">
            <v>ویوینگ</v>
          </cell>
          <cell r="C237" t="str">
            <v>قطعه تعمیری</v>
          </cell>
          <cell r="AF237">
            <v>0.5</v>
          </cell>
        </row>
        <row r="238">
          <cell r="B238" t="str">
            <v>اصول 5S</v>
          </cell>
          <cell r="C238" t="str">
            <v>نظافت</v>
          </cell>
          <cell r="AF238">
            <v>1</v>
          </cell>
        </row>
        <row r="239">
          <cell r="B239" t="str">
            <v>ویوینگ</v>
          </cell>
          <cell r="C239" t="str">
            <v>قطعه تعمیری</v>
          </cell>
          <cell r="AF239">
            <v>2</v>
          </cell>
        </row>
        <row r="240">
          <cell r="B240" t="str">
            <v>قالب جلو ریو</v>
          </cell>
          <cell r="C240" t="str">
            <v>قالب تعمیری</v>
          </cell>
          <cell r="AF240">
            <v>2</v>
          </cell>
        </row>
        <row r="241">
          <cell r="B241" t="str">
            <v>Hammer Mill Machine</v>
          </cell>
          <cell r="C241" t="str">
            <v>دستگاه نو</v>
          </cell>
          <cell r="AF241">
            <v>2</v>
          </cell>
        </row>
        <row r="242">
          <cell r="B242" t="str">
            <v>اصول 5S</v>
          </cell>
          <cell r="C242" t="str">
            <v>نظافت</v>
          </cell>
          <cell r="AF242">
            <v>1.5</v>
          </cell>
        </row>
        <row r="243">
          <cell r="B243" t="str">
            <v>قالب جلو ریو</v>
          </cell>
          <cell r="C243" t="str">
            <v>قالب تعمیری</v>
          </cell>
          <cell r="AF243">
            <v>3</v>
          </cell>
        </row>
        <row r="244">
          <cell r="B244" t="str">
            <v>قالب پژو 405 دیسکی</v>
          </cell>
          <cell r="C244" t="str">
            <v>قالب تعمیری</v>
          </cell>
          <cell r="AF244">
            <v>1</v>
          </cell>
        </row>
        <row r="245">
          <cell r="B245" t="str">
            <v>قالب پژو 405 دیسکی</v>
          </cell>
          <cell r="C245" t="str">
            <v>قالب تعمیری</v>
          </cell>
          <cell r="AF245">
            <v>1</v>
          </cell>
        </row>
        <row r="246">
          <cell r="B246" t="str">
            <v>اصول 5S</v>
          </cell>
          <cell r="C246" t="str">
            <v>نظافت</v>
          </cell>
          <cell r="AF246">
            <v>2</v>
          </cell>
        </row>
        <row r="247">
          <cell r="B247" t="str">
            <v>Hammer Mill Machine</v>
          </cell>
          <cell r="C247" t="str">
            <v>دستگاه نو</v>
          </cell>
          <cell r="AF247">
            <v>8</v>
          </cell>
        </row>
        <row r="248">
          <cell r="B248" t="str">
            <v>Hammer Mill Machine</v>
          </cell>
          <cell r="C248" t="str">
            <v>دستگاه نو</v>
          </cell>
          <cell r="AF248">
            <v>8</v>
          </cell>
        </row>
        <row r="249">
          <cell r="B249" t="str">
            <v>Hammer Mill Machine</v>
          </cell>
          <cell r="C249" t="str">
            <v>دستگاه نو</v>
          </cell>
          <cell r="AF249">
            <v>8</v>
          </cell>
        </row>
        <row r="250">
          <cell r="B250" t="str">
            <v>قالب پژو 405 دیسکی</v>
          </cell>
          <cell r="C250" t="str">
            <v>قالب تعمیری</v>
          </cell>
          <cell r="AF250">
            <v>7</v>
          </cell>
        </row>
        <row r="251">
          <cell r="B251" t="str">
            <v>دستگاه چسب زنی</v>
          </cell>
          <cell r="C251" t="str">
            <v>قطعه نو</v>
          </cell>
          <cell r="AF251">
            <v>1</v>
          </cell>
        </row>
        <row r="252">
          <cell r="B252" t="str">
            <v>قالب شیم پژو 405</v>
          </cell>
          <cell r="C252" t="str">
            <v>قالب تعمیری</v>
          </cell>
          <cell r="AF252">
            <v>2</v>
          </cell>
        </row>
        <row r="253">
          <cell r="B253" t="str">
            <v>قالب جلو ریو</v>
          </cell>
          <cell r="C253" t="str">
            <v>قالب تعمیری</v>
          </cell>
          <cell r="AF253">
            <v>2</v>
          </cell>
        </row>
        <row r="254">
          <cell r="B254" t="str">
            <v>قالب پخت کلاچ پژو 405</v>
          </cell>
          <cell r="C254" t="str">
            <v>قالب تعمیری</v>
          </cell>
          <cell r="AF254">
            <v>1</v>
          </cell>
        </row>
        <row r="255">
          <cell r="B255" t="str">
            <v>اصول 5S</v>
          </cell>
          <cell r="C255" t="str">
            <v>نظافت</v>
          </cell>
          <cell r="AF255">
            <v>2</v>
          </cell>
        </row>
        <row r="256">
          <cell r="B256" t="str">
            <v>قالب پخت کلاچ پژو 405</v>
          </cell>
          <cell r="C256" t="str">
            <v>قالب تعمیری</v>
          </cell>
          <cell r="AF256">
            <v>5</v>
          </cell>
        </row>
        <row r="257">
          <cell r="B257" t="str">
            <v>قالب شیم پژو 405</v>
          </cell>
          <cell r="C257" t="str">
            <v>قالب تعمیری</v>
          </cell>
          <cell r="AF257">
            <v>2</v>
          </cell>
        </row>
        <row r="258">
          <cell r="B258" t="str">
            <v>اصول 5S</v>
          </cell>
          <cell r="C258" t="str">
            <v>نظافت</v>
          </cell>
          <cell r="AF258">
            <v>1</v>
          </cell>
        </row>
        <row r="259">
          <cell r="B259" t="str">
            <v>پین عقب پژو 405</v>
          </cell>
          <cell r="C259" t="str">
            <v>قطعه نو</v>
          </cell>
          <cell r="AF259">
            <v>7.5</v>
          </cell>
        </row>
        <row r="260">
          <cell r="B260" t="str">
            <v>پخت عقب پژو 405 شمشی پایه کوتاه</v>
          </cell>
          <cell r="C260" t="str">
            <v>قالب نو</v>
          </cell>
          <cell r="AF260">
            <v>6.5</v>
          </cell>
        </row>
        <row r="261">
          <cell r="B261" t="str">
            <v>قالب پخت کلاچ پژو 405</v>
          </cell>
          <cell r="C261" t="str">
            <v>قالب تعمیری</v>
          </cell>
          <cell r="AF261">
            <v>11</v>
          </cell>
        </row>
        <row r="262">
          <cell r="B262" t="str">
            <v>قالب پخت کلاچ پیکان</v>
          </cell>
          <cell r="C262" t="str">
            <v>قالب تعمیری</v>
          </cell>
          <cell r="AF262">
            <v>11</v>
          </cell>
        </row>
        <row r="263">
          <cell r="B263" t="str">
            <v>قالب پخت کلاچ پژو 405</v>
          </cell>
          <cell r="C263" t="str">
            <v>قالب تعمیری</v>
          </cell>
          <cell r="AF263">
            <v>6</v>
          </cell>
        </row>
        <row r="264">
          <cell r="B264" t="str">
            <v>پخت کلاچ پراید</v>
          </cell>
          <cell r="C264" t="str">
            <v>قالب تعمیری</v>
          </cell>
          <cell r="AF264">
            <v>4</v>
          </cell>
        </row>
        <row r="265">
          <cell r="B265" t="str">
            <v>قالب شیم پژو 405</v>
          </cell>
          <cell r="C265" t="str">
            <v>قالب تعمیری</v>
          </cell>
          <cell r="AF265">
            <v>1</v>
          </cell>
        </row>
        <row r="266">
          <cell r="B266" t="str">
            <v>قالب عقب F12</v>
          </cell>
          <cell r="C266" t="str">
            <v>قالب تعمیری</v>
          </cell>
          <cell r="AF266">
            <v>4.5</v>
          </cell>
        </row>
        <row r="267">
          <cell r="B267" t="str">
            <v>دستگاه پشم فلز آلمانی</v>
          </cell>
          <cell r="C267" t="str">
            <v>قطعه نو</v>
          </cell>
          <cell r="AF267">
            <v>1</v>
          </cell>
        </row>
        <row r="268">
          <cell r="B268" t="str">
            <v>قالب پخت کلاچ پیکان</v>
          </cell>
          <cell r="C268" t="str">
            <v>قالب تعمیری</v>
          </cell>
          <cell r="AF268">
            <v>5.5</v>
          </cell>
        </row>
        <row r="269">
          <cell r="B269" t="str">
            <v>Hammer Mill Machine</v>
          </cell>
          <cell r="C269" t="str">
            <v>دستگاه نو</v>
          </cell>
          <cell r="AF269">
            <v>3.8333333333333335</v>
          </cell>
        </row>
        <row r="270">
          <cell r="B270" t="str">
            <v>میکس چینی</v>
          </cell>
          <cell r="C270" t="str">
            <v>قطعه نو</v>
          </cell>
          <cell r="AF270">
            <v>3.3333333333333335</v>
          </cell>
        </row>
        <row r="271">
          <cell r="B271" t="str">
            <v xml:space="preserve">دستگاه سنگ پشم فلز آلمانی </v>
          </cell>
          <cell r="C271" t="str">
            <v>قطعه تعمیری</v>
          </cell>
          <cell r="AF271">
            <v>3.8333333333333335</v>
          </cell>
        </row>
        <row r="272">
          <cell r="B272" t="str">
            <v>قالب پژو 405 دیسکی</v>
          </cell>
          <cell r="C272" t="str">
            <v>قالب تعمیری</v>
          </cell>
          <cell r="AF272">
            <v>2</v>
          </cell>
        </row>
        <row r="273">
          <cell r="B273" t="str">
            <v>پخت کلاچ پراید</v>
          </cell>
          <cell r="C273" t="str">
            <v>قالب تعمیری</v>
          </cell>
          <cell r="AF273">
            <v>4</v>
          </cell>
        </row>
        <row r="274">
          <cell r="B274" t="str">
            <v>قالب پخت کلاچ پژو 405</v>
          </cell>
          <cell r="C274" t="str">
            <v>قالب تعمیری</v>
          </cell>
          <cell r="AF274">
            <v>2</v>
          </cell>
        </row>
        <row r="275">
          <cell r="B275" t="str">
            <v>پخت عقب پژو 405 شمشی پایه کوتاه</v>
          </cell>
          <cell r="C275" t="str">
            <v>قالب نو</v>
          </cell>
          <cell r="AF275">
            <v>2</v>
          </cell>
        </row>
        <row r="276">
          <cell r="B276" t="str">
            <v>قالب جلو ریو</v>
          </cell>
          <cell r="C276" t="str">
            <v>قالب تعمیری</v>
          </cell>
          <cell r="AF276">
            <v>4</v>
          </cell>
        </row>
        <row r="277">
          <cell r="B277" t="str">
            <v>قالب جلو ریو</v>
          </cell>
          <cell r="C277" t="str">
            <v>قالب تعمیری</v>
          </cell>
          <cell r="AF277">
            <v>2</v>
          </cell>
        </row>
        <row r="278">
          <cell r="B278" t="str">
            <v>قالب شمشی عقب ریو</v>
          </cell>
          <cell r="C278" t="str">
            <v>قالب نو</v>
          </cell>
          <cell r="AF278">
            <v>1</v>
          </cell>
        </row>
        <row r="279">
          <cell r="B279" t="str">
            <v>قالب پژو 405 دیسکی</v>
          </cell>
          <cell r="C279" t="str">
            <v>قالب تعمیری</v>
          </cell>
          <cell r="AF279">
            <v>3</v>
          </cell>
        </row>
        <row r="280">
          <cell r="B280" t="str">
            <v>قالب 309 بدون سوراخ</v>
          </cell>
          <cell r="C280" t="str">
            <v>قالب تعمیری</v>
          </cell>
          <cell r="AF280">
            <v>1</v>
          </cell>
        </row>
        <row r="281">
          <cell r="B281" t="str">
            <v>قالب پخت کلاچ پیکان</v>
          </cell>
          <cell r="C281" t="str">
            <v>قالب تعمیری</v>
          </cell>
          <cell r="AF281">
            <v>11</v>
          </cell>
        </row>
        <row r="282">
          <cell r="B282" t="str">
            <v>قالب پخت کلاچ پیکان</v>
          </cell>
          <cell r="C282" t="str">
            <v>قالب تعمیری</v>
          </cell>
          <cell r="AF282">
            <v>8</v>
          </cell>
        </row>
        <row r="283">
          <cell r="B283" t="str">
            <v>قالب پخت کلاچ پیکان آرژانتینی</v>
          </cell>
          <cell r="C283" t="str">
            <v>قالب تعمیری</v>
          </cell>
          <cell r="AF283">
            <v>3</v>
          </cell>
        </row>
        <row r="284">
          <cell r="B284" t="str">
            <v>قالب پخت کلاچ پیکان</v>
          </cell>
          <cell r="C284" t="str">
            <v>قالب تعمیری</v>
          </cell>
          <cell r="AF284">
            <v>11</v>
          </cell>
        </row>
        <row r="285">
          <cell r="B285" t="str">
            <v>پخت عقب پژو 405 شمشی پایه کوتاه</v>
          </cell>
          <cell r="C285" t="str">
            <v>قالب نو</v>
          </cell>
          <cell r="AF285">
            <v>6.333333333333333</v>
          </cell>
        </row>
        <row r="286">
          <cell r="B286" t="str">
            <v>پخت عقب پژو 405 شمشی پایه کوتاه</v>
          </cell>
          <cell r="C286" t="str">
            <v>قالب نو</v>
          </cell>
          <cell r="AF286">
            <v>6.333333333333333</v>
          </cell>
        </row>
        <row r="287">
          <cell r="B287" t="str">
            <v>Hammer Mill Machine</v>
          </cell>
          <cell r="C287" t="str">
            <v>دستگاه نو</v>
          </cell>
          <cell r="AF287">
            <v>12</v>
          </cell>
        </row>
        <row r="288">
          <cell r="B288" t="str">
            <v>Hammer Mill Machine</v>
          </cell>
          <cell r="C288" t="str">
            <v>دستگاه نو</v>
          </cell>
          <cell r="AF288">
            <v>12</v>
          </cell>
        </row>
        <row r="289">
          <cell r="B289" t="str">
            <v>Hammer Mill Machine</v>
          </cell>
          <cell r="C289" t="str">
            <v>دستگاه نو</v>
          </cell>
          <cell r="AF289">
            <v>12</v>
          </cell>
        </row>
        <row r="290">
          <cell r="B290" t="str">
            <v>قالب پژو 405 دیسکی</v>
          </cell>
          <cell r="C290" t="str">
            <v>قالب تعمیری</v>
          </cell>
          <cell r="AF290">
            <v>3</v>
          </cell>
        </row>
        <row r="291">
          <cell r="B291" t="str">
            <v>ساب کلاچ</v>
          </cell>
          <cell r="C291" t="str">
            <v>قطعه نو</v>
          </cell>
          <cell r="AF291">
            <v>5</v>
          </cell>
        </row>
        <row r="292">
          <cell r="B292" t="str">
            <v>قالب پژو 405 دیسکی</v>
          </cell>
          <cell r="C292" t="str">
            <v>قالب تعمیری</v>
          </cell>
          <cell r="AF292">
            <v>4</v>
          </cell>
        </row>
        <row r="293">
          <cell r="B293" t="str">
            <v>قالب پخت کلاچ پژو 405</v>
          </cell>
          <cell r="C293" t="str">
            <v>قالب تعمیری</v>
          </cell>
          <cell r="AF293">
            <v>11</v>
          </cell>
        </row>
        <row r="294">
          <cell r="B294" t="str">
            <v>قالب پخت کلاچ پیکان</v>
          </cell>
          <cell r="C294" t="str">
            <v>قالب تعمیری</v>
          </cell>
          <cell r="AF294">
            <v>11</v>
          </cell>
        </row>
        <row r="295">
          <cell r="B295" t="str">
            <v>Hammer Mill Machine</v>
          </cell>
          <cell r="C295" t="str">
            <v>دستگاه نو</v>
          </cell>
          <cell r="AF295">
            <v>12</v>
          </cell>
        </row>
        <row r="296">
          <cell r="B296" t="str">
            <v>Hammer Mill Machine</v>
          </cell>
          <cell r="C296" t="str">
            <v>دستگاه نو</v>
          </cell>
          <cell r="AF296">
            <v>12</v>
          </cell>
        </row>
        <row r="297">
          <cell r="B297" t="str">
            <v>قالب جلو ریو</v>
          </cell>
          <cell r="C297" t="str">
            <v>قالب تعمیری</v>
          </cell>
          <cell r="AF297">
            <v>12</v>
          </cell>
        </row>
        <row r="298">
          <cell r="B298" t="str">
            <v>لنت دنیای مس</v>
          </cell>
          <cell r="C298" t="str">
            <v>قطعه نو</v>
          </cell>
          <cell r="AF298">
            <v>12</v>
          </cell>
        </row>
        <row r="299">
          <cell r="B299" t="str">
            <v>Hammer Mill Machine</v>
          </cell>
          <cell r="C299" t="str">
            <v>دستگاه نو</v>
          </cell>
          <cell r="AF299">
            <v>12</v>
          </cell>
        </row>
        <row r="300">
          <cell r="B300" t="str">
            <v>Hammer Mill Machine</v>
          </cell>
          <cell r="C300" t="str">
            <v>دستگاه نو</v>
          </cell>
          <cell r="AF300">
            <v>12</v>
          </cell>
        </row>
        <row r="301">
          <cell r="B301" t="str">
            <v>قالب جلو ریو</v>
          </cell>
          <cell r="C301" t="str">
            <v>قالب تعمیری</v>
          </cell>
          <cell r="AF301">
            <v>12</v>
          </cell>
        </row>
        <row r="302">
          <cell r="B302" t="str">
            <v>لنت دنیای مس</v>
          </cell>
          <cell r="C302" t="str">
            <v>قطعه نو</v>
          </cell>
          <cell r="AF302">
            <v>12</v>
          </cell>
        </row>
        <row r="303">
          <cell r="B303" t="str">
            <v>ویوینگ</v>
          </cell>
          <cell r="C303" t="str">
            <v>قطعه تعمیری</v>
          </cell>
          <cell r="AF303">
            <v>2.3333333333333335</v>
          </cell>
        </row>
        <row r="304">
          <cell r="B304" t="str">
            <v xml:space="preserve">دستگاه سنگ پشم فلز آلمانی </v>
          </cell>
          <cell r="C304" t="str">
            <v>قطعه نو</v>
          </cell>
          <cell r="AF304">
            <v>3.3333333333333335</v>
          </cell>
        </row>
        <row r="305">
          <cell r="B305" t="str">
            <v>دستگاه پشم فلز آلمانی</v>
          </cell>
          <cell r="C305" t="str">
            <v>قطعه نو</v>
          </cell>
          <cell r="AF305">
            <v>2</v>
          </cell>
        </row>
        <row r="306">
          <cell r="B306" t="str">
            <v>قالب جلو ریو</v>
          </cell>
          <cell r="C306" t="str">
            <v>قالب تعمیری</v>
          </cell>
          <cell r="AF306">
            <v>3.3333333333333335</v>
          </cell>
        </row>
        <row r="307">
          <cell r="B307" t="str">
            <v>ساب</v>
          </cell>
          <cell r="C307" t="str">
            <v>قطعه نو</v>
          </cell>
          <cell r="AF307">
            <v>2</v>
          </cell>
        </row>
        <row r="308">
          <cell r="B308" t="str">
            <v>دریل سوراخکاری</v>
          </cell>
          <cell r="C308" t="str">
            <v>قطعه تعمیری</v>
          </cell>
          <cell r="AF308">
            <v>2</v>
          </cell>
        </row>
        <row r="309">
          <cell r="B309" t="str">
            <v>برش جمعی عقب</v>
          </cell>
          <cell r="C309" t="str">
            <v>قطعه تعمیری</v>
          </cell>
          <cell r="AF309">
            <v>2.5</v>
          </cell>
        </row>
        <row r="310">
          <cell r="B310" t="str">
            <v>سری نقطه جوش</v>
          </cell>
          <cell r="C310" t="str">
            <v>قطعه تعمیری</v>
          </cell>
          <cell r="AF310">
            <v>3.1666666666666665</v>
          </cell>
        </row>
        <row r="311">
          <cell r="B311" t="str">
            <v>ویوینگ</v>
          </cell>
          <cell r="C311" t="str">
            <v>قطعه تعمیری</v>
          </cell>
          <cell r="AF311">
            <v>1.3333333333333333</v>
          </cell>
        </row>
        <row r="312">
          <cell r="B312" t="str">
            <v>قالب پخت کلاچ پژو 405</v>
          </cell>
          <cell r="C312" t="str">
            <v>قالب تعمیری</v>
          </cell>
          <cell r="AF312">
            <v>2</v>
          </cell>
        </row>
        <row r="313">
          <cell r="B313" t="str">
            <v>قالب پخت کلاچ پیکان</v>
          </cell>
          <cell r="C313" t="str">
            <v>قالب تعمیری</v>
          </cell>
          <cell r="AF313">
            <v>3</v>
          </cell>
        </row>
        <row r="314">
          <cell r="B314" t="str">
            <v>قالب شیم ریو</v>
          </cell>
          <cell r="C314" t="str">
            <v>قالب تعمیری</v>
          </cell>
          <cell r="AF314">
            <v>1</v>
          </cell>
        </row>
        <row r="315">
          <cell r="B315" t="str">
            <v>قالب پخت کلاچ پیکان</v>
          </cell>
          <cell r="C315" t="str">
            <v>قالب تعمیری</v>
          </cell>
          <cell r="AF315">
            <v>5</v>
          </cell>
        </row>
        <row r="316">
          <cell r="B316" t="str">
            <v>قالب شیم پژو 405</v>
          </cell>
          <cell r="C316" t="str">
            <v>قالب تعمیری</v>
          </cell>
          <cell r="AF316">
            <v>4</v>
          </cell>
        </row>
        <row r="317">
          <cell r="B317" t="str">
            <v>قالب شیم پژو 405</v>
          </cell>
          <cell r="C317" t="str">
            <v>قالب تعمیری</v>
          </cell>
          <cell r="AF317">
            <v>2</v>
          </cell>
        </row>
        <row r="318">
          <cell r="B318" t="str">
            <v>قالب جلو ریو</v>
          </cell>
          <cell r="C318" t="str">
            <v>قالب تعمیری</v>
          </cell>
          <cell r="AF318">
            <v>3</v>
          </cell>
        </row>
        <row r="319">
          <cell r="B319" t="str">
            <v>قالب جلو ریو</v>
          </cell>
          <cell r="C319" t="str">
            <v>قالب تعمیری</v>
          </cell>
          <cell r="AF319">
            <v>2</v>
          </cell>
        </row>
        <row r="320">
          <cell r="B320" t="str">
            <v>قالب پخت کلاچ پژو 405</v>
          </cell>
          <cell r="C320" t="str">
            <v>قالب تعمیری</v>
          </cell>
          <cell r="AF320">
            <v>2.5</v>
          </cell>
        </row>
        <row r="321">
          <cell r="B321" t="str">
            <v>قالب پخت کلاچ پژو 405</v>
          </cell>
          <cell r="C321" t="str">
            <v>قالب تعمیری</v>
          </cell>
          <cell r="AF321">
            <v>4</v>
          </cell>
        </row>
        <row r="322">
          <cell r="B322" t="str">
            <v>قالب پخت کلاچ پژو 405</v>
          </cell>
          <cell r="C322" t="str">
            <v>قالب تعمیری</v>
          </cell>
          <cell r="AF322">
            <v>4.5</v>
          </cell>
        </row>
        <row r="323">
          <cell r="B323" t="str">
            <v>قالب پخت کلاچ پیکان</v>
          </cell>
          <cell r="C323" t="str">
            <v>قالب تعمیری</v>
          </cell>
          <cell r="AF323">
            <v>9</v>
          </cell>
        </row>
        <row r="324">
          <cell r="B324" t="str">
            <v>قالب پخت کلاچ پیکان آرژانتینی</v>
          </cell>
          <cell r="C324" t="str">
            <v>قالب تعمیری</v>
          </cell>
          <cell r="AF324">
            <v>2</v>
          </cell>
        </row>
        <row r="325">
          <cell r="B325" t="str">
            <v>قالب پخت کلاچ پیکان آرژانتینی</v>
          </cell>
          <cell r="C325" t="str">
            <v>قالب تعمیری</v>
          </cell>
          <cell r="AF325">
            <v>5.5</v>
          </cell>
        </row>
        <row r="326">
          <cell r="B326" t="str">
            <v>پخت کلاچ پراید</v>
          </cell>
          <cell r="C326" t="str">
            <v>قالب تعمیری</v>
          </cell>
          <cell r="AF326">
            <v>5.5</v>
          </cell>
        </row>
        <row r="327">
          <cell r="B327" t="str">
            <v xml:space="preserve">دستگاه مهر زنی </v>
          </cell>
          <cell r="C327" t="str">
            <v>قطعه نو</v>
          </cell>
          <cell r="AF327">
            <v>1.5</v>
          </cell>
        </row>
        <row r="328">
          <cell r="B328" t="str">
            <v xml:space="preserve">دستگاه سنگ پشم فلز آلمانی </v>
          </cell>
          <cell r="C328" t="str">
            <v>قطعه نو</v>
          </cell>
          <cell r="AF328">
            <v>3</v>
          </cell>
        </row>
        <row r="329">
          <cell r="B329" t="str">
            <v>قالب شمشی عقب ریو</v>
          </cell>
          <cell r="C329" t="str">
            <v>قالب نو</v>
          </cell>
          <cell r="AF329">
            <v>3</v>
          </cell>
        </row>
        <row r="330">
          <cell r="B330" t="str">
            <v>قالب پخت کلاچ پژو 405</v>
          </cell>
          <cell r="C330" t="str">
            <v>قالب تعمیری</v>
          </cell>
          <cell r="AF330">
            <v>11</v>
          </cell>
        </row>
        <row r="331">
          <cell r="B331" t="str">
            <v>قالب پخت کلاچ پیکان</v>
          </cell>
          <cell r="C331" t="str">
            <v>قالب تعمیری</v>
          </cell>
          <cell r="AF331">
            <v>1.5</v>
          </cell>
        </row>
        <row r="332">
          <cell r="B332" t="str">
            <v>قالب پخت کلاچ پژو 405</v>
          </cell>
          <cell r="C332" t="str">
            <v>قالب تعمیری</v>
          </cell>
          <cell r="AF332">
            <v>1.5</v>
          </cell>
        </row>
        <row r="333">
          <cell r="B333" t="str">
            <v>قالب شمشی عقب ریو</v>
          </cell>
          <cell r="C333" t="str">
            <v>قالب نو</v>
          </cell>
          <cell r="AF333">
            <v>3</v>
          </cell>
        </row>
        <row r="334">
          <cell r="B334" t="str">
            <v>قالب پخت کلاچ پیکان آرژانتینی</v>
          </cell>
          <cell r="C334" t="str">
            <v>قالب تعمیری</v>
          </cell>
          <cell r="AF334">
            <v>1.5</v>
          </cell>
        </row>
        <row r="335">
          <cell r="B335" t="str">
            <v>پخت کلاچ پراید</v>
          </cell>
          <cell r="C335" t="str">
            <v>قالب تعمیری</v>
          </cell>
          <cell r="AF335">
            <v>1.5</v>
          </cell>
        </row>
        <row r="336">
          <cell r="B336" t="str">
            <v>قالب پخت کلاچ پیکان آرژانتینی</v>
          </cell>
          <cell r="C336" t="str">
            <v>قالب تعمیری</v>
          </cell>
          <cell r="AF336">
            <v>1.5</v>
          </cell>
        </row>
        <row r="337">
          <cell r="B337" t="str">
            <v>قالب پخت کلاچ پژو 405</v>
          </cell>
          <cell r="C337" t="str">
            <v>قالب تعمیری</v>
          </cell>
          <cell r="AF337">
            <v>11</v>
          </cell>
        </row>
        <row r="338">
          <cell r="B338" t="str">
            <v>قالب پخت کلاچ پیکان آرژانتینی</v>
          </cell>
          <cell r="C338" t="str">
            <v>قالب تعمیری</v>
          </cell>
          <cell r="AF338">
            <v>11</v>
          </cell>
        </row>
        <row r="339">
          <cell r="B339" t="str">
            <v>قالب پخت کلاچ پیکان آرژانتینی</v>
          </cell>
          <cell r="C339" t="str">
            <v>قالب تعمیری</v>
          </cell>
          <cell r="AF339">
            <v>7.5</v>
          </cell>
        </row>
        <row r="340">
          <cell r="B340" t="str">
            <v>قالب عقب F12</v>
          </cell>
          <cell r="C340" t="str">
            <v>قالب تعمیری</v>
          </cell>
          <cell r="AF340">
            <v>3.5</v>
          </cell>
        </row>
        <row r="341">
          <cell r="B341" t="str">
            <v>پخت عقب پژو 405 شمشی پایه کوتاه</v>
          </cell>
          <cell r="C341" t="str">
            <v>قالب نو</v>
          </cell>
          <cell r="AF341">
            <v>3.25</v>
          </cell>
        </row>
        <row r="342">
          <cell r="B342" t="str">
            <v>قالب پخت کلاچ پیکان</v>
          </cell>
          <cell r="C342" t="str">
            <v>قالب تعمیری</v>
          </cell>
          <cell r="AF342">
            <v>2.0833333333333335</v>
          </cell>
        </row>
        <row r="343">
          <cell r="B343" t="str">
            <v>قالب پخت کلاچ پیکان</v>
          </cell>
          <cell r="C343" t="str">
            <v>قالب تعمیری</v>
          </cell>
          <cell r="AF343">
            <v>1</v>
          </cell>
        </row>
        <row r="344">
          <cell r="B344" t="str">
            <v>قالب پخت کلاچ پژو 405</v>
          </cell>
          <cell r="C344" t="str">
            <v>قالب تعمیری</v>
          </cell>
          <cell r="AF344">
            <v>2</v>
          </cell>
        </row>
        <row r="345">
          <cell r="B345" t="str">
            <v>قالب شمشی عقب ریو</v>
          </cell>
          <cell r="C345" t="str">
            <v>قالب نو</v>
          </cell>
          <cell r="AF345">
            <v>3</v>
          </cell>
        </row>
        <row r="346">
          <cell r="B346" t="str">
            <v>پخت کلاچ پراید</v>
          </cell>
          <cell r="C346" t="str">
            <v>قالب تعمیری</v>
          </cell>
          <cell r="AF346">
            <v>1</v>
          </cell>
        </row>
        <row r="347">
          <cell r="B347" t="str">
            <v>قالب پخت کلاچ پیکان</v>
          </cell>
          <cell r="C347" t="str">
            <v>قالب تعمیری</v>
          </cell>
          <cell r="AF347">
            <v>2</v>
          </cell>
        </row>
        <row r="348">
          <cell r="B348" t="str">
            <v>قالب پخت کلاچ پژو 405</v>
          </cell>
          <cell r="C348" t="str">
            <v>قالب تعمیری</v>
          </cell>
          <cell r="AF348">
            <v>3.5</v>
          </cell>
        </row>
        <row r="349">
          <cell r="B349" t="str">
            <v>قالب پخت کلاچ پیکان</v>
          </cell>
          <cell r="C349" t="str">
            <v>قالب تعمیری</v>
          </cell>
          <cell r="AF349">
            <v>4</v>
          </cell>
        </row>
        <row r="350">
          <cell r="B350" t="str">
            <v>قالب پخت کلاچ پیکان</v>
          </cell>
          <cell r="C350" t="str">
            <v>قالب تعمیری</v>
          </cell>
          <cell r="AF350">
            <v>3.5</v>
          </cell>
        </row>
        <row r="351">
          <cell r="B351" t="str">
            <v>قالب پخت کلاچ پژو 405</v>
          </cell>
          <cell r="C351" t="str">
            <v>قالب تعمیری</v>
          </cell>
          <cell r="AF351">
            <v>8</v>
          </cell>
        </row>
        <row r="352">
          <cell r="B352" t="str">
            <v>قالب پخت کلاچ پیکان آرژانتینی</v>
          </cell>
          <cell r="C352" t="str">
            <v>قالب تعمیری</v>
          </cell>
          <cell r="AF352">
            <v>3</v>
          </cell>
        </row>
        <row r="353">
          <cell r="B353" t="str">
            <v>برش جمعی جدید</v>
          </cell>
          <cell r="C353" t="str">
            <v>قطعه نو</v>
          </cell>
          <cell r="AF353">
            <v>3</v>
          </cell>
        </row>
        <row r="354">
          <cell r="B354" t="str">
            <v>پین عقب پژو 405</v>
          </cell>
          <cell r="C354" t="str">
            <v>قطعه نو</v>
          </cell>
          <cell r="AF354">
            <v>7.5</v>
          </cell>
        </row>
        <row r="355">
          <cell r="B355" t="str">
            <v>آغشته کاری</v>
          </cell>
          <cell r="C355" t="str">
            <v>قطعه تعمیری</v>
          </cell>
          <cell r="AF355">
            <v>2</v>
          </cell>
        </row>
        <row r="356">
          <cell r="B356" t="str">
            <v>ویوینگ</v>
          </cell>
          <cell r="C356" t="str">
            <v>قطعه تعمیری</v>
          </cell>
          <cell r="AF356">
            <v>2</v>
          </cell>
        </row>
        <row r="357">
          <cell r="B357" t="str">
            <v>ابزار زنی</v>
          </cell>
          <cell r="C357" t="str">
            <v>قطعه تعمیری</v>
          </cell>
          <cell r="AF357">
            <v>2.5</v>
          </cell>
        </row>
        <row r="358">
          <cell r="B358" t="str">
            <v>آغشته کاری</v>
          </cell>
          <cell r="C358" t="str">
            <v>قطعه تعمیری</v>
          </cell>
          <cell r="AF358">
            <v>2</v>
          </cell>
        </row>
        <row r="359">
          <cell r="B359" t="str">
            <v>سری نقطه جوش</v>
          </cell>
          <cell r="C359" t="str">
            <v>قطعه تعمیری</v>
          </cell>
          <cell r="AF359">
            <v>2.5</v>
          </cell>
        </row>
        <row r="360">
          <cell r="B360" t="str">
            <v>قالب پخت کلاچ پژو 405</v>
          </cell>
          <cell r="C360" t="str">
            <v>قالب تعمیری</v>
          </cell>
          <cell r="AF360">
            <v>1.6666666666666667</v>
          </cell>
        </row>
        <row r="361">
          <cell r="B361" t="str">
            <v>قالب پخت کلاچ پژو 405</v>
          </cell>
          <cell r="C361" t="str">
            <v>قالب تعمیری</v>
          </cell>
          <cell r="AF361">
            <v>9.3333333333333339</v>
          </cell>
        </row>
        <row r="362">
          <cell r="B362" t="str">
            <v>پین عقب پژو 405</v>
          </cell>
          <cell r="C362" t="str">
            <v>قطعه نو</v>
          </cell>
          <cell r="AF362">
            <v>7.5</v>
          </cell>
        </row>
        <row r="363">
          <cell r="B363" t="str">
            <v>پین عقب پژو 405</v>
          </cell>
          <cell r="C363" t="str">
            <v>قطعه نو</v>
          </cell>
          <cell r="AF363">
            <v>7.5</v>
          </cell>
        </row>
        <row r="364">
          <cell r="B364" t="str">
            <v>قالب پخت کلاچ پیکان</v>
          </cell>
          <cell r="C364" t="str">
            <v>قالب تعمیری</v>
          </cell>
          <cell r="AF364">
            <v>3.25</v>
          </cell>
        </row>
        <row r="365">
          <cell r="B365" t="str">
            <v>قالب عقب F12</v>
          </cell>
          <cell r="C365" t="str">
            <v>قالب تعمیری</v>
          </cell>
          <cell r="AF365">
            <v>3.25</v>
          </cell>
        </row>
        <row r="366">
          <cell r="B366" t="str">
            <v>قالب پخت کلاچ پژو 405</v>
          </cell>
          <cell r="C366" t="str">
            <v>قالب تعمیری</v>
          </cell>
          <cell r="AF366">
            <v>5.5</v>
          </cell>
        </row>
        <row r="367">
          <cell r="B367" t="str">
            <v>قالب پخت کلاچ پیکان آرژانتینی</v>
          </cell>
          <cell r="C367" t="str">
            <v>قالب تعمیری</v>
          </cell>
          <cell r="AF367">
            <v>5.5</v>
          </cell>
        </row>
        <row r="368">
          <cell r="B368" t="str">
            <v>پخت کلاچ پراید</v>
          </cell>
          <cell r="C368" t="str">
            <v>قالب تعمیری</v>
          </cell>
          <cell r="AF368">
            <v>5.5</v>
          </cell>
        </row>
        <row r="369">
          <cell r="B369" t="str">
            <v>اصول 5S</v>
          </cell>
          <cell r="C369" t="str">
            <v>نظافت</v>
          </cell>
          <cell r="AF369">
            <v>2</v>
          </cell>
        </row>
        <row r="370">
          <cell r="B370" t="str">
            <v>اصول 5S</v>
          </cell>
          <cell r="C370" t="str">
            <v>نظافت</v>
          </cell>
          <cell r="AF370">
            <v>2</v>
          </cell>
        </row>
        <row r="371">
          <cell r="B371" t="str">
            <v>دستگاه پخ زنی</v>
          </cell>
          <cell r="C371" t="str">
            <v>دستگاه تعمیری</v>
          </cell>
          <cell r="AF371">
            <v>3</v>
          </cell>
        </row>
        <row r="372">
          <cell r="B372" t="str">
            <v>قالب پژو 405 دیسکی</v>
          </cell>
          <cell r="C372" t="str">
            <v>قالب تعمیری</v>
          </cell>
          <cell r="AF372">
            <v>1</v>
          </cell>
        </row>
        <row r="373">
          <cell r="B373" t="str">
            <v>پخت کلاچ پراید</v>
          </cell>
          <cell r="C373" t="str">
            <v>قالب تعمیری</v>
          </cell>
          <cell r="AF373">
            <v>9.5</v>
          </cell>
        </row>
        <row r="374">
          <cell r="B374" t="str">
            <v>پخت کلاچ پراید</v>
          </cell>
          <cell r="C374" t="str">
            <v>قالب تعمیری</v>
          </cell>
          <cell r="AF374">
            <v>6.5</v>
          </cell>
        </row>
        <row r="375">
          <cell r="B375" t="str">
            <v>پخت کلاچ پراید</v>
          </cell>
          <cell r="C375" t="str">
            <v>قالب تعمیری</v>
          </cell>
          <cell r="AF375">
            <v>4.5</v>
          </cell>
        </row>
        <row r="376">
          <cell r="B376" t="str">
            <v>آسیاب پشم فلز</v>
          </cell>
          <cell r="C376" t="str">
            <v>قطعه تعمیری</v>
          </cell>
          <cell r="AF376">
            <v>2.5</v>
          </cell>
        </row>
        <row r="377">
          <cell r="B377" t="str">
            <v>قالب پخت کلاچ پژو 405</v>
          </cell>
          <cell r="C377" t="str">
            <v>قالب تعمیری</v>
          </cell>
          <cell r="AF377">
            <v>4</v>
          </cell>
        </row>
        <row r="378">
          <cell r="B378" t="str">
            <v>پخت کلاچ پراید</v>
          </cell>
          <cell r="C378" t="str">
            <v>قالب تعمیری</v>
          </cell>
          <cell r="AF378">
            <v>3.5</v>
          </cell>
        </row>
        <row r="379">
          <cell r="B379" t="str">
            <v>پخت کلاچ پراید</v>
          </cell>
          <cell r="C379" t="str">
            <v>قالب تعمیری</v>
          </cell>
          <cell r="AF379">
            <v>3</v>
          </cell>
        </row>
        <row r="380">
          <cell r="B380" t="str">
            <v>اصول 5S</v>
          </cell>
          <cell r="C380" t="str">
            <v>نظافت</v>
          </cell>
          <cell r="AF380">
            <v>1</v>
          </cell>
        </row>
        <row r="381">
          <cell r="B381" t="str">
            <v>قالب پخت کلاچ پژو 405</v>
          </cell>
          <cell r="C381" t="str">
            <v>قالب تعمیری</v>
          </cell>
          <cell r="AF381">
            <v>1.5</v>
          </cell>
        </row>
        <row r="382">
          <cell r="B382" t="str">
            <v>پخت مترو K</v>
          </cell>
          <cell r="C382" t="str">
            <v>قالب تعمیری</v>
          </cell>
          <cell r="AF382">
            <v>1.1666666666666667</v>
          </cell>
        </row>
        <row r="383">
          <cell r="B383" t="str">
            <v>پخت مترو K</v>
          </cell>
          <cell r="C383" t="str">
            <v>قالب تعمیری</v>
          </cell>
          <cell r="AF383">
            <v>1.1666666666666667</v>
          </cell>
        </row>
        <row r="384">
          <cell r="B384" t="str">
            <v>پخت مترو K</v>
          </cell>
          <cell r="C384" t="str">
            <v>قالب تعمیری</v>
          </cell>
          <cell r="AF384">
            <v>1.1666666666666667</v>
          </cell>
        </row>
        <row r="385">
          <cell r="B385" t="str">
            <v>اصول 5S</v>
          </cell>
          <cell r="C385" t="str">
            <v>نظافت</v>
          </cell>
          <cell r="AF385">
            <v>3</v>
          </cell>
        </row>
        <row r="386">
          <cell r="B386" t="str">
            <v>عقب بنز 74</v>
          </cell>
          <cell r="C386" t="str">
            <v>قالب تعمیری</v>
          </cell>
          <cell r="AF386">
            <v>1</v>
          </cell>
        </row>
        <row r="387">
          <cell r="B387" t="str">
            <v>عقب بنز 74</v>
          </cell>
          <cell r="C387" t="str">
            <v>قالب تعمیری</v>
          </cell>
          <cell r="AF387">
            <v>1</v>
          </cell>
        </row>
        <row r="388">
          <cell r="B388" t="str">
            <v>عقب بنز 74</v>
          </cell>
          <cell r="C388" t="str">
            <v>قالب تعمیری</v>
          </cell>
          <cell r="AF388">
            <v>4</v>
          </cell>
        </row>
        <row r="389">
          <cell r="B389" t="str">
            <v>قالب شیم پژو 405</v>
          </cell>
          <cell r="C389" t="str">
            <v>قالب تعمیری</v>
          </cell>
          <cell r="AF389">
            <v>1</v>
          </cell>
        </row>
        <row r="390">
          <cell r="B390" t="str">
            <v>اصول 5S</v>
          </cell>
          <cell r="C390" t="str">
            <v>نظافت</v>
          </cell>
          <cell r="AF390">
            <v>1</v>
          </cell>
        </row>
        <row r="391">
          <cell r="B391" t="str">
            <v>قالب پخت کلاچ پیکان آرژانتینی</v>
          </cell>
          <cell r="C391" t="str">
            <v>قالب تعمیری</v>
          </cell>
          <cell r="AF391">
            <v>9</v>
          </cell>
        </row>
        <row r="392">
          <cell r="B392" t="str">
            <v>قالب شیم پژو 405</v>
          </cell>
          <cell r="C392" t="str">
            <v>قالب تعمیری</v>
          </cell>
          <cell r="AF392">
            <v>1</v>
          </cell>
        </row>
        <row r="393">
          <cell r="B393" t="str">
            <v>قالب پخت کلاچ پژو 405</v>
          </cell>
          <cell r="C393" t="str">
            <v>قالب تعمیری</v>
          </cell>
          <cell r="AF393">
            <v>1</v>
          </cell>
        </row>
        <row r="394">
          <cell r="B394" t="str">
            <v>قالب پخت کلاچ پیکان آرژانتینی</v>
          </cell>
          <cell r="C394" t="str">
            <v>قالب تعمیری</v>
          </cell>
          <cell r="AF394">
            <v>4</v>
          </cell>
        </row>
        <row r="395">
          <cell r="B395" t="str">
            <v>قالب پخت کلاچ پژو 405</v>
          </cell>
          <cell r="C395" t="str">
            <v>قالب تعمیری</v>
          </cell>
          <cell r="AF395">
            <v>2</v>
          </cell>
        </row>
        <row r="396">
          <cell r="B396" t="str">
            <v>اصول 5S</v>
          </cell>
          <cell r="C396" t="str">
            <v>نظافت</v>
          </cell>
          <cell r="AF396">
            <v>2</v>
          </cell>
        </row>
        <row r="397">
          <cell r="B397" t="str">
            <v>ویوینگ</v>
          </cell>
          <cell r="C397" t="str">
            <v>قطعه تعمیری</v>
          </cell>
          <cell r="AF397">
            <v>2</v>
          </cell>
        </row>
        <row r="398">
          <cell r="B398" t="str">
            <v>پخت مترو K</v>
          </cell>
          <cell r="C398" t="str">
            <v>قالب تعمیری</v>
          </cell>
          <cell r="AF398">
            <v>2</v>
          </cell>
        </row>
        <row r="399">
          <cell r="B399" t="str">
            <v>دستگاه پشم فلز</v>
          </cell>
          <cell r="C399" t="str">
            <v>قطعه تعمیری</v>
          </cell>
          <cell r="AF399">
            <v>2</v>
          </cell>
        </row>
        <row r="400">
          <cell r="B400" t="str">
            <v>ابزار زنی</v>
          </cell>
          <cell r="C400" t="str">
            <v>قطعه تعمیری</v>
          </cell>
          <cell r="AF400">
            <v>2</v>
          </cell>
        </row>
        <row r="401">
          <cell r="B401" t="str">
            <v>Hammer Mill Machine</v>
          </cell>
          <cell r="C401" t="str">
            <v>دستگاه نو</v>
          </cell>
          <cell r="AF401">
            <v>3</v>
          </cell>
        </row>
        <row r="402">
          <cell r="B402" t="str">
            <v>Hammer Mill Machine</v>
          </cell>
          <cell r="C402" t="str">
            <v>دستگاه نو</v>
          </cell>
          <cell r="AF402">
            <v>6.5</v>
          </cell>
        </row>
        <row r="403">
          <cell r="B403" t="str">
            <v>اصول 5S</v>
          </cell>
          <cell r="C403" t="str">
            <v>نظافت</v>
          </cell>
          <cell r="AF403">
            <v>1</v>
          </cell>
        </row>
        <row r="404">
          <cell r="B404" t="str">
            <v>قالب عقب F12</v>
          </cell>
          <cell r="C404" t="str">
            <v>قالب تعمیری</v>
          </cell>
          <cell r="AF404">
            <v>7.5</v>
          </cell>
        </row>
        <row r="405">
          <cell r="B405" t="str">
            <v>Hammer Mill Machine</v>
          </cell>
          <cell r="C405" t="str">
            <v>دستگاه نو</v>
          </cell>
          <cell r="AF405">
            <v>8</v>
          </cell>
        </row>
        <row r="406">
          <cell r="B406" t="str">
            <v>Hammer Mill Machine</v>
          </cell>
          <cell r="C406" t="str">
            <v>دستگاه نو</v>
          </cell>
          <cell r="AF406">
            <v>8</v>
          </cell>
        </row>
        <row r="407">
          <cell r="B407" t="str">
            <v>تسمه تست کششی</v>
          </cell>
          <cell r="C407" t="str">
            <v>قطعه نو</v>
          </cell>
          <cell r="AF407">
            <v>8</v>
          </cell>
        </row>
        <row r="408">
          <cell r="B408" t="str">
            <v>لنت دنیای مس</v>
          </cell>
          <cell r="C408" t="str">
            <v>قطعه نو</v>
          </cell>
          <cell r="AF408">
            <v>8</v>
          </cell>
        </row>
        <row r="409">
          <cell r="B409" t="str">
            <v>پین عقب پژو 405</v>
          </cell>
          <cell r="C409" t="str">
            <v>قطعه نو</v>
          </cell>
          <cell r="AF409">
            <v>7.5</v>
          </cell>
        </row>
        <row r="410">
          <cell r="B410" t="str">
            <v>قالب پخت کلاچ پژو 405</v>
          </cell>
          <cell r="C410" t="str">
            <v>قالب تعمیری</v>
          </cell>
          <cell r="AF410">
            <v>2</v>
          </cell>
        </row>
        <row r="411">
          <cell r="B411" t="str">
            <v>دستگاه ساب کلاچ</v>
          </cell>
          <cell r="C411" t="str">
            <v>قطعه تعمیری</v>
          </cell>
          <cell r="AF411">
            <v>9</v>
          </cell>
        </row>
        <row r="412">
          <cell r="B412" t="str">
            <v>قالب عقب F12</v>
          </cell>
          <cell r="C412" t="str">
            <v>قالب تعمیری</v>
          </cell>
          <cell r="AF412">
            <v>4</v>
          </cell>
        </row>
        <row r="413">
          <cell r="B413" t="str">
            <v>آسیاب پشم فلز</v>
          </cell>
          <cell r="C413" t="str">
            <v>قطعه تعمیری</v>
          </cell>
          <cell r="AF413">
            <v>1</v>
          </cell>
        </row>
        <row r="414">
          <cell r="B414" t="str">
            <v>قالب پخت کلاچ پژو 405</v>
          </cell>
          <cell r="C414" t="str">
            <v>قالب تعمیری</v>
          </cell>
          <cell r="AF414">
            <v>1.5</v>
          </cell>
        </row>
        <row r="415">
          <cell r="B415" t="str">
            <v>قالب عقب F12</v>
          </cell>
          <cell r="C415" t="str">
            <v>قالب تعمیری</v>
          </cell>
          <cell r="AF415">
            <v>4.5</v>
          </cell>
        </row>
        <row r="416">
          <cell r="B416" t="str">
            <v>قالب شیم پژو 405</v>
          </cell>
          <cell r="C416" t="str">
            <v>قالب تعمیری</v>
          </cell>
          <cell r="AF416">
            <v>6.5</v>
          </cell>
        </row>
        <row r="417">
          <cell r="B417" t="str">
            <v>قالب پخت کلاچ پیکان آرژانتینی</v>
          </cell>
          <cell r="C417" t="str">
            <v>قالب تعمیری</v>
          </cell>
          <cell r="AF417">
            <v>5</v>
          </cell>
        </row>
        <row r="418">
          <cell r="B418" t="str">
            <v>قالب پخت کلاچ پژو 405</v>
          </cell>
          <cell r="C418" t="str">
            <v>قالب تعمیری</v>
          </cell>
          <cell r="AF418">
            <v>5</v>
          </cell>
        </row>
        <row r="419">
          <cell r="B419" t="str">
            <v>سری نقطه جوش</v>
          </cell>
          <cell r="C419" t="str">
            <v>قطعه تعمیری</v>
          </cell>
          <cell r="AF419">
            <v>1</v>
          </cell>
        </row>
        <row r="420">
          <cell r="B420" t="str">
            <v>پخت کلاچ پراید</v>
          </cell>
          <cell r="C420" t="str">
            <v>قالب تعمیری</v>
          </cell>
          <cell r="AF420">
            <v>8.1666666666666661</v>
          </cell>
        </row>
        <row r="421">
          <cell r="B421" t="str">
            <v>قالب پخت کلاچ پیکان</v>
          </cell>
          <cell r="C421" t="str">
            <v>قالب تعمیری</v>
          </cell>
          <cell r="AF421">
            <v>2.5</v>
          </cell>
        </row>
        <row r="422">
          <cell r="B422" t="str">
            <v>قالب پخت کلاچ پژو 405</v>
          </cell>
          <cell r="C422" t="str">
            <v>قالب تعمیری</v>
          </cell>
          <cell r="AF422">
            <v>6</v>
          </cell>
        </row>
        <row r="423">
          <cell r="B423" t="str">
            <v>گیوتین 50 تن</v>
          </cell>
          <cell r="C423" t="str">
            <v>دستگاه تعمیری</v>
          </cell>
          <cell r="AF423">
            <v>3</v>
          </cell>
        </row>
        <row r="424">
          <cell r="B424" t="str">
            <v>قالب پخت کلاچ پیکان</v>
          </cell>
          <cell r="C424" t="str">
            <v>قالب تعمیری</v>
          </cell>
          <cell r="AF424">
            <v>2</v>
          </cell>
        </row>
        <row r="425">
          <cell r="B425" t="str">
            <v>قالب شمشی عقب ریو</v>
          </cell>
          <cell r="C425" t="str">
            <v>قالب نو</v>
          </cell>
          <cell r="AF425">
            <v>2</v>
          </cell>
        </row>
        <row r="426">
          <cell r="B426" t="str">
            <v>پخت عقب پژو 405 شمشی پایه کوتاه</v>
          </cell>
          <cell r="C426" t="str">
            <v>قالب نو</v>
          </cell>
          <cell r="AF426">
            <v>4</v>
          </cell>
        </row>
        <row r="427">
          <cell r="B427" t="str">
            <v>پخت کلاچ پژو 206 TU5</v>
          </cell>
          <cell r="C427" t="str">
            <v>قالب تعمیری</v>
          </cell>
          <cell r="AF427">
            <v>4</v>
          </cell>
        </row>
        <row r="428">
          <cell r="B428" t="str">
            <v>دستگاه پشم فلز</v>
          </cell>
          <cell r="C428" t="str">
            <v>قطعه نو</v>
          </cell>
          <cell r="AF428">
            <v>3</v>
          </cell>
        </row>
        <row r="429">
          <cell r="B429" t="str">
            <v>دستگاه پشم فلز</v>
          </cell>
          <cell r="C429" t="str">
            <v>قطعه نو</v>
          </cell>
          <cell r="AF429">
            <v>2</v>
          </cell>
        </row>
        <row r="430">
          <cell r="B430" t="str">
            <v>دستگاه پشم فلز</v>
          </cell>
          <cell r="C430" t="str">
            <v>قطعه نو</v>
          </cell>
          <cell r="AF430">
            <v>2</v>
          </cell>
        </row>
        <row r="431">
          <cell r="B431" t="str">
            <v>عقب بنز 74</v>
          </cell>
          <cell r="C431" t="str">
            <v>قالب تعمیری</v>
          </cell>
          <cell r="AF431">
            <v>2</v>
          </cell>
        </row>
        <row r="432">
          <cell r="B432" t="str">
            <v>عقب بنز 74</v>
          </cell>
          <cell r="C432" t="str">
            <v>قالب تعمیری</v>
          </cell>
          <cell r="AF432">
            <v>1</v>
          </cell>
        </row>
        <row r="433">
          <cell r="B433" t="str">
            <v>پخت کلاچ پژو 206 TU5</v>
          </cell>
          <cell r="C433" t="str">
            <v>قالب تعمیری</v>
          </cell>
          <cell r="AF433">
            <v>1</v>
          </cell>
        </row>
        <row r="434">
          <cell r="B434" t="str">
            <v>پخت کلاچ پژو 206 TU5</v>
          </cell>
          <cell r="C434" t="str">
            <v>قالب تعمیری</v>
          </cell>
          <cell r="AF434">
            <v>4</v>
          </cell>
        </row>
        <row r="435">
          <cell r="B435" t="str">
            <v>دستگاه پشم فلز</v>
          </cell>
          <cell r="C435" t="str">
            <v>قطعه نو</v>
          </cell>
          <cell r="AF435">
            <v>1</v>
          </cell>
        </row>
        <row r="436">
          <cell r="B436" t="str">
            <v>دستگاه پشم فلز</v>
          </cell>
          <cell r="C436" t="str">
            <v>قطعه نو</v>
          </cell>
          <cell r="AF436">
            <v>1</v>
          </cell>
        </row>
        <row r="437">
          <cell r="B437" t="str">
            <v>قالب شمشی عقب ریو</v>
          </cell>
          <cell r="C437" t="str">
            <v>قالب نو</v>
          </cell>
          <cell r="AF437">
            <v>1</v>
          </cell>
        </row>
        <row r="438">
          <cell r="B438" t="str">
            <v>Hammer Mill Machine</v>
          </cell>
          <cell r="C438" t="str">
            <v>دستگاه نو</v>
          </cell>
          <cell r="AF438">
            <v>11</v>
          </cell>
        </row>
        <row r="439">
          <cell r="B439" t="str">
            <v>Hammer Mill Machine</v>
          </cell>
          <cell r="C439" t="str">
            <v>دستگاه نو</v>
          </cell>
          <cell r="AF439">
            <v>11</v>
          </cell>
        </row>
        <row r="440">
          <cell r="B440" t="str">
            <v>لنت دنیای مس</v>
          </cell>
          <cell r="C440" t="str">
            <v>قطعه نو</v>
          </cell>
          <cell r="AF440">
            <v>11</v>
          </cell>
        </row>
        <row r="441">
          <cell r="B441" t="str">
            <v>قلم پین پژو 405</v>
          </cell>
          <cell r="C441" t="str">
            <v>قطعه تعمیری</v>
          </cell>
          <cell r="AF441">
            <v>2</v>
          </cell>
        </row>
        <row r="442">
          <cell r="B442" t="str">
            <v>قلم پین L90</v>
          </cell>
          <cell r="C442" t="str">
            <v>قطعه تعمیری</v>
          </cell>
          <cell r="AF442">
            <v>2</v>
          </cell>
        </row>
        <row r="443">
          <cell r="B443" t="str">
            <v xml:space="preserve">دستگاه مهر زنی </v>
          </cell>
          <cell r="C443" t="str">
            <v>قطعه نو</v>
          </cell>
          <cell r="AF443">
            <v>1</v>
          </cell>
        </row>
        <row r="444">
          <cell r="B444" t="str">
            <v>دستگاه پشم فلز</v>
          </cell>
          <cell r="C444" t="str">
            <v>قطعه نو</v>
          </cell>
          <cell r="AF444">
            <v>6</v>
          </cell>
        </row>
        <row r="445">
          <cell r="B445" t="str">
            <v>قالب پخت کلاچ پیکان</v>
          </cell>
          <cell r="C445" t="str">
            <v>قالب تعمیری</v>
          </cell>
          <cell r="AF445">
            <v>7.5</v>
          </cell>
        </row>
        <row r="446">
          <cell r="B446" t="str">
            <v>قالب عقب F12</v>
          </cell>
          <cell r="C446" t="str">
            <v>قالب تعمیری</v>
          </cell>
          <cell r="AF446">
            <v>6.333333333333333</v>
          </cell>
        </row>
        <row r="447">
          <cell r="B447" t="str">
            <v>قالب پخت کلاچ پژو 405</v>
          </cell>
          <cell r="C447" t="str">
            <v>قالب تعمیری</v>
          </cell>
          <cell r="AF447">
            <v>9</v>
          </cell>
        </row>
        <row r="448">
          <cell r="B448" t="str">
            <v>قالب شیم پژو 405</v>
          </cell>
          <cell r="C448" t="str">
            <v>قالب تعمیری</v>
          </cell>
          <cell r="AF448">
            <v>5.5</v>
          </cell>
        </row>
        <row r="449">
          <cell r="B449" t="str">
            <v>قالب شیم ریو</v>
          </cell>
          <cell r="C449" t="str">
            <v>قالب تعمیری</v>
          </cell>
          <cell r="AF449">
            <v>5.5</v>
          </cell>
        </row>
        <row r="450">
          <cell r="B450" t="str">
            <v>Hammer Mill Machine</v>
          </cell>
          <cell r="C450" t="str">
            <v>دستگاه نو</v>
          </cell>
          <cell r="AF450">
            <v>8</v>
          </cell>
        </row>
        <row r="451">
          <cell r="B451" t="str">
            <v>ویوینگ</v>
          </cell>
          <cell r="C451" t="str">
            <v>قطعه تعمیری</v>
          </cell>
          <cell r="AF451">
            <v>3</v>
          </cell>
        </row>
        <row r="452">
          <cell r="B452" t="str">
            <v>قالب پخت کلاچ پژو 405</v>
          </cell>
          <cell r="C452" t="str">
            <v>قالب تعمیری</v>
          </cell>
          <cell r="AF452">
            <v>11</v>
          </cell>
        </row>
        <row r="453">
          <cell r="B453" t="str">
            <v>قالب پخت کلاچ پژو 405</v>
          </cell>
          <cell r="C453" t="str">
            <v>قالب تعمیری</v>
          </cell>
          <cell r="AF453">
            <v>5.5</v>
          </cell>
        </row>
        <row r="454">
          <cell r="B454" t="str">
            <v>CNC 7203</v>
          </cell>
          <cell r="C454" t="str">
            <v>دستگاه تعمیری</v>
          </cell>
          <cell r="AF454">
            <v>5.5</v>
          </cell>
        </row>
        <row r="455">
          <cell r="B455" t="str">
            <v>CNC 7204</v>
          </cell>
          <cell r="C455" t="str">
            <v>دستگاه تعمیری</v>
          </cell>
          <cell r="AF455">
            <v>5.5</v>
          </cell>
        </row>
        <row r="456">
          <cell r="B456" t="str">
            <v>ساب کونیک</v>
          </cell>
          <cell r="C456" t="str">
            <v>قطعه نو</v>
          </cell>
          <cell r="AF456">
            <v>5.5</v>
          </cell>
        </row>
        <row r="457">
          <cell r="B457" t="str">
            <v>پین عقب پژو 405</v>
          </cell>
          <cell r="C457" t="str">
            <v>قطعه نو</v>
          </cell>
          <cell r="AF457">
            <v>7.5</v>
          </cell>
        </row>
        <row r="458">
          <cell r="B458" t="str">
            <v>ساب کونیک</v>
          </cell>
          <cell r="C458" t="str">
            <v>قطعه نو</v>
          </cell>
          <cell r="AF458">
            <v>3.5</v>
          </cell>
        </row>
        <row r="459">
          <cell r="B459" t="str">
            <v>پین عقب پژو 405</v>
          </cell>
          <cell r="C459" t="str">
            <v>قطعه نو</v>
          </cell>
          <cell r="AF459">
            <v>3.5</v>
          </cell>
        </row>
        <row r="460">
          <cell r="B460" t="str">
            <v>برش جمعی عقب</v>
          </cell>
          <cell r="C460" t="str">
            <v>قطعه تعمیری</v>
          </cell>
          <cell r="AF460">
            <v>2</v>
          </cell>
        </row>
        <row r="461">
          <cell r="B461" t="str">
            <v>ابزار زنی</v>
          </cell>
          <cell r="C461" t="str">
            <v>قطعه تعمیری</v>
          </cell>
          <cell r="AF461">
            <v>1.5</v>
          </cell>
        </row>
        <row r="462">
          <cell r="B462" t="str">
            <v>ویوینگ</v>
          </cell>
          <cell r="C462" t="str">
            <v>قطعه نو</v>
          </cell>
          <cell r="AF462">
            <v>1.5</v>
          </cell>
        </row>
        <row r="463">
          <cell r="B463" t="str">
            <v>ویوینگ</v>
          </cell>
          <cell r="C463" t="str">
            <v>قطعه نو</v>
          </cell>
          <cell r="AF463">
            <v>1.5</v>
          </cell>
        </row>
        <row r="464">
          <cell r="B464" t="str">
            <v>ویوینگ</v>
          </cell>
          <cell r="C464" t="str">
            <v>قطعه نو</v>
          </cell>
          <cell r="AF464">
            <v>2</v>
          </cell>
        </row>
        <row r="465">
          <cell r="B465" t="str">
            <v xml:space="preserve">دستگاه سنگ پشم فلز آلمانی </v>
          </cell>
          <cell r="C465" t="str">
            <v>قطعه نو</v>
          </cell>
          <cell r="AF465">
            <v>2</v>
          </cell>
        </row>
        <row r="466">
          <cell r="B466" t="str">
            <v>قالب پخت کلاچ پژو 405</v>
          </cell>
          <cell r="C466" t="str">
            <v>قالب تعمیری</v>
          </cell>
          <cell r="AF466">
            <v>1</v>
          </cell>
        </row>
        <row r="467">
          <cell r="B467" t="str">
            <v>عقب بنز 74</v>
          </cell>
          <cell r="C467" t="str">
            <v>قالب تعمیری</v>
          </cell>
          <cell r="AF467">
            <v>2</v>
          </cell>
        </row>
        <row r="468">
          <cell r="B468" t="str">
            <v>پخت عقب پژو 405 شمشی پایه کوتاه</v>
          </cell>
          <cell r="C468" t="str">
            <v>قالب نو</v>
          </cell>
          <cell r="AF468">
            <v>2</v>
          </cell>
        </row>
        <row r="469">
          <cell r="B469" t="str">
            <v>قالب پخت کلاچ پژو 405</v>
          </cell>
          <cell r="C469" t="str">
            <v>قالب تعمیری</v>
          </cell>
          <cell r="AF469">
            <v>3</v>
          </cell>
        </row>
        <row r="470">
          <cell r="B470" t="str">
            <v>قالب جلو ریو</v>
          </cell>
          <cell r="C470" t="str">
            <v>قالب تعمیری</v>
          </cell>
          <cell r="AF470">
            <v>2</v>
          </cell>
        </row>
        <row r="471">
          <cell r="B471" t="str">
            <v>عقب بنز 74</v>
          </cell>
          <cell r="C471" t="str">
            <v>قالب تعمیری</v>
          </cell>
          <cell r="AF471">
            <v>2</v>
          </cell>
        </row>
        <row r="472">
          <cell r="B472" t="str">
            <v>عقب بنز 74</v>
          </cell>
          <cell r="C472" t="str">
            <v>قالب تعمیری</v>
          </cell>
          <cell r="AF472">
            <v>2</v>
          </cell>
        </row>
        <row r="473">
          <cell r="B473" t="str">
            <v>ویوینگ</v>
          </cell>
          <cell r="C473" t="str">
            <v>قطعه نو</v>
          </cell>
          <cell r="AF473">
            <v>1.5</v>
          </cell>
        </row>
        <row r="474">
          <cell r="B474" t="str">
            <v>ویوینگ</v>
          </cell>
          <cell r="C474" t="str">
            <v>قطعه نو</v>
          </cell>
          <cell r="AF474">
            <v>1</v>
          </cell>
        </row>
        <row r="475">
          <cell r="B475" t="str">
            <v>قالب پخت کلاچ پژو 405</v>
          </cell>
          <cell r="C475" t="str">
            <v>قالب تعمیری</v>
          </cell>
          <cell r="AF475">
            <v>1</v>
          </cell>
        </row>
        <row r="476">
          <cell r="B476" t="str">
            <v>قالب پخت کلاچ پژو 405</v>
          </cell>
          <cell r="C476" t="str">
            <v>قالب تعمیری</v>
          </cell>
          <cell r="AF476">
            <v>1</v>
          </cell>
        </row>
        <row r="477">
          <cell r="B477" t="str">
            <v>Hammer Mill Machine</v>
          </cell>
          <cell r="C477" t="str">
            <v>دستگاه نو</v>
          </cell>
          <cell r="AF477">
            <v>12</v>
          </cell>
        </row>
        <row r="478">
          <cell r="B478" t="str">
            <v>Hammer Mill Machine</v>
          </cell>
          <cell r="C478" t="str">
            <v>دستگاه نو</v>
          </cell>
          <cell r="AF478">
            <v>12</v>
          </cell>
        </row>
        <row r="479">
          <cell r="B479" t="str">
            <v>برش توری BPW تاجدار</v>
          </cell>
          <cell r="C479" t="str">
            <v>قالب تعمیری</v>
          </cell>
          <cell r="AF479">
            <v>12</v>
          </cell>
        </row>
        <row r="480">
          <cell r="B480" t="str">
            <v>برش توری BPW تاجدار</v>
          </cell>
          <cell r="C480" t="str">
            <v>قالب تعمیری</v>
          </cell>
          <cell r="AF480">
            <v>8</v>
          </cell>
        </row>
        <row r="481">
          <cell r="B481" t="str">
            <v>قالب شمشی عقب ریو</v>
          </cell>
          <cell r="C481" t="str">
            <v>قالب نو</v>
          </cell>
          <cell r="AF481">
            <v>4</v>
          </cell>
        </row>
        <row r="482">
          <cell r="B482" t="str">
            <v>قالب پخت کلاچ پژو 405</v>
          </cell>
          <cell r="C482" t="str">
            <v>قالب تعمیری</v>
          </cell>
          <cell r="AF482">
            <v>3.6666666666666665</v>
          </cell>
        </row>
        <row r="483">
          <cell r="B483" t="str">
            <v>پخت کلاچ پراید</v>
          </cell>
          <cell r="C483" t="str">
            <v>قالب تعمیری</v>
          </cell>
          <cell r="AF483">
            <v>3.6666666666666665</v>
          </cell>
        </row>
        <row r="484">
          <cell r="B484" t="str">
            <v>پخت کلاچ پراید</v>
          </cell>
          <cell r="C484" t="str">
            <v>قالب تعمیری</v>
          </cell>
          <cell r="AF484">
            <v>3.6666666666666665</v>
          </cell>
        </row>
        <row r="485">
          <cell r="B485" t="str">
            <v>قالب پخت کلاچ پیکان</v>
          </cell>
          <cell r="C485" t="str">
            <v>قالب تعمیری</v>
          </cell>
          <cell r="AF485">
            <v>6</v>
          </cell>
        </row>
        <row r="486">
          <cell r="B486" t="str">
            <v>قالب عقب F12</v>
          </cell>
          <cell r="C486" t="str">
            <v>قالب تعمیری</v>
          </cell>
          <cell r="AF486">
            <v>4.5</v>
          </cell>
        </row>
        <row r="487">
          <cell r="B487" t="str">
            <v>قالب پخت کلاچ پژو 405</v>
          </cell>
          <cell r="C487" t="str">
            <v>قالب تعمیری</v>
          </cell>
          <cell r="AF487">
            <v>2.5</v>
          </cell>
        </row>
        <row r="488">
          <cell r="B488" t="str">
            <v>پخت عقب پژو 405 شمشی پایه کوتاه</v>
          </cell>
          <cell r="C488" t="str">
            <v>قالب نو</v>
          </cell>
          <cell r="AF488">
            <v>4.833333333333333</v>
          </cell>
        </row>
        <row r="489">
          <cell r="B489" t="str">
            <v>قالب پخت کلاچ پیکان</v>
          </cell>
          <cell r="C489" t="str">
            <v>قالب تعمیری</v>
          </cell>
          <cell r="AF489">
            <v>3.5</v>
          </cell>
        </row>
        <row r="490">
          <cell r="B490" t="str">
            <v>پخت کلاچ پراید</v>
          </cell>
          <cell r="C490" t="str">
            <v>قالب تعمیری</v>
          </cell>
          <cell r="AF490">
            <v>6.5</v>
          </cell>
        </row>
        <row r="491">
          <cell r="B491" t="str">
            <v>قالب شیم ریو</v>
          </cell>
          <cell r="C491" t="str">
            <v>قالب تعمیری</v>
          </cell>
          <cell r="AF491">
            <v>4.5</v>
          </cell>
        </row>
        <row r="492">
          <cell r="B492" t="str">
            <v>دستگاه پشم فلز آلمانی</v>
          </cell>
          <cell r="C492" t="str">
            <v>قطعه نو</v>
          </cell>
          <cell r="AF492">
            <v>6.5</v>
          </cell>
        </row>
        <row r="493">
          <cell r="B493" t="str">
            <v>قالب شمشی عقب ریو</v>
          </cell>
          <cell r="C493" t="str">
            <v>قالب نو</v>
          </cell>
          <cell r="AF493">
            <v>6.333333333333333</v>
          </cell>
        </row>
        <row r="494">
          <cell r="B494" t="str">
            <v>دستگاه پشم فلز</v>
          </cell>
          <cell r="C494" t="str">
            <v>قطعه نو</v>
          </cell>
          <cell r="AF494">
            <v>2</v>
          </cell>
        </row>
        <row r="495">
          <cell r="B495" t="str">
            <v>Hammer Mill Machine</v>
          </cell>
          <cell r="C495" t="str">
            <v>دستگاه نو</v>
          </cell>
          <cell r="AF495">
            <v>8</v>
          </cell>
        </row>
        <row r="496">
          <cell r="B496" t="str">
            <v>قالب پخت کلاچ پژو 405</v>
          </cell>
          <cell r="C496" t="str">
            <v>قالب تعمیری</v>
          </cell>
          <cell r="AF496">
            <v>3.5</v>
          </cell>
        </row>
        <row r="497">
          <cell r="B497" t="str">
            <v>قالب پخت کلاچ پژو 405</v>
          </cell>
          <cell r="C497" t="str">
            <v>قالب تعمیری</v>
          </cell>
          <cell r="AF497">
            <v>4.5</v>
          </cell>
        </row>
        <row r="498">
          <cell r="B498" t="str">
            <v>قالب شمشی عقب ریو</v>
          </cell>
          <cell r="C498" t="str">
            <v>قالب نو</v>
          </cell>
          <cell r="AF498">
            <v>3</v>
          </cell>
        </row>
        <row r="499">
          <cell r="B499" t="str">
            <v>دستگاه پرس پخت</v>
          </cell>
          <cell r="C499" t="str">
            <v>قطعه تعمیری</v>
          </cell>
          <cell r="AF499">
            <v>2</v>
          </cell>
        </row>
        <row r="500">
          <cell r="B500" t="str">
            <v>دستگاه پرس پخت</v>
          </cell>
          <cell r="C500" t="str">
            <v>قطعه تعمیری</v>
          </cell>
          <cell r="AF500">
            <v>6</v>
          </cell>
        </row>
        <row r="501">
          <cell r="B501" t="str">
            <v>قالب پخت کلاچ پژو 405</v>
          </cell>
          <cell r="C501" t="str">
            <v>قالب تعمیری</v>
          </cell>
          <cell r="AF501">
            <v>5</v>
          </cell>
        </row>
        <row r="502">
          <cell r="B502" t="str">
            <v>لنت دنیای مس</v>
          </cell>
          <cell r="C502" t="str">
            <v>قطعه نو</v>
          </cell>
          <cell r="AF502">
            <v>1</v>
          </cell>
        </row>
        <row r="503">
          <cell r="B503" t="str">
            <v>قالب برشی SAF</v>
          </cell>
          <cell r="C503" t="str">
            <v>قالب تعمیری</v>
          </cell>
          <cell r="AF503">
            <v>1</v>
          </cell>
        </row>
        <row r="504">
          <cell r="B504" t="str">
            <v>قالب برشی SAF</v>
          </cell>
          <cell r="C504" t="str">
            <v>قالب تعمیری</v>
          </cell>
          <cell r="AF504">
            <v>1</v>
          </cell>
        </row>
        <row r="505">
          <cell r="B505" t="str">
            <v>پخت کلاچ پراید</v>
          </cell>
          <cell r="C505" t="str">
            <v>قالب تعمیری</v>
          </cell>
          <cell r="AF505">
            <v>3</v>
          </cell>
        </row>
        <row r="506">
          <cell r="B506" t="str">
            <v>قالب شمشی عقب ریو</v>
          </cell>
          <cell r="C506" t="str">
            <v>قالب نو</v>
          </cell>
          <cell r="AF506">
            <v>3</v>
          </cell>
        </row>
        <row r="507">
          <cell r="B507" t="str">
            <v>قالب برشی SAF</v>
          </cell>
          <cell r="C507" t="str">
            <v>قالب تعمیری</v>
          </cell>
          <cell r="AF507">
            <v>2</v>
          </cell>
        </row>
        <row r="508">
          <cell r="B508" t="str">
            <v>قالب پژو 405 دیسکی</v>
          </cell>
          <cell r="C508" t="str">
            <v>قالب تعمیری</v>
          </cell>
          <cell r="AF508">
            <v>3</v>
          </cell>
        </row>
        <row r="509">
          <cell r="B509" t="str">
            <v>دستگاه پرس پخت</v>
          </cell>
          <cell r="C509" t="str">
            <v>قطعه تعمیری</v>
          </cell>
          <cell r="AF509">
            <v>3</v>
          </cell>
        </row>
        <row r="510">
          <cell r="B510" t="str">
            <v>برش توری BPW تاجدار</v>
          </cell>
          <cell r="C510" t="str">
            <v>قالب تعمیری</v>
          </cell>
          <cell r="AF510">
            <v>12</v>
          </cell>
        </row>
        <row r="511">
          <cell r="B511" t="str">
            <v>Hammer Mill Machine</v>
          </cell>
          <cell r="C511" t="str">
            <v>دستگاه نو</v>
          </cell>
          <cell r="AF511">
            <v>12</v>
          </cell>
        </row>
        <row r="512">
          <cell r="B512" t="str">
            <v>Hammer Mill Machine</v>
          </cell>
          <cell r="C512" t="str">
            <v>دستگاه نو</v>
          </cell>
          <cell r="AF512">
            <v>12</v>
          </cell>
        </row>
        <row r="513">
          <cell r="B513" t="str">
            <v>تیغ فرز</v>
          </cell>
          <cell r="C513" t="str">
            <v>قطعه تعمیری</v>
          </cell>
          <cell r="AF513">
            <v>5</v>
          </cell>
        </row>
        <row r="514">
          <cell r="B514" t="str">
            <v>قالب پژو 405 دیسکی</v>
          </cell>
          <cell r="C514" t="str">
            <v>قالب تعمیری</v>
          </cell>
          <cell r="AF514">
            <v>4</v>
          </cell>
        </row>
        <row r="515">
          <cell r="B515" t="str">
            <v>ویوینگ</v>
          </cell>
          <cell r="C515" t="str">
            <v>قطعه تعمیری</v>
          </cell>
          <cell r="AF515">
            <v>2</v>
          </cell>
        </row>
        <row r="516">
          <cell r="B516" t="str">
            <v>ویوینگ</v>
          </cell>
          <cell r="C516" t="str">
            <v>قطعه نو</v>
          </cell>
          <cell r="AF516">
            <v>1</v>
          </cell>
        </row>
        <row r="517">
          <cell r="B517" t="str">
            <v>ویوینگ</v>
          </cell>
          <cell r="C517" t="str">
            <v>قطعه تعمیری</v>
          </cell>
          <cell r="AF517">
            <v>7.5</v>
          </cell>
        </row>
        <row r="518">
          <cell r="B518" t="str">
            <v>لنت فولاد خراسان</v>
          </cell>
          <cell r="C518" t="str">
            <v>قطعه تعمیری</v>
          </cell>
          <cell r="AF518">
            <v>4.95</v>
          </cell>
        </row>
        <row r="519">
          <cell r="B519" t="str">
            <v>قالب پخت کلاچ پژو 405</v>
          </cell>
          <cell r="C519" t="str">
            <v>قالب تعمیری</v>
          </cell>
          <cell r="AF519">
            <v>2.75</v>
          </cell>
        </row>
        <row r="520">
          <cell r="B520" t="str">
            <v>قالب پخت کلاچ پژو 405</v>
          </cell>
          <cell r="C520" t="str">
            <v>قالب تعمیری</v>
          </cell>
          <cell r="AF520">
            <v>2.75</v>
          </cell>
        </row>
        <row r="521">
          <cell r="B521" t="str">
            <v>قالب پخت کلاچ پژو 405</v>
          </cell>
          <cell r="C521" t="str">
            <v>قالب تعمیری</v>
          </cell>
          <cell r="AF521">
            <v>2.75</v>
          </cell>
        </row>
        <row r="522">
          <cell r="B522" t="str">
            <v>پخت کلاچ پراید</v>
          </cell>
          <cell r="C522" t="str">
            <v>قالب تعمیری</v>
          </cell>
          <cell r="AF522">
            <v>2.75</v>
          </cell>
        </row>
        <row r="523">
          <cell r="B523" t="str">
            <v>دستگاه پشم فلز آلمانی</v>
          </cell>
          <cell r="C523" t="str">
            <v>قطعه نو</v>
          </cell>
          <cell r="AF523">
            <v>11</v>
          </cell>
        </row>
        <row r="524">
          <cell r="B524" t="str">
            <v>قالب شمشی عقب ریو</v>
          </cell>
          <cell r="C524" t="str">
            <v>قالب نو</v>
          </cell>
          <cell r="AF524">
            <v>4</v>
          </cell>
        </row>
        <row r="525">
          <cell r="B525" t="str">
            <v>دستگاه پشم فلز آلمانی</v>
          </cell>
          <cell r="C525" t="str">
            <v>قطعه نو</v>
          </cell>
          <cell r="AF525">
            <v>3.3333333333333335</v>
          </cell>
        </row>
        <row r="526">
          <cell r="B526" t="str">
            <v>پخت کلاچ پراید</v>
          </cell>
          <cell r="C526" t="str">
            <v>قالب تعمیری</v>
          </cell>
          <cell r="AF526">
            <v>7</v>
          </cell>
        </row>
        <row r="527">
          <cell r="B527" t="str">
            <v>صفحه قالب 50*50</v>
          </cell>
          <cell r="C527" t="str">
            <v>قالب تعمیری</v>
          </cell>
          <cell r="AF527">
            <v>4</v>
          </cell>
        </row>
        <row r="528">
          <cell r="B528" t="str">
            <v>قالب پخت کلاچ پژو 405</v>
          </cell>
          <cell r="C528" t="str">
            <v>قالب تعمیری</v>
          </cell>
          <cell r="AF528">
            <v>4.5</v>
          </cell>
        </row>
        <row r="529">
          <cell r="B529" t="str">
            <v>قالب پخت کلاچ پیکان آرژانتینی</v>
          </cell>
          <cell r="C529" t="str">
            <v>قالب تعمیری</v>
          </cell>
          <cell r="AF529">
            <v>4.5</v>
          </cell>
        </row>
        <row r="530">
          <cell r="B530" t="str">
            <v>قالب پخت کلاچ پیکان</v>
          </cell>
          <cell r="C530" t="str">
            <v>قالب تعمیری</v>
          </cell>
          <cell r="AF530">
            <v>2</v>
          </cell>
        </row>
        <row r="531">
          <cell r="B531" t="str">
            <v>ویوینگ</v>
          </cell>
          <cell r="C531" t="str">
            <v>قطعه نو</v>
          </cell>
          <cell r="AF531">
            <v>5</v>
          </cell>
        </row>
        <row r="532">
          <cell r="B532" t="str">
            <v>کولر</v>
          </cell>
          <cell r="C532" t="str">
            <v>قطعه تعمیری</v>
          </cell>
          <cell r="AF532">
            <v>2</v>
          </cell>
        </row>
        <row r="533">
          <cell r="B533" t="str">
            <v>پرس پخت</v>
          </cell>
          <cell r="C533" t="str">
            <v>قطعه نو</v>
          </cell>
          <cell r="AF533">
            <v>4</v>
          </cell>
        </row>
        <row r="534">
          <cell r="B534" t="str">
            <v>Hammer Mill Machine</v>
          </cell>
          <cell r="C534" t="str">
            <v>دستگاه نو</v>
          </cell>
          <cell r="AF534">
            <v>12</v>
          </cell>
        </row>
        <row r="535">
          <cell r="B535" t="str">
            <v>Hammer Mill Machine</v>
          </cell>
          <cell r="C535" t="str">
            <v>دستگاه نو</v>
          </cell>
          <cell r="AF535">
            <v>12</v>
          </cell>
        </row>
        <row r="536">
          <cell r="B536" t="str">
            <v>قالب جلو ریو</v>
          </cell>
          <cell r="C536" t="str">
            <v>قالب تعمیری</v>
          </cell>
          <cell r="AF536">
            <v>12</v>
          </cell>
        </row>
        <row r="537">
          <cell r="B537" t="str">
            <v>لنت دنیای مس</v>
          </cell>
          <cell r="C537" t="str">
            <v>قطعه نو</v>
          </cell>
          <cell r="AF537">
            <v>12</v>
          </cell>
        </row>
        <row r="538">
          <cell r="B538" t="str">
            <v>قالب پخت کلاچ پژو 405</v>
          </cell>
          <cell r="C538" t="str">
            <v>قالب تعمیری</v>
          </cell>
          <cell r="AF538">
            <v>11</v>
          </cell>
        </row>
        <row r="539">
          <cell r="B539" t="str">
            <v>قالب پخت کلاچ پیکان آرژانتینی</v>
          </cell>
          <cell r="C539" t="str">
            <v>قالب تعمیری</v>
          </cell>
          <cell r="AF539">
            <v>11</v>
          </cell>
        </row>
        <row r="540">
          <cell r="B540" t="str">
            <v>قالب پخت کلاچ پیکان</v>
          </cell>
          <cell r="C540" t="str">
            <v>قالب تعمیری</v>
          </cell>
          <cell r="AF540">
            <v>11</v>
          </cell>
        </row>
        <row r="541">
          <cell r="B541" t="str">
            <v>قالب شمشی عقب ریو</v>
          </cell>
          <cell r="C541" t="str">
            <v>قالب نو</v>
          </cell>
          <cell r="AF541">
            <v>3</v>
          </cell>
        </row>
        <row r="542">
          <cell r="B542" t="str">
            <v>کولر</v>
          </cell>
          <cell r="C542" t="str">
            <v>دستگاه تعمیری</v>
          </cell>
          <cell r="AF542">
            <v>3</v>
          </cell>
        </row>
        <row r="543">
          <cell r="B543" t="str">
            <v>کولر</v>
          </cell>
          <cell r="C543" t="str">
            <v>دستگاه تعمیری</v>
          </cell>
          <cell r="AF543">
            <v>3</v>
          </cell>
        </row>
        <row r="544">
          <cell r="B544" t="str">
            <v>کولر</v>
          </cell>
          <cell r="C544" t="str">
            <v>قطعه تعمیری</v>
          </cell>
          <cell r="AF544">
            <v>1.5</v>
          </cell>
        </row>
        <row r="545">
          <cell r="B545" t="str">
            <v>شمش پراید</v>
          </cell>
          <cell r="C545" t="str">
            <v>قالب نو</v>
          </cell>
          <cell r="AF545">
            <v>1.5</v>
          </cell>
        </row>
        <row r="546">
          <cell r="B546" t="str">
            <v>قالب شمشی عقب ریو</v>
          </cell>
          <cell r="C546" t="str">
            <v>قالب نو</v>
          </cell>
          <cell r="AF546">
            <v>5</v>
          </cell>
        </row>
        <row r="547">
          <cell r="B547" t="str">
            <v>ویوینگ</v>
          </cell>
          <cell r="C547" t="str">
            <v>قطعه نو</v>
          </cell>
          <cell r="AF547">
            <v>2</v>
          </cell>
        </row>
        <row r="548">
          <cell r="B548" t="str">
            <v>پخت عقب پژو 405 شمشی پایه کوتاه</v>
          </cell>
          <cell r="C548" t="str">
            <v>قالب نو</v>
          </cell>
          <cell r="AF548">
            <v>11</v>
          </cell>
        </row>
        <row r="549">
          <cell r="B549" t="str">
            <v>پخت عقب پژو 405 شمشی پایه کوتاه</v>
          </cell>
          <cell r="C549" t="str">
            <v>قالب نو</v>
          </cell>
          <cell r="AF549">
            <v>11</v>
          </cell>
        </row>
        <row r="550">
          <cell r="B550" t="str">
            <v>دستگاه پشم فلز آلمانی</v>
          </cell>
          <cell r="C550" t="str">
            <v>قطعه نو</v>
          </cell>
          <cell r="AF550">
            <v>11</v>
          </cell>
        </row>
        <row r="551">
          <cell r="B551" t="str">
            <v>دستگاه پشم فلز آلمانی</v>
          </cell>
          <cell r="C551" t="str">
            <v>قطعه نو</v>
          </cell>
          <cell r="AF551">
            <v>2.8333333333333335</v>
          </cell>
        </row>
        <row r="552">
          <cell r="B552" t="str">
            <v>قالب عقب F12</v>
          </cell>
          <cell r="C552" t="str">
            <v>قالب نو</v>
          </cell>
          <cell r="AF552">
            <v>3.5</v>
          </cell>
        </row>
        <row r="553">
          <cell r="B553" t="str">
            <v>قالب عقب F12</v>
          </cell>
          <cell r="C553" t="str">
            <v>قالب نو</v>
          </cell>
          <cell r="AF553">
            <v>3.5</v>
          </cell>
        </row>
        <row r="554">
          <cell r="B554" t="str">
            <v>قالب عقب F12</v>
          </cell>
          <cell r="C554" t="str">
            <v>قالب نو</v>
          </cell>
          <cell r="AF554">
            <v>7.5</v>
          </cell>
        </row>
        <row r="555">
          <cell r="B555" t="str">
            <v>قالب پخت کلاچ پیکان</v>
          </cell>
          <cell r="C555" t="str">
            <v>قالب تعمیری</v>
          </cell>
          <cell r="AF555">
            <v>2.5</v>
          </cell>
        </row>
        <row r="556">
          <cell r="B556" t="str">
            <v>قالب پخت کلاچ پیکان</v>
          </cell>
          <cell r="C556" t="str">
            <v>قالب تعمیری</v>
          </cell>
          <cell r="AF556">
            <v>8.5</v>
          </cell>
        </row>
        <row r="557">
          <cell r="B557" t="str">
            <v>صفحه قالب 50*50</v>
          </cell>
          <cell r="C557" t="str">
            <v>قالب تعمیری</v>
          </cell>
          <cell r="AF557">
            <v>7</v>
          </cell>
        </row>
        <row r="558">
          <cell r="B558" t="str">
            <v>قالب پراید خاردار</v>
          </cell>
          <cell r="C558" t="str">
            <v>قالب تعمیری</v>
          </cell>
          <cell r="AF558">
            <v>3</v>
          </cell>
        </row>
        <row r="559">
          <cell r="B559" t="str">
            <v>قالب جلو ریو</v>
          </cell>
          <cell r="C559" t="str">
            <v>قالب تعمیری</v>
          </cell>
          <cell r="AF559">
            <v>1</v>
          </cell>
        </row>
        <row r="560">
          <cell r="B560" t="str">
            <v>برش جمعی عقب</v>
          </cell>
          <cell r="C560" t="str">
            <v>قطعه تعمیری</v>
          </cell>
          <cell r="AF560">
            <v>2</v>
          </cell>
        </row>
        <row r="561">
          <cell r="B561" t="str">
            <v>سری نقطه جوش</v>
          </cell>
          <cell r="C561" t="str">
            <v>قطعه تعمیری</v>
          </cell>
          <cell r="AF561">
            <v>4</v>
          </cell>
        </row>
        <row r="562">
          <cell r="B562" t="str">
            <v>پخت کلاچ پراید</v>
          </cell>
          <cell r="C562" t="str">
            <v>قالب تعمیری</v>
          </cell>
          <cell r="AF562">
            <v>2.5</v>
          </cell>
        </row>
        <row r="563">
          <cell r="B563" t="str">
            <v>قالب پخت کلاچ پیکان</v>
          </cell>
          <cell r="C563" t="str">
            <v>قالب تعمیری</v>
          </cell>
          <cell r="AF563">
            <v>2.5</v>
          </cell>
        </row>
        <row r="564">
          <cell r="B564" t="str">
            <v>Hammer Mill Machine</v>
          </cell>
          <cell r="C564" t="str">
            <v>دستگاه نو</v>
          </cell>
          <cell r="AF564">
            <v>12</v>
          </cell>
        </row>
        <row r="565">
          <cell r="B565" t="str">
            <v>Hammer Mill Machine</v>
          </cell>
          <cell r="C565" t="str">
            <v>دستگاه نو</v>
          </cell>
          <cell r="AF565">
            <v>12</v>
          </cell>
        </row>
        <row r="566">
          <cell r="B566" t="str">
            <v>قالب پژو 405 دیسکی</v>
          </cell>
          <cell r="C566" t="str">
            <v>قالب تعمیری</v>
          </cell>
          <cell r="AF566">
            <v>8</v>
          </cell>
        </row>
        <row r="567">
          <cell r="B567" t="str">
            <v>آغشته کاری</v>
          </cell>
          <cell r="C567" t="str">
            <v>قطعه تعمیری</v>
          </cell>
          <cell r="AF567">
            <v>1</v>
          </cell>
        </row>
        <row r="568">
          <cell r="B568" t="str">
            <v>برش جمعی عقب</v>
          </cell>
          <cell r="C568" t="str">
            <v>قطعه تعمیری</v>
          </cell>
          <cell r="AF568">
            <v>1</v>
          </cell>
        </row>
        <row r="569">
          <cell r="B569" t="str">
            <v>کولر</v>
          </cell>
          <cell r="C569" t="str">
            <v>قطعه تعمیری</v>
          </cell>
          <cell r="AF569">
            <v>1</v>
          </cell>
        </row>
        <row r="570">
          <cell r="B570" t="str">
            <v>لنت دنیای مس</v>
          </cell>
          <cell r="C570" t="str">
            <v>قطعه نو</v>
          </cell>
          <cell r="AF570">
            <v>12</v>
          </cell>
        </row>
        <row r="571">
          <cell r="B571" t="str">
            <v>قالب پخت کلاچ پیکان آرژانتینی</v>
          </cell>
          <cell r="C571" t="str">
            <v>قالب تعمیری</v>
          </cell>
          <cell r="AF571">
            <v>11</v>
          </cell>
        </row>
        <row r="572">
          <cell r="B572" t="str">
            <v>پرس پخت</v>
          </cell>
          <cell r="C572" t="str">
            <v>قطعه نو</v>
          </cell>
          <cell r="AF572">
            <v>2</v>
          </cell>
        </row>
        <row r="573">
          <cell r="B573" t="str">
            <v>پرس پخت</v>
          </cell>
          <cell r="C573" t="str">
            <v>قطعه نو</v>
          </cell>
          <cell r="AF573">
            <v>2</v>
          </cell>
        </row>
        <row r="574">
          <cell r="B574" t="str">
            <v>پرس پخت</v>
          </cell>
          <cell r="C574" t="str">
            <v>قطعه نو</v>
          </cell>
          <cell r="AF574">
            <v>2</v>
          </cell>
        </row>
        <row r="575">
          <cell r="B575" t="str">
            <v>ویوینگ</v>
          </cell>
          <cell r="C575" t="str">
            <v>قطعه تعمیری</v>
          </cell>
          <cell r="AF575">
            <v>2</v>
          </cell>
        </row>
        <row r="576">
          <cell r="B576" t="str">
            <v>آغشته کاری</v>
          </cell>
          <cell r="C576" t="str">
            <v>قطعه تعمیری</v>
          </cell>
          <cell r="AF576">
            <v>2</v>
          </cell>
        </row>
        <row r="577">
          <cell r="B577" t="str">
            <v>قالب پخت کلاچ پیکان آرژانتینی</v>
          </cell>
          <cell r="C577" t="str">
            <v>قالب تعمیری</v>
          </cell>
          <cell r="AF577">
            <v>2</v>
          </cell>
        </row>
        <row r="578">
          <cell r="B578" t="str">
            <v>قالب پخت کلاچ پیکان</v>
          </cell>
          <cell r="C578" t="str">
            <v>قالب تعمیری</v>
          </cell>
          <cell r="AF578">
            <v>1</v>
          </cell>
        </row>
        <row r="579">
          <cell r="B579" t="str">
            <v>قالب پخت کلاچ پیکان</v>
          </cell>
          <cell r="C579" t="str">
            <v>قالب تعمیری</v>
          </cell>
          <cell r="AF579">
            <v>5</v>
          </cell>
        </row>
        <row r="580">
          <cell r="B580" t="str">
            <v>قالب پخت کلاچ پیکان</v>
          </cell>
          <cell r="C580" t="str">
            <v>قالب تعمیری</v>
          </cell>
          <cell r="AF580">
            <v>1</v>
          </cell>
        </row>
        <row r="581">
          <cell r="B581" t="str">
            <v>قالب عقب F12</v>
          </cell>
          <cell r="C581" t="str">
            <v>قالب نو</v>
          </cell>
          <cell r="AF581">
            <v>1.5</v>
          </cell>
        </row>
        <row r="582">
          <cell r="B582" t="str">
            <v>قالب پخت کلاچ پیکان</v>
          </cell>
          <cell r="C582" t="str">
            <v>قالب تعمیری</v>
          </cell>
          <cell r="AF582">
            <v>1</v>
          </cell>
        </row>
        <row r="583">
          <cell r="B583" t="str">
            <v>قالب پخت کلاچ پیکان</v>
          </cell>
          <cell r="C583" t="str">
            <v>قالب تعمیری</v>
          </cell>
          <cell r="AF583">
            <v>5</v>
          </cell>
        </row>
        <row r="584">
          <cell r="B584" t="str">
            <v>قالب پخت کلاچ پیکان</v>
          </cell>
          <cell r="C584" t="str">
            <v>قالب تعمیری</v>
          </cell>
          <cell r="AF584">
            <v>1</v>
          </cell>
        </row>
        <row r="585">
          <cell r="B585" t="str">
            <v>قالب عقب F12</v>
          </cell>
          <cell r="C585" t="str">
            <v>قالب نو</v>
          </cell>
          <cell r="AF585">
            <v>1.5</v>
          </cell>
        </row>
        <row r="586">
          <cell r="B586" t="str">
            <v>پرس 160 تن</v>
          </cell>
          <cell r="C586" t="str">
            <v>دستگاه تعمیری</v>
          </cell>
          <cell r="AF586">
            <v>7.5</v>
          </cell>
        </row>
        <row r="587">
          <cell r="B587" t="str">
            <v>قالب اکسپرس</v>
          </cell>
          <cell r="C587" t="str">
            <v>قالب تعمیری</v>
          </cell>
          <cell r="AF587">
            <v>7.5</v>
          </cell>
        </row>
        <row r="588">
          <cell r="B588" t="str">
            <v>قالب پخت کلاچ پژو 405</v>
          </cell>
          <cell r="C588" t="str">
            <v>قالب تعمیری</v>
          </cell>
          <cell r="AF588">
            <v>7.5</v>
          </cell>
        </row>
        <row r="589">
          <cell r="B589" t="str">
            <v>دستگاه پشم فلز آلمانی</v>
          </cell>
          <cell r="C589" t="str">
            <v>قطعه نو</v>
          </cell>
          <cell r="AF589">
            <v>6.5</v>
          </cell>
        </row>
        <row r="590">
          <cell r="B590" t="str">
            <v>اصول 5S</v>
          </cell>
          <cell r="C590" t="str">
            <v>نظافت</v>
          </cell>
          <cell r="AF590">
            <v>1</v>
          </cell>
        </row>
        <row r="591">
          <cell r="B591" t="str">
            <v>دستگاه ساب کلاچ</v>
          </cell>
          <cell r="C591" t="str">
            <v>قطعه تعمیری</v>
          </cell>
          <cell r="AF591">
            <v>6.5</v>
          </cell>
        </row>
        <row r="592">
          <cell r="B592" t="str">
            <v>اصول 5S</v>
          </cell>
          <cell r="C592" t="str">
            <v>نظافت</v>
          </cell>
          <cell r="AF592">
            <v>1</v>
          </cell>
        </row>
        <row r="593">
          <cell r="B593" t="str">
            <v>قالب پخت کلاچ پیکان</v>
          </cell>
          <cell r="C593" t="str">
            <v>قالب تعمیری</v>
          </cell>
          <cell r="AF593">
            <v>4</v>
          </cell>
        </row>
        <row r="594">
          <cell r="B594" t="str">
            <v>قالب پخت کلاچ پیکان</v>
          </cell>
          <cell r="C594" t="str">
            <v>قالب تعمیری</v>
          </cell>
          <cell r="AF594">
            <v>2</v>
          </cell>
        </row>
        <row r="595">
          <cell r="B595" t="str">
            <v>اصول 5S</v>
          </cell>
          <cell r="C595" t="str">
            <v>نظافت</v>
          </cell>
          <cell r="AF595">
            <v>1.5</v>
          </cell>
        </row>
        <row r="596">
          <cell r="B596" t="str">
            <v>قالب جلو ریو</v>
          </cell>
          <cell r="C596" t="str">
            <v>قالب تعمیری</v>
          </cell>
          <cell r="AF596">
            <v>2</v>
          </cell>
        </row>
        <row r="597">
          <cell r="B597" t="str">
            <v>قالب پخت کلاچ پیکان</v>
          </cell>
          <cell r="C597" t="str">
            <v>قالب تعمیری</v>
          </cell>
          <cell r="AF597">
            <v>4</v>
          </cell>
        </row>
        <row r="598">
          <cell r="B598" t="str">
            <v>اصول 5S</v>
          </cell>
          <cell r="C598" t="str">
            <v>نظافت</v>
          </cell>
          <cell r="AF598">
            <v>1</v>
          </cell>
        </row>
        <row r="599">
          <cell r="B599" t="str">
            <v>قالب پخت کلاچ پیکان آرژانتینی</v>
          </cell>
          <cell r="C599" t="str">
            <v>قالب تعمیری</v>
          </cell>
          <cell r="AF599">
            <v>2</v>
          </cell>
        </row>
        <row r="600">
          <cell r="B600" t="str">
            <v>ابزار زنی</v>
          </cell>
          <cell r="C600" t="str">
            <v>قطعه نو</v>
          </cell>
          <cell r="AF600">
            <v>4</v>
          </cell>
        </row>
        <row r="601">
          <cell r="B601" t="str">
            <v>اصول 5S</v>
          </cell>
          <cell r="C601" t="str">
            <v>نظافت</v>
          </cell>
          <cell r="AF601">
            <v>1</v>
          </cell>
        </row>
        <row r="602">
          <cell r="B602" t="str">
            <v>قالب پخت کلاچ پیکان</v>
          </cell>
          <cell r="C602" t="str">
            <v>قالب تعمیری</v>
          </cell>
          <cell r="AF602">
            <v>2</v>
          </cell>
        </row>
        <row r="603">
          <cell r="B603" t="str">
            <v>قالب عقب F12</v>
          </cell>
          <cell r="C603" t="str">
            <v>قالب نو</v>
          </cell>
          <cell r="AF603">
            <v>4</v>
          </cell>
        </row>
        <row r="604">
          <cell r="B604" t="str">
            <v>اصول 5S</v>
          </cell>
          <cell r="C604" t="str">
            <v>نظافت</v>
          </cell>
          <cell r="AF604">
            <v>1</v>
          </cell>
        </row>
        <row r="605">
          <cell r="B605" t="str">
            <v>قالب پژو 405 دیسکی</v>
          </cell>
          <cell r="C605" t="str">
            <v>قالب تعمیری</v>
          </cell>
          <cell r="AF605">
            <v>2</v>
          </cell>
        </row>
        <row r="606">
          <cell r="B606" t="str">
            <v>قالب پراید خاردار</v>
          </cell>
          <cell r="C606" t="str">
            <v>قالب تعمیری</v>
          </cell>
          <cell r="AF606">
            <v>2</v>
          </cell>
        </row>
        <row r="607">
          <cell r="B607" t="str">
            <v>قالب پراید خاردار</v>
          </cell>
          <cell r="C607" t="str">
            <v>قالب تعمیری</v>
          </cell>
          <cell r="AF607">
            <v>2</v>
          </cell>
        </row>
        <row r="608">
          <cell r="B608" t="str">
            <v>پخت عقب پژو 405 شمشی پایه کوتاه</v>
          </cell>
          <cell r="C608" t="str">
            <v>قالب نو</v>
          </cell>
          <cell r="AF608">
            <v>1.5</v>
          </cell>
        </row>
        <row r="609">
          <cell r="B609" t="str">
            <v>قالب پخت کلاچ پیکان</v>
          </cell>
          <cell r="C609" t="str">
            <v>قالب تعمیری</v>
          </cell>
          <cell r="AF609">
            <v>1.5</v>
          </cell>
        </row>
        <row r="610">
          <cell r="B610" t="str">
            <v>قالب پخت کلاچ پیکان</v>
          </cell>
          <cell r="C610" t="str">
            <v>قالب تعمیری</v>
          </cell>
          <cell r="AF610">
            <v>2</v>
          </cell>
        </row>
        <row r="611">
          <cell r="B611" t="str">
            <v>اصول 5S</v>
          </cell>
          <cell r="C611" t="str">
            <v>نظافت</v>
          </cell>
          <cell r="AF611">
            <v>1</v>
          </cell>
        </row>
        <row r="612">
          <cell r="B612" t="str">
            <v>قالب پخت کلاچ پیکان</v>
          </cell>
          <cell r="C612" t="str">
            <v>قالب تعمیری</v>
          </cell>
          <cell r="AF612">
            <v>2.5</v>
          </cell>
        </row>
        <row r="613">
          <cell r="B613" t="str">
            <v>قالب پراید خاردار</v>
          </cell>
          <cell r="C613" t="str">
            <v>قالب تعمیری</v>
          </cell>
          <cell r="AF613">
            <v>2</v>
          </cell>
        </row>
        <row r="614">
          <cell r="B614" t="str">
            <v>قالب پژو 405 دیسکی</v>
          </cell>
          <cell r="C614" t="str">
            <v>قالب تعمیری</v>
          </cell>
          <cell r="AF614">
            <v>2</v>
          </cell>
        </row>
        <row r="615">
          <cell r="B615" t="str">
            <v>قالب پراید خاردار</v>
          </cell>
          <cell r="C615" t="str">
            <v>قالب تعمیری</v>
          </cell>
          <cell r="AF615">
            <v>3</v>
          </cell>
        </row>
        <row r="616">
          <cell r="B616" t="str">
            <v>ابزار زنی</v>
          </cell>
          <cell r="C616" t="str">
            <v>قطعه نو</v>
          </cell>
          <cell r="AF616">
            <v>2</v>
          </cell>
        </row>
        <row r="617">
          <cell r="B617" t="str">
            <v>قالب اکسپرس</v>
          </cell>
          <cell r="C617" t="str">
            <v>قالب تعمیری</v>
          </cell>
          <cell r="AF617">
            <v>10.5</v>
          </cell>
        </row>
        <row r="618">
          <cell r="B618" t="str">
            <v>قالب پخت کلاچ پیکان</v>
          </cell>
          <cell r="C618" t="str">
            <v>قالب تعمیری</v>
          </cell>
          <cell r="AF618">
            <v>11</v>
          </cell>
        </row>
        <row r="619">
          <cell r="B619" t="str">
            <v>قالب پخت کلاچ پژو 405</v>
          </cell>
          <cell r="C619" t="str">
            <v>قالب تعمیری</v>
          </cell>
          <cell r="AF619">
            <v>11</v>
          </cell>
        </row>
        <row r="620">
          <cell r="B620" t="str">
            <v>قالب پژو 405 دیسکی</v>
          </cell>
          <cell r="C620" t="str">
            <v>قالب تعمیری</v>
          </cell>
          <cell r="AF620">
            <v>2</v>
          </cell>
        </row>
        <row r="621">
          <cell r="B621" t="str">
            <v>قالب پخت کلاچ پژو 405</v>
          </cell>
          <cell r="C621" t="str">
            <v>قالب تعمیری</v>
          </cell>
          <cell r="AF621">
            <v>9</v>
          </cell>
        </row>
        <row r="622">
          <cell r="B622" t="str">
            <v>لنت دنیای مس</v>
          </cell>
          <cell r="C622" t="str">
            <v>قطعه نو</v>
          </cell>
          <cell r="AF622">
            <v>3.5</v>
          </cell>
        </row>
        <row r="623">
          <cell r="B623" t="str">
            <v>دستگاه پشم فلز آلمانی</v>
          </cell>
          <cell r="C623" t="str">
            <v>قطعه نو</v>
          </cell>
          <cell r="AF623">
            <v>7.5</v>
          </cell>
        </row>
        <row r="624">
          <cell r="B624" t="str">
            <v>پرس 160 تن</v>
          </cell>
          <cell r="C624" t="str">
            <v>دستگاه تعمیری</v>
          </cell>
          <cell r="AF624">
            <v>2</v>
          </cell>
        </row>
        <row r="625">
          <cell r="B625" t="str">
            <v>دستگاه پشم فلز چینی</v>
          </cell>
          <cell r="C625" t="str">
            <v>قطعه نو</v>
          </cell>
          <cell r="AF625">
            <v>3</v>
          </cell>
        </row>
        <row r="626">
          <cell r="B626" t="str">
            <v>پین عقب پژو 405</v>
          </cell>
          <cell r="C626" t="str">
            <v>قطعه نو</v>
          </cell>
          <cell r="AF626">
            <v>7.5</v>
          </cell>
        </row>
        <row r="627">
          <cell r="B627" t="str">
            <v>قالب عقب F12</v>
          </cell>
          <cell r="C627" t="str">
            <v>قالب نو</v>
          </cell>
          <cell r="AF627">
            <v>3</v>
          </cell>
        </row>
        <row r="628">
          <cell r="B628" t="str">
            <v xml:space="preserve">کنترل شعاع عقب </v>
          </cell>
          <cell r="C628" t="str">
            <v>قطعه نو</v>
          </cell>
          <cell r="AF628">
            <v>1.1666666666666667</v>
          </cell>
        </row>
        <row r="629">
          <cell r="B629" t="str">
            <v>ویوینگ</v>
          </cell>
          <cell r="C629" t="str">
            <v>قطعه تعمیری</v>
          </cell>
          <cell r="AF629">
            <v>0.83333333333333337</v>
          </cell>
        </row>
        <row r="630">
          <cell r="B630" t="str">
            <v>دستگاه پشم فلز آلمانی</v>
          </cell>
          <cell r="C630" t="str">
            <v>قطعه نو</v>
          </cell>
          <cell r="AF630">
            <v>1.3333333333333333</v>
          </cell>
        </row>
        <row r="631">
          <cell r="B631" t="str">
            <v>پخت کلاچ پراید</v>
          </cell>
          <cell r="C631" t="str">
            <v>قالب تعمیری</v>
          </cell>
          <cell r="AF631">
            <v>1</v>
          </cell>
        </row>
        <row r="632">
          <cell r="B632" t="str">
            <v>قالب پخت کلاچ پژو 405</v>
          </cell>
          <cell r="C632" t="str">
            <v>قالب تعمیری</v>
          </cell>
          <cell r="AF632">
            <v>1</v>
          </cell>
        </row>
        <row r="633">
          <cell r="B633" t="str">
            <v>پخت کلاچ پراید</v>
          </cell>
          <cell r="C633" t="str">
            <v>قالب تعمیری</v>
          </cell>
          <cell r="AF633">
            <v>0.5</v>
          </cell>
        </row>
        <row r="634">
          <cell r="B634" t="str">
            <v>قالب پخت کلاچ پژو 405</v>
          </cell>
          <cell r="C634" t="str">
            <v>قالب تعمیری</v>
          </cell>
          <cell r="AF634">
            <v>0.5</v>
          </cell>
        </row>
        <row r="635">
          <cell r="B635" t="str">
            <v>قالب پژو 405 دیسکی</v>
          </cell>
          <cell r="C635" t="str">
            <v>قالب تعمیری</v>
          </cell>
          <cell r="AF635">
            <v>1</v>
          </cell>
        </row>
        <row r="636">
          <cell r="B636" t="str">
            <v>قالب پژو 405 دیسکی</v>
          </cell>
          <cell r="C636" t="str">
            <v>قالب تعمیری</v>
          </cell>
          <cell r="AF636">
            <v>6</v>
          </cell>
        </row>
        <row r="637">
          <cell r="B637" t="str">
            <v>قالب پخت کلاچ پیکان</v>
          </cell>
          <cell r="C637" t="str">
            <v>قالب تعمیری</v>
          </cell>
          <cell r="AF637">
            <v>9</v>
          </cell>
        </row>
        <row r="638">
          <cell r="B638" t="str">
            <v>Hammer Mill Machine</v>
          </cell>
          <cell r="C638" t="str">
            <v>دستگاه نو</v>
          </cell>
          <cell r="AF638">
            <v>8</v>
          </cell>
        </row>
        <row r="639">
          <cell r="B639" t="str">
            <v>Hammer Mill Machine</v>
          </cell>
          <cell r="C639" t="str">
            <v>دستگاه نو</v>
          </cell>
          <cell r="AF639">
            <v>8</v>
          </cell>
        </row>
        <row r="640">
          <cell r="B640" t="str">
            <v>قالب پخت کلاچ پیکان</v>
          </cell>
          <cell r="C640" t="str">
            <v>قالب تعمیری</v>
          </cell>
          <cell r="AF640">
            <v>8</v>
          </cell>
        </row>
        <row r="641">
          <cell r="B641" t="str">
            <v>لنت دنیای مس</v>
          </cell>
          <cell r="C641" t="str">
            <v>قطعه نو</v>
          </cell>
          <cell r="AF641">
            <v>4</v>
          </cell>
        </row>
        <row r="642">
          <cell r="B642" t="str">
            <v>ساب کلاچ</v>
          </cell>
          <cell r="C642" t="str">
            <v>قطعه نو</v>
          </cell>
          <cell r="AF642">
            <v>4</v>
          </cell>
        </row>
        <row r="643">
          <cell r="B643" t="str">
            <v>قالب پخت کلاچ پیکان آرژانتینی</v>
          </cell>
          <cell r="C643" t="str">
            <v>قالب تعمیری</v>
          </cell>
          <cell r="AF643">
            <v>8</v>
          </cell>
        </row>
        <row r="644">
          <cell r="B644" t="str">
            <v>Hammer Mill Machine</v>
          </cell>
          <cell r="C644" t="str">
            <v>دستگاه نو</v>
          </cell>
          <cell r="AF644">
            <v>12</v>
          </cell>
        </row>
        <row r="645">
          <cell r="B645" t="str">
            <v>Hammer Mill Machine</v>
          </cell>
          <cell r="C645" t="str">
            <v>دستگاه نو</v>
          </cell>
          <cell r="AF645">
            <v>12</v>
          </cell>
        </row>
        <row r="646">
          <cell r="B646" t="str">
            <v>قالب پخت کلاچ پیکان</v>
          </cell>
          <cell r="C646" t="str">
            <v>قالب تعمیری</v>
          </cell>
          <cell r="AF646">
            <v>5</v>
          </cell>
        </row>
        <row r="647">
          <cell r="B647" t="str">
            <v>قالب پخت کلاچ پیکان آرژانتینی</v>
          </cell>
          <cell r="C647" t="str">
            <v>قالب تعمیری</v>
          </cell>
          <cell r="AF647">
            <v>12</v>
          </cell>
        </row>
        <row r="648">
          <cell r="B648" t="str">
            <v>دستگاه ساب</v>
          </cell>
          <cell r="C648" t="str">
            <v>قطعه نو</v>
          </cell>
          <cell r="AF648">
            <v>7</v>
          </cell>
        </row>
        <row r="649">
          <cell r="B649" t="str">
            <v>دستگاه پشم فلز آلمانی</v>
          </cell>
          <cell r="C649" t="str">
            <v>قطعه نو</v>
          </cell>
          <cell r="AF649">
            <v>6.333333333333333</v>
          </cell>
        </row>
        <row r="650">
          <cell r="B650" t="str">
            <v>دستگاه پشم فلز آلمانی</v>
          </cell>
          <cell r="C650" t="str">
            <v>قطعه نو</v>
          </cell>
          <cell r="AF650">
            <v>11</v>
          </cell>
        </row>
        <row r="651">
          <cell r="B651" t="str">
            <v>قالب عقب F12</v>
          </cell>
          <cell r="C651" t="str">
            <v>قالب نو</v>
          </cell>
          <cell r="AF651">
            <v>5.5</v>
          </cell>
        </row>
        <row r="652">
          <cell r="B652" t="str">
            <v>دستگاه ساب کلاچ</v>
          </cell>
          <cell r="C652" t="str">
            <v>قطعه تعمیری</v>
          </cell>
          <cell r="AF652">
            <v>5.5</v>
          </cell>
        </row>
        <row r="653">
          <cell r="B653" t="str">
            <v>قالب عقب F12</v>
          </cell>
          <cell r="C653" t="str">
            <v>قالب نو</v>
          </cell>
          <cell r="AF653">
            <v>5.5</v>
          </cell>
        </row>
        <row r="654">
          <cell r="B654" t="str">
            <v>قالب عقب F12</v>
          </cell>
          <cell r="C654" t="str">
            <v>قالب نو</v>
          </cell>
          <cell r="AF654">
            <v>8</v>
          </cell>
        </row>
        <row r="655">
          <cell r="B655" t="str">
            <v>قالب پژو 405 دیسکی</v>
          </cell>
          <cell r="C655" t="str">
            <v>قالب تعمیری</v>
          </cell>
          <cell r="AF655">
            <v>2</v>
          </cell>
        </row>
        <row r="656">
          <cell r="B656" t="str">
            <v>قالب پژو 405 دیسکی</v>
          </cell>
          <cell r="C656" t="str">
            <v>قالب تعمیری</v>
          </cell>
          <cell r="AF656">
            <v>1</v>
          </cell>
        </row>
        <row r="657">
          <cell r="B657" t="str">
            <v>قالب پژو 405 دیسکی</v>
          </cell>
          <cell r="C657" t="str">
            <v>قالب تعمیری</v>
          </cell>
          <cell r="AF657">
            <v>4</v>
          </cell>
        </row>
        <row r="658">
          <cell r="B658" t="str">
            <v>قالب اکسپرس</v>
          </cell>
          <cell r="C658" t="str">
            <v>قالب تعمیری</v>
          </cell>
          <cell r="AF658">
            <v>2</v>
          </cell>
        </row>
        <row r="659">
          <cell r="B659" t="str">
            <v>قالب اکسپرس</v>
          </cell>
          <cell r="C659" t="str">
            <v>قالب تعمیری</v>
          </cell>
          <cell r="AF659">
            <v>4</v>
          </cell>
        </row>
        <row r="660">
          <cell r="B660" t="str">
            <v>قالب پخت کلاچ پژو 405</v>
          </cell>
          <cell r="C660" t="str">
            <v>قالب تعمیری</v>
          </cell>
          <cell r="AF660">
            <v>3.5</v>
          </cell>
        </row>
        <row r="661">
          <cell r="B661" t="str">
            <v>قالب پخت کلاچ پژو 405</v>
          </cell>
          <cell r="C661" t="str">
            <v>قالب تعمیری</v>
          </cell>
          <cell r="AF661">
            <v>1</v>
          </cell>
        </row>
        <row r="662">
          <cell r="B662" t="str">
            <v>CNC 7203</v>
          </cell>
          <cell r="C662" t="str">
            <v>دستگاه تعمیری</v>
          </cell>
          <cell r="AF662">
            <v>6.5</v>
          </cell>
        </row>
        <row r="663">
          <cell r="B663" t="str">
            <v>قالب اکسپرس</v>
          </cell>
          <cell r="C663" t="str">
            <v>قالب تعمیری</v>
          </cell>
          <cell r="AF663">
            <v>5</v>
          </cell>
        </row>
        <row r="664">
          <cell r="B664" t="str">
            <v>Hammer Mill Machine</v>
          </cell>
          <cell r="C664" t="str">
            <v>دستگاه نو</v>
          </cell>
          <cell r="AF664">
            <v>2</v>
          </cell>
        </row>
        <row r="665">
          <cell r="B665" t="str">
            <v>پرس 160 تن</v>
          </cell>
          <cell r="C665" t="str">
            <v>دستگاه تعمیری</v>
          </cell>
          <cell r="AF665">
            <v>3.5</v>
          </cell>
        </row>
        <row r="666">
          <cell r="B666" t="str">
            <v>دستگاه پشم فلز چینی</v>
          </cell>
          <cell r="C666" t="str">
            <v>قطعه نو</v>
          </cell>
          <cell r="AF666">
            <v>2</v>
          </cell>
        </row>
        <row r="667">
          <cell r="B667" t="str">
            <v>پین عقب پژو 405</v>
          </cell>
          <cell r="C667" t="str">
            <v>قطعه نو</v>
          </cell>
          <cell r="AF667">
            <v>5.5</v>
          </cell>
        </row>
        <row r="668">
          <cell r="B668" t="str">
            <v>پخت کلاچ پراید</v>
          </cell>
          <cell r="C668" t="str">
            <v>قالب تعمیری</v>
          </cell>
          <cell r="AF668">
            <v>5</v>
          </cell>
        </row>
        <row r="669">
          <cell r="B669" t="str">
            <v>ابزار زنی</v>
          </cell>
          <cell r="C669" t="str">
            <v>قطعه نو</v>
          </cell>
          <cell r="AF669">
            <v>2</v>
          </cell>
        </row>
        <row r="670">
          <cell r="B670" t="str">
            <v>پخت کلاچ پراید</v>
          </cell>
          <cell r="C670" t="str">
            <v>قالب تعمیری</v>
          </cell>
          <cell r="AF670">
            <v>2</v>
          </cell>
        </row>
        <row r="671">
          <cell r="B671" t="str">
            <v xml:space="preserve">کنترل شعاع عقب </v>
          </cell>
          <cell r="C671" t="str">
            <v>قطعه نو</v>
          </cell>
          <cell r="AF671">
            <v>2</v>
          </cell>
        </row>
        <row r="672">
          <cell r="B672" t="str">
            <v>صفحه قالب 50*50</v>
          </cell>
          <cell r="C672" t="str">
            <v>قالب تعمیری</v>
          </cell>
          <cell r="AF672">
            <v>6</v>
          </cell>
        </row>
        <row r="673">
          <cell r="B673" t="str">
            <v>سنگ 7502</v>
          </cell>
          <cell r="C673" t="str">
            <v>دستگاه تعمیری</v>
          </cell>
          <cell r="AF673">
            <v>2</v>
          </cell>
        </row>
        <row r="674">
          <cell r="B674" t="str">
            <v>قالب پژو 405 دیسکی</v>
          </cell>
          <cell r="C674" t="str">
            <v>قالب تعمیری</v>
          </cell>
          <cell r="AF674">
            <v>2</v>
          </cell>
        </row>
        <row r="675">
          <cell r="B675" t="str">
            <v>Hammer Mill Machine</v>
          </cell>
          <cell r="C675" t="str">
            <v>دستگاه نو</v>
          </cell>
          <cell r="AF675">
            <v>8</v>
          </cell>
        </row>
        <row r="676">
          <cell r="B676" t="str">
            <v>ویوینگ</v>
          </cell>
          <cell r="C676" t="str">
            <v>قطعه تعمیری</v>
          </cell>
          <cell r="AF676">
            <v>5</v>
          </cell>
        </row>
        <row r="677">
          <cell r="B677" t="str">
            <v>برش جمعی عقب ریو</v>
          </cell>
          <cell r="C677" t="str">
            <v>قطعه نو</v>
          </cell>
          <cell r="AF677">
            <v>3</v>
          </cell>
        </row>
        <row r="678">
          <cell r="B678" t="str">
            <v>قالب پخت کلاچ پیکان</v>
          </cell>
          <cell r="C678" t="str">
            <v>قالب تعمیری</v>
          </cell>
          <cell r="AF678">
            <v>8</v>
          </cell>
        </row>
        <row r="679">
          <cell r="B679" t="str">
            <v>قالب پخت کلاچ پیکان</v>
          </cell>
          <cell r="C679" t="str">
            <v>قالب تعمیری</v>
          </cell>
          <cell r="AF679">
            <v>4</v>
          </cell>
        </row>
        <row r="680">
          <cell r="B680" t="str">
            <v>قالب پخت کلاچ پیکان</v>
          </cell>
          <cell r="C680" t="str">
            <v>قالب تعمیری</v>
          </cell>
          <cell r="AF680">
            <v>4</v>
          </cell>
        </row>
        <row r="681">
          <cell r="B681" t="str">
            <v>ویوینگ</v>
          </cell>
          <cell r="C681" t="str">
            <v>قطعه تعمیری</v>
          </cell>
          <cell r="AF681">
            <v>2</v>
          </cell>
        </row>
        <row r="682">
          <cell r="B682" t="str">
            <v>قالب پژو 405 دیسکی</v>
          </cell>
          <cell r="C682" t="str">
            <v>قالب تعمیری</v>
          </cell>
          <cell r="AF682">
            <v>2</v>
          </cell>
        </row>
        <row r="683">
          <cell r="B683" t="str">
            <v>قالب پخت کلاچ پیکان آرژانتینی</v>
          </cell>
          <cell r="C683" t="str">
            <v>قالب تعمیری</v>
          </cell>
          <cell r="AF683">
            <v>2</v>
          </cell>
        </row>
        <row r="684">
          <cell r="B684" t="str">
            <v>پخت کلاچ پراید</v>
          </cell>
          <cell r="C684" t="str">
            <v>قالب تعمیری</v>
          </cell>
          <cell r="AF684">
            <v>2</v>
          </cell>
        </row>
        <row r="685">
          <cell r="B685" t="str">
            <v>قالب پخت کلاچ پیکان آرژانتینی</v>
          </cell>
          <cell r="C685" t="str">
            <v>قالب تعمیری</v>
          </cell>
          <cell r="AF685">
            <v>2</v>
          </cell>
        </row>
        <row r="686">
          <cell r="B686" t="str">
            <v>قالب پژو 405 دیسکی</v>
          </cell>
          <cell r="C686" t="str">
            <v>قالب تعمیری</v>
          </cell>
          <cell r="AF686">
            <v>2</v>
          </cell>
        </row>
        <row r="687">
          <cell r="B687" t="str">
            <v>قالب پخت کلاچ پیکان آرژانتینی</v>
          </cell>
          <cell r="C687" t="str">
            <v>قالب تعمیری</v>
          </cell>
          <cell r="AF687">
            <v>2</v>
          </cell>
        </row>
        <row r="688">
          <cell r="B688" t="str">
            <v>پخت کلاچ پراید</v>
          </cell>
          <cell r="C688" t="str">
            <v>قالب تعمیری</v>
          </cell>
          <cell r="AF688">
            <v>2</v>
          </cell>
        </row>
        <row r="689">
          <cell r="B689" t="str">
            <v>قالب پخت کلاچ پیکان آرژانتینی</v>
          </cell>
          <cell r="C689" t="str">
            <v>قالب تعمیری</v>
          </cell>
          <cell r="AF689">
            <v>2</v>
          </cell>
        </row>
        <row r="690">
          <cell r="B690" t="str">
            <v>دستگاه پشم فلز آلمانی</v>
          </cell>
          <cell r="C690" t="str">
            <v>قطعه نو</v>
          </cell>
          <cell r="AF690">
            <v>11</v>
          </cell>
        </row>
        <row r="691">
          <cell r="B691" t="str">
            <v>دستگاه پشم فلز آلمانی</v>
          </cell>
          <cell r="C691" t="str">
            <v>قطعه نو</v>
          </cell>
          <cell r="AF691">
            <v>6.333333333333333</v>
          </cell>
        </row>
        <row r="692">
          <cell r="B692" t="str">
            <v>دستگاه پشم فلز آلمانی</v>
          </cell>
          <cell r="C692" t="str">
            <v>قطعه نو</v>
          </cell>
          <cell r="AF692">
            <v>11</v>
          </cell>
        </row>
        <row r="693">
          <cell r="B693" t="str">
            <v>قالب عقب F12</v>
          </cell>
          <cell r="C693" t="str">
            <v>قالب نو</v>
          </cell>
          <cell r="AF693">
            <v>5.5</v>
          </cell>
        </row>
        <row r="694">
          <cell r="B694" t="str">
            <v>قالب عقب F12</v>
          </cell>
          <cell r="C694" t="str">
            <v>قالب نو</v>
          </cell>
          <cell r="AF694">
            <v>5.5</v>
          </cell>
        </row>
        <row r="695">
          <cell r="B695" t="str">
            <v>سنگ 7502</v>
          </cell>
          <cell r="C695" t="str">
            <v>دستگاه تعمیری</v>
          </cell>
          <cell r="AF695">
            <v>2</v>
          </cell>
        </row>
        <row r="696">
          <cell r="B696" t="str">
            <v>قالب پخت کلاچ پژو 405</v>
          </cell>
          <cell r="C696" t="str">
            <v>قالب تعمیری</v>
          </cell>
          <cell r="AF696">
            <v>8</v>
          </cell>
        </row>
        <row r="697">
          <cell r="B697" t="str">
            <v>دستگاه پشم فلز چینی</v>
          </cell>
          <cell r="C697" t="str">
            <v>قطعه نو</v>
          </cell>
          <cell r="AF697">
            <v>2</v>
          </cell>
        </row>
        <row r="698">
          <cell r="B698" t="str">
            <v>تراش 7303</v>
          </cell>
          <cell r="C698" t="str">
            <v>دستگاه تعمیری</v>
          </cell>
          <cell r="AF698">
            <v>1</v>
          </cell>
        </row>
        <row r="699">
          <cell r="B699" t="str">
            <v>پین عقب پژو 405</v>
          </cell>
          <cell r="C699" t="str">
            <v>قطعه نو</v>
          </cell>
          <cell r="AF699">
            <v>7.5</v>
          </cell>
        </row>
        <row r="700">
          <cell r="B700" t="str">
            <v>ابزار زنی</v>
          </cell>
          <cell r="C700" t="str">
            <v>قطعه نو</v>
          </cell>
          <cell r="AF700">
            <v>4</v>
          </cell>
        </row>
        <row r="701">
          <cell r="B701" t="str">
            <v>برش جمعی عقب ریو</v>
          </cell>
          <cell r="C701" t="str">
            <v>قطعه نو</v>
          </cell>
          <cell r="AF701">
            <v>4</v>
          </cell>
        </row>
        <row r="702">
          <cell r="B702" t="str">
            <v>قالب پخت کلاچ پژو 405</v>
          </cell>
          <cell r="C702" t="str">
            <v>قالب تعمیری</v>
          </cell>
          <cell r="AF702">
            <v>2</v>
          </cell>
        </row>
        <row r="703">
          <cell r="B703" t="str">
            <v>کولر</v>
          </cell>
          <cell r="C703" t="str">
            <v>دستگاه تعمیری</v>
          </cell>
          <cell r="AF703">
            <v>4</v>
          </cell>
        </row>
        <row r="704">
          <cell r="B704" t="str">
            <v>دستگاه پخ زنی</v>
          </cell>
          <cell r="C704" t="str">
            <v>دستگاه تعمیری</v>
          </cell>
          <cell r="AF704">
            <v>4</v>
          </cell>
        </row>
        <row r="705">
          <cell r="B705" t="str">
            <v>ساب کونیک</v>
          </cell>
          <cell r="C705" t="str">
            <v>قطعه تعمیری</v>
          </cell>
          <cell r="AF705">
            <v>2.5</v>
          </cell>
        </row>
        <row r="706">
          <cell r="B706" t="str">
            <v>ساب الماسه</v>
          </cell>
          <cell r="C706" t="str">
            <v>قطعه تعمیری</v>
          </cell>
          <cell r="AF706">
            <v>2.5</v>
          </cell>
        </row>
        <row r="707">
          <cell r="B707" t="str">
            <v xml:space="preserve">کنترل شعاع عقب </v>
          </cell>
          <cell r="C707" t="str">
            <v>قطعه نو</v>
          </cell>
          <cell r="AF707">
            <v>2</v>
          </cell>
        </row>
        <row r="708">
          <cell r="B708" t="str">
            <v>کولر</v>
          </cell>
          <cell r="C708" t="str">
            <v>دستگاه تعمیری</v>
          </cell>
          <cell r="AF708">
            <v>2</v>
          </cell>
        </row>
        <row r="709">
          <cell r="B709" t="str">
            <v>دریل ابزار زنی</v>
          </cell>
          <cell r="C709" t="str">
            <v>قطعه نو</v>
          </cell>
          <cell r="AF709">
            <v>2</v>
          </cell>
        </row>
        <row r="710">
          <cell r="B710" t="str">
            <v>قالب پخت کلاچ پژو 405</v>
          </cell>
          <cell r="C710" t="str">
            <v>قالب تعمیری</v>
          </cell>
          <cell r="AF710">
            <v>7.5</v>
          </cell>
        </row>
        <row r="711">
          <cell r="B711" t="str">
            <v>پخت کلاچ پراید</v>
          </cell>
          <cell r="C711" t="str">
            <v>قالب تعمیری</v>
          </cell>
          <cell r="AF711">
            <v>3.5</v>
          </cell>
        </row>
        <row r="712">
          <cell r="B712" t="str">
            <v>Hammer Mill Machine</v>
          </cell>
          <cell r="C712" t="str">
            <v>دستگاه نو</v>
          </cell>
          <cell r="AF712">
            <v>11</v>
          </cell>
        </row>
        <row r="713">
          <cell r="B713" t="str">
            <v>Hammer Mill Machine</v>
          </cell>
          <cell r="C713" t="str">
            <v>دستگاه نو</v>
          </cell>
          <cell r="AF713">
            <v>12</v>
          </cell>
        </row>
        <row r="714">
          <cell r="B714" t="str">
            <v>Hammer Mill Machine</v>
          </cell>
          <cell r="C714" t="str">
            <v>دستگاه نو</v>
          </cell>
          <cell r="AF714">
            <v>12</v>
          </cell>
        </row>
        <row r="715">
          <cell r="B715" t="str">
            <v>برش جمعی عقب ریو</v>
          </cell>
          <cell r="C715" t="str">
            <v>قطعه نو</v>
          </cell>
          <cell r="AF715">
            <v>4</v>
          </cell>
        </row>
        <row r="716">
          <cell r="B716" t="str">
            <v>لنت دنیای مس</v>
          </cell>
          <cell r="C716" t="str">
            <v>قطعه نو</v>
          </cell>
          <cell r="AF716">
            <v>8</v>
          </cell>
        </row>
        <row r="717">
          <cell r="B717" t="str">
            <v>قالب پخت کلاچ پیکان</v>
          </cell>
          <cell r="C717" t="str">
            <v>قالب تعمیری</v>
          </cell>
          <cell r="AF717">
            <v>12</v>
          </cell>
        </row>
        <row r="718">
          <cell r="B718" t="str">
            <v>دستگاه پشم فلز آلمانی</v>
          </cell>
          <cell r="C718" t="str">
            <v>قطعه نو</v>
          </cell>
          <cell r="AF718">
            <v>11</v>
          </cell>
        </row>
        <row r="719">
          <cell r="B719" t="str">
            <v>Hammer Mill Machine</v>
          </cell>
          <cell r="C719" t="str">
            <v>دستگاه نو</v>
          </cell>
          <cell r="AF719">
            <v>7.5</v>
          </cell>
        </row>
        <row r="720">
          <cell r="B720" t="str">
            <v>قالب پخت کلاچ پیکان</v>
          </cell>
          <cell r="C720" t="str">
            <v>قالب تعمیری</v>
          </cell>
          <cell r="AF720">
            <v>2</v>
          </cell>
        </row>
        <row r="721">
          <cell r="B721" t="str">
            <v>پخت کلاچ پراید</v>
          </cell>
          <cell r="C721" t="str">
            <v>قالب تعمیری</v>
          </cell>
          <cell r="AF721">
            <v>7</v>
          </cell>
        </row>
        <row r="722">
          <cell r="B722" t="str">
            <v>پخت کلاچ پراید</v>
          </cell>
          <cell r="C722" t="str">
            <v>قالب تعمیری</v>
          </cell>
          <cell r="AF722">
            <v>11</v>
          </cell>
        </row>
        <row r="723">
          <cell r="B723" t="str">
            <v>Hammer Mill Machine</v>
          </cell>
          <cell r="C723" t="str">
            <v>دستگاه نو</v>
          </cell>
          <cell r="AF723">
            <v>7.5</v>
          </cell>
        </row>
        <row r="724">
          <cell r="B724" t="str">
            <v>قالب عقب F12</v>
          </cell>
          <cell r="C724" t="str">
            <v>قالب نو</v>
          </cell>
          <cell r="AF724">
            <v>4</v>
          </cell>
        </row>
        <row r="725">
          <cell r="B725" t="str">
            <v>بمبوری</v>
          </cell>
          <cell r="C725" t="str">
            <v>قطعه تعمیری</v>
          </cell>
          <cell r="AF725">
            <v>4</v>
          </cell>
        </row>
        <row r="726">
          <cell r="B726" t="str">
            <v>دستگاه پشم فلز آلمانی</v>
          </cell>
          <cell r="C726" t="str">
            <v>قطعه نو</v>
          </cell>
          <cell r="AF726">
            <v>3</v>
          </cell>
        </row>
        <row r="727">
          <cell r="B727" t="str">
            <v>ابزار زنی</v>
          </cell>
          <cell r="C727" t="str">
            <v>قطعه نو</v>
          </cell>
          <cell r="AF727">
            <v>1</v>
          </cell>
        </row>
        <row r="728">
          <cell r="B728" t="str">
            <v>برش جمعی عقب ریو</v>
          </cell>
          <cell r="C728" t="str">
            <v>قطعه نو</v>
          </cell>
          <cell r="AF728">
            <v>2.3333333333333335</v>
          </cell>
        </row>
        <row r="729">
          <cell r="B729" t="str">
            <v>قالب پخت کلاچ پژو 405</v>
          </cell>
          <cell r="C729" t="str">
            <v>قالب تعمیری</v>
          </cell>
          <cell r="AF729">
            <v>4</v>
          </cell>
        </row>
        <row r="730">
          <cell r="B730" t="str">
            <v>قالب پراید خاردار</v>
          </cell>
          <cell r="C730" t="str">
            <v>قالب تعمیری</v>
          </cell>
          <cell r="AF730">
            <v>5</v>
          </cell>
        </row>
        <row r="731">
          <cell r="B731" t="str">
            <v>Hammer Mill Machine</v>
          </cell>
          <cell r="C731" t="str">
            <v>دستگاه نو</v>
          </cell>
          <cell r="AF731">
            <v>2</v>
          </cell>
        </row>
        <row r="732">
          <cell r="B732" t="str">
            <v>قالب نیسان آریا</v>
          </cell>
          <cell r="C732" t="str">
            <v>قالب تعمیری</v>
          </cell>
          <cell r="AF732">
            <v>2</v>
          </cell>
        </row>
        <row r="733">
          <cell r="B733" t="str">
            <v>پین عقب پژو 405</v>
          </cell>
          <cell r="C733" t="str">
            <v>قطعه نو</v>
          </cell>
          <cell r="AF733">
            <v>5.5</v>
          </cell>
        </row>
        <row r="734">
          <cell r="B734" t="str">
            <v>دستگاه پشم فلز چینی</v>
          </cell>
          <cell r="C734" t="str">
            <v>قطعه نو</v>
          </cell>
          <cell r="AF734">
            <v>2</v>
          </cell>
        </row>
        <row r="735">
          <cell r="B735" t="str">
            <v>Hammer Mill Machine</v>
          </cell>
          <cell r="C735" t="str">
            <v>دستگاه نو</v>
          </cell>
          <cell r="AF735">
            <v>2</v>
          </cell>
        </row>
        <row r="736">
          <cell r="B736" t="str">
            <v>پرس پخت</v>
          </cell>
          <cell r="C736" t="str">
            <v>قطعه نو</v>
          </cell>
          <cell r="AF736">
            <v>2</v>
          </cell>
        </row>
        <row r="737">
          <cell r="B737" t="str">
            <v>پرس پخت</v>
          </cell>
          <cell r="C737" t="str">
            <v>قطعه نو</v>
          </cell>
          <cell r="AF737">
            <v>3</v>
          </cell>
        </row>
        <row r="738">
          <cell r="B738" t="str">
            <v>ابزار زنی</v>
          </cell>
          <cell r="C738" t="str">
            <v>قطعه نو</v>
          </cell>
          <cell r="AF738">
            <v>2</v>
          </cell>
        </row>
        <row r="739">
          <cell r="B739" t="str">
            <v>برش جمعی عقب ریو</v>
          </cell>
          <cell r="C739" t="str">
            <v>قطعه نو</v>
          </cell>
          <cell r="AF739">
            <v>2</v>
          </cell>
        </row>
        <row r="740">
          <cell r="B740" t="str">
            <v>پرس پخت</v>
          </cell>
          <cell r="C740" t="str">
            <v>قطعه نو</v>
          </cell>
          <cell r="AF740">
            <v>3</v>
          </cell>
        </row>
        <row r="741">
          <cell r="B741" t="str">
            <v>آغشته کاری</v>
          </cell>
          <cell r="C741" t="str">
            <v>قطعه تعمیری</v>
          </cell>
          <cell r="AF741">
            <v>3</v>
          </cell>
        </row>
        <row r="742">
          <cell r="B742" t="str">
            <v xml:space="preserve">کنترل شعاع عقب </v>
          </cell>
          <cell r="C742" t="str">
            <v>قطعه نو</v>
          </cell>
          <cell r="AF742">
            <v>2.5</v>
          </cell>
        </row>
        <row r="743">
          <cell r="B743" t="str">
            <v>ویوینگ</v>
          </cell>
          <cell r="C743" t="str">
            <v>قطعه تعمیری</v>
          </cell>
          <cell r="AF743">
            <v>1</v>
          </cell>
        </row>
        <row r="744">
          <cell r="B744" t="str">
            <v>ویوینگ</v>
          </cell>
          <cell r="C744" t="str">
            <v>قطعه تعمیری</v>
          </cell>
          <cell r="AF744">
            <v>1.5</v>
          </cell>
        </row>
        <row r="745">
          <cell r="B745" t="str">
            <v>Hammer Mill Machine</v>
          </cell>
          <cell r="C745" t="str">
            <v>دستگاه نو</v>
          </cell>
          <cell r="AF745">
            <v>12</v>
          </cell>
        </row>
        <row r="746">
          <cell r="B746" t="str">
            <v>Hammer Mill Machine</v>
          </cell>
          <cell r="C746" t="str">
            <v>دستگاه نو</v>
          </cell>
          <cell r="AF746">
            <v>12</v>
          </cell>
        </row>
        <row r="747">
          <cell r="B747" t="str">
            <v>قالب پخت کلاچ پیکان</v>
          </cell>
          <cell r="C747" t="str">
            <v>قالب تعمیری</v>
          </cell>
          <cell r="AF747">
            <v>12</v>
          </cell>
        </row>
        <row r="748">
          <cell r="B748" t="str">
            <v>ویوینگ</v>
          </cell>
          <cell r="C748" t="str">
            <v>قطعه تعمیری</v>
          </cell>
          <cell r="AF748">
            <v>4</v>
          </cell>
        </row>
        <row r="749">
          <cell r="B749" t="str">
            <v>ساب کونیک</v>
          </cell>
          <cell r="C749" t="str">
            <v>قطعه تعمیری</v>
          </cell>
          <cell r="AF749">
            <v>8</v>
          </cell>
        </row>
        <row r="750">
          <cell r="B750" t="str">
            <v>Hammer Mill Machine</v>
          </cell>
          <cell r="C750" t="str">
            <v>دستگاه نو</v>
          </cell>
          <cell r="AF750">
            <v>11</v>
          </cell>
        </row>
        <row r="751">
          <cell r="B751" t="str">
            <v>دستگاه پشم فلز آلمانی</v>
          </cell>
          <cell r="C751" t="str">
            <v>قطعه نو</v>
          </cell>
          <cell r="AF751">
            <v>11</v>
          </cell>
        </row>
        <row r="752">
          <cell r="B752" t="str">
            <v>بمبوری</v>
          </cell>
          <cell r="C752" t="str">
            <v>قطعه تعمیری</v>
          </cell>
          <cell r="AF752">
            <v>11</v>
          </cell>
        </row>
        <row r="753">
          <cell r="B753" t="str">
            <v>قالب پخت کلاچ پیکان</v>
          </cell>
          <cell r="C753" t="str">
            <v>قالب تعمیری</v>
          </cell>
          <cell r="AF753">
            <v>11</v>
          </cell>
        </row>
        <row r="754">
          <cell r="B754" t="str">
            <v>پخت کلاچ پراید</v>
          </cell>
          <cell r="C754" t="str">
            <v>قالب تعمیری</v>
          </cell>
          <cell r="AF754">
            <v>5.5</v>
          </cell>
        </row>
        <row r="755">
          <cell r="B755" t="str">
            <v>قالب پخت کلاچ پژو 405</v>
          </cell>
          <cell r="C755" t="str">
            <v>قالب تعمیری</v>
          </cell>
          <cell r="AF755">
            <v>2</v>
          </cell>
        </row>
        <row r="756">
          <cell r="B756" t="str">
            <v>پخت کلاچ پراید</v>
          </cell>
          <cell r="C756" t="str">
            <v>قالب تعمیری</v>
          </cell>
          <cell r="AF756">
            <v>11</v>
          </cell>
        </row>
        <row r="757">
          <cell r="B757" t="str">
            <v>Hammer Mill Machine</v>
          </cell>
          <cell r="C757" t="str">
            <v>دستگاه نو</v>
          </cell>
          <cell r="AF757">
            <v>12</v>
          </cell>
        </row>
        <row r="758">
          <cell r="B758" t="str">
            <v>Hammer Mill Machine</v>
          </cell>
          <cell r="C758" t="str">
            <v>دستگاه نو</v>
          </cell>
          <cell r="AF758">
            <v>12</v>
          </cell>
        </row>
        <row r="759">
          <cell r="B759" t="str">
            <v>دستگاه ساب</v>
          </cell>
          <cell r="C759" t="str">
            <v>قطعه تعمیری</v>
          </cell>
          <cell r="AF759">
            <v>12</v>
          </cell>
        </row>
        <row r="760">
          <cell r="B760" t="str">
            <v>پخت کلاچ پراید</v>
          </cell>
          <cell r="C760" t="str">
            <v>قالب تعمیری</v>
          </cell>
          <cell r="AF760">
            <v>12</v>
          </cell>
        </row>
        <row r="761">
          <cell r="B761" t="str">
            <v>پخت کلاچ پراید</v>
          </cell>
          <cell r="C761" t="str">
            <v>قالب تعمیری</v>
          </cell>
          <cell r="AF761">
            <v>4</v>
          </cell>
        </row>
        <row r="762">
          <cell r="B762" t="str">
            <v>سینی نهار خوری</v>
          </cell>
          <cell r="C762" t="str">
            <v>قطعه نو</v>
          </cell>
          <cell r="AF762">
            <v>2</v>
          </cell>
        </row>
        <row r="763">
          <cell r="B763" t="str">
            <v>برش جمعی عقب ریو</v>
          </cell>
          <cell r="C763" t="str">
            <v>قطعه نو</v>
          </cell>
          <cell r="AF763">
            <v>5</v>
          </cell>
        </row>
        <row r="764">
          <cell r="B764" t="str">
            <v>قالب پراید خاردار</v>
          </cell>
          <cell r="C764" t="str">
            <v>قالب تعمیری</v>
          </cell>
          <cell r="AF764">
            <v>3</v>
          </cell>
        </row>
        <row r="765">
          <cell r="B765" t="str">
            <v>دستگاه پشم فلز چینی</v>
          </cell>
          <cell r="C765" t="str">
            <v>قطعه نو</v>
          </cell>
          <cell r="AF765">
            <v>2</v>
          </cell>
        </row>
        <row r="766">
          <cell r="B766" t="str">
            <v>پخت کلاچ پراید</v>
          </cell>
          <cell r="C766" t="str">
            <v>قالب تعمیری</v>
          </cell>
          <cell r="AF766">
            <v>2</v>
          </cell>
        </row>
        <row r="767">
          <cell r="B767" t="str">
            <v>پخت کلاچ پراید</v>
          </cell>
          <cell r="C767" t="str">
            <v>قالب تعمیری</v>
          </cell>
          <cell r="AF767">
            <v>4</v>
          </cell>
        </row>
        <row r="768">
          <cell r="B768" t="str">
            <v>دستگاه پشم فلز چینی</v>
          </cell>
          <cell r="C768" t="str">
            <v>قطعه نو</v>
          </cell>
          <cell r="AF768">
            <v>6.5</v>
          </cell>
        </row>
        <row r="769">
          <cell r="B769" t="str">
            <v>دستگاه پشم فلز چینی</v>
          </cell>
          <cell r="C769" t="str">
            <v>قطعه نو</v>
          </cell>
          <cell r="AF769">
            <v>7.5</v>
          </cell>
        </row>
        <row r="770">
          <cell r="B770" t="str">
            <v>بمبوری</v>
          </cell>
          <cell r="C770" t="str">
            <v>قطعه تعمیری</v>
          </cell>
          <cell r="AF770">
            <v>3.5</v>
          </cell>
        </row>
        <row r="771">
          <cell r="B771" t="str">
            <v>Hammer Mill Machine</v>
          </cell>
          <cell r="C771" t="str">
            <v>دستگاه نو</v>
          </cell>
          <cell r="AF771">
            <v>3.5</v>
          </cell>
        </row>
        <row r="772">
          <cell r="B772" t="str">
            <v>پخت کلاچ پراید</v>
          </cell>
          <cell r="C772" t="str">
            <v>قالب تعمیری</v>
          </cell>
          <cell r="AF772">
            <v>8</v>
          </cell>
        </row>
        <row r="773">
          <cell r="B773" t="str">
            <v>برش قطاری</v>
          </cell>
          <cell r="C773" t="str">
            <v>قالب تعمیری</v>
          </cell>
          <cell r="AF773">
            <v>4</v>
          </cell>
        </row>
        <row r="774">
          <cell r="B774" t="str">
            <v>قالب پخت کلاچ پیکان آرژانتینی</v>
          </cell>
          <cell r="C774" t="str">
            <v>قالب تعمیری</v>
          </cell>
          <cell r="AF774">
            <v>4</v>
          </cell>
        </row>
        <row r="775">
          <cell r="B775" t="str">
            <v>پخت کلاچ پراید</v>
          </cell>
          <cell r="C775" t="str">
            <v>قالب تعمیری</v>
          </cell>
          <cell r="AF775">
            <v>5</v>
          </cell>
        </row>
        <row r="776">
          <cell r="B776" t="str">
            <v>Hammer Mill Machine</v>
          </cell>
          <cell r="C776" t="str">
            <v>دستگاه نو</v>
          </cell>
          <cell r="AF776">
            <v>3</v>
          </cell>
        </row>
        <row r="777">
          <cell r="B777" t="str">
            <v>دستگاه ساب</v>
          </cell>
          <cell r="C777" t="str">
            <v>قطعه تعمیری</v>
          </cell>
          <cell r="AF777">
            <v>4</v>
          </cell>
        </row>
        <row r="778">
          <cell r="B778" t="str">
            <v>ویوینگ</v>
          </cell>
          <cell r="C778" t="str">
            <v>قطعه تعمیری</v>
          </cell>
          <cell r="AF778">
            <v>4</v>
          </cell>
        </row>
        <row r="779">
          <cell r="B779" t="str">
            <v>قالب پخت کلاچ پیکان</v>
          </cell>
          <cell r="C779" t="str">
            <v>قالب تعمیری</v>
          </cell>
          <cell r="AF779">
            <v>4.666666666666667</v>
          </cell>
        </row>
        <row r="780">
          <cell r="B780" t="str">
            <v>اصول 5S</v>
          </cell>
          <cell r="C780" t="str">
            <v>نظافت</v>
          </cell>
          <cell r="AF780">
            <v>2.3333333333333335</v>
          </cell>
        </row>
        <row r="781">
          <cell r="B781" t="str">
            <v>Hammer Mill Machine</v>
          </cell>
          <cell r="C781" t="str">
            <v>دستگاه نو</v>
          </cell>
          <cell r="AF781">
            <v>6.5</v>
          </cell>
        </row>
        <row r="782">
          <cell r="B782" t="str">
            <v>اصول 5S</v>
          </cell>
          <cell r="C782" t="str">
            <v>نظافت</v>
          </cell>
          <cell r="AF782">
            <v>1</v>
          </cell>
        </row>
        <row r="783">
          <cell r="B783" t="str">
            <v xml:space="preserve">عقب پژو 405 </v>
          </cell>
          <cell r="C783" t="str">
            <v>قالب تعمیری</v>
          </cell>
          <cell r="AF783">
            <v>2</v>
          </cell>
        </row>
        <row r="784">
          <cell r="B784" t="str">
            <v>قالب پراید خاردار</v>
          </cell>
          <cell r="C784" t="str">
            <v>قالب تعمیری</v>
          </cell>
          <cell r="AF784">
            <v>2</v>
          </cell>
        </row>
        <row r="785">
          <cell r="B785" t="str">
            <v>اصول 5S</v>
          </cell>
          <cell r="C785" t="str">
            <v>نظافت</v>
          </cell>
          <cell r="AF785">
            <v>1</v>
          </cell>
        </row>
        <row r="786">
          <cell r="B786" t="str">
            <v>قالب عقب F12</v>
          </cell>
          <cell r="C786" t="str">
            <v>قالب نو</v>
          </cell>
          <cell r="AF786">
            <v>5</v>
          </cell>
        </row>
        <row r="787">
          <cell r="B787" t="str">
            <v>اصول 5S</v>
          </cell>
          <cell r="C787" t="str">
            <v>نظافت</v>
          </cell>
          <cell r="AF787">
            <v>2.5</v>
          </cell>
        </row>
        <row r="788">
          <cell r="B788" t="str">
            <v>ویوینگ</v>
          </cell>
          <cell r="C788" t="str">
            <v>قطعه نو</v>
          </cell>
          <cell r="AF788">
            <v>2</v>
          </cell>
        </row>
        <row r="789">
          <cell r="B789" t="str">
            <v>ساب کونیک</v>
          </cell>
          <cell r="C789" t="str">
            <v>قطعه نو</v>
          </cell>
          <cell r="AF789">
            <v>2</v>
          </cell>
        </row>
        <row r="790">
          <cell r="B790" t="str">
            <v>پخت کلاچ پراید</v>
          </cell>
          <cell r="C790" t="str">
            <v>قالب تعمیری</v>
          </cell>
          <cell r="AF790">
            <v>1.5</v>
          </cell>
        </row>
        <row r="791">
          <cell r="B791" t="str">
            <v>قالب پخت کلاچ پیکان</v>
          </cell>
          <cell r="C791" t="str">
            <v>قالب تعمیری</v>
          </cell>
          <cell r="AF791">
            <v>7.5</v>
          </cell>
        </row>
        <row r="792">
          <cell r="B792" t="str">
            <v>قالب پخت کلاچ پژو 405</v>
          </cell>
          <cell r="C792" t="str">
            <v>قالب تعمیری</v>
          </cell>
          <cell r="AF792">
            <v>7.5</v>
          </cell>
        </row>
        <row r="793">
          <cell r="B793" t="str">
            <v>Hammer Mill Machine</v>
          </cell>
          <cell r="C793" t="str">
            <v>دستگاه نو</v>
          </cell>
          <cell r="AF793">
            <v>7.5</v>
          </cell>
        </row>
        <row r="794">
          <cell r="B794" t="str">
            <v>آغشته کاری</v>
          </cell>
          <cell r="C794" t="str">
            <v>قطعه تعمیری</v>
          </cell>
          <cell r="AF794">
            <v>1</v>
          </cell>
        </row>
        <row r="795">
          <cell r="B795" t="str">
            <v>قالب پراید خاردار</v>
          </cell>
          <cell r="C795" t="str">
            <v>قالب تعمیری</v>
          </cell>
          <cell r="AF795">
            <v>4</v>
          </cell>
        </row>
        <row r="796">
          <cell r="B796" t="str">
            <v>اصول 5S</v>
          </cell>
          <cell r="C796" t="str">
            <v>نظافت</v>
          </cell>
          <cell r="AF796">
            <v>1</v>
          </cell>
        </row>
        <row r="797">
          <cell r="B797" t="str">
            <v>لودری 29935</v>
          </cell>
          <cell r="C797" t="str">
            <v>قالب تعمیری</v>
          </cell>
          <cell r="AF797">
            <v>4</v>
          </cell>
        </row>
        <row r="798">
          <cell r="B798" t="str">
            <v>قالب پراید خاردار</v>
          </cell>
          <cell r="C798" t="str">
            <v>قالب تعمیری</v>
          </cell>
          <cell r="AF798">
            <v>4</v>
          </cell>
        </row>
        <row r="799">
          <cell r="B799" t="str">
            <v>قالب پژو 405 دیسکی</v>
          </cell>
          <cell r="C799" t="str">
            <v>قالب تعمیری</v>
          </cell>
          <cell r="AF799">
            <v>2</v>
          </cell>
        </row>
        <row r="800">
          <cell r="AF800">
            <v>0</v>
          </cell>
        </row>
        <row r="801">
          <cell r="AF801">
            <v>0</v>
          </cell>
        </row>
        <row r="802">
          <cell r="AF802">
            <v>0</v>
          </cell>
        </row>
        <row r="803">
          <cell r="AF803">
            <v>0</v>
          </cell>
        </row>
        <row r="804">
          <cell r="AF804">
            <v>0</v>
          </cell>
        </row>
        <row r="805">
          <cell r="AF805">
            <v>0</v>
          </cell>
        </row>
        <row r="806">
          <cell r="AF806">
            <v>0</v>
          </cell>
        </row>
        <row r="807">
          <cell r="AF807">
            <v>0</v>
          </cell>
        </row>
        <row r="808">
          <cell r="AF808">
            <v>0</v>
          </cell>
        </row>
        <row r="809">
          <cell r="AF809">
            <v>0</v>
          </cell>
        </row>
        <row r="810">
          <cell r="AF810">
            <v>0</v>
          </cell>
        </row>
        <row r="811">
          <cell r="AF811">
            <v>0</v>
          </cell>
        </row>
        <row r="812">
          <cell r="AF812">
            <v>0</v>
          </cell>
        </row>
        <row r="813">
          <cell r="AF813">
            <v>0</v>
          </cell>
        </row>
      </sheetData>
      <sheetData sheetId="2">
        <row r="4">
          <cell r="B4" t="str">
            <v>شابلون پژو 405 دیسکی</v>
          </cell>
          <cell r="C4" t="str">
            <v>قطعه تعمیری</v>
          </cell>
          <cell r="AF4">
            <v>1.8333333333333333</v>
          </cell>
        </row>
        <row r="5">
          <cell r="B5" t="str">
            <v>برش جمعی عقب ریو</v>
          </cell>
          <cell r="C5" t="str">
            <v>قطعه نو</v>
          </cell>
          <cell r="AF5">
            <v>4.5</v>
          </cell>
        </row>
        <row r="6">
          <cell r="B6" t="str">
            <v>دستگاه پرس 600 تن</v>
          </cell>
          <cell r="C6" t="str">
            <v>قطعه تعمیری</v>
          </cell>
          <cell r="AF6">
            <v>3</v>
          </cell>
        </row>
        <row r="7">
          <cell r="B7" t="str">
            <v>Hammer Mill Machine</v>
          </cell>
          <cell r="C7" t="str">
            <v>دستگاه نو</v>
          </cell>
          <cell r="AF7">
            <v>6.5</v>
          </cell>
        </row>
        <row r="8">
          <cell r="B8" t="str">
            <v>Hammer Mill Machine</v>
          </cell>
          <cell r="C8" t="str">
            <v>دستگاه نو</v>
          </cell>
          <cell r="AF8">
            <v>9</v>
          </cell>
        </row>
        <row r="9">
          <cell r="B9" t="str">
            <v>برش جمعی عقب ریو</v>
          </cell>
          <cell r="C9" t="str">
            <v>قطعه نو</v>
          </cell>
          <cell r="AF9">
            <v>1</v>
          </cell>
        </row>
        <row r="10">
          <cell r="B10" t="str">
            <v>بمبوری</v>
          </cell>
          <cell r="C10" t="str">
            <v>قطعه تعمیری</v>
          </cell>
          <cell r="AF10">
            <v>1</v>
          </cell>
        </row>
        <row r="11">
          <cell r="B11" t="str">
            <v>Hammer Mill Machine</v>
          </cell>
          <cell r="C11" t="str">
            <v>دستگاه نو</v>
          </cell>
          <cell r="AF11">
            <v>7</v>
          </cell>
        </row>
        <row r="12">
          <cell r="B12" t="str">
            <v>Hammer Mill Machine</v>
          </cell>
          <cell r="C12" t="str">
            <v>دستگاه نو</v>
          </cell>
          <cell r="AF12">
            <v>3</v>
          </cell>
        </row>
        <row r="13">
          <cell r="B13" t="str">
            <v>قالب پژو 405 دیسکی</v>
          </cell>
          <cell r="C13" t="str">
            <v>قالب تعمیری</v>
          </cell>
          <cell r="AF13">
            <v>7</v>
          </cell>
        </row>
        <row r="14">
          <cell r="B14" t="str">
            <v>Hammer Mill Machine</v>
          </cell>
          <cell r="C14" t="str">
            <v>دستگاه نو</v>
          </cell>
          <cell r="AF14">
            <v>7</v>
          </cell>
        </row>
        <row r="15">
          <cell r="B15" t="str">
            <v>قالب پخت کلاچ پیکان آرژانتینی</v>
          </cell>
          <cell r="C15" t="str">
            <v>قالب تعمیری</v>
          </cell>
          <cell r="AF15">
            <v>4</v>
          </cell>
        </row>
        <row r="16">
          <cell r="B16" t="str">
            <v>Hammer Mill Machine</v>
          </cell>
          <cell r="C16" t="str">
            <v>دستگاه نو</v>
          </cell>
          <cell r="AF16">
            <v>12</v>
          </cell>
        </row>
        <row r="17">
          <cell r="B17" t="str">
            <v>قالب پخت کلاچ پیکان آرژانتینی</v>
          </cell>
          <cell r="C17" t="str">
            <v>قالب تعمیری</v>
          </cell>
          <cell r="AF17">
            <v>5</v>
          </cell>
        </row>
        <row r="18">
          <cell r="B18" t="str">
            <v>قالب پژو 405 دیسکی</v>
          </cell>
          <cell r="C18" t="str">
            <v>قالب تعمیری</v>
          </cell>
          <cell r="AF18">
            <v>12</v>
          </cell>
        </row>
        <row r="19">
          <cell r="B19" t="str">
            <v>Hammer Mill Machine</v>
          </cell>
          <cell r="C19" t="str">
            <v>دستگاه نو</v>
          </cell>
          <cell r="AF19">
            <v>12</v>
          </cell>
        </row>
        <row r="20">
          <cell r="B20" t="str">
            <v>قالب پژو 405 دیسکی</v>
          </cell>
          <cell r="C20" t="str">
            <v>قالب تعمیری</v>
          </cell>
          <cell r="AF20">
            <v>7</v>
          </cell>
        </row>
        <row r="21">
          <cell r="B21" t="str">
            <v>لیفتراک</v>
          </cell>
          <cell r="C21" t="str">
            <v>قطعه تعمیری</v>
          </cell>
          <cell r="AF21">
            <v>5</v>
          </cell>
        </row>
        <row r="22">
          <cell r="B22" t="str">
            <v>برش جمعی عقب ریو</v>
          </cell>
          <cell r="C22" t="str">
            <v>قطعه نو</v>
          </cell>
          <cell r="AF22">
            <v>3.3333333333333335</v>
          </cell>
        </row>
        <row r="23">
          <cell r="B23" t="str">
            <v>قالب پخت کلاچ پیکان آرژانتینی</v>
          </cell>
          <cell r="C23" t="str">
            <v>قالب تعمیری</v>
          </cell>
          <cell r="AF23">
            <v>2.6666666666666665</v>
          </cell>
        </row>
        <row r="24">
          <cell r="B24" t="str">
            <v>Hammer Mill Machine</v>
          </cell>
          <cell r="C24" t="str">
            <v>دستگاه نو</v>
          </cell>
          <cell r="AF24">
            <v>6.5</v>
          </cell>
        </row>
        <row r="25">
          <cell r="B25" t="str">
            <v>پخت کلاچ پراید</v>
          </cell>
          <cell r="C25" t="str">
            <v>قالب تعمیری</v>
          </cell>
          <cell r="AF25">
            <v>9</v>
          </cell>
        </row>
        <row r="26">
          <cell r="B26" t="str">
            <v>قالب لودری 70028</v>
          </cell>
          <cell r="C26" t="str">
            <v>قالب تعمیری</v>
          </cell>
          <cell r="AF26">
            <v>2</v>
          </cell>
        </row>
        <row r="27">
          <cell r="B27" t="str">
            <v>قالب پخت کلاچ پیکان آرژانتینی</v>
          </cell>
          <cell r="C27" t="str">
            <v>قالب تعمیری</v>
          </cell>
          <cell r="AF27">
            <v>2</v>
          </cell>
        </row>
        <row r="28">
          <cell r="B28" t="str">
            <v>قالب شمشی عقب ریو</v>
          </cell>
          <cell r="C28" t="str">
            <v>قالب نو</v>
          </cell>
          <cell r="AF28">
            <v>4</v>
          </cell>
        </row>
        <row r="29">
          <cell r="B29" t="str">
            <v>قالب پراید خاردار</v>
          </cell>
          <cell r="C29" t="str">
            <v>قالب تعمیری</v>
          </cell>
          <cell r="AF29">
            <v>4</v>
          </cell>
        </row>
        <row r="30">
          <cell r="B30" t="str">
            <v>قالب عقب F12</v>
          </cell>
          <cell r="C30" t="str">
            <v>قالب نو</v>
          </cell>
          <cell r="AF30">
            <v>11</v>
          </cell>
        </row>
        <row r="31">
          <cell r="B31" t="str">
            <v>ساب کونیک</v>
          </cell>
          <cell r="C31" t="str">
            <v>قطعه نو</v>
          </cell>
          <cell r="AF31">
            <v>3</v>
          </cell>
        </row>
        <row r="32">
          <cell r="B32" t="str">
            <v>ساب کونیک</v>
          </cell>
          <cell r="C32" t="str">
            <v>قطعه نو</v>
          </cell>
          <cell r="AF32">
            <v>3</v>
          </cell>
        </row>
        <row r="33">
          <cell r="B33" t="str">
            <v>برش جمعی عقب ریو</v>
          </cell>
          <cell r="C33" t="str">
            <v>قطعه نو</v>
          </cell>
          <cell r="AF33">
            <v>3</v>
          </cell>
        </row>
        <row r="34">
          <cell r="B34" t="str">
            <v>بمبوری</v>
          </cell>
          <cell r="C34" t="str">
            <v>قطعه تعمیری</v>
          </cell>
          <cell r="AF34">
            <v>3</v>
          </cell>
        </row>
        <row r="35">
          <cell r="B35" t="str">
            <v>بمبوری</v>
          </cell>
          <cell r="C35" t="str">
            <v>قطعه تعمیری</v>
          </cell>
          <cell r="AF35">
            <v>5</v>
          </cell>
        </row>
        <row r="36">
          <cell r="B36" t="str">
            <v>ساب سمباده ای</v>
          </cell>
          <cell r="C36" t="str">
            <v>قطعه تعمیری</v>
          </cell>
          <cell r="AF36">
            <v>2</v>
          </cell>
        </row>
        <row r="37">
          <cell r="B37" t="str">
            <v>ساب سمباده ای</v>
          </cell>
          <cell r="C37" t="str">
            <v>قطعه تعمیری</v>
          </cell>
          <cell r="AF37">
            <v>2.5</v>
          </cell>
        </row>
        <row r="38">
          <cell r="B38" t="str">
            <v>برش جمعی عقب ریو</v>
          </cell>
          <cell r="C38" t="str">
            <v>قطعه نو</v>
          </cell>
          <cell r="AF38">
            <v>1.5</v>
          </cell>
        </row>
        <row r="39">
          <cell r="B39" t="str">
            <v>قالب پخت کلاچ پژو 405</v>
          </cell>
          <cell r="C39" t="str">
            <v>قالب تعمیری</v>
          </cell>
          <cell r="AF39">
            <v>6.5</v>
          </cell>
        </row>
        <row r="40">
          <cell r="B40" t="str">
            <v>قالب پخت کلاچ پژو 405</v>
          </cell>
          <cell r="C40" t="str">
            <v>قالب تعمیری</v>
          </cell>
          <cell r="AF40">
            <v>5.5</v>
          </cell>
        </row>
        <row r="41">
          <cell r="B41" t="str">
            <v>قالب پخت کلاچ پژو 405</v>
          </cell>
          <cell r="C41" t="str">
            <v>قالب تعمیری</v>
          </cell>
          <cell r="AF41">
            <v>10</v>
          </cell>
        </row>
        <row r="42">
          <cell r="B42" t="str">
            <v>Hammer Mill Machine</v>
          </cell>
          <cell r="C42" t="str">
            <v>دستگاه نو</v>
          </cell>
          <cell r="AF42">
            <v>5.5</v>
          </cell>
        </row>
        <row r="43">
          <cell r="B43" t="str">
            <v>Hammer Mill Machine</v>
          </cell>
          <cell r="C43" t="str">
            <v>دستگاه نو</v>
          </cell>
          <cell r="AF43">
            <v>3</v>
          </cell>
        </row>
        <row r="44">
          <cell r="B44" t="str">
            <v>ساب کونیک</v>
          </cell>
          <cell r="C44" t="str">
            <v>قطعه نو</v>
          </cell>
          <cell r="AF44">
            <v>2</v>
          </cell>
        </row>
        <row r="45">
          <cell r="B45" t="str">
            <v>قالب پخت کلاچ پیکان آرژانتینی</v>
          </cell>
          <cell r="C45" t="str">
            <v>قالب تعمیری</v>
          </cell>
          <cell r="AF45">
            <v>2</v>
          </cell>
        </row>
        <row r="46">
          <cell r="B46" t="str">
            <v>قالب شمشی عقب ریو</v>
          </cell>
          <cell r="C46" t="str">
            <v>قالب نو</v>
          </cell>
          <cell r="AF46">
            <v>4</v>
          </cell>
        </row>
        <row r="47">
          <cell r="B47" t="str">
            <v>قالب پراید خاردار</v>
          </cell>
          <cell r="C47" t="str">
            <v>قالب تعمیری</v>
          </cell>
          <cell r="AF47">
            <v>4</v>
          </cell>
        </row>
        <row r="48">
          <cell r="B48" t="str">
            <v>دستگاه پشم فلز چینی</v>
          </cell>
          <cell r="C48" t="str">
            <v>قطعه نو</v>
          </cell>
          <cell r="AF48">
            <v>5.833333333333333</v>
          </cell>
        </row>
        <row r="49">
          <cell r="B49" t="str">
            <v>قالب عقب F12</v>
          </cell>
          <cell r="C49" t="str">
            <v>قالب نو</v>
          </cell>
          <cell r="AF49">
            <v>11</v>
          </cell>
        </row>
        <row r="50">
          <cell r="B50" t="str">
            <v>دستگاه پرس 600 تن</v>
          </cell>
          <cell r="C50" t="str">
            <v>قطعه تعمیری</v>
          </cell>
          <cell r="AF50">
            <v>7.5</v>
          </cell>
        </row>
        <row r="51">
          <cell r="B51" t="str">
            <v>قالب لودری 70028</v>
          </cell>
          <cell r="C51" t="str">
            <v>قالب تعمیری</v>
          </cell>
          <cell r="AF51">
            <v>5</v>
          </cell>
        </row>
        <row r="52">
          <cell r="B52" t="str">
            <v>قالب پخت کلاچ پژو 405</v>
          </cell>
          <cell r="C52" t="str">
            <v>قالب تعمیری</v>
          </cell>
          <cell r="AF52">
            <v>6</v>
          </cell>
        </row>
        <row r="53">
          <cell r="B53" t="str">
            <v>Hammer Mill Machine</v>
          </cell>
          <cell r="C53" t="str">
            <v>دستگاه نو</v>
          </cell>
          <cell r="AF53">
            <v>6.5</v>
          </cell>
        </row>
        <row r="54">
          <cell r="B54" t="str">
            <v>قالب شمشی عقب ریو</v>
          </cell>
          <cell r="C54" t="str">
            <v>قالب نو</v>
          </cell>
          <cell r="AF54">
            <v>7.5</v>
          </cell>
        </row>
        <row r="55">
          <cell r="B55" t="str">
            <v>Hammer Mill Machine</v>
          </cell>
          <cell r="C55" t="str">
            <v>دستگاه نو</v>
          </cell>
          <cell r="AF55">
            <v>3.5</v>
          </cell>
        </row>
        <row r="56">
          <cell r="B56" t="str">
            <v>ویوینگ</v>
          </cell>
          <cell r="C56" t="str">
            <v>قطعه تعمیری</v>
          </cell>
          <cell r="AF56">
            <v>5</v>
          </cell>
        </row>
        <row r="57">
          <cell r="B57" t="str">
            <v>سری نقطه جوش</v>
          </cell>
          <cell r="C57" t="str">
            <v>قطعه تعمیری</v>
          </cell>
          <cell r="AF57">
            <v>1</v>
          </cell>
        </row>
        <row r="58">
          <cell r="B58" t="str">
            <v>پخت کلاچ 911 دور بزرگ</v>
          </cell>
          <cell r="C58" t="str">
            <v>قالب تعمیری</v>
          </cell>
          <cell r="AF58">
            <v>3</v>
          </cell>
        </row>
        <row r="59">
          <cell r="B59" t="str">
            <v>بمبوری</v>
          </cell>
          <cell r="C59" t="str">
            <v>قطعه تعمیری</v>
          </cell>
          <cell r="AF59">
            <v>5</v>
          </cell>
        </row>
        <row r="60">
          <cell r="B60" t="str">
            <v>قالب پراید خاردار</v>
          </cell>
          <cell r="C60" t="str">
            <v>قالب تعمیری</v>
          </cell>
          <cell r="AF60">
            <v>2.5</v>
          </cell>
        </row>
        <row r="61">
          <cell r="B61" t="str">
            <v>قالب پخت کلاچ پژو 405</v>
          </cell>
          <cell r="C61" t="str">
            <v>قالب تعمیری</v>
          </cell>
          <cell r="AF61">
            <v>2.5</v>
          </cell>
        </row>
        <row r="62">
          <cell r="B62" t="str">
            <v>ویوینگ</v>
          </cell>
          <cell r="C62" t="str">
            <v>قطعه تعمیری</v>
          </cell>
          <cell r="AF62">
            <v>12</v>
          </cell>
        </row>
        <row r="63">
          <cell r="B63" t="str">
            <v>قالب پراید خاردار</v>
          </cell>
          <cell r="C63" t="str">
            <v>قالب تعمیری</v>
          </cell>
          <cell r="AF63">
            <v>12</v>
          </cell>
        </row>
        <row r="64">
          <cell r="B64" t="str">
            <v>Hammer Mill Machine</v>
          </cell>
          <cell r="C64" t="str">
            <v>دستگاه نو</v>
          </cell>
          <cell r="AF64">
            <v>12</v>
          </cell>
        </row>
        <row r="65">
          <cell r="B65" t="str">
            <v>قالب پژو 405 دیسکی</v>
          </cell>
          <cell r="C65" t="str">
            <v>قالب تعمیری</v>
          </cell>
          <cell r="AF65">
            <v>12</v>
          </cell>
        </row>
        <row r="66">
          <cell r="B66" t="str">
            <v>قالب لودری 70028</v>
          </cell>
          <cell r="C66" t="str">
            <v>قالب تعمیری</v>
          </cell>
          <cell r="AF66">
            <v>2</v>
          </cell>
        </row>
        <row r="67">
          <cell r="B67" t="str">
            <v>قالب پژو 405 دیسکی</v>
          </cell>
          <cell r="C67" t="str">
            <v>قالب تعمیری</v>
          </cell>
          <cell r="AF67">
            <v>2</v>
          </cell>
        </row>
        <row r="68">
          <cell r="B68" t="str">
            <v>پخت کلاچ 911 دور بزرگ</v>
          </cell>
          <cell r="C68" t="str">
            <v>قالب تعمیری</v>
          </cell>
          <cell r="AF68">
            <v>2</v>
          </cell>
        </row>
        <row r="69">
          <cell r="B69" t="str">
            <v>پخت کلاچ 911 دور بزرگ</v>
          </cell>
          <cell r="C69" t="str">
            <v>قالب تعمیری</v>
          </cell>
          <cell r="AF69">
            <v>3</v>
          </cell>
        </row>
        <row r="70">
          <cell r="B70" t="str">
            <v>قالب نیسان آریا</v>
          </cell>
          <cell r="C70" t="str">
            <v>قالب تعمیری</v>
          </cell>
          <cell r="AF70">
            <v>3</v>
          </cell>
        </row>
        <row r="71">
          <cell r="B71" t="str">
            <v>قالب پژو 405 دیسکی</v>
          </cell>
          <cell r="C71" t="str">
            <v>قالب تعمیری</v>
          </cell>
          <cell r="AF71">
            <v>2.5</v>
          </cell>
        </row>
        <row r="72">
          <cell r="B72" t="str">
            <v>قالب لودری 70028</v>
          </cell>
          <cell r="C72" t="str">
            <v>قالب تعمیری</v>
          </cell>
          <cell r="AF72">
            <v>3</v>
          </cell>
        </row>
        <row r="73">
          <cell r="B73" t="str">
            <v>قالب پخت کلاچ پژو 405</v>
          </cell>
          <cell r="C73" t="str">
            <v>قالب تعمیری</v>
          </cell>
          <cell r="AF73">
            <v>11</v>
          </cell>
        </row>
        <row r="74">
          <cell r="B74" t="str">
            <v>دستگاه پشم فلز چینی</v>
          </cell>
          <cell r="C74" t="str">
            <v>قطعه نو</v>
          </cell>
          <cell r="AF74">
            <v>6.5</v>
          </cell>
        </row>
        <row r="75">
          <cell r="B75" t="str">
            <v>قالب عقب F12</v>
          </cell>
          <cell r="C75" t="str">
            <v>قالب نو</v>
          </cell>
          <cell r="AF75">
            <v>5.5</v>
          </cell>
        </row>
        <row r="76">
          <cell r="B76" t="str">
            <v>عقب بنز 74</v>
          </cell>
          <cell r="C76" t="str">
            <v>قالب تعمیری</v>
          </cell>
          <cell r="AF76">
            <v>5.5</v>
          </cell>
        </row>
        <row r="77">
          <cell r="B77" t="str">
            <v>دستگاه پشم فلز</v>
          </cell>
          <cell r="C77" t="str">
            <v>قطعه تعمیری</v>
          </cell>
          <cell r="AF77">
            <v>5</v>
          </cell>
        </row>
        <row r="78">
          <cell r="B78" t="str">
            <v>دستگاه پشم فلز</v>
          </cell>
          <cell r="C78" t="str">
            <v>قطعه تعمیری</v>
          </cell>
          <cell r="AF78">
            <v>4</v>
          </cell>
        </row>
        <row r="79">
          <cell r="B79" t="str">
            <v>قالب پخت کلاچ پژو 405</v>
          </cell>
          <cell r="C79" t="str">
            <v>قالب تعمیری</v>
          </cell>
          <cell r="AF79">
            <v>2</v>
          </cell>
        </row>
        <row r="80">
          <cell r="B80" t="str">
            <v>دستگاه ساب الماسه</v>
          </cell>
          <cell r="C80" t="str">
            <v>قطعه تعمیری</v>
          </cell>
          <cell r="AF80">
            <v>3</v>
          </cell>
        </row>
        <row r="81">
          <cell r="B81" t="str">
            <v>قالب پخت کلاچ پیکان آرژانتینی</v>
          </cell>
          <cell r="C81" t="str">
            <v>قالب تعمیری</v>
          </cell>
          <cell r="AF81">
            <v>2</v>
          </cell>
        </row>
        <row r="82">
          <cell r="B82" t="str">
            <v>بمبوری</v>
          </cell>
          <cell r="C82" t="str">
            <v>قطعه تعمیری</v>
          </cell>
          <cell r="AF82">
            <v>2.5</v>
          </cell>
        </row>
        <row r="83">
          <cell r="B83" t="str">
            <v>Hammer Mill Machine</v>
          </cell>
          <cell r="C83" t="str">
            <v>دستگاه نو</v>
          </cell>
          <cell r="AF83">
            <v>1.5</v>
          </cell>
        </row>
        <row r="84">
          <cell r="B84" t="str">
            <v>دستگاه پرس 600 تن</v>
          </cell>
          <cell r="C84" t="str">
            <v>قطعه تعمیری</v>
          </cell>
          <cell r="AF84">
            <v>4.5</v>
          </cell>
        </row>
        <row r="85">
          <cell r="B85" t="str">
            <v>پین عقب L90 معمولی</v>
          </cell>
          <cell r="C85" t="str">
            <v>قطعه نو</v>
          </cell>
          <cell r="AF85">
            <v>7.5</v>
          </cell>
        </row>
        <row r="86">
          <cell r="B86" t="str">
            <v>ویوینگ</v>
          </cell>
          <cell r="C86" t="str">
            <v>قطعه تعمیری</v>
          </cell>
          <cell r="AF86">
            <v>11</v>
          </cell>
        </row>
        <row r="87">
          <cell r="B87" t="str">
            <v>قالب پراید خاردار</v>
          </cell>
          <cell r="C87" t="str">
            <v>قالب تعمیری</v>
          </cell>
          <cell r="AF87">
            <v>4</v>
          </cell>
        </row>
        <row r="88">
          <cell r="B88" t="str">
            <v>قلم پین L90</v>
          </cell>
          <cell r="C88" t="str">
            <v>قطعه تعمیری</v>
          </cell>
          <cell r="AF88">
            <v>2</v>
          </cell>
        </row>
        <row r="89">
          <cell r="B89" t="str">
            <v>ابزار زنی</v>
          </cell>
          <cell r="C89" t="str">
            <v>قطعه نو</v>
          </cell>
          <cell r="AF89">
            <v>5</v>
          </cell>
        </row>
        <row r="90">
          <cell r="B90" t="str">
            <v>قالب پخت کلاچ پیکان آرژانتینی</v>
          </cell>
          <cell r="C90" t="str">
            <v>قالب تعمیری</v>
          </cell>
          <cell r="AF90">
            <v>7</v>
          </cell>
        </row>
        <row r="91">
          <cell r="B91" t="str">
            <v>ابزار زنی</v>
          </cell>
          <cell r="C91" t="str">
            <v>قطعه نو</v>
          </cell>
          <cell r="AF91">
            <v>4</v>
          </cell>
        </row>
        <row r="92">
          <cell r="B92" t="str">
            <v>ابزار زنی</v>
          </cell>
          <cell r="C92" t="str">
            <v>قطعه نو</v>
          </cell>
          <cell r="AF92">
            <v>11</v>
          </cell>
        </row>
        <row r="93">
          <cell r="B93" t="str">
            <v>قالب پخت کلاچ پژو 405</v>
          </cell>
          <cell r="C93" t="str">
            <v>قالب تعمیری</v>
          </cell>
          <cell r="AF93">
            <v>11</v>
          </cell>
        </row>
        <row r="94">
          <cell r="B94" t="str">
            <v>Hammer Mill Machine</v>
          </cell>
          <cell r="C94" t="str">
            <v>دستگاه نو</v>
          </cell>
          <cell r="AF94">
            <v>2</v>
          </cell>
        </row>
        <row r="95">
          <cell r="B95" t="str">
            <v>قالب پخت کلاچ پژو 405</v>
          </cell>
          <cell r="C95" t="str">
            <v>قالب تعمیری</v>
          </cell>
          <cell r="AF95">
            <v>11</v>
          </cell>
        </row>
        <row r="96">
          <cell r="B96" t="str">
            <v>Hammer Mill Machine</v>
          </cell>
          <cell r="C96" t="str">
            <v>دستگاه نو</v>
          </cell>
          <cell r="AF96">
            <v>1</v>
          </cell>
        </row>
        <row r="97">
          <cell r="B97" t="str">
            <v>قالب لودری 70028</v>
          </cell>
          <cell r="C97" t="str">
            <v>قالب تعمیری</v>
          </cell>
          <cell r="AF97">
            <v>3</v>
          </cell>
        </row>
        <row r="98">
          <cell r="B98" t="str">
            <v>بمبوری</v>
          </cell>
          <cell r="C98" t="str">
            <v>قطعه تعمیری</v>
          </cell>
          <cell r="AF98">
            <v>1</v>
          </cell>
        </row>
        <row r="99">
          <cell r="B99" t="str">
            <v>بمبوری</v>
          </cell>
          <cell r="C99" t="str">
            <v>قطعه تعمیری</v>
          </cell>
          <cell r="AF99">
            <v>1</v>
          </cell>
        </row>
        <row r="100">
          <cell r="B100" t="str">
            <v>پخت کلاچ پژو 206 TU5</v>
          </cell>
          <cell r="C100" t="str">
            <v>قالب تعمیری</v>
          </cell>
          <cell r="AF100">
            <v>4</v>
          </cell>
        </row>
        <row r="101">
          <cell r="B101" t="str">
            <v>قالب پخت کلاچ پژو 405</v>
          </cell>
          <cell r="C101" t="str">
            <v>قالب تعمیری</v>
          </cell>
          <cell r="AF101">
            <v>0.5</v>
          </cell>
        </row>
        <row r="102">
          <cell r="B102" t="str">
            <v>Hammer Mill Machine</v>
          </cell>
          <cell r="C102" t="str">
            <v>دستگاه نو</v>
          </cell>
          <cell r="AF102">
            <v>7.5</v>
          </cell>
        </row>
        <row r="103">
          <cell r="B103" t="str">
            <v>قالب پخت کلاچ پژو 405</v>
          </cell>
          <cell r="C103" t="str">
            <v>قالب تعمیری</v>
          </cell>
          <cell r="AF103">
            <v>3.5</v>
          </cell>
        </row>
        <row r="104">
          <cell r="B104" t="str">
            <v>قالب پخت کلاچ پژو 405</v>
          </cell>
          <cell r="C104" t="str">
            <v>قالب تعمیری</v>
          </cell>
          <cell r="AF104">
            <v>4.5</v>
          </cell>
        </row>
        <row r="105">
          <cell r="B105" t="str">
            <v>دستگاه پرس پخت</v>
          </cell>
          <cell r="C105" t="str">
            <v>قطعه تعمیری</v>
          </cell>
          <cell r="AF105">
            <v>3</v>
          </cell>
        </row>
        <row r="106">
          <cell r="B106" t="str">
            <v>دستگاه ساب الماسه</v>
          </cell>
          <cell r="C106" t="str">
            <v>قطعه تعمیری</v>
          </cell>
          <cell r="AF106">
            <v>3.5</v>
          </cell>
        </row>
        <row r="107">
          <cell r="B107" t="str">
            <v>پخت کلاچ پژو 206 TU5</v>
          </cell>
          <cell r="C107" t="str">
            <v>قالب تعمیری</v>
          </cell>
          <cell r="AF107">
            <v>2</v>
          </cell>
        </row>
        <row r="108">
          <cell r="B108" t="str">
            <v>قالب پراید خاردار</v>
          </cell>
          <cell r="C108" t="str">
            <v>قالب تعمیری</v>
          </cell>
          <cell r="AF108">
            <v>4</v>
          </cell>
        </row>
        <row r="109">
          <cell r="B109" t="str">
            <v>قالب پخت کلاچ پیکان آرژانتینی</v>
          </cell>
          <cell r="C109" t="str">
            <v>قالب تعمیری</v>
          </cell>
          <cell r="AF109">
            <v>2</v>
          </cell>
        </row>
        <row r="110">
          <cell r="B110" t="str">
            <v>عقب بنز 74</v>
          </cell>
          <cell r="C110" t="str">
            <v>قالب تعمیری</v>
          </cell>
          <cell r="AF110">
            <v>11</v>
          </cell>
        </row>
        <row r="111">
          <cell r="B111" t="str">
            <v>قالب پخت کلاچ پژو 405</v>
          </cell>
          <cell r="C111" t="str">
            <v>قالب تعمیری</v>
          </cell>
          <cell r="AF111">
            <v>11</v>
          </cell>
        </row>
        <row r="112">
          <cell r="B112" t="str">
            <v>قالب پخت کلاچ پژو 405</v>
          </cell>
          <cell r="C112" t="str">
            <v>قالب تعمیری</v>
          </cell>
          <cell r="AF112">
            <v>7</v>
          </cell>
        </row>
        <row r="113">
          <cell r="B113" t="str">
            <v>قالب پخت کلاچ پیکان</v>
          </cell>
          <cell r="C113" t="str">
            <v>قالب تعمیری</v>
          </cell>
          <cell r="AF113">
            <v>11</v>
          </cell>
        </row>
        <row r="114">
          <cell r="B114" t="str">
            <v>ویوینگ</v>
          </cell>
          <cell r="C114" t="str">
            <v>قطعه تعمیری</v>
          </cell>
          <cell r="AF114">
            <v>5</v>
          </cell>
        </row>
        <row r="115">
          <cell r="B115" t="str">
            <v>ابزار زنی</v>
          </cell>
          <cell r="C115" t="str">
            <v>قطعه نو</v>
          </cell>
          <cell r="AF115">
            <v>12</v>
          </cell>
        </row>
        <row r="116">
          <cell r="B116" t="str">
            <v>ابزار زنی</v>
          </cell>
          <cell r="C116" t="str">
            <v>قطعه نو</v>
          </cell>
          <cell r="AF116">
            <v>12</v>
          </cell>
        </row>
        <row r="117">
          <cell r="B117" t="str">
            <v>ابزار زنی</v>
          </cell>
          <cell r="C117" t="str">
            <v>قطعه نو</v>
          </cell>
          <cell r="AF117">
            <v>12</v>
          </cell>
        </row>
        <row r="118">
          <cell r="B118" t="str">
            <v>پین عقب L90 معمولی</v>
          </cell>
          <cell r="C118" t="str">
            <v>قطعه نو</v>
          </cell>
          <cell r="AF118">
            <v>7.5</v>
          </cell>
        </row>
        <row r="119">
          <cell r="B119" t="str">
            <v>قالب پخت کلاچ پژو 405</v>
          </cell>
          <cell r="C119" t="str">
            <v>قالب تعمیری</v>
          </cell>
          <cell r="AF119">
            <v>11</v>
          </cell>
        </row>
        <row r="120">
          <cell r="B120" t="str">
            <v>قالب پخت کلاچ پژو 405</v>
          </cell>
          <cell r="C120" t="str">
            <v>قالب تعمیری</v>
          </cell>
          <cell r="AF120">
            <v>7.5</v>
          </cell>
        </row>
        <row r="121">
          <cell r="B121" t="str">
            <v>قالب لودری 70028</v>
          </cell>
          <cell r="C121" t="str">
            <v>قالب تعمیری</v>
          </cell>
          <cell r="AF121">
            <v>1.5</v>
          </cell>
        </row>
        <row r="122">
          <cell r="B122" t="str">
            <v>دستگاه پشم فلز چینی</v>
          </cell>
          <cell r="C122" t="str">
            <v>قطعه نو</v>
          </cell>
          <cell r="AF122">
            <v>5</v>
          </cell>
        </row>
        <row r="123">
          <cell r="B123" t="str">
            <v>قالب پخت کلاچ پژو 405</v>
          </cell>
          <cell r="C123" t="str">
            <v>قالب تعمیری</v>
          </cell>
          <cell r="AF123">
            <v>7</v>
          </cell>
        </row>
        <row r="124">
          <cell r="B124" t="str">
            <v>اصول 5S</v>
          </cell>
          <cell r="C124" t="str">
            <v>نظافت</v>
          </cell>
          <cell r="AF124">
            <v>0.5</v>
          </cell>
        </row>
        <row r="125">
          <cell r="B125" t="str">
            <v>قالب پخت کلاچ پژو 405</v>
          </cell>
          <cell r="C125" t="str">
            <v>قالب تعمیری</v>
          </cell>
          <cell r="AF125">
            <v>7</v>
          </cell>
        </row>
        <row r="126">
          <cell r="B126" t="str">
            <v>اصول 5S</v>
          </cell>
          <cell r="C126" t="str">
            <v>نظافت</v>
          </cell>
          <cell r="AF126">
            <v>0.5</v>
          </cell>
        </row>
        <row r="127">
          <cell r="B127" t="str">
            <v>ویوینگ</v>
          </cell>
          <cell r="C127" t="str">
            <v>قطعه تعمیری</v>
          </cell>
          <cell r="AF127">
            <v>1</v>
          </cell>
        </row>
        <row r="128">
          <cell r="B128" t="str">
            <v>قالب پخت کلاچ پیکان آرژانتینی</v>
          </cell>
          <cell r="C128" t="str">
            <v>قالب تعمیری</v>
          </cell>
          <cell r="AF128">
            <v>2</v>
          </cell>
        </row>
        <row r="129">
          <cell r="B129" t="str">
            <v>قالب جلو ریو</v>
          </cell>
          <cell r="C129" t="str">
            <v>قالب تعمیری</v>
          </cell>
          <cell r="AF129">
            <v>2</v>
          </cell>
        </row>
        <row r="130">
          <cell r="B130" t="str">
            <v>اصول 5S</v>
          </cell>
          <cell r="C130" t="str">
            <v>نظافت</v>
          </cell>
          <cell r="AF130">
            <v>1</v>
          </cell>
        </row>
        <row r="131">
          <cell r="B131" t="str">
            <v>پین عقب L90 معمولی</v>
          </cell>
          <cell r="C131" t="str">
            <v>قطعه نو</v>
          </cell>
          <cell r="AF131">
            <v>7.5</v>
          </cell>
        </row>
        <row r="132">
          <cell r="B132" t="str">
            <v>اصول 5S</v>
          </cell>
          <cell r="C132" t="str">
            <v>نظافت</v>
          </cell>
          <cell r="AF132">
            <v>0.5</v>
          </cell>
        </row>
        <row r="133">
          <cell r="B133" t="str">
            <v>دستگاه ساب الماسه</v>
          </cell>
          <cell r="C133" t="str">
            <v>قطعه تعمیری</v>
          </cell>
          <cell r="AF133">
            <v>2</v>
          </cell>
        </row>
        <row r="134">
          <cell r="B134" t="str">
            <v>ویوینگ</v>
          </cell>
          <cell r="C134" t="str">
            <v>قطعه تعمیری</v>
          </cell>
          <cell r="AF134">
            <v>2</v>
          </cell>
        </row>
        <row r="135">
          <cell r="B135" t="str">
            <v xml:space="preserve">وایر کات </v>
          </cell>
          <cell r="C135" t="str">
            <v>دستگاه تعمیری</v>
          </cell>
          <cell r="AF135">
            <v>2</v>
          </cell>
        </row>
        <row r="136">
          <cell r="B136" t="str">
            <v>اصول 5S</v>
          </cell>
          <cell r="C136" t="str">
            <v>نظافت</v>
          </cell>
          <cell r="AF136">
            <v>0.5</v>
          </cell>
        </row>
        <row r="137">
          <cell r="B137" t="str">
            <v>ابزار زنی</v>
          </cell>
          <cell r="C137" t="str">
            <v>قطعه نو</v>
          </cell>
          <cell r="AF137">
            <v>4</v>
          </cell>
        </row>
        <row r="138">
          <cell r="B138" t="str">
            <v>ابزار زنی</v>
          </cell>
          <cell r="C138" t="str">
            <v>قطعه نو</v>
          </cell>
          <cell r="AF138">
            <v>4</v>
          </cell>
        </row>
        <row r="139">
          <cell r="B139" t="str">
            <v>قالب پخت کلاچ پژو 405</v>
          </cell>
          <cell r="C139" t="str">
            <v>قالب تعمیری</v>
          </cell>
          <cell r="AF139">
            <v>7.5</v>
          </cell>
        </row>
        <row r="140">
          <cell r="B140" t="str">
            <v>پخت کلاچ پراید</v>
          </cell>
          <cell r="C140" t="str">
            <v>قالب تعمیری</v>
          </cell>
          <cell r="AF140">
            <v>7.5</v>
          </cell>
        </row>
        <row r="141">
          <cell r="B141" t="str">
            <v>پخت کلاچ پراید</v>
          </cell>
          <cell r="C141" t="str">
            <v>قالب تعمیری</v>
          </cell>
          <cell r="AF141">
            <v>10</v>
          </cell>
        </row>
        <row r="142">
          <cell r="B142" t="str">
            <v>قالب پخت کلاچ پژو 405</v>
          </cell>
          <cell r="C142" t="str">
            <v>قالب تعمیری</v>
          </cell>
          <cell r="AF142">
            <v>10</v>
          </cell>
        </row>
        <row r="143">
          <cell r="B143" t="str">
            <v>پین عقب L90 معمولی</v>
          </cell>
          <cell r="C143" t="str">
            <v>قطعه نو</v>
          </cell>
          <cell r="AF143">
            <v>7.5</v>
          </cell>
        </row>
        <row r="144">
          <cell r="B144" t="str">
            <v>دستگاه پشم فلز چینی</v>
          </cell>
          <cell r="C144" t="str">
            <v>قطعه نو</v>
          </cell>
          <cell r="AF144">
            <v>7.333333333333333</v>
          </cell>
        </row>
        <row r="145">
          <cell r="B145" t="str">
            <v>پخت کلاچ پراید</v>
          </cell>
          <cell r="C145" t="str">
            <v>قالب تعمیری</v>
          </cell>
          <cell r="AF145">
            <v>10</v>
          </cell>
        </row>
        <row r="146">
          <cell r="B146" t="str">
            <v>قالب جلو ریو</v>
          </cell>
          <cell r="C146" t="str">
            <v>قالب تعمیری</v>
          </cell>
          <cell r="AF146">
            <v>2</v>
          </cell>
        </row>
        <row r="147">
          <cell r="B147" t="str">
            <v>ابزار زنی</v>
          </cell>
          <cell r="C147" t="str">
            <v>قطعه نو</v>
          </cell>
          <cell r="AF147">
            <v>7</v>
          </cell>
        </row>
        <row r="148">
          <cell r="B148" t="str">
            <v>قالب پخت کلاچ پژو 405</v>
          </cell>
          <cell r="C148" t="str">
            <v>قالب تعمیری</v>
          </cell>
          <cell r="AF148">
            <v>3</v>
          </cell>
        </row>
        <row r="149">
          <cell r="B149" t="str">
            <v>دستگاه پشم فلز چینی</v>
          </cell>
          <cell r="C149" t="str">
            <v>قطعه نو</v>
          </cell>
          <cell r="AF149">
            <v>3</v>
          </cell>
        </row>
        <row r="150">
          <cell r="B150" t="str">
            <v>برش توری SAF</v>
          </cell>
          <cell r="C150" t="str">
            <v>قالب تعمیری</v>
          </cell>
          <cell r="AF150">
            <v>1</v>
          </cell>
        </row>
        <row r="151">
          <cell r="B151" t="str">
            <v>قالب پخت کلاچ پیکان</v>
          </cell>
          <cell r="C151" t="str">
            <v>قالب تعمیری</v>
          </cell>
          <cell r="AF151">
            <v>3</v>
          </cell>
        </row>
        <row r="152">
          <cell r="B152" t="str">
            <v>آغشته کاری</v>
          </cell>
          <cell r="C152" t="str">
            <v>قطعه نو</v>
          </cell>
          <cell r="AF152">
            <v>3</v>
          </cell>
        </row>
        <row r="153">
          <cell r="B153" t="str">
            <v xml:space="preserve">وایر کات </v>
          </cell>
          <cell r="C153" t="str">
            <v>دستگاه تعمیری</v>
          </cell>
          <cell r="AF153">
            <v>1.5</v>
          </cell>
        </row>
        <row r="154">
          <cell r="B154" t="str">
            <v>دریل رادیال</v>
          </cell>
          <cell r="C154" t="str">
            <v>دستگاه تعمیری</v>
          </cell>
          <cell r="AF154">
            <v>1.5</v>
          </cell>
        </row>
        <row r="155">
          <cell r="B155" t="str">
            <v>Hammer Mill Machine</v>
          </cell>
          <cell r="C155" t="str">
            <v>دستگاه نو</v>
          </cell>
          <cell r="AF155">
            <v>9</v>
          </cell>
        </row>
        <row r="156">
          <cell r="B156" t="str">
            <v>بمبوری</v>
          </cell>
          <cell r="C156" t="str">
            <v>قطعه تعمیری</v>
          </cell>
          <cell r="AF156">
            <v>2</v>
          </cell>
        </row>
        <row r="157">
          <cell r="B157" t="str">
            <v>ابزار زنی</v>
          </cell>
          <cell r="C157" t="str">
            <v>قطعه تعمیری</v>
          </cell>
          <cell r="AF157">
            <v>2</v>
          </cell>
        </row>
        <row r="158">
          <cell r="B158" t="str">
            <v xml:space="preserve">دستگاه بسته بندی </v>
          </cell>
          <cell r="C158" t="str">
            <v>قطعه تعمیری</v>
          </cell>
          <cell r="AF158">
            <v>3</v>
          </cell>
        </row>
        <row r="159">
          <cell r="B159" t="str">
            <v>آغشته کاری</v>
          </cell>
          <cell r="C159" t="str">
            <v>قطعه تعمیری</v>
          </cell>
          <cell r="AF159">
            <v>12</v>
          </cell>
        </row>
        <row r="160">
          <cell r="B160" t="str">
            <v>دستگاه CNC</v>
          </cell>
          <cell r="C160" t="str">
            <v>قطعه نو</v>
          </cell>
          <cell r="AF160">
            <v>12</v>
          </cell>
        </row>
        <row r="161">
          <cell r="B161" t="str">
            <v>دستگاه وایر 7604</v>
          </cell>
          <cell r="C161" t="str">
            <v>دستگاه تعمیری</v>
          </cell>
          <cell r="AF161">
            <v>12</v>
          </cell>
        </row>
        <row r="162">
          <cell r="B162" t="str">
            <v>پخت کلاچ پراید</v>
          </cell>
          <cell r="C162" t="str">
            <v>قالب تعمیری</v>
          </cell>
          <cell r="AF162">
            <v>1</v>
          </cell>
        </row>
        <row r="163">
          <cell r="B163" t="str">
            <v>قالب جلو ریو</v>
          </cell>
          <cell r="C163" t="str">
            <v>قالب تعمیری</v>
          </cell>
          <cell r="AF163">
            <v>1</v>
          </cell>
        </row>
        <row r="164">
          <cell r="B164" t="str">
            <v>قالب جلو ریو</v>
          </cell>
          <cell r="C164" t="str">
            <v>قالب تعمیری</v>
          </cell>
          <cell r="AF164">
            <v>8</v>
          </cell>
        </row>
        <row r="165">
          <cell r="B165" t="str">
            <v>قالب پخت کلاچ پژو 405</v>
          </cell>
          <cell r="C165" t="str">
            <v>قالب تعمیری</v>
          </cell>
          <cell r="AF165">
            <v>2.5</v>
          </cell>
        </row>
        <row r="166">
          <cell r="B166" t="str">
            <v>شابلون پژو 405 دیسکی</v>
          </cell>
          <cell r="C166" t="str">
            <v>قطعه تعمیری</v>
          </cell>
          <cell r="AF166">
            <v>5</v>
          </cell>
        </row>
        <row r="167">
          <cell r="B167" t="str">
            <v>بمبوری</v>
          </cell>
          <cell r="C167" t="str">
            <v>قطعه تعمیری</v>
          </cell>
          <cell r="AF167">
            <v>7.5</v>
          </cell>
        </row>
        <row r="168">
          <cell r="B168" t="str">
            <v>دستگاه پرس</v>
          </cell>
          <cell r="C168" t="str">
            <v>قطعه تعمیری</v>
          </cell>
          <cell r="AF168">
            <v>11</v>
          </cell>
        </row>
        <row r="169">
          <cell r="B169" t="str">
            <v>دستگاه پرس 600 تن</v>
          </cell>
          <cell r="C169" t="str">
            <v>قطعه تعمیری</v>
          </cell>
          <cell r="AF169">
            <v>11</v>
          </cell>
        </row>
        <row r="170">
          <cell r="B170" t="str">
            <v>ابزار زنی</v>
          </cell>
          <cell r="C170" t="str">
            <v>قطعه نو</v>
          </cell>
          <cell r="AF170">
            <v>9</v>
          </cell>
        </row>
        <row r="171">
          <cell r="B171" t="str">
            <v xml:space="preserve">پخت کلاچ پراید سکو </v>
          </cell>
          <cell r="C171" t="str">
            <v>قالب تعمیری</v>
          </cell>
          <cell r="AF171">
            <v>2</v>
          </cell>
        </row>
        <row r="172">
          <cell r="B172" t="str">
            <v>قالب پخت کلاچ پیکان</v>
          </cell>
          <cell r="C172" t="str">
            <v>قالب تعمیری</v>
          </cell>
          <cell r="AF172">
            <v>9</v>
          </cell>
        </row>
        <row r="173">
          <cell r="B173" t="str">
            <v>پخت کلاچ پراید</v>
          </cell>
          <cell r="C173" t="str">
            <v>قالب تعمیری</v>
          </cell>
          <cell r="AF173">
            <v>2</v>
          </cell>
        </row>
        <row r="174">
          <cell r="B174" t="str">
            <v>دستگاه پشم فلز چینی</v>
          </cell>
          <cell r="C174" t="str">
            <v>قطعه نو</v>
          </cell>
          <cell r="AF174">
            <v>3</v>
          </cell>
        </row>
        <row r="175">
          <cell r="B175" t="str">
            <v>صنایع مس</v>
          </cell>
          <cell r="C175" t="str">
            <v>قطعه نو</v>
          </cell>
          <cell r="AF175">
            <v>3.3333333333333335</v>
          </cell>
        </row>
        <row r="176">
          <cell r="B176" t="str">
            <v>ساب کلاچ</v>
          </cell>
          <cell r="C176" t="str">
            <v>قطعه نو</v>
          </cell>
          <cell r="AF176">
            <v>5.5</v>
          </cell>
        </row>
        <row r="177">
          <cell r="B177" t="str">
            <v>قالب پخت کلاچ پیکان</v>
          </cell>
          <cell r="C177" t="str">
            <v>قالب تعمیری</v>
          </cell>
          <cell r="AF177">
            <v>5.5</v>
          </cell>
        </row>
        <row r="178">
          <cell r="B178" t="str">
            <v>دستگاه پرس 600 تن</v>
          </cell>
          <cell r="C178" t="str">
            <v>قطعه تعمیری</v>
          </cell>
          <cell r="AF178">
            <v>11</v>
          </cell>
        </row>
        <row r="179">
          <cell r="B179" t="str">
            <v>قالب پخت کلاچ پیکان آرژانتینی</v>
          </cell>
          <cell r="C179" t="str">
            <v>قالب تعمیری</v>
          </cell>
          <cell r="AF179">
            <v>9</v>
          </cell>
        </row>
        <row r="180">
          <cell r="B180" t="str">
            <v>دستگاه CNC</v>
          </cell>
          <cell r="C180" t="str">
            <v>قطعه تعمیری</v>
          </cell>
          <cell r="AF180">
            <v>9</v>
          </cell>
        </row>
        <row r="181">
          <cell r="B181" t="str">
            <v>شرکت فرش</v>
          </cell>
          <cell r="C181" t="str">
            <v>قطعه تعمیری</v>
          </cell>
          <cell r="AF181">
            <v>5</v>
          </cell>
        </row>
        <row r="182">
          <cell r="B182" t="str">
            <v>شرکت فرش</v>
          </cell>
          <cell r="C182" t="str">
            <v>قطعه تعمیری</v>
          </cell>
          <cell r="AF182">
            <v>3</v>
          </cell>
        </row>
        <row r="183">
          <cell r="B183" t="str">
            <v>کولر سالن</v>
          </cell>
          <cell r="C183" t="str">
            <v>قطعه تعمیری</v>
          </cell>
          <cell r="AF183">
            <v>1.5</v>
          </cell>
        </row>
        <row r="184">
          <cell r="B184" t="str">
            <v>آغشته کاری</v>
          </cell>
          <cell r="C184" t="str">
            <v>قطعه نو</v>
          </cell>
          <cell r="AF184">
            <v>1</v>
          </cell>
        </row>
        <row r="185">
          <cell r="B185" t="str">
            <v>قالب جلو ریو</v>
          </cell>
          <cell r="C185" t="str">
            <v>قالب تعمیری</v>
          </cell>
          <cell r="AF185">
            <v>2.5</v>
          </cell>
        </row>
        <row r="186">
          <cell r="B186" t="str">
            <v xml:space="preserve">پخت کلاچ پراید سکو </v>
          </cell>
          <cell r="C186" t="str">
            <v>قالب تعمیری</v>
          </cell>
          <cell r="AF186">
            <v>0.5</v>
          </cell>
        </row>
        <row r="187">
          <cell r="B187" t="str">
            <v>پخت کلاچ پیکان المانی</v>
          </cell>
          <cell r="C187" t="str">
            <v>قالب تعمیری</v>
          </cell>
          <cell r="AF187">
            <v>2</v>
          </cell>
        </row>
        <row r="188">
          <cell r="B188" t="str">
            <v>پخت کلاچ پیکان انگلیسی</v>
          </cell>
          <cell r="C188" t="str">
            <v>قالب تعمیری</v>
          </cell>
          <cell r="AF188">
            <v>1</v>
          </cell>
        </row>
        <row r="189">
          <cell r="B189" t="str">
            <v>پرس پخت کلاچ</v>
          </cell>
          <cell r="C189" t="str">
            <v>قطعه نو</v>
          </cell>
          <cell r="AF189">
            <v>4</v>
          </cell>
        </row>
        <row r="190">
          <cell r="B190" t="str">
            <v>برش جمعی عقب پیکان</v>
          </cell>
          <cell r="C190" t="str">
            <v>قطعه تعمیری</v>
          </cell>
          <cell r="AF190">
            <v>1.5</v>
          </cell>
        </row>
        <row r="191">
          <cell r="B191" t="str">
            <v>ویوینگ</v>
          </cell>
          <cell r="C191" t="str">
            <v>قطعه تعمیری</v>
          </cell>
          <cell r="AF191">
            <v>2</v>
          </cell>
        </row>
        <row r="192">
          <cell r="B192" t="str">
            <v>پین عقب L90 معمولی</v>
          </cell>
          <cell r="C192" t="str">
            <v>قطعه نو</v>
          </cell>
          <cell r="AF192">
            <v>7.5</v>
          </cell>
        </row>
        <row r="193">
          <cell r="B193" t="str">
            <v>ابزار زنی</v>
          </cell>
          <cell r="C193" t="str">
            <v>قطعه نو</v>
          </cell>
          <cell r="AF193">
            <v>11</v>
          </cell>
        </row>
        <row r="194">
          <cell r="B194" t="str">
            <v>صنایع مس</v>
          </cell>
          <cell r="C194" t="str">
            <v>قطعه نو</v>
          </cell>
          <cell r="AF194">
            <v>3.5</v>
          </cell>
        </row>
        <row r="195">
          <cell r="B195" t="str">
            <v>پخت کلاچ پراید</v>
          </cell>
          <cell r="C195" t="str">
            <v>قالب تعمیری</v>
          </cell>
          <cell r="AF195">
            <v>10</v>
          </cell>
        </row>
        <row r="196">
          <cell r="B196" t="str">
            <v>قالب توری بادسان</v>
          </cell>
          <cell r="C196" t="str">
            <v>قالب تعمیری</v>
          </cell>
          <cell r="AF196">
            <v>1</v>
          </cell>
        </row>
        <row r="197">
          <cell r="B197" t="str">
            <v>بمبوری</v>
          </cell>
          <cell r="C197" t="str">
            <v>قطعه تعمیری</v>
          </cell>
          <cell r="AF197">
            <v>4.5</v>
          </cell>
        </row>
        <row r="198">
          <cell r="B198" t="str">
            <v>دستگاه پشم فلز چینی</v>
          </cell>
          <cell r="C198" t="str">
            <v>قطعه نو</v>
          </cell>
          <cell r="AF198">
            <v>6.5</v>
          </cell>
        </row>
        <row r="199">
          <cell r="B199" t="str">
            <v>دستگاه ساب الماسه</v>
          </cell>
          <cell r="C199" t="str">
            <v>قطعه نو</v>
          </cell>
          <cell r="AF199">
            <v>4</v>
          </cell>
        </row>
        <row r="200">
          <cell r="B200" t="str">
            <v>دریل یزدخواستی کلاچ</v>
          </cell>
          <cell r="C200" t="str">
            <v>قطعه نو</v>
          </cell>
          <cell r="AF200">
            <v>6</v>
          </cell>
        </row>
        <row r="201">
          <cell r="B201" t="str">
            <v>دستگاه چسب زنی</v>
          </cell>
          <cell r="C201" t="str">
            <v>قطعه تعمیری</v>
          </cell>
          <cell r="AF201">
            <v>1</v>
          </cell>
        </row>
        <row r="202">
          <cell r="B202" t="str">
            <v>ساب کلاچ</v>
          </cell>
          <cell r="C202" t="str">
            <v>قطعه نو</v>
          </cell>
          <cell r="AF202">
            <v>4.5</v>
          </cell>
        </row>
        <row r="203">
          <cell r="B203" t="str">
            <v>ساب کلاچ</v>
          </cell>
          <cell r="C203" t="str">
            <v>قطعه نو</v>
          </cell>
          <cell r="AF203">
            <v>5.5</v>
          </cell>
        </row>
        <row r="204">
          <cell r="B204" t="str">
            <v>دستگاه مهر زنی</v>
          </cell>
          <cell r="C204" t="str">
            <v>قطعه تعمیری</v>
          </cell>
          <cell r="AF204">
            <v>9</v>
          </cell>
        </row>
        <row r="205">
          <cell r="B205" t="str">
            <v>دستگاه چسب زنی</v>
          </cell>
          <cell r="C205" t="str">
            <v>قطعه تعمیری</v>
          </cell>
          <cell r="AF205">
            <v>5</v>
          </cell>
        </row>
        <row r="206">
          <cell r="B206" t="str">
            <v>قلم ریو</v>
          </cell>
          <cell r="C206" t="str">
            <v>قطعه تعمیری</v>
          </cell>
          <cell r="AF206">
            <v>2</v>
          </cell>
        </row>
        <row r="207">
          <cell r="B207" t="str">
            <v>دستگاه چسب زنی</v>
          </cell>
          <cell r="C207" t="str">
            <v>قطعه تعمیری</v>
          </cell>
          <cell r="AF207">
            <v>4</v>
          </cell>
        </row>
        <row r="208">
          <cell r="B208" t="str">
            <v>آغشته کاری</v>
          </cell>
          <cell r="C208" t="str">
            <v>قطعه نو</v>
          </cell>
          <cell r="AF208">
            <v>1</v>
          </cell>
        </row>
        <row r="209">
          <cell r="B209" t="str">
            <v>قالب پخت کلاچ پژو 405</v>
          </cell>
          <cell r="C209" t="str">
            <v>قالب تعمیری</v>
          </cell>
          <cell r="AF209">
            <v>1</v>
          </cell>
        </row>
        <row r="210">
          <cell r="B210" t="str">
            <v>پخت کلاچ پیکان المانی</v>
          </cell>
          <cell r="C210" t="str">
            <v>قالب تعمیری</v>
          </cell>
          <cell r="AF210">
            <v>2.5</v>
          </cell>
        </row>
        <row r="211">
          <cell r="B211" t="str">
            <v>پخت کلاچ تیبا راست</v>
          </cell>
          <cell r="C211" t="str">
            <v>قالب تعمیری</v>
          </cell>
          <cell r="AF211">
            <v>2.5</v>
          </cell>
        </row>
        <row r="212">
          <cell r="B212" t="str">
            <v>قالب توری بادسان</v>
          </cell>
          <cell r="C212" t="str">
            <v>قالب تعمیری</v>
          </cell>
          <cell r="AF212">
            <v>0.5</v>
          </cell>
        </row>
        <row r="213">
          <cell r="B213" t="str">
            <v>قالب توری بادسان</v>
          </cell>
          <cell r="C213" t="str">
            <v>قالب تعمیری</v>
          </cell>
          <cell r="AF213">
            <v>2</v>
          </cell>
        </row>
        <row r="214">
          <cell r="B214" t="str">
            <v>پخت کلاچ پراید</v>
          </cell>
          <cell r="C214" t="str">
            <v>قالب تعمیری</v>
          </cell>
          <cell r="AF214">
            <v>11</v>
          </cell>
        </row>
        <row r="215">
          <cell r="B215" t="str">
            <v>پخت کلاچ پراید</v>
          </cell>
          <cell r="C215" t="str">
            <v>قالب تعمیری</v>
          </cell>
          <cell r="AF215">
            <v>11</v>
          </cell>
        </row>
        <row r="216">
          <cell r="B216" t="str">
            <v>دستگاه پشم فلز چینی</v>
          </cell>
          <cell r="C216" t="str">
            <v>قطعه نو</v>
          </cell>
          <cell r="AF216">
            <v>11</v>
          </cell>
        </row>
        <row r="217">
          <cell r="B217" t="str">
            <v>قالب پخت کلاچ پیکان</v>
          </cell>
          <cell r="C217" t="str">
            <v>قالب تعمیری</v>
          </cell>
          <cell r="AF217">
            <v>9</v>
          </cell>
        </row>
        <row r="218">
          <cell r="B218" t="str">
            <v>ابزار زنی</v>
          </cell>
          <cell r="C218" t="str">
            <v>قطعه نو</v>
          </cell>
          <cell r="AF218">
            <v>11</v>
          </cell>
        </row>
        <row r="219">
          <cell r="B219" t="str">
            <v>دریل یزدخواستی کلاچ</v>
          </cell>
          <cell r="C219" t="str">
            <v>قطعه نو</v>
          </cell>
          <cell r="AF219">
            <v>10</v>
          </cell>
        </row>
        <row r="220">
          <cell r="B220" t="str">
            <v>دستگاه پرس 600 تن</v>
          </cell>
          <cell r="C220" t="str">
            <v>قطعه تعمیری</v>
          </cell>
          <cell r="AF220">
            <v>11</v>
          </cell>
        </row>
        <row r="221">
          <cell r="B221" t="str">
            <v>صنایع مس</v>
          </cell>
          <cell r="C221" t="str">
            <v>قطعه نو</v>
          </cell>
          <cell r="AF221">
            <v>4</v>
          </cell>
        </row>
        <row r="222">
          <cell r="B222" t="str">
            <v>دستگاه پشم فلز چینی</v>
          </cell>
          <cell r="C222" t="str">
            <v>قطعه نو</v>
          </cell>
          <cell r="AF222">
            <v>1.8333333333333333</v>
          </cell>
        </row>
        <row r="223">
          <cell r="B223" t="str">
            <v>پین عقب ریو</v>
          </cell>
          <cell r="C223" t="str">
            <v>قطعه نو</v>
          </cell>
          <cell r="AF223">
            <v>7.5</v>
          </cell>
        </row>
        <row r="224">
          <cell r="B224" t="str">
            <v>دستگاه پشم فلز چینی</v>
          </cell>
          <cell r="C224" t="str">
            <v>قطعه نو</v>
          </cell>
          <cell r="AF224">
            <v>2</v>
          </cell>
        </row>
        <row r="225">
          <cell r="B225" t="str">
            <v>ساب کلاچ</v>
          </cell>
          <cell r="C225" t="str">
            <v>قطعه نو</v>
          </cell>
          <cell r="AF225">
            <v>3.5</v>
          </cell>
        </row>
        <row r="226">
          <cell r="B226" t="str">
            <v>قالب شمشی عقب پیکان</v>
          </cell>
          <cell r="C226" t="str">
            <v>قالب نو</v>
          </cell>
          <cell r="AF226">
            <v>5.5</v>
          </cell>
        </row>
        <row r="227">
          <cell r="B227" t="str">
            <v>پخت کلاچ پراید</v>
          </cell>
          <cell r="C227" t="str">
            <v>قالب تعمیری</v>
          </cell>
          <cell r="AF227">
            <v>7.5</v>
          </cell>
        </row>
        <row r="228">
          <cell r="B228" t="str">
            <v>صنایع مس</v>
          </cell>
          <cell r="C228" t="str">
            <v>قطعه نو</v>
          </cell>
          <cell r="AF228">
            <v>3.5</v>
          </cell>
        </row>
        <row r="229">
          <cell r="B229" t="str">
            <v>پخت کلاچ پراید</v>
          </cell>
          <cell r="C229" t="str">
            <v>قالب تعمیری</v>
          </cell>
          <cell r="AF229">
            <v>4</v>
          </cell>
        </row>
        <row r="230">
          <cell r="B230" t="str">
            <v>قالب BPW تاجدار</v>
          </cell>
          <cell r="C230" t="str">
            <v>قالب تعمیری</v>
          </cell>
          <cell r="AF230">
            <v>2</v>
          </cell>
        </row>
        <row r="231">
          <cell r="B231" t="str">
            <v>قالب پخت کلاچ پژو 405</v>
          </cell>
          <cell r="C231" t="str">
            <v>قالب تعمیری</v>
          </cell>
          <cell r="AF231">
            <v>5</v>
          </cell>
        </row>
        <row r="232">
          <cell r="B232" t="str">
            <v>دستگاه مهر زنی</v>
          </cell>
          <cell r="C232" t="str">
            <v>قطعه تعمیری</v>
          </cell>
          <cell r="AF232">
            <v>8</v>
          </cell>
        </row>
        <row r="233">
          <cell r="B233" t="str">
            <v>قالب BPW تاجدار</v>
          </cell>
          <cell r="C233" t="str">
            <v>قالب تعمیری</v>
          </cell>
          <cell r="AF233">
            <v>6</v>
          </cell>
        </row>
        <row r="234">
          <cell r="B234" t="str">
            <v>پرس 50 تن</v>
          </cell>
          <cell r="C234" t="str">
            <v>قطعه نو</v>
          </cell>
          <cell r="AF234">
            <v>6</v>
          </cell>
        </row>
        <row r="235">
          <cell r="B235" t="str">
            <v>پخت کلاچ پیکان انگلیسی</v>
          </cell>
          <cell r="C235" t="str">
            <v>قالب تعمیری</v>
          </cell>
          <cell r="AF235">
            <v>2.5</v>
          </cell>
        </row>
        <row r="236">
          <cell r="B236" t="str">
            <v>قالب پیلسان</v>
          </cell>
          <cell r="C236" t="str">
            <v>قالب تعمیری</v>
          </cell>
          <cell r="AF236">
            <v>4</v>
          </cell>
        </row>
        <row r="237">
          <cell r="B237" t="str">
            <v>ساب کونیک</v>
          </cell>
          <cell r="C237" t="str">
            <v>قطعه تعمیری</v>
          </cell>
          <cell r="AF237">
            <v>1</v>
          </cell>
        </row>
        <row r="238">
          <cell r="B238" t="str">
            <v>ساب الماس</v>
          </cell>
          <cell r="C238" t="str">
            <v>قطعه تعمیری</v>
          </cell>
          <cell r="AF238">
            <v>1.5</v>
          </cell>
        </row>
        <row r="239">
          <cell r="B239" t="str">
            <v>قالب پخت کلاچ پیکان</v>
          </cell>
          <cell r="C239" t="str">
            <v>قالب تعمیری</v>
          </cell>
          <cell r="AF239">
            <v>11</v>
          </cell>
        </row>
        <row r="240">
          <cell r="B240" t="str">
            <v>صنایع مس</v>
          </cell>
          <cell r="C240" t="str">
            <v>قطعه نو</v>
          </cell>
          <cell r="AF240">
            <v>11</v>
          </cell>
        </row>
        <row r="241">
          <cell r="B241" t="str">
            <v>دستگاه پشم فلز چینی</v>
          </cell>
          <cell r="C241" t="str">
            <v>قطعه نو</v>
          </cell>
          <cell r="AF241">
            <v>6.333333333333333</v>
          </cell>
        </row>
        <row r="242">
          <cell r="B242" t="str">
            <v>قالب پخت کلاچ پژو 405</v>
          </cell>
          <cell r="C242" t="str">
            <v>قالب تعمیری</v>
          </cell>
          <cell r="AF242">
            <v>11</v>
          </cell>
        </row>
        <row r="243">
          <cell r="B243" t="str">
            <v>قالب پخت کلاچ پژو 405</v>
          </cell>
          <cell r="C243" t="str">
            <v>قالب تعمیری</v>
          </cell>
          <cell r="AF243">
            <v>11</v>
          </cell>
        </row>
        <row r="244">
          <cell r="B244" t="str">
            <v>دستگاه پشم فلز چینی</v>
          </cell>
          <cell r="C244" t="str">
            <v>قطعه نو</v>
          </cell>
          <cell r="AF244">
            <v>11</v>
          </cell>
        </row>
        <row r="245">
          <cell r="B245" t="str">
            <v>پین عقب ریو</v>
          </cell>
          <cell r="C245" t="str">
            <v>قطعه نو</v>
          </cell>
          <cell r="AF245">
            <v>7.5</v>
          </cell>
        </row>
        <row r="246">
          <cell r="B246" t="str">
            <v>دستگاه پشم فلز چینی</v>
          </cell>
          <cell r="C246" t="str">
            <v>قطعه نو</v>
          </cell>
          <cell r="AF246">
            <v>7.5</v>
          </cell>
        </row>
        <row r="247">
          <cell r="B247" t="str">
            <v>ابزار زنی</v>
          </cell>
          <cell r="C247" t="str">
            <v>قطعه نو</v>
          </cell>
          <cell r="AF247">
            <v>3.5</v>
          </cell>
        </row>
        <row r="248">
          <cell r="B248" t="str">
            <v>دستگاه پشم فلز چینی</v>
          </cell>
          <cell r="C248" t="str">
            <v>قطعه نو</v>
          </cell>
          <cell r="AF248">
            <v>7.5</v>
          </cell>
        </row>
        <row r="249">
          <cell r="B249" t="str">
            <v>کلمپ زنی</v>
          </cell>
          <cell r="C249" t="str">
            <v>دستگاه تعمیری</v>
          </cell>
          <cell r="AF249">
            <v>7.5</v>
          </cell>
        </row>
        <row r="250">
          <cell r="B250" t="str">
            <v>ویوینگ</v>
          </cell>
          <cell r="C250" t="str">
            <v>قطعه تعمیری</v>
          </cell>
          <cell r="AF250">
            <v>1.5</v>
          </cell>
        </row>
        <row r="251">
          <cell r="B251" t="str">
            <v>ابزار زنی</v>
          </cell>
          <cell r="C251" t="str">
            <v>قطعه نو</v>
          </cell>
          <cell r="AF251">
            <v>2</v>
          </cell>
        </row>
        <row r="252">
          <cell r="B252" t="str">
            <v>دریل یزدخواستی کلاچ</v>
          </cell>
          <cell r="C252" t="str">
            <v>قطعه نو</v>
          </cell>
          <cell r="AF252">
            <v>6.5</v>
          </cell>
        </row>
        <row r="253">
          <cell r="B253" t="str">
            <v>شات پلاس</v>
          </cell>
          <cell r="C253" t="str">
            <v>قطعه تعمیری</v>
          </cell>
          <cell r="AF253">
            <v>1.5</v>
          </cell>
        </row>
        <row r="254">
          <cell r="B254" t="str">
            <v>ویوینگ</v>
          </cell>
          <cell r="C254" t="str">
            <v>قطعه تعمیری</v>
          </cell>
          <cell r="AF254">
            <v>3</v>
          </cell>
        </row>
        <row r="255">
          <cell r="B255" t="str">
            <v>دستگاه مهر زنی</v>
          </cell>
          <cell r="C255" t="str">
            <v>قطعه تعمیری</v>
          </cell>
          <cell r="AF255">
            <v>12</v>
          </cell>
        </row>
        <row r="256">
          <cell r="B256" t="str">
            <v>ویوینگ</v>
          </cell>
          <cell r="C256" t="str">
            <v>قطعه تعمیری</v>
          </cell>
          <cell r="AF256">
            <v>6</v>
          </cell>
        </row>
        <row r="257">
          <cell r="B257" t="str">
            <v>دستگاه مهر زنی</v>
          </cell>
          <cell r="C257" t="str">
            <v>قطعه تعمیری</v>
          </cell>
          <cell r="AF257">
            <v>9</v>
          </cell>
        </row>
        <row r="258">
          <cell r="B258" t="str">
            <v xml:space="preserve">پخت کلاچ پراید سکو </v>
          </cell>
          <cell r="C258" t="str">
            <v>قالب تعمیری</v>
          </cell>
          <cell r="AF258">
            <v>3</v>
          </cell>
        </row>
        <row r="259">
          <cell r="B259" t="str">
            <v>پخت کلاچ 911 دور بزرگ</v>
          </cell>
          <cell r="C259" t="str">
            <v>قالب تعمیری</v>
          </cell>
          <cell r="AF259">
            <v>6</v>
          </cell>
        </row>
        <row r="260">
          <cell r="B260" t="str">
            <v>قالب پخت کلاچ پیکان آرژانتینی</v>
          </cell>
          <cell r="C260" t="str">
            <v>قالب تعمیری</v>
          </cell>
          <cell r="AF260">
            <v>1</v>
          </cell>
        </row>
        <row r="261">
          <cell r="B261" t="str">
            <v>پخت کلاچ 911 دور بزرگ</v>
          </cell>
          <cell r="C261" t="str">
            <v>قالب تعمیری</v>
          </cell>
          <cell r="AF261">
            <v>1</v>
          </cell>
        </row>
        <row r="262">
          <cell r="B262" t="str">
            <v>قالب پخت کلاچ پیکان</v>
          </cell>
          <cell r="C262" t="str">
            <v>قالب تعمیری</v>
          </cell>
          <cell r="AF262">
            <v>11</v>
          </cell>
        </row>
        <row r="263">
          <cell r="B263" t="str">
            <v>پین عقب ریو</v>
          </cell>
          <cell r="C263" t="str">
            <v>قطعه نو</v>
          </cell>
          <cell r="AF263">
            <v>7.5</v>
          </cell>
        </row>
        <row r="264">
          <cell r="B264" t="str">
            <v>دستگاه پشم فلز چینی</v>
          </cell>
          <cell r="C264" t="str">
            <v>قطعه نو</v>
          </cell>
          <cell r="AF264">
            <v>6.333333333333333</v>
          </cell>
        </row>
        <row r="265">
          <cell r="B265" t="str">
            <v>قالب پخت کلاچ پژو 405</v>
          </cell>
          <cell r="C265" t="str">
            <v>قالب تعمیری</v>
          </cell>
          <cell r="AF265">
            <v>11</v>
          </cell>
        </row>
        <row r="266">
          <cell r="B266" t="str">
            <v>Hammer Mill Machine</v>
          </cell>
          <cell r="C266" t="str">
            <v>دستگاه نو</v>
          </cell>
          <cell r="AF266">
            <v>11</v>
          </cell>
        </row>
        <row r="267">
          <cell r="B267" t="str">
            <v>دستگاه پشم فلز چینی</v>
          </cell>
          <cell r="C267" t="str">
            <v>قطعه نو</v>
          </cell>
          <cell r="AF267">
            <v>4.5</v>
          </cell>
        </row>
        <row r="268">
          <cell r="B268" t="str">
            <v>دستگاه CNC 7204</v>
          </cell>
          <cell r="C268" t="str">
            <v>دستگاه تعمیری</v>
          </cell>
          <cell r="AF268">
            <v>6.5</v>
          </cell>
        </row>
        <row r="269">
          <cell r="B269" t="str">
            <v>شابلون پراید دیسکی</v>
          </cell>
          <cell r="C269" t="str">
            <v>قطعه تعمیری</v>
          </cell>
          <cell r="AF269">
            <v>4.5</v>
          </cell>
        </row>
        <row r="270">
          <cell r="B270" t="str">
            <v>دستگاه مهر زنی</v>
          </cell>
          <cell r="C270" t="str">
            <v>قطعه تعمیری</v>
          </cell>
          <cell r="AF270">
            <v>6.5</v>
          </cell>
        </row>
        <row r="271">
          <cell r="B271" t="str">
            <v>صنایع مس</v>
          </cell>
          <cell r="C271" t="str">
            <v>قطعه نو</v>
          </cell>
          <cell r="AF271">
            <v>5.5</v>
          </cell>
        </row>
        <row r="272">
          <cell r="B272" t="str">
            <v>دستگاه CNC 7203</v>
          </cell>
          <cell r="C272" t="str">
            <v>دستگاه تعمیری</v>
          </cell>
          <cell r="AF272">
            <v>3.5</v>
          </cell>
        </row>
        <row r="273">
          <cell r="B273" t="str">
            <v>صنایع مس</v>
          </cell>
          <cell r="C273" t="str">
            <v>قطعه نو</v>
          </cell>
          <cell r="AF273">
            <v>2</v>
          </cell>
        </row>
        <row r="274">
          <cell r="B274" t="str">
            <v>قالب پخت کلاچ پیکان</v>
          </cell>
          <cell r="C274" t="str">
            <v>قالب تعمیری</v>
          </cell>
          <cell r="AF274">
            <v>8</v>
          </cell>
        </row>
        <row r="275">
          <cell r="B275" t="str">
            <v>ساب کلاچ</v>
          </cell>
          <cell r="C275" t="str">
            <v>قطعه نو</v>
          </cell>
          <cell r="AF275">
            <v>2</v>
          </cell>
        </row>
        <row r="276">
          <cell r="B276" t="str">
            <v>برش جمعی عقب ریو</v>
          </cell>
          <cell r="C276" t="str">
            <v>قطعه نو</v>
          </cell>
          <cell r="AF276">
            <v>1</v>
          </cell>
        </row>
        <row r="277">
          <cell r="B277" t="str">
            <v>دستگاه پشم فلز</v>
          </cell>
          <cell r="C277" t="str">
            <v>قطعه تعمیری</v>
          </cell>
          <cell r="AF277">
            <v>2</v>
          </cell>
        </row>
        <row r="278">
          <cell r="B278" t="str">
            <v>دریل یزدخواستی کلاچ</v>
          </cell>
          <cell r="C278" t="str">
            <v>قطعه نو</v>
          </cell>
          <cell r="AF278">
            <v>7.5</v>
          </cell>
        </row>
        <row r="279">
          <cell r="B279" t="str">
            <v>دریل یزدخواستی کلاچ</v>
          </cell>
          <cell r="C279" t="str">
            <v>قطعه نو</v>
          </cell>
          <cell r="AF279">
            <v>1.5</v>
          </cell>
        </row>
        <row r="280">
          <cell r="B280" t="str">
            <v>قالب پخت کلاچ پیکان آرژانتینی</v>
          </cell>
          <cell r="C280" t="str">
            <v>قالب تعمیری</v>
          </cell>
          <cell r="AF280">
            <v>12</v>
          </cell>
        </row>
        <row r="281">
          <cell r="B281" t="str">
            <v>دستگاه مهر زنی</v>
          </cell>
          <cell r="C281" t="str">
            <v>قطعه تعمیری</v>
          </cell>
          <cell r="AF281">
            <v>10</v>
          </cell>
        </row>
        <row r="282">
          <cell r="B282" t="str">
            <v>صنایع مس</v>
          </cell>
          <cell r="C282" t="str">
            <v>قطعه نو</v>
          </cell>
          <cell r="AF282">
            <v>2</v>
          </cell>
        </row>
        <row r="283">
          <cell r="B283" t="str">
            <v>دستگاه پرس 600 تن</v>
          </cell>
          <cell r="C283" t="str">
            <v>قطعه تعمیری</v>
          </cell>
          <cell r="AF283">
            <v>9</v>
          </cell>
        </row>
        <row r="284">
          <cell r="B284" t="str">
            <v>پخت کلاچ 911 دور بزرگ</v>
          </cell>
          <cell r="C284" t="str">
            <v>قالب تعمیری</v>
          </cell>
          <cell r="AF284">
            <v>0.5</v>
          </cell>
        </row>
        <row r="285">
          <cell r="B285" t="str">
            <v xml:space="preserve">پخت کلاچ پراید سکو </v>
          </cell>
          <cell r="C285" t="str">
            <v>قالب تعمیری</v>
          </cell>
          <cell r="AF285">
            <v>0.5</v>
          </cell>
        </row>
        <row r="286">
          <cell r="B286" t="str">
            <v>پخت کلاچ تیبا راست</v>
          </cell>
          <cell r="C286" t="str">
            <v>قالب تعمیری</v>
          </cell>
          <cell r="AF286">
            <v>0.5</v>
          </cell>
        </row>
        <row r="287">
          <cell r="B287" t="str">
            <v>پخت کلاچ پیکان المانی</v>
          </cell>
          <cell r="C287" t="str">
            <v>قالب تعمیری</v>
          </cell>
          <cell r="AF287">
            <v>0.5</v>
          </cell>
        </row>
        <row r="288">
          <cell r="B288" t="str">
            <v>پخت کلاچ پیکان انگلیسی</v>
          </cell>
          <cell r="C288" t="str">
            <v>قالب تعمیری</v>
          </cell>
          <cell r="AF288">
            <v>0.5</v>
          </cell>
        </row>
        <row r="289">
          <cell r="B289" t="str">
            <v>قالب پخت کلاچ پیکان آرژانتینی</v>
          </cell>
          <cell r="C289" t="str">
            <v>قالب تعمیری</v>
          </cell>
          <cell r="AF289">
            <v>2</v>
          </cell>
        </row>
        <row r="290">
          <cell r="B290" t="str">
            <v>قالب پخت کلاچ پیکان آرژانتینی</v>
          </cell>
          <cell r="C290" t="str">
            <v>قالب تعمیری</v>
          </cell>
          <cell r="AF290">
            <v>1</v>
          </cell>
        </row>
        <row r="291">
          <cell r="B291" t="str">
            <v>صنایع مس</v>
          </cell>
          <cell r="C291" t="str">
            <v>قطعه نو</v>
          </cell>
          <cell r="AF291">
            <v>1</v>
          </cell>
        </row>
        <row r="292">
          <cell r="B292" t="str">
            <v>ابزار زنی</v>
          </cell>
          <cell r="C292" t="str">
            <v>قطعه نو</v>
          </cell>
          <cell r="AF292">
            <v>3</v>
          </cell>
        </row>
        <row r="293">
          <cell r="B293" t="str">
            <v>دستگاه پشم فلز چینی</v>
          </cell>
          <cell r="C293" t="str">
            <v>قطعه نو</v>
          </cell>
          <cell r="AF293">
            <v>3</v>
          </cell>
        </row>
        <row r="294">
          <cell r="B294" t="str">
            <v>قالب پخت کلاچ پیکان</v>
          </cell>
          <cell r="C294" t="str">
            <v>قالب تعمیری</v>
          </cell>
          <cell r="AF294">
            <v>9</v>
          </cell>
        </row>
        <row r="295">
          <cell r="B295" t="str">
            <v>پین عقب ریو</v>
          </cell>
          <cell r="C295" t="str">
            <v>قطعه نو</v>
          </cell>
          <cell r="AF295">
            <v>7.5</v>
          </cell>
        </row>
        <row r="296">
          <cell r="B296" t="str">
            <v>دستگاه پشم فلز چینی</v>
          </cell>
          <cell r="C296" t="str">
            <v>قطعه نو</v>
          </cell>
          <cell r="AF296">
            <v>6.333333333333333</v>
          </cell>
        </row>
        <row r="297">
          <cell r="B297" t="str">
            <v>پخت کلاچ پراید</v>
          </cell>
          <cell r="C297" t="str">
            <v>قالب تعمیری</v>
          </cell>
          <cell r="AF297">
            <v>11</v>
          </cell>
        </row>
        <row r="298">
          <cell r="B298" t="str">
            <v>قالب پخت کلاچ پژو 405</v>
          </cell>
          <cell r="C298" t="str">
            <v>قالب تعمیری</v>
          </cell>
          <cell r="AF298">
            <v>5.5</v>
          </cell>
        </row>
        <row r="299">
          <cell r="B299" t="str">
            <v>برش جمعی عقب ریو</v>
          </cell>
          <cell r="C299" t="str">
            <v>قطعه نو</v>
          </cell>
          <cell r="AF299">
            <v>5.5</v>
          </cell>
        </row>
        <row r="300">
          <cell r="B300" t="str">
            <v>پرس 50 تن</v>
          </cell>
          <cell r="C300" t="str">
            <v>قطعه نو</v>
          </cell>
          <cell r="AF300">
            <v>2</v>
          </cell>
        </row>
        <row r="301">
          <cell r="B301" t="str">
            <v>سری نقطه جوش</v>
          </cell>
          <cell r="C301" t="str">
            <v>قطعه تعمیری</v>
          </cell>
          <cell r="AF301">
            <v>1</v>
          </cell>
        </row>
        <row r="302">
          <cell r="B302" t="str">
            <v>ابزار زنی</v>
          </cell>
          <cell r="C302" t="str">
            <v>قطعه نو</v>
          </cell>
          <cell r="AF302">
            <v>4</v>
          </cell>
        </row>
        <row r="303">
          <cell r="B303" t="str">
            <v>ابزار زنی</v>
          </cell>
          <cell r="C303" t="str">
            <v>قطعه نو</v>
          </cell>
          <cell r="AF303">
            <v>4</v>
          </cell>
        </row>
        <row r="304">
          <cell r="B304" t="str">
            <v>دستگاه مهر زنی</v>
          </cell>
          <cell r="C304" t="str">
            <v>قطعه تعمیری</v>
          </cell>
          <cell r="AF304">
            <v>2.5</v>
          </cell>
        </row>
        <row r="305">
          <cell r="B305" t="str">
            <v>کلمپ زنی</v>
          </cell>
          <cell r="C305" t="str">
            <v>دستگاه تعمیری</v>
          </cell>
          <cell r="AF305">
            <v>5</v>
          </cell>
        </row>
        <row r="306">
          <cell r="B306" t="str">
            <v>دستگاه ساب کلاچ</v>
          </cell>
          <cell r="C306" t="str">
            <v>قطعه تعمیری</v>
          </cell>
          <cell r="AF306">
            <v>3.5</v>
          </cell>
        </row>
        <row r="307">
          <cell r="B307" t="str">
            <v>دستگاه مهر زنی</v>
          </cell>
          <cell r="C307" t="str">
            <v>قطعه تعمیری</v>
          </cell>
          <cell r="AF307">
            <v>2</v>
          </cell>
        </row>
        <row r="308">
          <cell r="B308" t="str">
            <v>دستگاه پشم فلز چینی</v>
          </cell>
          <cell r="C308" t="str">
            <v>قطعه نو</v>
          </cell>
          <cell r="AF308">
            <v>2</v>
          </cell>
        </row>
        <row r="309">
          <cell r="B309" t="str">
            <v>ابزار زنی</v>
          </cell>
          <cell r="C309" t="str">
            <v>قطعه نو</v>
          </cell>
          <cell r="AF309">
            <v>2</v>
          </cell>
        </row>
        <row r="310">
          <cell r="B310" t="str">
            <v>قالب پخت کلاچ پیکان آرژانتینی</v>
          </cell>
          <cell r="C310" t="str">
            <v>قالب تعمیری</v>
          </cell>
          <cell r="AF310">
            <v>3</v>
          </cell>
        </row>
        <row r="311">
          <cell r="B311" t="str">
            <v>قالب پخت کلاچ پیکان آرژانتینی</v>
          </cell>
          <cell r="C311" t="str">
            <v>قالب تعمیری</v>
          </cell>
          <cell r="AF311">
            <v>9</v>
          </cell>
        </row>
        <row r="312">
          <cell r="B312" t="str">
            <v>صنایع مس</v>
          </cell>
          <cell r="C312" t="str">
            <v>قطعه نو</v>
          </cell>
          <cell r="AF312">
            <v>12</v>
          </cell>
        </row>
        <row r="313">
          <cell r="B313" t="str">
            <v>دستگاه پرس 600 تن</v>
          </cell>
          <cell r="C313" t="str">
            <v>قطعه تعمیری</v>
          </cell>
          <cell r="AF313">
            <v>12</v>
          </cell>
        </row>
        <row r="314">
          <cell r="B314" t="str">
            <v>قالب سوراخکاری 70028</v>
          </cell>
          <cell r="C314" t="str">
            <v>قالب تعمیری</v>
          </cell>
          <cell r="AF314">
            <v>8</v>
          </cell>
        </row>
        <row r="315">
          <cell r="B315" t="str">
            <v>قالب جلو ریو</v>
          </cell>
          <cell r="C315" t="str">
            <v>قالب تعمیری</v>
          </cell>
          <cell r="AF315">
            <v>2</v>
          </cell>
        </row>
        <row r="316">
          <cell r="B316" t="str">
            <v>قالب تیبا خزینه چپ</v>
          </cell>
          <cell r="C316" t="str">
            <v>قالب تعمیری</v>
          </cell>
          <cell r="AF316">
            <v>5</v>
          </cell>
        </row>
        <row r="317">
          <cell r="B317" t="str">
            <v>قالب پخت کلاچ پیکان آرژانتینی</v>
          </cell>
          <cell r="C317" t="str">
            <v>قالب تعمیری</v>
          </cell>
          <cell r="AF317">
            <v>2.5</v>
          </cell>
        </row>
        <row r="318">
          <cell r="B318" t="str">
            <v>ابزار زنی</v>
          </cell>
          <cell r="C318" t="str">
            <v>قطعه نو</v>
          </cell>
          <cell r="AF318">
            <v>1</v>
          </cell>
        </row>
        <row r="319">
          <cell r="B319" t="str">
            <v>صنایع مس</v>
          </cell>
          <cell r="C319" t="str">
            <v>قطعه نو</v>
          </cell>
          <cell r="AF319">
            <v>11</v>
          </cell>
        </row>
        <row r="320">
          <cell r="B320" t="str">
            <v>دستگاه ساب کلاچ</v>
          </cell>
          <cell r="C320" t="str">
            <v>قطعه تعمیری</v>
          </cell>
          <cell r="AF320">
            <v>11</v>
          </cell>
        </row>
        <row r="321">
          <cell r="B321" t="str">
            <v>صنایع مس</v>
          </cell>
          <cell r="C321" t="str">
            <v>قطعه نو</v>
          </cell>
          <cell r="AF321">
            <v>6.333333333333333</v>
          </cell>
        </row>
        <row r="322">
          <cell r="B322" t="str">
            <v>قالب پخت کلاچ پژو 405</v>
          </cell>
          <cell r="C322" t="str">
            <v>قالب تعمیری</v>
          </cell>
          <cell r="AF322">
            <v>11</v>
          </cell>
        </row>
        <row r="323">
          <cell r="B323" t="str">
            <v>قالب سوراخکاری 70028</v>
          </cell>
          <cell r="C323" t="str">
            <v>قالب تعمیری</v>
          </cell>
          <cell r="AF323">
            <v>11</v>
          </cell>
        </row>
        <row r="324">
          <cell r="B324" t="str">
            <v>برش جمعی عقب ریو</v>
          </cell>
          <cell r="C324" t="str">
            <v>قطعه نو</v>
          </cell>
          <cell r="AF324">
            <v>7.5</v>
          </cell>
        </row>
        <row r="325">
          <cell r="B325" t="str">
            <v>شمش پراید</v>
          </cell>
          <cell r="C325" t="str">
            <v>قالب نو</v>
          </cell>
          <cell r="AF325">
            <v>3.5</v>
          </cell>
        </row>
        <row r="326">
          <cell r="B326" t="str">
            <v>قالب پخت کلاچ پیکان</v>
          </cell>
          <cell r="C326" t="str">
            <v>قالب تعمیری</v>
          </cell>
          <cell r="AF326">
            <v>1</v>
          </cell>
        </row>
        <row r="327">
          <cell r="B327" t="str">
            <v>قالب پخت کلاچ پیکان آرژانتینی</v>
          </cell>
          <cell r="C327" t="str">
            <v>قالب تعمیری</v>
          </cell>
          <cell r="AF327">
            <v>10</v>
          </cell>
        </row>
        <row r="328">
          <cell r="B328" t="str">
            <v>ابزار زنی</v>
          </cell>
          <cell r="C328" t="str">
            <v>قطعه نو</v>
          </cell>
          <cell r="AF328">
            <v>7</v>
          </cell>
        </row>
        <row r="329">
          <cell r="B329" t="str">
            <v>شمش پراید</v>
          </cell>
          <cell r="C329" t="str">
            <v>قالب نو</v>
          </cell>
          <cell r="AF329">
            <v>2</v>
          </cell>
        </row>
        <row r="330">
          <cell r="B330" t="str">
            <v>دستگاه پرس 600 تن</v>
          </cell>
          <cell r="C330" t="str">
            <v>قطعه تعمیری</v>
          </cell>
          <cell r="AF330">
            <v>2</v>
          </cell>
        </row>
        <row r="331">
          <cell r="B331" t="str">
            <v>پین عقب ریو</v>
          </cell>
          <cell r="C331" t="str">
            <v>قطعه نو</v>
          </cell>
          <cell r="AF331">
            <v>7.5</v>
          </cell>
        </row>
        <row r="332">
          <cell r="B332" t="str">
            <v>آغشته کاری</v>
          </cell>
          <cell r="C332" t="str">
            <v>قطعه نو</v>
          </cell>
          <cell r="AF332">
            <v>2</v>
          </cell>
        </row>
        <row r="333">
          <cell r="B333" t="str">
            <v>قالب توری پگاسوز</v>
          </cell>
          <cell r="C333" t="str">
            <v>قالب تعمیری</v>
          </cell>
          <cell r="AF333">
            <v>12</v>
          </cell>
        </row>
        <row r="334">
          <cell r="B334" t="str">
            <v>صنایع مس</v>
          </cell>
          <cell r="C334" t="str">
            <v>قطعه نو</v>
          </cell>
          <cell r="AF334">
            <v>12</v>
          </cell>
        </row>
        <row r="335">
          <cell r="B335" t="str">
            <v>آغشته کاری</v>
          </cell>
          <cell r="C335" t="str">
            <v>قطعه نو</v>
          </cell>
          <cell r="AF335">
            <v>1</v>
          </cell>
        </row>
        <row r="336">
          <cell r="B336" t="str">
            <v>قالب پخت کلاچ پیکان آرژانتینی</v>
          </cell>
          <cell r="C336" t="str">
            <v>قالب تعمیری</v>
          </cell>
          <cell r="AF336">
            <v>3</v>
          </cell>
        </row>
        <row r="337">
          <cell r="B337" t="str">
            <v>قالب جلو ریو</v>
          </cell>
          <cell r="C337" t="str">
            <v>قالب تعمیری</v>
          </cell>
          <cell r="AF337">
            <v>5</v>
          </cell>
        </row>
        <row r="338">
          <cell r="B338" t="str">
            <v>کلاچ مینی بوس 309 سوراخدار</v>
          </cell>
          <cell r="C338" t="str">
            <v>قالب تعمیری</v>
          </cell>
          <cell r="AF338">
            <v>3</v>
          </cell>
        </row>
        <row r="339">
          <cell r="B339" t="str">
            <v>دستگاه پشم فلز چینی</v>
          </cell>
          <cell r="C339" t="str">
            <v>قطعه نو</v>
          </cell>
          <cell r="AF339">
            <v>1</v>
          </cell>
        </row>
        <row r="340">
          <cell r="B340" t="str">
            <v>صنایع مس</v>
          </cell>
          <cell r="C340" t="str">
            <v>قطعه نو</v>
          </cell>
          <cell r="AF340">
            <v>1</v>
          </cell>
        </row>
        <row r="341">
          <cell r="B341" t="str">
            <v>پخت کلاچ پراید</v>
          </cell>
          <cell r="C341" t="str">
            <v>قالب تعمیری</v>
          </cell>
          <cell r="AF341">
            <v>3</v>
          </cell>
        </row>
        <row r="342">
          <cell r="B342" t="str">
            <v>شمش پراید</v>
          </cell>
          <cell r="C342" t="str">
            <v>قالب نو</v>
          </cell>
          <cell r="AF342">
            <v>1</v>
          </cell>
        </row>
        <row r="343">
          <cell r="B343" t="str">
            <v>پخت کلاچ پراید</v>
          </cell>
          <cell r="C343" t="str">
            <v>قالب تعمیری</v>
          </cell>
          <cell r="AF343">
            <v>2</v>
          </cell>
        </row>
        <row r="344">
          <cell r="B344" t="str">
            <v>قالب لودری 70028</v>
          </cell>
          <cell r="C344" t="str">
            <v>قالب تعمیری</v>
          </cell>
          <cell r="AF344">
            <v>1</v>
          </cell>
        </row>
        <row r="345">
          <cell r="B345" t="str">
            <v>Hammer Mill Machine</v>
          </cell>
          <cell r="C345" t="str">
            <v>دستگاه نو</v>
          </cell>
          <cell r="AF345">
            <v>4</v>
          </cell>
        </row>
        <row r="346">
          <cell r="B346" t="str">
            <v>قالب شمشی عقب پیکان</v>
          </cell>
          <cell r="C346" t="str">
            <v>قالب نو</v>
          </cell>
          <cell r="AF346">
            <v>11</v>
          </cell>
        </row>
        <row r="347">
          <cell r="B347" t="str">
            <v>قالب پخت کلاچ پژو 405</v>
          </cell>
          <cell r="C347" t="str">
            <v>قالب تعمیری</v>
          </cell>
          <cell r="AF347">
            <v>11</v>
          </cell>
        </row>
        <row r="348">
          <cell r="B348" t="str">
            <v>قالب پخت کلاچ پیکان آرژانتینی</v>
          </cell>
          <cell r="C348" t="str">
            <v>قالب تعمیری</v>
          </cell>
          <cell r="AF348">
            <v>10.75</v>
          </cell>
        </row>
        <row r="349">
          <cell r="B349" t="str">
            <v>پین عقب ریو</v>
          </cell>
          <cell r="C349" t="str">
            <v>قطعه نو</v>
          </cell>
          <cell r="AF349">
            <v>7.5</v>
          </cell>
        </row>
        <row r="350">
          <cell r="B350" t="str">
            <v>صنایع مس</v>
          </cell>
          <cell r="C350" t="str">
            <v>قطعه نو</v>
          </cell>
          <cell r="AF350">
            <v>6.5</v>
          </cell>
        </row>
        <row r="351">
          <cell r="B351" t="str">
            <v>Hammer Mill Machine</v>
          </cell>
          <cell r="C351" t="str">
            <v>دستگاه نو</v>
          </cell>
          <cell r="AF351">
            <v>11</v>
          </cell>
        </row>
        <row r="352">
          <cell r="B352" t="str">
            <v>شمش پراید</v>
          </cell>
          <cell r="C352" t="str">
            <v>قالب نو</v>
          </cell>
          <cell r="AF352">
            <v>11</v>
          </cell>
        </row>
        <row r="353">
          <cell r="B353" t="str">
            <v>دستگاه مهر زنی</v>
          </cell>
          <cell r="C353" t="str">
            <v>قطعه تعمیری</v>
          </cell>
          <cell r="AF353">
            <v>6</v>
          </cell>
        </row>
        <row r="354">
          <cell r="B354" t="str">
            <v>قالب پخت کلاچ پیکان آرژانتینی</v>
          </cell>
          <cell r="C354" t="str">
            <v>قالب تعمیری</v>
          </cell>
          <cell r="AF354">
            <v>6</v>
          </cell>
        </row>
        <row r="355">
          <cell r="B355" t="str">
            <v>دستگاه پشم فلز چینی</v>
          </cell>
          <cell r="C355" t="str">
            <v>قطعه نو</v>
          </cell>
          <cell r="AF355">
            <v>1</v>
          </cell>
        </row>
        <row r="356">
          <cell r="B356" t="str">
            <v>برش جمعی عقب ریو</v>
          </cell>
          <cell r="C356" t="str">
            <v>قطعه نو</v>
          </cell>
          <cell r="AF356">
            <v>7</v>
          </cell>
        </row>
        <row r="357">
          <cell r="B357" t="str">
            <v>ابزار زنی</v>
          </cell>
          <cell r="C357" t="str">
            <v>قطعه نو</v>
          </cell>
          <cell r="AF357">
            <v>2</v>
          </cell>
        </row>
        <row r="358">
          <cell r="B358" t="str">
            <v>ساب سمباده ای</v>
          </cell>
          <cell r="C358" t="str">
            <v>قطعه تعمیری</v>
          </cell>
          <cell r="AF358">
            <v>2</v>
          </cell>
        </row>
        <row r="359">
          <cell r="B359" t="str">
            <v>ویوینگ</v>
          </cell>
          <cell r="C359" t="str">
            <v>قطعه تعمیری</v>
          </cell>
          <cell r="AF359">
            <v>2</v>
          </cell>
        </row>
        <row r="360">
          <cell r="B360" t="str">
            <v>ابزار زنی</v>
          </cell>
          <cell r="C360" t="str">
            <v>قطعه نو</v>
          </cell>
          <cell r="AF360">
            <v>5</v>
          </cell>
        </row>
        <row r="361">
          <cell r="B361" t="str">
            <v>قالب پخت کلاچ پژو 405</v>
          </cell>
          <cell r="C361" t="str">
            <v>قالب تعمیری</v>
          </cell>
          <cell r="AF361">
            <v>11</v>
          </cell>
        </row>
        <row r="362">
          <cell r="B362" t="str">
            <v>قالب پخت کلاچ پیکان آرژانتینی</v>
          </cell>
          <cell r="C362" t="str">
            <v>قالب تعمیری</v>
          </cell>
          <cell r="AF362">
            <v>11</v>
          </cell>
        </row>
        <row r="363">
          <cell r="B363" t="str">
            <v>قالب شمشی عقب پیکان</v>
          </cell>
          <cell r="C363" t="str">
            <v>قالب نو</v>
          </cell>
          <cell r="AF363">
            <v>11</v>
          </cell>
        </row>
        <row r="364">
          <cell r="B364" t="str">
            <v>Hammer Mill Machine</v>
          </cell>
          <cell r="C364" t="str">
            <v>دستگاه نو</v>
          </cell>
          <cell r="AF364">
            <v>11</v>
          </cell>
        </row>
        <row r="365">
          <cell r="B365" t="str">
            <v>ابزار زنی</v>
          </cell>
          <cell r="C365" t="str">
            <v>قطعه نو</v>
          </cell>
          <cell r="AF365">
            <v>11</v>
          </cell>
        </row>
        <row r="366">
          <cell r="B366" t="str">
            <v>شمش پراید</v>
          </cell>
          <cell r="C366" t="str">
            <v>قالب نو</v>
          </cell>
          <cell r="AF366">
            <v>5</v>
          </cell>
        </row>
        <row r="367">
          <cell r="B367" t="str">
            <v>قالب پخت کلاچ پیکان آرژانتینی</v>
          </cell>
          <cell r="C367" t="str">
            <v>قالب تعمیری</v>
          </cell>
          <cell r="AF367">
            <v>6</v>
          </cell>
        </row>
        <row r="368">
          <cell r="B368" t="str">
            <v>پین عقب ریو</v>
          </cell>
          <cell r="C368" t="str">
            <v>قطعه نو</v>
          </cell>
          <cell r="AF368">
            <v>3.5</v>
          </cell>
        </row>
        <row r="369">
          <cell r="B369" t="str">
            <v>ساب سمباده ای</v>
          </cell>
          <cell r="C369" t="str">
            <v>قطعه نو</v>
          </cell>
          <cell r="AF369">
            <v>1</v>
          </cell>
        </row>
        <row r="370">
          <cell r="B370" t="str">
            <v>ابزار زنی</v>
          </cell>
          <cell r="C370" t="str">
            <v>قطعه نو</v>
          </cell>
          <cell r="AF370">
            <v>3</v>
          </cell>
        </row>
        <row r="371">
          <cell r="B371" t="str">
            <v>ابزار زنی</v>
          </cell>
          <cell r="C371" t="str">
            <v>قطعه نو</v>
          </cell>
          <cell r="AF371">
            <v>7</v>
          </cell>
        </row>
        <row r="372">
          <cell r="B372" t="str">
            <v>Hammer Mill Machine</v>
          </cell>
          <cell r="C372" t="str">
            <v>دستگاه نو</v>
          </cell>
          <cell r="AF372">
            <v>3</v>
          </cell>
        </row>
        <row r="373">
          <cell r="B373" t="str">
            <v>دستگاه مهر زنی</v>
          </cell>
          <cell r="C373" t="str">
            <v>قطعه تعمیری</v>
          </cell>
          <cell r="AF373">
            <v>10</v>
          </cell>
        </row>
        <row r="374">
          <cell r="B374" t="str">
            <v>دستگاه پشم فلز آلمانی</v>
          </cell>
          <cell r="C374" t="str">
            <v>قطعه نو</v>
          </cell>
          <cell r="AF374">
            <v>2</v>
          </cell>
        </row>
        <row r="375">
          <cell r="B375" t="str">
            <v>کلمپ زنی</v>
          </cell>
          <cell r="C375" t="str">
            <v>دستگاه تعمیری</v>
          </cell>
          <cell r="AF375">
            <v>10</v>
          </cell>
        </row>
        <row r="376">
          <cell r="B376" t="str">
            <v>Hammer Mill Machine</v>
          </cell>
          <cell r="C376" t="str">
            <v>دستگاه نو</v>
          </cell>
          <cell r="AF376">
            <v>8</v>
          </cell>
        </row>
        <row r="377">
          <cell r="B377" t="str">
            <v>کلمپ زنی</v>
          </cell>
          <cell r="C377" t="str">
            <v>دستگاه تعمیری</v>
          </cell>
          <cell r="AF377">
            <v>4</v>
          </cell>
        </row>
        <row r="378">
          <cell r="B378" t="str">
            <v>کلمپ زنی</v>
          </cell>
          <cell r="C378" t="str">
            <v>دستگاه تعمیری</v>
          </cell>
          <cell r="AF378">
            <v>2</v>
          </cell>
        </row>
        <row r="379">
          <cell r="B379" t="str">
            <v>کلمپ زنی</v>
          </cell>
          <cell r="C379" t="str">
            <v>دستگاه تعمیری</v>
          </cell>
          <cell r="AF379">
            <v>2</v>
          </cell>
        </row>
        <row r="380">
          <cell r="B380" t="str">
            <v>Hammer Mill Machine</v>
          </cell>
          <cell r="C380" t="str">
            <v>دستگاه نو</v>
          </cell>
          <cell r="AF380">
            <v>2</v>
          </cell>
        </row>
        <row r="381">
          <cell r="B381" t="str">
            <v>دستگاه پشم فلز چینی</v>
          </cell>
          <cell r="C381" t="str">
            <v>قطعه نو</v>
          </cell>
          <cell r="AF381">
            <v>6.333333333333333</v>
          </cell>
        </row>
        <row r="382">
          <cell r="B382" t="str">
            <v>Hammer Mill Machine</v>
          </cell>
          <cell r="C382" t="str">
            <v>دستگاه نو</v>
          </cell>
          <cell r="AF382">
            <v>7.5</v>
          </cell>
        </row>
        <row r="383">
          <cell r="B383" t="str">
            <v>دستگاه توزین مواد</v>
          </cell>
          <cell r="C383" t="str">
            <v>قطعه تعمیری</v>
          </cell>
          <cell r="AF383">
            <v>7.5</v>
          </cell>
        </row>
        <row r="384">
          <cell r="B384" t="str">
            <v>دستگاه توزین مواد</v>
          </cell>
          <cell r="C384" t="str">
            <v>قطعه تعمیری</v>
          </cell>
          <cell r="AF384">
            <v>6.5</v>
          </cell>
        </row>
        <row r="385">
          <cell r="B385" t="str">
            <v>قالب پخت کلاچ پیکان آرژانتینی</v>
          </cell>
          <cell r="C385" t="str">
            <v>قالب تعمیری</v>
          </cell>
          <cell r="AF385">
            <v>7.5</v>
          </cell>
        </row>
        <row r="386">
          <cell r="B386" t="str">
            <v>ابزار زنی</v>
          </cell>
          <cell r="C386" t="str">
            <v>قطعه نو</v>
          </cell>
          <cell r="AF386">
            <v>3</v>
          </cell>
        </row>
        <row r="387">
          <cell r="B387" t="str">
            <v>ابزار زنی</v>
          </cell>
          <cell r="C387" t="str">
            <v>قطعه نو</v>
          </cell>
          <cell r="AF387">
            <v>2</v>
          </cell>
        </row>
        <row r="388">
          <cell r="B388" t="str">
            <v>ابزار زنی</v>
          </cell>
          <cell r="C388" t="str">
            <v>قطعه نو</v>
          </cell>
          <cell r="AF388">
            <v>3</v>
          </cell>
        </row>
        <row r="389">
          <cell r="B389" t="str">
            <v>ابزار زنی</v>
          </cell>
          <cell r="C389" t="str">
            <v>قطعه نو</v>
          </cell>
          <cell r="AF389">
            <v>5</v>
          </cell>
        </row>
        <row r="390">
          <cell r="B390" t="str">
            <v>اصول 5S</v>
          </cell>
          <cell r="C390" t="str">
            <v>نظافت</v>
          </cell>
          <cell r="AF390">
            <v>1</v>
          </cell>
        </row>
        <row r="391">
          <cell r="B391" t="str">
            <v>ابزار زنی</v>
          </cell>
          <cell r="C391" t="str">
            <v>قطعه نو</v>
          </cell>
          <cell r="AF391">
            <v>2</v>
          </cell>
        </row>
        <row r="392">
          <cell r="B392" t="str">
            <v>قالب پخت کلاچ پیکان آرژانتینی</v>
          </cell>
          <cell r="C392" t="str">
            <v>قالب تعمیری</v>
          </cell>
          <cell r="AF392">
            <v>2.5</v>
          </cell>
        </row>
        <row r="393">
          <cell r="B393" t="str">
            <v>قالب پخت کلاچ پیکان آرژانتینی</v>
          </cell>
          <cell r="C393" t="str">
            <v>قالب تعمیری</v>
          </cell>
          <cell r="AF393">
            <v>1</v>
          </cell>
        </row>
        <row r="394">
          <cell r="B394" t="str">
            <v>Hammer Mill Machine</v>
          </cell>
          <cell r="C394" t="str">
            <v>دستگاه نو</v>
          </cell>
          <cell r="AF394">
            <v>5</v>
          </cell>
        </row>
        <row r="395">
          <cell r="B395" t="str">
            <v>پخت کلاچ پراید</v>
          </cell>
          <cell r="C395" t="str">
            <v>قالب تعمیری</v>
          </cell>
          <cell r="AF395">
            <v>2</v>
          </cell>
        </row>
        <row r="396">
          <cell r="B396" t="str">
            <v>شمش پراید</v>
          </cell>
          <cell r="C396" t="str">
            <v>قالب نو</v>
          </cell>
          <cell r="AF396">
            <v>2</v>
          </cell>
        </row>
        <row r="397">
          <cell r="B397" t="str">
            <v>برش جمعی</v>
          </cell>
          <cell r="C397" t="str">
            <v>قطعه تعمیری</v>
          </cell>
          <cell r="AF397">
            <v>1</v>
          </cell>
        </row>
        <row r="398">
          <cell r="B398" t="str">
            <v>ابزار زنی</v>
          </cell>
          <cell r="C398" t="str">
            <v>قطعه نو</v>
          </cell>
          <cell r="AF398">
            <v>5</v>
          </cell>
        </row>
        <row r="399">
          <cell r="B399" t="str">
            <v>اصول 5S</v>
          </cell>
          <cell r="C399" t="str">
            <v>نظافت</v>
          </cell>
          <cell r="AF399">
            <v>0.5</v>
          </cell>
        </row>
        <row r="400">
          <cell r="B400" t="str">
            <v>ابزار زنی</v>
          </cell>
          <cell r="C400" t="str">
            <v>قطعه نو</v>
          </cell>
          <cell r="AF400">
            <v>3</v>
          </cell>
        </row>
        <row r="401">
          <cell r="B401" t="str">
            <v>Hammer Mill Machine</v>
          </cell>
          <cell r="C401" t="str">
            <v>دستگاه نو</v>
          </cell>
          <cell r="AF401">
            <v>7</v>
          </cell>
        </row>
        <row r="402">
          <cell r="B402" t="str">
            <v>آغشته کاری</v>
          </cell>
          <cell r="C402" t="str">
            <v>قطعه تعمیری</v>
          </cell>
          <cell r="AF402">
            <v>2</v>
          </cell>
        </row>
        <row r="403">
          <cell r="B403" t="str">
            <v>آغشته کاری</v>
          </cell>
          <cell r="C403" t="str">
            <v>قطعه تعمیری</v>
          </cell>
          <cell r="AF403">
            <v>1</v>
          </cell>
        </row>
        <row r="404">
          <cell r="B404" t="str">
            <v>کلمپ زنی</v>
          </cell>
          <cell r="C404" t="str">
            <v>دستگاه تعمیری</v>
          </cell>
          <cell r="AF404">
            <v>6</v>
          </cell>
        </row>
        <row r="405">
          <cell r="B405" t="str">
            <v>ابزار زنی</v>
          </cell>
          <cell r="C405" t="str">
            <v>قطعه نو</v>
          </cell>
          <cell r="AF405">
            <v>3</v>
          </cell>
        </row>
        <row r="406">
          <cell r="B406" t="str">
            <v>Hammer Mill Machine</v>
          </cell>
          <cell r="C406" t="str">
            <v>دستگاه نو</v>
          </cell>
          <cell r="AF406">
            <v>2</v>
          </cell>
        </row>
        <row r="407">
          <cell r="B407" t="str">
            <v>Hammer Mill Machine</v>
          </cell>
          <cell r="C407" t="str">
            <v>دستگاه نو</v>
          </cell>
          <cell r="AF407">
            <v>12</v>
          </cell>
        </row>
        <row r="408">
          <cell r="B408" t="str">
            <v>قالب پخت کلاچ پژو 405</v>
          </cell>
          <cell r="C408" t="str">
            <v>قالب تعمیری</v>
          </cell>
          <cell r="AF408">
            <v>2</v>
          </cell>
        </row>
        <row r="409">
          <cell r="B409" t="str">
            <v>شمش پراید</v>
          </cell>
          <cell r="C409" t="str">
            <v>قالب نو</v>
          </cell>
          <cell r="AF409">
            <v>4</v>
          </cell>
        </row>
        <row r="410">
          <cell r="B410" t="str">
            <v>قالب تیبا خزینه چپ</v>
          </cell>
          <cell r="C410" t="str">
            <v>قالب تعمیری</v>
          </cell>
          <cell r="AF410">
            <v>2</v>
          </cell>
        </row>
        <row r="411">
          <cell r="B411" t="str">
            <v>دستگاه پشم فلز آلمانی</v>
          </cell>
          <cell r="C411" t="str">
            <v>قطعه نو</v>
          </cell>
          <cell r="AF411">
            <v>8</v>
          </cell>
        </row>
        <row r="412">
          <cell r="B412" t="str">
            <v>Hammer Mill Machine</v>
          </cell>
          <cell r="C412" t="str">
            <v>دستگاه نو</v>
          </cell>
          <cell r="AF412">
            <v>2</v>
          </cell>
        </row>
        <row r="413">
          <cell r="B413" t="str">
            <v>کلمپ زنی</v>
          </cell>
          <cell r="C413" t="str">
            <v>دستگاه تعمیری</v>
          </cell>
          <cell r="AF413">
            <v>2</v>
          </cell>
        </row>
        <row r="414">
          <cell r="B414" t="str">
            <v>قالب پخت کلاچ پیکان آرژانتینی</v>
          </cell>
          <cell r="C414" t="str">
            <v>قالب تعمیری</v>
          </cell>
          <cell r="AF414">
            <v>5</v>
          </cell>
        </row>
        <row r="415">
          <cell r="B415" t="str">
            <v>قالب پخت کلاچ پیکان آرژانتینی</v>
          </cell>
          <cell r="C415" t="str">
            <v>قالب تعمیری</v>
          </cell>
          <cell r="AF415">
            <v>2</v>
          </cell>
        </row>
        <row r="416">
          <cell r="B416" t="str">
            <v>صفحات 50*50 پخت کلاچ</v>
          </cell>
          <cell r="C416" t="str">
            <v>قالب تعمیری</v>
          </cell>
          <cell r="AF416">
            <v>7.5</v>
          </cell>
        </row>
        <row r="417">
          <cell r="B417" t="str">
            <v>کلمپ زنی</v>
          </cell>
          <cell r="C417" t="str">
            <v>دستگاه تعمیری</v>
          </cell>
          <cell r="AF417">
            <v>4.5</v>
          </cell>
        </row>
        <row r="418">
          <cell r="B418" t="str">
            <v>دستگاه پشم فلز آلمانی</v>
          </cell>
          <cell r="C418" t="str">
            <v>قطعه نو</v>
          </cell>
          <cell r="AF418">
            <v>2</v>
          </cell>
        </row>
        <row r="419">
          <cell r="B419" t="str">
            <v>اصول 5S</v>
          </cell>
          <cell r="C419" t="str">
            <v>نظافت</v>
          </cell>
          <cell r="AF419">
            <v>1</v>
          </cell>
        </row>
        <row r="420">
          <cell r="B420" t="str">
            <v>Hammer Mill Machine</v>
          </cell>
          <cell r="C420" t="str">
            <v>دستگاه نو</v>
          </cell>
          <cell r="AF420">
            <v>2</v>
          </cell>
        </row>
        <row r="421">
          <cell r="B421" t="str">
            <v>قالب پخت کلاچ پیکان آرژانتینی</v>
          </cell>
          <cell r="C421" t="str">
            <v>قالب تعمیری</v>
          </cell>
          <cell r="AF421">
            <v>1</v>
          </cell>
        </row>
        <row r="422">
          <cell r="B422" t="str">
            <v>قالب پخت کلاچ پیکان آرژانتینی</v>
          </cell>
          <cell r="C422" t="str">
            <v>قالب تعمیری</v>
          </cell>
          <cell r="AF422">
            <v>2</v>
          </cell>
        </row>
        <row r="423">
          <cell r="B423" t="str">
            <v>قالب پخت کلاچ پژو 405</v>
          </cell>
          <cell r="C423" t="str">
            <v>قالب تعمیری</v>
          </cell>
          <cell r="AF423">
            <v>0.5</v>
          </cell>
        </row>
        <row r="424">
          <cell r="B424" t="str">
            <v>پین عقب آلستوم</v>
          </cell>
          <cell r="C424" t="str">
            <v>قطعه نو</v>
          </cell>
          <cell r="AF424">
            <v>7.5</v>
          </cell>
        </row>
        <row r="425">
          <cell r="B425" t="str">
            <v>Hammer Mill Machine</v>
          </cell>
          <cell r="C425" t="str">
            <v>دستگاه نو</v>
          </cell>
          <cell r="AF425">
            <v>11</v>
          </cell>
        </row>
        <row r="426">
          <cell r="B426" t="str">
            <v>پخت کلاچ پراید</v>
          </cell>
          <cell r="C426" t="str">
            <v>قالب تعمیری</v>
          </cell>
          <cell r="AF426">
            <v>11</v>
          </cell>
        </row>
        <row r="427">
          <cell r="B427" t="str">
            <v>صفحات 50*50 پخت کلاچ</v>
          </cell>
          <cell r="C427" t="str">
            <v>قالب تعمیری</v>
          </cell>
          <cell r="AF427">
            <v>11</v>
          </cell>
        </row>
        <row r="428">
          <cell r="B428" t="str">
            <v>دستگاه پشم فلز چینی</v>
          </cell>
          <cell r="C428" t="str">
            <v>قطعه نو</v>
          </cell>
          <cell r="AF428">
            <v>4.166666666666667</v>
          </cell>
        </row>
        <row r="429">
          <cell r="B429" t="str">
            <v>دریل یزدخواستی کلاچ</v>
          </cell>
          <cell r="C429" t="str">
            <v>قطعه نو</v>
          </cell>
          <cell r="AF429">
            <v>7</v>
          </cell>
        </row>
        <row r="430">
          <cell r="B430" t="str">
            <v>قالب پخت کلاچ پژو 405</v>
          </cell>
          <cell r="C430" t="str">
            <v>قالب تعمیری</v>
          </cell>
          <cell r="AF430">
            <v>2</v>
          </cell>
        </row>
        <row r="431">
          <cell r="B431" t="str">
            <v>ابزار زنی</v>
          </cell>
          <cell r="C431" t="str">
            <v>قطعه نو</v>
          </cell>
          <cell r="AF431">
            <v>1.6666666666666667</v>
          </cell>
        </row>
        <row r="432">
          <cell r="B432" t="str">
            <v>قالب توری پگاسوز</v>
          </cell>
          <cell r="C432" t="str">
            <v>قالب تعمیری</v>
          </cell>
          <cell r="AF432">
            <v>2</v>
          </cell>
        </row>
        <row r="433">
          <cell r="B433" t="str">
            <v>ابزار زنی</v>
          </cell>
          <cell r="C433" t="str">
            <v>قطعه نو</v>
          </cell>
          <cell r="AF433">
            <v>3</v>
          </cell>
        </row>
        <row r="434">
          <cell r="B434" t="str">
            <v>قالب نیسان آریا</v>
          </cell>
          <cell r="C434" t="str">
            <v>قالب نو</v>
          </cell>
          <cell r="AF434">
            <v>6</v>
          </cell>
        </row>
        <row r="435">
          <cell r="B435" t="str">
            <v>ابزار زنی</v>
          </cell>
          <cell r="C435" t="str">
            <v>قطعه نو</v>
          </cell>
          <cell r="AF435">
            <v>1</v>
          </cell>
        </row>
        <row r="436">
          <cell r="B436" t="str">
            <v>ابزار زنی</v>
          </cell>
          <cell r="C436" t="str">
            <v>قطعه نو</v>
          </cell>
          <cell r="AF436">
            <v>3</v>
          </cell>
        </row>
        <row r="437">
          <cell r="B437" t="str">
            <v>کلمپ زنی</v>
          </cell>
          <cell r="C437" t="str">
            <v>قطعه نو</v>
          </cell>
          <cell r="AF437">
            <v>7</v>
          </cell>
        </row>
        <row r="438">
          <cell r="B438" t="str">
            <v>دستگاه توزین مواد</v>
          </cell>
          <cell r="C438" t="str">
            <v>قطعه تعمیری</v>
          </cell>
          <cell r="AF438">
            <v>1.5</v>
          </cell>
        </row>
        <row r="439">
          <cell r="B439" t="str">
            <v>قالب توری پگاسوز</v>
          </cell>
          <cell r="C439" t="str">
            <v>قالب تعمیری</v>
          </cell>
          <cell r="AF439">
            <v>6.5</v>
          </cell>
        </row>
        <row r="440">
          <cell r="B440" t="str">
            <v>قالب پخت کلاچ پژو 405</v>
          </cell>
          <cell r="C440" t="str">
            <v>قالب تعمیری</v>
          </cell>
          <cell r="AF440">
            <v>3</v>
          </cell>
        </row>
        <row r="441">
          <cell r="B441" t="str">
            <v>شمش پراید</v>
          </cell>
          <cell r="C441" t="str">
            <v>قالب نو</v>
          </cell>
          <cell r="AF441">
            <v>4</v>
          </cell>
        </row>
        <row r="442">
          <cell r="B442" t="str">
            <v>پخت کلاچ پراید</v>
          </cell>
          <cell r="C442" t="str">
            <v>قالب تعمیری</v>
          </cell>
          <cell r="AF442">
            <v>2</v>
          </cell>
        </row>
        <row r="443">
          <cell r="B443" t="str">
            <v>قالب توری پگاسوز</v>
          </cell>
          <cell r="C443" t="str">
            <v>قالب تعمیری</v>
          </cell>
          <cell r="AF443">
            <v>2</v>
          </cell>
        </row>
        <row r="444">
          <cell r="B444" t="str">
            <v>قالب پخت کلاچ پیکان آرژانتینی</v>
          </cell>
          <cell r="C444" t="str">
            <v>قالب تعمیری</v>
          </cell>
          <cell r="AF444">
            <v>9</v>
          </cell>
        </row>
        <row r="445">
          <cell r="B445" t="str">
            <v>Hammer Mill Machine</v>
          </cell>
          <cell r="C445" t="str">
            <v>دستگاه نو</v>
          </cell>
          <cell r="AF445">
            <v>10</v>
          </cell>
        </row>
        <row r="446">
          <cell r="B446" t="str">
            <v>دستگاه پشم فلز آلمانی</v>
          </cell>
          <cell r="C446" t="str">
            <v>قطعه نو</v>
          </cell>
          <cell r="AF446">
            <v>12</v>
          </cell>
        </row>
        <row r="447">
          <cell r="B447" t="str">
            <v>برش آلستوم</v>
          </cell>
          <cell r="C447" t="str">
            <v>قالب تعمیری</v>
          </cell>
          <cell r="AF447">
            <v>2</v>
          </cell>
        </row>
        <row r="448">
          <cell r="B448" t="str">
            <v>قالب لودری 70021</v>
          </cell>
          <cell r="C448" t="str">
            <v>قالب تعمیری</v>
          </cell>
          <cell r="AF448">
            <v>4</v>
          </cell>
        </row>
        <row r="449">
          <cell r="B449" t="str">
            <v>دستگاه پرس 600 تن</v>
          </cell>
          <cell r="C449" t="str">
            <v>قطعه تعمیری</v>
          </cell>
          <cell r="AF449">
            <v>12</v>
          </cell>
        </row>
        <row r="450">
          <cell r="B450" t="str">
            <v>دستگاه پشم فلز آلمانی</v>
          </cell>
          <cell r="C450" t="str">
            <v>قطعه نو</v>
          </cell>
          <cell r="AF450">
            <v>10</v>
          </cell>
        </row>
        <row r="451">
          <cell r="B451" t="str">
            <v>Hammer Mill Machine</v>
          </cell>
          <cell r="C451" t="str">
            <v>دستگاه نو</v>
          </cell>
          <cell r="AF451">
            <v>2</v>
          </cell>
        </row>
        <row r="452">
          <cell r="B452" t="str">
            <v>کوبه نک قطاری</v>
          </cell>
          <cell r="C452" t="str">
            <v>قالب تعمیری</v>
          </cell>
          <cell r="AF452">
            <v>12</v>
          </cell>
        </row>
        <row r="453">
          <cell r="B453" t="str">
            <v>تیغ فرز</v>
          </cell>
          <cell r="C453" t="str">
            <v>قطعه تعمیری</v>
          </cell>
          <cell r="AF453">
            <v>5</v>
          </cell>
        </row>
        <row r="454">
          <cell r="B454" t="str">
            <v>نگهدارنده پلاک قالب</v>
          </cell>
          <cell r="C454" t="str">
            <v>قطعه نو</v>
          </cell>
          <cell r="AF454">
            <v>4</v>
          </cell>
        </row>
        <row r="455">
          <cell r="B455" t="str">
            <v>پخت کلاچ پراید</v>
          </cell>
          <cell r="C455" t="str">
            <v>قالب تعمیری</v>
          </cell>
          <cell r="AF455">
            <v>7</v>
          </cell>
        </row>
        <row r="456">
          <cell r="B456" t="str">
            <v>پخت کلاچ پراید</v>
          </cell>
          <cell r="C456" t="str">
            <v>قالب تعمیری</v>
          </cell>
          <cell r="AF456">
            <v>6</v>
          </cell>
        </row>
        <row r="457">
          <cell r="B457" t="str">
            <v>دستگاه پشم فلز چینی</v>
          </cell>
          <cell r="C457" t="str">
            <v>قطعه نو</v>
          </cell>
          <cell r="AF457">
            <v>1</v>
          </cell>
        </row>
        <row r="458">
          <cell r="B458" t="str">
            <v>شمش پراید</v>
          </cell>
          <cell r="C458" t="str">
            <v>قالب نو</v>
          </cell>
          <cell r="AF458">
            <v>4.833333333333333</v>
          </cell>
        </row>
        <row r="459">
          <cell r="B459" t="str">
            <v>صفحات 50*50 پخت کلاچ</v>
          </cell>
          <cell r="C459" t="str">
            <v>قالب تعمیری</v>
          </cell>
          <cell r="AF459">
            <v>11</v>
          </cell>
        </row>
        <row r="460">
          <cell r="B460" t="str">
            <v>قالب پخت کلاچ پژو 405</v>
          </cell>
          <cell r="C460" t="str">
            <v>قالب تعمیری</v>
          </cell>
          <cell r="AF460">
            <v>11</v>
          </cell>
        </row>
        <row r="461">
          <cell r="B461" t="str">
            <v>قالب پخت کلاچ پژو 405</v>
          </cell>
          <cell r="C461" t="str">
            <v>قالب تعمیری</v>
          </cell>
          <cell r="AF461">
            <v>7</v>
          </cell>
        </row>
        <row r="462">
          <cell r="B462" t="str">
            <v>قالب پخت کلاچ پژو 405</v>
          </cell>
          <cell r="C462" t="str">
            <v>قالب تعمیری</v>
          </cell>
          <cell r="AF462">
            <v>4</v>
          </cell>
        </row>
        <row r="463">
          <cell r="B463" t="str">
            <v>پین عقب آلستوم</v>
          </cell>
          <cell r="C463" t="str">
            <v>قطعه نو</v>
          </cell>
          <cell r="AF463">
            <v>7.5</v>
          </cell>
        </row>
        <row r="464">
          <cell r="B464" t="str">
            <v>پین عقب آلستوم</v>
          </cell>
          <cell r="C464" t="str">
            <v>قطعه نو</v>
          </cell>
          <cell r="AF464">
            <v>7.5</v>
          </cell>
        </row>
        <row r="465">
          <cell r="B465" t="str">
            <v>دستگاه پرس 600 تن</v>
          </cell>
          <cell r="C465" t="str">
            <v>قطعه تعمیری</v>
          </cell>
          <cell r="AF465">
            <v>11</v>
          </cell>
        </row>
        <row r="466">
          <cell r="B466" t="str">
            <v>قالب توری پگاسوز</v>
          </cell>
          <cell r="C466" t="str">
            <v>قالب تعمیری</v>
          </cell>
          <cell r="AF466">
            <v>4.5</v>
          </cell>
        </row>
        <row r="467">
          <cell r="B467" t="str">
            <v>دریل یزدخواستی کلاچ</v>
          </cell>
          <cell r="C467" t="str">
            <v>قطعه نو</v>
          </cell>
          <cell r="AF467">
            <v>6.5</v>
          </cell>
        </row>
        <row r="468">
          <cell r="B468" t="str">
            <v>ابزار زنی</v>
          </cell>
          <cell r="C468" t="str">
            <v>قطعه نو</v>
          </cell>
          <cell r="AF468">
            <v>6</v>
          </cell>
        </row>
        <row r="469">
          <cell r="B469" t="str">
            <v>پرس پخت</v>
          </cell>
          <cell r="C469" t="str">
            <v>قطعه تعمیری</v>
          </cell>
          <cell r="AF469">
            <v>2</v>
          </cell>
        </row>
        <row r="470">
          <cell r="B470" t="str">
            <v>پرس پخت کلاچ</v>
          </cell>
          <cell r="C470" t="str">
            <v>قطعه تعمیری</v>
          </cell>
          <cell r="AF470">
            <v>1</v>
          </cell>
        </row>
        <row r="471">
          <cell r="B471" t="str">
            <v>پرس پخت کلاچ</v>
          </cell>
          <cell r="C471" t="str">
            <v>قطعه تعمیری</v>
          </cell>
          <cell r="AF471">
            <v>1</v>
          </cell>
        </row>
        <row r="472">
          <cell r="B472" t="str">
            <v>قالب پخت کلاچ پیکان آرژانتینی</v>
          </cell>
          <cell r="C472" t="str">
            <v>قالب تعمیری</v>
          </cell>
          <cell r="AF472">
            <v>1</v>
          </cell>
        </row>
        <row r="473">
          <cell r="B473" t="str">
            <v>Hammer Mill Machine</v>
          </cell>
          <cell r="C473" t="str">
            <v>دستگاه نو</v>
          </cell>
          <cell r="AF473">
            <v>2</v>
          </cell>
        </row>
        <row r="474">
          <cell r="B474" t="str">
            <v>ساب سمباده ای</v>
          </cell>
          <cell r="C474" t="str">
            <v>قطعه نو</v>
          </cell>
          <cell r="AF474">
            <v>2</v>
          </cell>
        </row>
        <row r="475">
          <cell r="B475" t="str">
            <v>ساب سمباده ای</v>
          </cell>
          <cell r="C475" t="str">
            <v>قطعه نو</v>
          </cell>
          <cell r="AF475">
            <v>2</v>
          </cell>
        </row>
        <row r="476">
          <cell r="B476" t="str">
            <v>دریل یزدخواستی کلاچ</v>
          </cell>
          <cell r="C476" t="str">
            <v>قطعه نو</v>
          </cell>
          <cell r="AF476">
            <v>2</v>
          </cell>
        </row>
        <row r="477">
          <cell r="B477" t="str">
            <v>قالب پخت کلاچ پیکان آرژانتینی</v>
          </cell>
          <cell r="C477" t="str">
            <v>قالب تعمیری</v>
          </cell>
          <cell r="AF477">
            <v>4</v>
          </cell>
        </row>
        <row r="478">
          <cell r="B478" t="str">
            <v>قالب پخت کلاچ پیکان آرژانتینی</v>
          </cell>
          <cell r="C478" t="str">
            <v>قالب تعمیری</v>
          </cell>
          <cell r="AF478">
            <v>4</v>
          </cell>
        </row>
        <row r="479">
          <cell r="B479" t="str">
            <v>سری نقطه جوش</v>
          </cell>
          <cell r="C479" t="str">
            <v>قطعه تعمیری</v>
          </cell>
          <cell r="AF479">
            <v>2</v>
          </cell>
        </row>
        <row r="480">
          <cell r="B480" t="str">
            <v>قالب پخت کلاچ پیکان آرژانتینی</v>
          </cell>
          <cell r="C480" t="str">
            <v>قالب تعمیری</v>
          </cell>
          <cell r="AF480">
            <v>7</v>
          </cell>
        </row>
        <row r="481">
          <cell r="B481" t="str">
            <v>قالب پخت کلاچ پژو 405</v>
          </cell>
          <cell r="C481" t="str">
            <v>قالب تعمیری</v>
          </cell>
          <cell r="AF481">
            <v>4</v>
          </cell>
        </row>
        <row r="482">
          <cell r="B482" t="str">
            <v>شمش پراید</v>
          </cell>
          <cell r="C482" t="str">
            <v>قالب نو</v>
          </cell>
          <cell r="AF482">
            <v>2</v>
          </cell>
        </row>
        <row r="483">
          <cell r="B483" t="str">
            <v>قالب پخت کلاچ پیکان آرژانتینی</v>
          </cell>
          <cell r="C483" t="str">
            <v>قالب تعمیری</v>
          </cell>
          <cell r="AF483">
            <v>1.5</v>
          </cell>
        </row>
        <row r="484">
          <cell r="B484" t="str">
            <v>قالب پخت کلاچ پیکان آرژانتینی</v>
          </cell>
          <cell r="C484" t="str">
            <v>قالب تعمیری</v>
          </cell>
          <cell r="AF484">
            <v>6.5</v>
          </cell>
        </row>
        <row r="485">
          <cell r="B485" t="str">
            <v>دستگاه مهر زنی</v>
          </cell>
          <cell r="C485" t="str">
            <v>قطعه تعمیری</v>
          </cell>
          <cell r="AF485">
            <v>4.5</v>
          </cell>
        </row>
        <row r="486">
          <cell r="B486" t="str">
            <v>قالب پخت کلاچ پژو 405</v>
          </cell>
          <cell r="C486" t="str">
            <v>قالب تعمیری</v>
          </cell>
          <cell r="AF486">
            <v>3</v>
          </cell>
        </row>
        <row r="487">
          <cell r="B487" t="str">
            <v>پخت کلاچ پراید</v>
          </cell>
          <cell r="C487" t="str">
            <v>قالب تعمیری</v>
          </cell>
          <cell r="AF487">
            <v>2</v>
          </cell>
        </row>
        <row r="488">
          <cell r="B488" t="str">
            <v>قالب پخت کلاچ پیکان آرژانتینی</v>
          </cell>
          <cell r="C488" t="str">
            <v>قالب تعمیری</v>
          </cell>
          <cell r="AF488">
            <v>2</v>
          </cell>
        </row>
        <row r="489">
          <cell r="B489" t="str">
            <v>قالب پخت کلاچ پیکان آرژانتینی</v>
          </cell>
          <cell r="C489" t="str">
            <v>قالب تعمیری</v>
          </cell>
          <cell r="AF489">
            <v>2</v>
          </cell>
        </row>
        <row r="490">
          <cell r="B490" t="str">
            <v>پخت کلاچ پراید</v>
          </cell>
          <cell r="C490" t="str">
            <v>قالب تعمیری</v>
          </cell>
          <cell r="AF490">
            <v>2</v>
          </cell>
        </row>
        <row r="491">
          <cell r="B491" t="str">
            <v>قالب پخت کلاچ پژو 405</v>
          </cell>
          <cell r="C491" t="str">
            <v>قالب تعمیری</v>
          </cell>
          <cell r="AF491">
            <v>3</v>
          </cell>
        </row>
        <row r="492">
          <cell r="B492" t="str">
            <v>دستگاه مهر زنی</v>
          </cell>
          <cell r="C492" t="str">
            <v>قطعه تعمیری</v>
          </cell>
          <cell r="AF492">
            <v>2</v>
          </cell>
        </row>
        <row r="493">
          <cell r="B493" t="str">
            <v>پخت کلاچ پراید</v>
          </cell>
          <cell r="C493" t="str">
            <v>قالب تعمیری</v>
          </cell>
          <cell r="AF493">
            <v>1</v>
          </cell>
        </row>
        <row r="494">
          <cell r="B494" t="str">
            <v>قالب پخت کلاچ پژو 405</v>
          </cell>
          <cell r="C494" t="str">
            <v>قالب تعمیری</v>
          </cell>
          <cell r="AF494">
            <v>3</v>
          </cell>
        </row>
        <row r="495">
          <cell r="B495" t="str">
            <v>قالب پیلسان</v>
          </cell>
          <cell r="C495" t="str">
            <v>قالب تعمیری</v>
          </cell>
          <cell r="AF495">
            <v>2</v>
          </cell>
        </row>
        <row r="496">
          <cell r="B496" t="str">
            <v>قالب لودری 70021</v>
          </cell>
          <cell r="C496" t="str">
            <v>قالب تعمیری</v>
          </cell>
          <cell r="AF496">
            <v>1</v>
          </cell>
        </row>
        <row r="497">
          <cell r="B497" t="str">
            <v>قالب پخت کلاچ پیکان آرژانتینی</v>
          </cell>
          <cell r="C497" t="str">
            <v>قالب تعمیری</v>
          </cell>
          <cell r="AF497">
            <v>2</v>
          </cell>
        </row>
        <row r="498">
          <cell r="B498" t="str">
            <v>قالب پخت کلاچ پژو 405</v>
          </cell>
          <cell r="C498" t="str">
            <v>قالب تعمیری</v>
          </cell>
          <cell r="AF498">
            <v>4</v>
          </cell>
        </row>
        <row r="499">
          <cell r="B499" t="str">
            <v>پخت کلاچ پراید</v>
          </cell>
          <cell r="C499" t="str">
            <v>قالب تعمیری</v>
          </cell>
          <cell r="AF499">
            <v>4</v>
          </cell>
        </row>
        <row r="500">
          <cell r="B500" t="str">
            <v>پخت کلاچ پراید</v>
          </cell>
          <cell r="C500" t="str">
            <v>قالب تعمیری</v>
          </cell>
          <cell r="AF500">
            <v>4</v>
          </cell>
        </row>
        <row r="501">
          <cell r="B501" t="str">
            <v>قالب پخت کلاچ پژو 405</v>
          </cell>
          <cell r="C501" t="str">
            <v>قالب تعمیری</v>
          </cell>
          <cell r="AF501">
            <v>2</v>
          </cell>
        </row>
        <row r="502">
          <cell r="B502" t="str">
            <v>قالب پیلسان</v>
          </cell>
          <cell r="C502" t="str">
            <v>قالب تعمیری</v>
          </cell>
          <cell r="AF502">
            <v>1</v>
          </cell>
        </row>
        <row r="503">
          <cell r="B503" t="str">
            <v>قالب پخت کلاچ پژو 405</v>
          </cell>
          <cell r="C503" t="str">
            <v>قالب تعمیری</v>
          </cell>
          <cell r="AF503">
            <v>4</v>
          </cell>
        </row>
        <row r="504">
          <cell r="B504" t="str">
            <v>قالب تیبا خزینه چپ</v>
          </cell>
          <cell r="C504" t="str">
            <v>قالب تعمیری</v>
          </cell>
          <cell r="AF504">
            <v>2</v>
          </cell>
        </row>
        <row r="505">
          <cell r="B505" t="str">
            <v>قالب پخت کلاچ پیکان آرژانتینی</v>
          </cell>
          <cell r="C505" t="str">
            <v>قالب تعمیری</v>
          </cell>
          <cell r="AF505">
            <v>1</v>
          </cell>
        </row>
        <row r="506">
          <cell r="B506" t="str">
            <v>قالب پخت کلاچ پیکان آرژانتینی</v>
          </cell>
          <cell r="C506" t="str">
            <v>قالب تعمیری</v>
          </cell>
          <cell r="AF506">
            <v>1</v>
          </cell>
        </row>
        <row r="507">
          <cell r="B507" t="str">
            <v>کلمپ زنی</v>
          </cell>
          <cell r="C507" t="str">
            <v>قطعه نو</v>
          </cell>
          <cell r="AF507">
            <v>2</v>
          </cell>
        </row>
        <row r="508">
          <cell r="B508" t="str">
            <v>قالب پخت کلاچ پیکان آرژانتینی</v>
          </cell>
          <cell r="C508" t="str">
            <v>قالب تعمیری</v>
          </cell>
          <cell r="AF508">
            <v>2</v>
          </cell>
        </row>
        <row r="509">
          <cell r="B509" t="str">
            <v>پخت کلاچ هوو</v>
          </cell>
          <cell r="C509" t="str">
            <v>قالب تعمیری</v>
          </cell>
          <cell r="AF509">
            <v>1</v>
          </cell>
        </row>
        <row r="510">
          <cell r="B510" t="str">
            <v>پخت کلاچ ده تن سوراخدار</v>
          </cell>
          <cell r="C510" t="str">
            <v>قالب تعمیری</v>
          </cell>
          <cell r="AF510">
            <v>1</v>
          </cell>
        </row>
        <row r="511">
          <cell r="B511" t="str">
            <v>قطاری باری</v>
          </cell>
          <cell r="C511" t="str">
            <v>قالب تعمیری</v>
          </cell>
          <cell r="AF511">
            <v>1</v>
          </cell>
        </row>
        <row r="512">
          <cell r="B512" t="str">
            <v>شمش پراید</v>
          </cell>
          <cell r="C512" t="str">
            <v>قالب نو</v>
          </cell>
          <cell r="AF512">
            <v>6.333333333333333</v>
          </cell>
        </row>
        <row r="513">
          <cell r="B513" t="str">
            <v>پین عقب پژو 405</v>
          </cell>
          <cell r="C513" t="str">
            <v>قطعه نو</v>
          </cell>
          <cell r="AF513">
            <v>7.5</v>
          </cell>
        </row>
        <row r="514">
          <cell r="B514" t="str">
            <v>دریل یزدخواستی کلاچ</v>
          </cell>
          <cell r="C514" t="str">
            <v>قطعه نو</v>
          </cell>
          <cell r="AF514">
            <v>11</v>
          </cell>
        </row>
        <row r="515">
          <cell r="B515" t="str">
            <v>قالب پخت کلاچ پژو 405</v>
          </cell>
          <cell r="C515" t="str">
            <v>قالب تعمیری</v>
          </cell>
          <cell r="AF515">
            <v>4</v>
          </cell>
        </row>
        <row r="516">
          <cell r="B516" t="str">
            <v>پخت کلاچ پراید</v>
          </cell>
          <cell r="C516" t="str">
            <v>قالب تعمیری</v>
          </cell>
          <cell r="AF516">
            <v>4</v>
          </cell>
        </row>
        <row r="517">
          <cell r="B517" t="str">
            <v>صفحات 50*50 پخت کلاچ</v>
          </cell>
          <cell r="C517" t="str">
            <v>قالب تعمیری</v>
          </cell>
          <cell r="AF517">
            <v>5.5</v>
          </cell>
        </row>
        <row r="518">
          <cell r="B518" t="str">
            <v>پخت عقب پژو 405 شمشی پایه کوتاه</v>
          </cell>
          <cell r="C518" t="str">
            <v>قالب نو</v>
          </cell>
          <cell r="AF518">
            <v>5.5</v>
          </cell>
        </row>
        <row r="519">
          <cell r="B519" t="str">
            <v>پرس پخت کلاچ</v>
          </cell>
          <cell r="C519" t="str">
            <v>قطعه تعمیری</v>
          </cell>
          <cell r="AF519">
            <v>5</v>
          </cell>
        </row>
        <row r="520">
          <cell r="B520" t="str">
            <v>دستگاه CNC</v>
          </cell>
          <cell r="C520" t="str">
            <v>قطعه نو</v>
          </cell>
          <cell r="AF520">
            <v>2</v>
          </cell>
        </row>
        <row r="521">
          <cell r="B521" t="str">
            <v>قالب پخت کلاچ پیکان آرژانتینی</v>
          </cell>
          <cell r="C521" t="str">
            <v>قالب تعمیری</v>
          </cell>
          <cell r="AF521">
            <v>2</v>
          </cell>
        </row>
        <row r="522">
          <cell r="B522" t="str">
            <v>قالب پخت کلاچ پژو 405</v>
          </cell>
          <cell r="C522" t="str">
            <v>قالب تعمیری</v>
          </cell>
          <cell r="AF522">
            <v>4</v>
          </cell>
        </row>
        <row r="523">
          <cell r="B523" t="str">
            <v>شیم پژو 405</v>
          </cell>
          <cell r="C523" t="str">
            <v>قالب تعمیری</v>
          </cell>
          <cell r="AF523">
            <v>1</v>
          </cell>
        </row>
        <row r="524">
          <cell r="B524" t="str">
            <v>صفحات 50*50 پخت کلاچ</v>
          </cell>
          <cell r="C524" t="str">
            <v>قالب تعمیری</v>
          </cell>
          <cell r="AF524">
            <v>6</v>
          </cell>
        </row>
        <row r="525">
          <cell r="B525" t="str">
            <v>پخت کلاچ پراید</v>
          </cell>
          <cell r="C525" t="str">
            <v>قالب تعمیری</v>
          </cell>
          <cell r="AF525">
            <v>6.5</v>
          </cell>
        </row>
        <row r="526">
          <cell r="B526" t="str">
            <v>پخت کلاچ پراید</v>
          </cell>
          <cell r="C526" t="str">
            <v>قالب تعمیری</v>
          </cell>
          <cell r="AF526">
            <v>1.5</v>
          </cell>
        </row>
        <row r="527">
          <cell r="B527" t="str">
            <v>Hammer Mill Machine</v>
          </cell>
          <cell r="C527" t="str">
            <v>دستگاه نو</v>
          </cell>
          <cell r="AF527">
            <v>1</v>
          </cell>
        </row>
        <row r="528">
          <cell r="B528" t="str">
            <v>قالب پخت کلاچ پژو 405</v>
          </cell>
          <cell r="C528" t="str">
            <v>قالب تعمیری</v>
          </cell>
          <cell r="AF528">
            <v>1</v>
          </cell>
        </row>
        <row r="529">
          <cell r="B529" t="str">
            <v>stop</v>
          </cell>
          <cell r="C529" t="str">
            <v>قطعه نو</v>
          </cell>
          <cell r="AF529">
            <v>2</v>
          </cell>
        </row>
        <row r="530">
          <cell r="B530" t="str">
            <v>قالب پخت کلاچ پژو 405</v>
          </cell>
          <cell r="C530" t="str">
            <v>قالب تعمیری</v>
          </cell>
          <cell r="AF530">
            <v>4</v>
          </cell>
        </row>
        <row r="531">
          <cell r="B531" t="str">
            <v>شیم ریو</v>
          </cell>
          <cell r="C531" t="str">
            <v>قالب تعمیری</v>
          </cell>
          <cell r="AF531">
            <v>2</v>
          </cell>
        </row>
        <row r="532">
          <cell r="B532" t="str">
            <v>قالب پخت کلاچ پژو 405</v>
          </cell>
          <cell r="C532" t="str">
            <v>قالب تعمیری</v>
          </cell>
          <cell r="AF532">
            <v>2</v>
          </cell>
        </row>
        <row r="533">
          <cell r="B533" t="str">
            <v>دستگاه پرس 600 تن</v>
          </cell>
          <cell r="C533" t="str">
            <v>قطعه تعمیری</v>
          </cell>
          <cell r="AF533">
            <v>10</v>
          </cell>
        </row>
        <row r="534">
          <cell r="B534" t="str">
            <v>دستگاه پشم فلز</v>
          </cell>
          <cell r="C534" t="str">
            <v>قطعه نو</v>
          </cell>
          <cell r="AF534">
            <v>3</v>
          </cell>
        </row>
        <row r="535">
          <cell r="B535" t="str">
            <v>نگهدارنده پلاک قالب</v>
          </cell>
          <cell r="C535" t="str">
            <v>قطعه نو</v>
          </cell>
          <cell r="AF535">
            <v>10</v>
          </cell>
        </row>
        <row r="536">
          <cell r="B536" t="str">
            <v>کوبه نک قطاری</v>
          </cell>
          <cell r="C536" t="str">
            <v>قالب تعمیری</v>
          </cell>
          <cell r="AF536">
            <v>10</v>
          </cell>
        </row>
        <row r="537">
          <cell r="B537" t="str">
            <v>قلم پژو 405</v>
          </cell>
          <cell r="C537" t="str">
            <v>قطعه تعمیری</v>
          </cell>
          <cell r="AF537">
            <v>5</v>
          </cell>
        </row>
        <row r="538">
          <cell r="B538" t="str">
            <v>قالب پخت کلاچ پیکان آرژانتینی</v>
          </cell>
          <cell r="C538" t="str">
            <v>قالب تعمیری</v>
          </cell>
          <cell r="AF538">
            <v>2.5</v>
          </cell>
        </row>
        <row r="539">
          <cell r="B539" t="str">
            <v>قالب پخت کلاچ پژو 405</v>
          </cell>
          <cell r="C539" t="str">
            <v>قالب تعمیری</v>
          </cell>
          <cell r="AF539">
            <v>4</v>
          </cell>
        </row>
        <row r="540">
          <cell r="B540" t="str">
            <v>پخت کلاچ پراید</v>
          </cell>
          <cell r="C540" t="str">
            <v>قالب تعمیری</v>
          </cell>
          <cell r="AF540">
            <v>4</v>
          </cell>
        </row>
        <row r="541">
          <cell r="B541" t="str">
            <v>قالب پیلسان</v>
          </cell>
          <cell r="C541" t="str">
            <v>قالب تعمیری</v>
          </cell>
          <cell r="AF541">
            <v>0.5</v>
          </cell>
        </row>
        <row r="542">
          <cell r="B542" t="str">
            <v>پخت کلاچ هوو</v>
          </cell>
          <cell r="C542" t="str">
            <v>قالب تعمیری</v>
          </cell>
          <cell r="AF542">
            <v>2.5</v>
          </cell>
        </row>
        <row r="543">
          <cell r="B543" t="str">
            <v>پخت کلاچ ده تن سوراخدار</v>
          </cell>
          <cell r="C543" t="str">
            <v>قالب تعمیری</v>
          </cell>
          <cell r="AF543">
            <v>2.5</v>
          </cell>
        </row>
        <row r="544">
          <cell r="B544" t="str">
            <v>قالب پخت کلاچ پژو 405</v>
          </cell>
          <cell r="C544" t="str">
            <v>قالب تعمیری</v>
          </cell>
          <cell r="AF544">
            <v>1</v>
          </cell>
        </row>
        <row r="545">
          <cell r="B545" t="str">
            <v>قالب پخت کلاچ پژو 405</v>
          </cell>
          <cell r="C545" t="str">
            <v>قالب تعمیری</v>
          </cell>
          <cell r="AF545">
            <v>1</v>
          </cell>
        </row>
        <row r="546">
          <cell r="B546" t="str">
            <v>قالب پخت کلاچ پژو 405</v>
          </cell>
          <cell r="C546" t="str">
            <v>قالب تعمیری</v>
          </cell>
          <cell r="AF546">
            <v>11</v>
          </cell>
        </row>
        <row r="547">
          <cell r="B547" t="str">
            <v>دریل یزدخواستی کلاچ</v>
          </cell>
          <cell r="C547" t="str">
            <v>قطعه نو</v>
          </cell>
          <cell r="AF547">
            <v>2.5</v>
          </cell>
        </row>
        <row r="548">
          <cell r="B548" t="str">
            <v>دریل یزدخواستی کلاچ</v>
          </cell>
          <cell r="C548" t="str">
            <v>قطعه نو</v>
          </cell>
          <cell r="AF548">
            <v>4.5</v>
          </cell>
        </row>
        <row r="549">
          <cell r="B549" t="str">
            <v>قالب پخت کلاچ پژو 405</v>
          </cell>
          <cell r="C549" t="str">
            <v>قالب تعمیری</v>
          </cell>
          <cell r="AF549">
            <v>4.5</v>
          </cell>
        </row>
        <row r="550">
          <cell r="B550" t="str">
            <v>پین عقب پژو 405</v>
          </cell>
          <cell r="C550" t="str">
            <v>قطعه نو</v>
          </cell>
          <cell r="AF550">
            <v>7.5</v>
          </cell>
        </row>
        <row r="551">
          <cell r="B551" t="str">
            <v>قالب پخت کلاچ پژو 405</v>
          </cell>
          <cell r="C551" t="str">
            <v>قالب تعمیری</v>
          </cell>
          <cell r="AF551">
            <v>5</v>
          </cell>
        </row>
        <row r="552">
          <cell r="B552" t="str">
            <v>صفحات 50*50 پخت کلاچ</v>
          </cell>
          <cell r="C552" t="str">
            <v>قالب تعمیری</v>
          </cell>
          <cell r="AF552">
            <v>6</v>
          </cell>
        </row>
        <row r="553">
          <cell r="B553" t="str">
            <v>دریل یزدخواستی کلاچ</v>
          </cell>
          <cell r="C553" t="str">
            <v>قطعه نو</v>
          </cell>
          <cell r="AF553">
            <v>5</v>
          </cell>
        </row>
        <row r="554">
          <cell r="B554" t="str">
            <v>قالب پخت کلاچ پژو 405</v>
          </cell>
          <cell r="C554" t="str">
            <v>قالب تعمیری</v>
          </cell>
          <cell r="AF554">
            <v>2</v>
          </cell>
        </row>
        <row r="555">
          <cell r="B555" t="str">
            <v>دریل یزدخواستی کلاچ</v>
          </cell>
          <cell r="C555" t="str">
            <v>قطعه تعمیری</v>
          </cell>
          <cell r="AF555">
            <v>2</v>
          </cell>
        </row>
        <row r="556">
          <cell r="B556" t="str">
            <v>قالب پخت کلاچ پژو 405</v>
          </cell>
          <cell r="C556" t="str">
            <v>قالب تعمیری</v>
          </cell>
          <cell r="AF556">
            <v>6.5</v>
          </cell>
        </row>
        <row r="557">
          <cell r="B557" t="str">
            <v>قالب پخت کلاچ پژو 405</v>
          </cell>
          <cell r="C557" t="str">
            <v>قالب تعمیری</v>
          </cell>
          <cell r="AF557">
            <v>2.5</v>
          </cell>
        </row>
        <row r="558">
          <cell r="B558" t="str">
            <v>پخت کلاچ پراید</v>
          </cell>
          <cell r="C558" t="str">
            <v>قالب تعمیری</v>
          </cell>
          <cell r="AF558">
            <v>2</v>
          </cell>
        </row>
        <row r="559">
          <cell r="B559" t="str">
            <v>قالب پخت کلاچ پژو 405</v>
          </cell>
          <cell r="C559" t="str">
            <v>قالب تعمیری</v>
          </cell>
          <cell r="AF559">
            <v>4</v>
          </cell>
        </row>
        <row r="560">
          <cell r="B560" t="str">
            <v>پخت کلاچ پراید</v>
          </cell>
          <cell r="C560" t="str">
            <v>قالب تعمیری</v>
          </cell>
          <cell r="AF560">
            <v>4</v>
          </cell>
        </row>
        <row r="561">
          <cell r="B561" t="str">
            <v>پخت کلاچ پراید</v>
          </cell>
          <cell r="C561" t="str">
            <v>قالب تعمیری</v>
          </cell>
          <cell r="AF561">
            <v>3</v>
          </cell>
        </row>
        <row r="562">
          <cell r="B562" t="str">
            <v>Hammer Mill Machine</v>
          </cell>
          <cell r="C562" t="str">
            <v>دستگاه نو</v>
          </cell>
          <cell r="AF562">
            <v>2</v>
          </cell>
        </row>
        <row r="563">
          <cell r="B563" t="str">
            <v>قالب پخت کلاچ پیکان آرژانتینی</v>
          </cell>
          <cell r="C563" t="str">
            <v>قالب تعمیری</v>
          </cell>
          <cell r="AF563">
            <v>3.5</v>
          </cell>
        </row>
        <row r="564">
          <cell r="B564" t="str">
            <v>قالب پخت کلاچ پیکان آرژانتینی</v>
          </cell>
          <cell r="C564" t="str">
            <v>قالب تعمیری</v>
          </cell>
          <cell r="AF564">
            <v>3.5</v>
          </cell>
        </row>
        <row r="565">
          <cell r="B565" t="str">
            <v>پخت کلاچ پراید</v>
          </cell>
          <cell r="C565" t="str">
            <v>قالب تعمیری</v>
          </cell>
          <cell r="AF565">
            <v>2</v>
          </cell>
        </row>
        <row r="566">
          <cell r="B566" t="str">
            <v>پخت کلاچ ده تن سوراخدار</v>
          </cell>
          <cell r="C566" t="str">
            <v>قالب تعمیری</v>
          </cell>
          <cell r="AF566">
            <v>2</v>
          </cell>
        </row>
        <row r="567">
          <cell r="B567" t="str">
            <v>پخت کلاچ هوو</v>
          </cell>
          <cell r="C567" t="str">
            <v>قالب تعمیری</v>
          </cell>
          <cell r="AF567">
            <v>2</v>
          </cell>
        </row>
        <row r="568">
          <cell r="B568" t="str">
            <v>قالب پخت کلاچ پژو 405</v>
          </cell>
          <cell r="C568" t="str">
            <v>قالب تعمیری</v>
          </cell>
          <cell r="AF568">
            <v>3</v>
          </cell>
        </row>
        <row r="569">
          <cell r="B569" t="str">
            <v>پخت کلاچ پراید</v>
          </cell>
          <cell r="C569" t="str">
            <v>قالب تعمیری</v>
          </cell>
          <cell r="AF569">
            <v>2</v>
          </cell>
        </row>
        <row r="570">
          <cell r="B570" t="str">
            <v>پخت کلاچ ده تن سوراخدار</v>
          </cell>
          <cell r="C570" t="str">
            <v>قالب تعمیری</v>
          </cell>
          <cell r="AF570">
            <v>2</v>
          </cell>
        </row>
        <row r="571">
          <cell r="B571" t="str">
            <v>پخت کلاچ هوو</v>
          </cell>
          <cell r="C571" t="str">
            <v>قالب تعمیری</v>
          </cell>
          <cell r="AF571">
            <v>2</v>
          </cell>
        </row>
        <row r="572">
          <cell r="B572" t="str">
            <v>قالب پخت کلاچ پژو 405</v>
          </cell>
          <cell r="C572" t="str">
            <v>قالب تعمیری</v>
          </cell>
          <cell r="AF572">
            <v>2</v>
          </cell>
        </row>
        <row r="573">
          <cell r="B573" t="str">
            <v>پخت کلاچ پراید</v>
          </cell>
          <cell r="C573" t="str">
            <v>قالب تعمیری</v>
          </cell>
          <cell r="AF573">
            <v>1</v>
          </cell>
        </row>
        <row r="574">
          <cell r="B574" t="str">
            <v>قالب پخت کلاچ پژو 405</v>
          </cell>
          <cell r="C574" t="str">
            <v>قالب تعمیری</v>
          </cell>
          <cell r="AF574">
            <v>2</v>
          </cell>
        </row>
        <row r="575">
          <cell r="B575" t="str">
            <v>پخت کلاچ پراید</v>
          </cell>
          <cell r="C575" t="str">
            <v>قالب تعمیری</v>
          </cell>
          <cell r="AF575">
            <v>1</v>
          </cell>
        </row>
        <row r="576">
          <cell r="B576" t="str">
            <v>دستگاه پرس 600 تن</v>
          </cell>
          <cell r="C576" t="str">
            <v>قطعه تعمیری</v>
          </cell>
          <cell r="AF576">
            <v>12</v>
          </cell>
        </row>
        <row r="577">
          <cell r="B577" t="str">
            <v>قالب پخت کلاچ پژو 405</v>
          </cell>
          <cell r="C577" t="str">
            <v>قالب تعمیری</v>
          </cell>
          <cell r="AF577">
            <v>12</v>
          </cell>
        </row>
        <row r="578">
          <cell r="B578" t="str">
            <v>پخت کلاچ پراید</v>
          </cell>
          <cell r="C578" t="str">
            <v>قالب تعمیری</v>
          </cell>
          <cell r="AF578">
            <v>12</v>
          </cell>
        </row>
        <row r="579">
          <cell r="B579" t="str">
            <v>نگهدارنده پلاک قالب</v>
          </cell>
          <cell r="C579" t="str">
            <v>قطعه نو</v>
          </cell>
          <cell r="AF579">
            <v>9</v>
          </cell>
        </row>
        <row r="580">
          <cell r="B580" t="str">
            <v>قالب پخت کلاچ پژو 405</v>
          </cell>
          <cell r="C580" t="str">
            <v>قالب تعمیری</v>
          </cell>
          <cell r="AF580">
            <v>7</v>
          </cell>
        </row>
        <row r="581">
          <cell r="B581" t="str">
            <v>شمش پراید</v>
          </cell>
          <cell r="C581" t="str">
            <v>قالب نو</v>
          </cell>
          <cell r="AF581">
            <v>6.5</v>
          </cell>
        </row>
        <row r="582">
          <cell r="B582" t="str">
            <v>دریل یزدخواستی کلاچ</v>
          </cell>
          <cell r="C582" t="str">
            <v>قطعه نو</v>
          </cell>
          <cell r="AF582">
            <v>6.5</v>
          </cell>
        </row>
        <row r="583">
          <cell r="B583" t="str">
            <v>قالب پخت کلاچ پژو 405</v>
          </cell>
          <cell r="C583" t="str">
            <v>قالب تعمیری</v>
          </cell>
          <cell r="AF583">
            <v>7.5</v>
          </cell>
        </row>
        <row r="584">
          <cell r="B584" t="str">
            <v>صفحات 50*50 پخت کلاچ</v>
          </cell>
          <cell r="C584" t="str">
            <v>قالب تعمیری</v>
          </cell>
          <cell r="AF584">
            <v>7.5</v>
          </cell>
        </row>
        <row r="585">
          <cell r="B585" t="str">
            <v>پین عقب پژو 405</v>
          </cell>
          <cell r="C585" t="str">
            <v>قطعه نو</v>
          </cell>
          <cell r="AF585">
            <v>7.5</v>
          </cell>
        </row>
        <row r="586">
          <cell r="B586" t="str">
            <v>Hammer Mill Machine</v>
          </cell>
          <cell r="C586" t="str">
            <v>دستگاه نو</v>
          </cell>
          <cell r="AF586">
            <v>2</v>
          </cell>
        </row>
        <row r="587">
          <cell r="B587" t="str">
            <v>پخت عقب پژو 405 شمشی پایه کوتاه</v>
          </cell>
          <cell r="C587" t="str">
            <v>قالب نو</v>
          </cell>
          <cell r="AF587">
            <v>2.5</v>
          </cell>
        </row>
        <row r="588">
          <cell r="B588" t="str">
            <v>پخت عقب پژو 405 شمشی پایه کوتاه</v>
          </cell>
          <cell r="C588" t="str">
            <v>قالب نو</v>
          </cell>
          <cell r="AF588">
            <v>8.5</v>
          </cell>
        </row>
        <row r="589">
          <cell r="B589" t="str">
            <v>صفحات 50*50 پخت کلاچ</v>
          </cell>
          <cell r="C589" t="str">
            <v>قالب تعمیری</v>
          </cell>
          <cell r="AF589">
            <v>7.5</v>
          </cell>
        </row>
        <row r="590">
          <cell r="B590" t="str">
            <v>پخت عقب پژو 405 شمشی پایه کوتاه</v>
          </cell>
          <cell r="C590" t="str">
            <v>قالب نو</v>
          </cell>
          <cell r="AF590">
            <v>2</v>
          </cell>
        </row>
        <row r="591">
          <cell r="B591" t="str">
            <v>ابزار زنی</v>
          </cell>
          <cell r="C591" t="str">
            <v>قطعه تعمیری</v>
          </cell>
          <cell r="AF591">
            <v>1.5</v>
          </cell>
        </row>
        <row r="592">
          <cell r="B592" t="str">
            <v>ویوینگ</v>
          </cell>
          <cell r="C592" t="str">
            <v>قطعه تعمیری</v>
          </cell>
          <cell r="AF592">
            <v>2</v>
          </cell>
        </row>
        <row r="593">
          <cell r="B593" t="str">
            <v>اصول 5S</v>
          </cell>
          <cell r="C593" t="str">
            <v>نظافت</v>
          </cell>
          <cell r="AF593">
            <v>1</v>
          </cell>
        </row>
        <row r="594">
          <cell r="B594" t="str">
            <v>پخت کلاچ پراید</v>
          </cell>
          <cell r="C594" t="str">
            <v>قالب تعمیری</v>
          </cell>
          <cell r="AF594">
            <v>2</v>
          </cell>
        </row>
        <row r="595">
          <cell r="B595" t="str">
            <v>قالب پخت کلاچ پیکان</v>
          </cell>
          <cell r="C595" t="str">
            <v>قالب تعمیری</v>
          </cell>
          <cell r="AF595">
            <v>3</v>
          </cell>
        </row>
        <row r="596">
          <cell r="B596" t="str">
            <v>ابزار زنی</v>
          </cell>
          <cell r="C596" t="str">
            <v>قطعه نو</v>
          </cell>
          <cell r="AF596">
            <v>2</v>
          </cell>
        </row>
        <row r="597">
          <cell r="B597" t="str">
            <v>اصول 5S</v>
          </cell>
          <cell r="C597" t="str">
            <v>نظافت</v>
          </cell>
          <cell r="AF597">
            <v>0.5</v>
          </cell>
        </row>
        <row r="598">
          <cell r="B598" t="str">
            <v>دریل یزدخواستی کلاچ</v>
          </cell>
          <cell r="C598" t="str">
            <v>قطعه نو</v>
          </cell>
          <cell r="AF598">
            <v>3.5</v>
          </cell>
        </row>
        <row r="599">
          <cell r="B599" t="str">
            <v>دریل یزدخواستی کلاچ</v>
          </cell>
          <cell r="C599" t="str">
            <v>قطعه نو</v>
          </cell>
          <cell r="AF599">
            <v>3</v>
          </cell>
        </row>
        <row r="600">
          <cell r="B600" t="str">
            <v>اصول 5S</v>
          </cell>
          <cell r="C600" t="str">
            <v>نظافت</v>
          </cell>
          <cell r="AF600">
            <v>0.5</v>
          </cell>
        </row>
        <row r="601">
          <cell r="B601" t="str">
            <v>دستگاه سنگ مغناطیسی</v>
          </cell>
          <cell r="C601" t="str">
            <v>دستگاه تعمیری</v>
          </cell>
          <cell r="AF601">
            <v>2</v>
          </cell>
        </row>
        <row r="602">
          <cell r="B602" t="str">
            <v>دریل یزدخواستی کلاچ</v>
          </cell>
          <cell r="C602" t="str">
            <v>قطعه نو</v>
          </cell>
          <cell r="AF602">
            <v>4</v>
          </cell>
        </row>
        <row r="603">
          <cell r="B603" t="str">
            <v>پخت عقب پژو 405 شمشی پایه کوتاه</v>
          </cell>
          <cell r="C603" t="str">
            <v>قالب نو</v>
          </cell>
          <cell r="AF603">
            <v>4</v>
          </cell>
        </row>
        <row r="604">
          <cell r="B604" t="str">
            <v>قالب پخت کلاچ پیکان</v>
          </cell>
          <cell r="C604" t="str">
            <v>قالب تعمیری</v>
          </cell>
          <cell r="AF604">
            <v>3</v>
          </cell>
        </row>
        <row r="605">
          <cell r="B605" t="str">
            <v>اصول 5S</v>
          </cell>
          <cell r="C605" t="str">
            <v>نظافت</v>
          </cell>
          <cell r="AF605">
            <v>0.5</v>
          </cell>
        </row>
        <row r="606">
          <cell r="B606" t="str">
            <v>دستگاه پرس 600 تن</v>
          </cell>
          <cell r="C606" t="str">
            <v>قطعه تعمیری</v>
          </cell>
          <cell r="AF606">
            <v>1</v>
          </cell>
        </row>
        <row r="607">
          <cell r="B607" t="str">
            <v>قالب پخت کلاچ پژو 405</v>
          </cell>
          <cell r="C607" t="str">
            <v>قالب تعمیری</v>
          </cell>
          <cell r="AF607">
            <v>1</v>
          </cell>
        </row>
        <row r="608">
          <cell r="B608" t="str">
            <v>دستگاه پرس 600 تن</v>
          </cell>
          <cell r="C608" t="str">
            <v>قطعه تعمیری</v>
          </cell>
          <cell r="AF608">
            <v>1</v>
          </cell>
        </row>
        <row r="609">
          <cell r="B609" t="str">
            <v>پخت کلاچ پراید</v>
          </cell>
          <cell r="C609" t="str">
            <v>قالب تعمیری</v>
          </cell>
          <cell r="AF609">
            <v>3.5</v>
          </cell>
        </row>
        <row r="610">
          <cell r="B610" t="str">
            <v>تیغ فرز</v>
          </cell>
          <cell r="C610" t="str">
            <v>قطعه تعمیری</v>
          </cell>
          <cell r="AF610">
            <v>4</v>
          </cell>
        </row>
        <row r="611">
          <cell r="B611" t="str">
            <v>دریل یزدخواستی کلاچ</v>
          </cell>
          <cell r="C611" t="str">
            <v>قطعه نو</v>
          </cell>
          <cell r="AF611">
            <v>4</v>
          </cell>
        </row>
        <row r="612">
          <cell r="B612" t="str">
            <v>پخت کلاچ پراید</v>
          </cell>
          <cell r="C612" t="str">
            <v>قالب تعمیری</v>
          </cell>
          <cell r="AF612">
            <v>4</v>
          </cell>
        </row>
        <row r="613">
          <cell r="B613" t="str">
            <v>قالب پخت کلاچ پژو 405</v>
          </cell>
          <cell r="C613" t="str">
            <v>قالب تعمیری</v>
          </cell>
          <cell r="AF613">
            <v>5</v>
          </cell>
        </row>
        <row r="614">
          <cell r="B614" t="str">
            <v>دریل یزدخواستی کلاچ</v>
          </cell>
          <cell r="C614" t="str">
            <v>قطعه نو</v>
          </cell>
          <cell r="AF614">
            <v>4</v>
          </cell>
        </row>
        <row r="615">
          <cell r="B615" t="str">
            <v>کوبه نک قطاری</v>
          </cell>
          <cell r="C615" t="str">
            <v>قالب تعمیری</v>
          </cell>
          <cell r="AF615">
            <v>3</v>
          </cell>
        </row>
        <row r="616">
          <cell r="B616" t="str">
            <v>نگهدارنده پلاک قالب</v>
          </cell>
          <cell r="C616" t="str">
            <v>قطعه نو</v>
          </cell>
          <cell r="AF616">
            <v>8</v>
          </cell>
        </row>
        <row r="617">
          <cell r="B617" t="str">
            <v>پخت کلاچ پراید</v>
          </cell>
          <cell r="C617" t="str">
            <v>قالب تعمیری</v>
          </cell>
          <cell r="AF617">
            <v>7.5</v>
          </cell>
        </row>
        <row r="618">
          <cell r="B618" t="str">
            <v>دستگاه پرس پخت</v>
          </cell>
          <cell r="C618" t="str">
            <v>قطعه تعمیری</v>
          </cell>
          <cell r="AF618">
            <v>5.75</v>
          </cell>
        </row>
        <row r="619">
          <cell r="B619" t="str">
            <v>دستگاه پشم فلز چینی</v>
          </cell>
          <cell r="C619" t="str">
            <v>قطعه نو</v>
          </cell>
          <cell r="AF619">
            <v>5.75</v>
          </cell>
        </row>
        <row r="620">
          <cell r="B620" t="str">
            <v>قالب پخت کلاچ پژو 405</v>
          </cell>
          <cell r="C620" t="str">
            <v>قالب تعمیری</v>
          </cell>
          <cell r="AF620">
            <v>5.5</v>
          </cell>
        </row>
        <row r="621">
          <cell r="B621" t="str">
            <v>پخت کلاچ پراید</v>
          </cell>
          <cell r="C621" t="str">
            <v>قالب تعمیری</v>
          </cell>
          <cell r="AF621">
            <v>5.5</v>
          </cell>
        </row>
        <row r="622">
          <cell r="B622" t="str">
            <v>قالب پخت کلاچ پژو 405</v>
          </cell>
          <cell r="C622" t="str">
            <v>قالب تعمیری</v>
          </cell>
          <cell r="AF622">
            <v>11</v>
          </cell>
        </row>
        <row r="623">
          <cell r="B623" t="str">
            <v>دریل یزدخواستی کلاچ</v>
          </cell>
          <cell r="C623" t="str">
            <v>قطعه نو</v>
          </cell>
          <cell r="AF623">
            <v>11</v>
          </cell>
        </row>
        <row r="624">
          <cell r="B624" t="str">
            <v>دستگاه پشم فلز چینی</v>
          </cell>
          <cell r="C624" t="str">
            <v>قطعه نو</v>
          </cell>
          <cell r="AF624">
            <v>4.333333333333333</v>
          </cell>
        </row>
        <row r="625">
          <cell r="B625" t="str">
            <v>دستگاه پشم فلز چینی</v>
          </cell>
          <cell r="C625" t="str">
            <v>قطعه نو</v>
          </cell>
          <cell r="AF625">
            <v>1.5</v>
          </cell>
        </row>
        <row r="626">
          <cell r="B626" t="str">
            <v>صفحات 50*50 پخت کلاچ</v>
          </cell>
          <cell r="C626" t="str">
            <v>قالب تعمیری</v>
          </cell>
          <cell r="AF626">
            <v>11</v>
          </cell>
        </row>
        <row r="627">
          <cell r="B627" t="str">
            <v>پین عقب پژو 405</v>
          </cell>
          <cell r="C627" t="str">
            <v>قطعه نو</v>
          </cell>
          <cell r="AF627">
            <v>7.5</v>
          </cell>
        </row>
        <row r="628">
          <cell r="B628" t="str">
            <v>دستگاه پشم فلز چینی</v>
          </cell>
          <cell r="C628" t="str">
            <v>قطعه نو</v>
          </cell>
          <cell r="AF628">
            <v>3</v>
          </cell>
        </row>
        <row r="629">
          <cell r="B629" t="str">
            <v>دریل یزدخواستی کلاچ</v>
          </cell>
          <cell r="C629" t="str">
            <v>قطعه نو</v>
          </cell>
          <cell r="AF629">
            <v>8</v>
          </cell>
        </row>
        <row r="630">
          <cell r="B630" t="str">
            <v>آغشته کاری</v>
          </cell>
          <cell r="C630" t="str">
            <v>قطعه تعمیری</v>
          </cell>
          <cell r="AF630">
            <v>3</v>
          </cell>
        </row>
        <row r="631">
          <cell r="B631" t="str">
            <v>صفحه 45*45</v>
          </cell>
          <cell r="C631" t="str">
            <v>قالب نو</v>
          </cell>
          <cell r="AF631">
            <v>11</v>
          </cell>
        </row>
        <row r="632">
          <cell r="B632" t="str">
            <v>دستگاه پشم فلز چینی</v>
          </cell>
          <cell r="C632" t="str">
            <v>قطعه نو</v>
          </cell>
          <cell r="AF632">
            <v>2</v>
          </cell>
        </row>
        <row r="633">
          <cell r="B633" t="str">
            <v>دستگاه سنگ مغناطیسی</v>
          </cell>
          <cell r="C633" t="str">
            <v>دستگاه تعمیری</v>
          </cell>
          <cell r="AF633">
            <v>2</v>
          </cell>
        </row>
        <row r="634">
          <cell r="B634" t="str">
            <v>سری نقطه جوش</v>
          </cell>
          <cell r="C634" t="str">
            <v>قطعه تعمیری</v>
          </cell>
          <cell r="AF634">
            <v>1</v>
          </cell>
        </row>
        <row r="635">
          <cell r="B635" t="str">
            <v>قالب پخت کلاچ پیکان</v>
          </cell>
          <cell r="C635" t="str">
            <v>قالب تعمیری</v>
          </cell>
          <cell r="AF635">
            <v>4</v>
          </cell>
        </row>
        <row r="636">
          <cell r="B636" t="str">
            <v>نگهدارنده پلاک قالب</v>
          </cell>
          <cell r="C636" t="str">
            <v>قطعه نو</v>
          </cell>
          <cell r="AF636">
            <v>12</v>
          </cell>
        </row>
        <row r="637">
          <cell r="B637" t="str">
            <v>کوبه نک قطاری</v>
          </cell>
          <cell r="C637" t="str">
            <v>قالب تعمیری</v>
          </cell>
          <cell r="AF637">
            <v>10</v>
          </cell>
        </row>
        <row r="638">
          <cell r="B638" t="str">
            <v>Hammer Mill Machine</v>
          </cell>
          <cell r="C638" t="str">
            <v>دستگاه نو</v>
          </cell>
          <cell r="AF638">
            <v>7</v>
          </cell>
        </row>
        <row r="639">
          <cell r="B639" t="str">
            <v>پخت کلاچ ایویکو سوراخدار</v>
          </cell>
          <cell r="C639" t="str">
            <v>قالب تعمیری</v>
          </cell>
          <cell r="AF639">
            <v>3</v>
          </cell>
        </row>
        <row r="640">
          <cell r="B640" t="str">
            <v>دستگاه پشم فلز چینی</v>
          </cell>
          <cell r="C640" t="str">
            <v>قطعه تعمیری</v>
          </cell>
          <cell r="AF640">
            <v>5</v>
          </cell>
        </row>
        <row r="641">
          <cell r="B641" t="str">
            <v>دستگاه پشم فلز چینی</v>
          </cell>
          <cell r="C641" t="str">
            <v>قطعه تعمیری</v>
          </cell>
          <cell r="AF641">
            <v>2</v>
          </cell>
        </row>
        <row r="642">
          <cell r="B642" t="str">
            <v>دستگاه مهر زنی</v>
          </cell>
          <cell r="C642" t="str">
            <v>قطعه تعمیری</v>
          </cell>
          <cell r="AF642">
            <v>3</v>
          </cell>
        </row>
        <row r="643">
          <cell r="B643" t="str">
            <v>Hammer Mill Machine</v>
          </cell>
          <cell r="C643" t="str">
            <v>دستگاه نو</v>
          </cell>
          <cell r="AF643">
            <v>4</v>
          </cell>
        </row>
        <row r="644">
          <cell r="B644" t="str">
            <v>دستگاه پرس 600 تن</v>
          </cell>
          <cell r="C644" t="str">
            <v>قطعه تعمیری</v>
          </cell>
          <cell r="AF644">
            <v>4</v>
          </cell>
        </row>
        <row r="645">
          <cell r="B645" t="str">
            <v>پخت کلاچ پراید</v>
          </cell>
          <cell r="C645" t="str">
            <v>قالب تعمیری</v>
          </cell>
          <cell r="AF645">
            <v>3</v>
          </cell>
        </row>
        <row r="646">
          <cell r="B646" t="str">
            <v>Hammer Mill Machine</v>
          </cell>
          <cell r="C646" t="str">
            <v>دستگاه نو</v>
          </cell>
          <cell r="AF646">
            <v>1.5</v>
          </cell>
        </row>
        <row r="647">
          <cell r="B647" t="str">
            <v>دستگاه سنگ مغناطیسی</v>
          </cell>
          <cell r="C647" t="str">
            <v>دستگاه تعمیری</v>
          </cell>
          <cell r="AF647">
            <v>1</v>
          </cell>
        </row>
        <row r="648">
          <cell r="B648" t="str">
            <v>پخت کلاچ ایویکو سوراخدار</v>
          </cell>
          <cell r="C648" t="str">
            <v>قالب تعمیری</v>
          </cell>
          <cell r="AF648">
            <v>1</v>
          </cell>
        </row>
        <row r="649">
          <cell r="B649" t="str">
            <v>دستگاه پرس</v>
          </cell>
          <cell r="C649" t="str">
            <v>قطعه تعمیری</v>
          </cell>
          <cell r="AF649">
            <v>1</v>
          </cell>
        </row>
        <row r="650">
          <cell r="B650" t="str">
            <v>پخت کلاچ ایویکو سوراخدار</v>
          </cell>
          <cell r="C650" t="str">
            <v>قالب تعمیری</v>
          </cell>
          <cell r="AF650">
            <v>1</v>
          </cell>
        </row>
        <row r="651">
          <cell r="B651" t="str">
            <v>قالب پخت کلاچ پیکان</v>
          </cell>
          <cell r="C651" t="str">
            <v>قالب تعمیری</v>
          </cell>
          <cell r="AF651">
            <v>1</v>
          </cell>
        </row>
        <row r="652">
          <cell r="B652" t="str">
            <v>قالب پخت کلاچ پژو 405</v>
          </cell>
          <cell r="C652" t="str">
            <v>قالب تعمیری</v>
          </cell>
          <cell r="AF652">
            <v>3</v>
          </cell>
        </row>
        <row r="653">
          <cell r="B653" t="str">
            <v>دستگاه پرس 600 تن</v>
          </cell>
          <cell r="C653" t="str">
            <v>قطعه تعمیری</v>
          </cell>
          <cell r="AF653">
            <v>4</v>
          </cell>
        </row>
        <row r="654">
          <cell r="B654" t="str">
            <v>برش جمعی عقب ریو</v>
          </cell>
          <cell r="C654" t="str">
            <v>قطعه نو</v>
          </cell>
          <cell r="AF654">
            <v>5</v>
          </cell>
        </row>
        <row r="655">
          <cell r="B655" t="str">
            <v>صفحات 50*50 پخت کلاچ</v>
          </cell>
          <cell r="C655" t="str">
            <v>قالب تعمیری</v>
          </cell>
          <cell r="AF655">
            <v>9</v>
          </cell>
        </row>
        <row r="656">
          <cell r="B656" t="str">
            <v>قالب پخت کلاچ پیکان آرژانتینی</v>
          </cell>
          <cell r="C656" t="str">
            <v>قالب تعمیری</v>
          </cell>
          <cell r="AF656">
            <v>2</v>
          </cell>
        </row>
        <row r="657">
          <cell r="B657" t="str">
            <v>صفحه 45*45</v>
          </cell>
          <cell r="C657" t="str">
            <v>قالب نو</v>
          </cell>
          <cell r="AF657">
            <v>5.5</v>
          </cell>
        </row>
        <row r="658">
          <cell r="B658" t="str">
            <v>صفحه 25*30*50</v>
          </cell>
          <cell r="C658" t="str">
            <v>قالب نو</v>
          </cell>
          <cell r="AF658">
            <v>5.5</v>
          </cell>
        </row>
        <row r="659">
          <cell r="B659" t="str">
            <v>دستگاه پشم فلز چینی</v>
          </cell>
          <cell r="C659" t="str">
            <v>قطعه نو</v>
          </cell>
          <cell r="AF659">
            <v>11</v>
          </cell>
        </row>
        <row r="660">
          <cell r="B660" t="str">
            <v>پخت کلاچ پراید</v>
          </cell>
          <cell r="C660" t="str">
            <v>قالب تعمیری</v>
          </cell>
          <cell r="AF660">
            <v>11</v>
          </cell>
        </row>
        <row r="661">
          <cell r="B661" t="str">
            <v>دریل یزدخواستی کلاچ</v>
          </cell>
          <cell r="C661" t="str">
            <v>قطعه نو</v>
          </cell>
          <cell r="AF661">
            <v>8</v>
          </cell>
        </row>
        <row r="662">
          <cell r="B662" t="str">
            <v>دریل یزدخواستی کلاچ</v>
          </cell>
          <cell r="C662" t="str">
            <v>قطعه نو</v>
          </cell>
          <cell r="AF662">
            <v>3</v>
          </cell>
        </row>
        <row r="663">
          <cell r="B663" t="str">
            <v>دریل یزدخواستی کلاچ</v>
          </cell>
          <cell r="C663" t="str">
            <v>قطعه نو</v>
          </cell>
          <cell r="AF663">
            <v>7.5</v>
          </cell>
        </row>
        <row r="664">
          <cell r="B664" t="str">
            <v>دستگاه ساب الماسه</v>
          </cell>
          <cell r="C664" t="str">
            <v>قطعه تعمیری</v>
          </cell>
          <cell r="AF664">
            <v>1.5</v>
          </cell>
        </row>
        <row r="665">
          <cell r="B665" t="str">
            <v>دستگاه ساب الماسه</v>
          </cell>
          <cell r="C665" t="str">
            <v>قطعه تعمیری</v>
          </cell>
          <cell r="AF665">
            <v>2</v>
          </cell>
        </row>
        <row r="666">
          <cell r="B666" t="str">
            <v>نگهدارنده پلاک قالب</v>
          </cell>
          <cell r="C666" t="str">
            <v>قطعه نو</v>
          </cell>
          <cell r="AF666">
            <v>12</v>
          </cell>
        </row>
        <row r="667">
          <cell r="B667" t="str">
            <v>دستگاه پشم فلز چینی</v>
          </cell>
          <cell r="C667" t="str">
            <v>قطعه نو</v>
          </cell>
          <cell r="AF667">
            <v>5</v>
          </cell>
        </row>
        <row r="668">
          <cell r="B668" t="str">
            <v>Hammer Mill Machine</v>
          </cell>
          <cell r="C668" t="str">
            <v>دستگاه نو</v>
          </cell>
          <cell r="AF668">
            <v>4</v>
          </cell>
        </row>
        <row r="669">
          <cell r="B669" t="str">
            <v>دستگاه پشم فلز چینی</v>
          </cell>
          <cell r="C669" t="str">
            <v>قطعه نو</v>
          </cell>
          <cell r="AF669">
            <v>3</v>
          </cell>
        </row>
        <row r="670">
          <cell r="B670" t="str">
            <v>دستگاه پشم فلز چینی</v>
          </cell>
          <cell r="C670" t="str">
            <v>قطعه تعمیری</v>
          </cell>
          <cell r="AF670">
            <v>2</v>
          </cell>
        </row>
        <row r="671">
          <cell r="B671" t="str">
            <v>قالب پخت کلاچ پیکان</v>
          </cell>
          <cell r="C671" t="str">
            <v>قالب تعمیری</v>
          </cell>
          <cell r="AF671">
            <v>3</v>
          </cell>
        </row>
        <row r="672">
          <cell r="B672" t="str">
            <v>قالب پخت کلاچ پژو 405</v>
          </cell>
          <cell r="C672" t="str">
            <v>قالب تعمیری</v>
          </cell>
          <cell r="AF672">
            <v>3</v>
          </cell>
        </row>
        <row r="673">
          <cell r="B673" t="str">
            <v>دستگاه پرس 600 تن</v>
          </cell>
          <cell r="C673" t="str">
            <v>قطعه تعمیری</v>
          </cell>
          <cell r="AF673">
            <v>3</v>
          </cell>
        </row>
        <row r="674">
          <cell r="B674" t="str">
            <v>قالب پخت کلاچ پیکان</v>
          </cell>
          <cell r="C674" t="str">
            <v>قالب تعمیری</v>
          </cell>
          <cell r="AF674">
            <v>3</v>
          </cell>
        </row>
        <row r="675">
          <cell r="B675" t="str">
            <v>پخت کلاچ ایویکو سوراخدار</v>
          </cell>
          <cell r="C675" t="str">
            <v>قالب تعمیری</v>
          </cell>
          <cell r="AF675">
            <v>3</v>
          </cell>
        </row>
        <row r="676">
          <cell r="B676" t="str">
            <v>دستگاه پشم فلز چینی</v>
          </cell>
          <cell r="C676" t="str">
            <v>قطعه تعمیری</v>
          </cell>
          <cell r="AF676">
            <v>5</v>
          </cell>
        </row>
        <row r="677">
          <cell r="B677" t="str">
            <v>قالب پخت کلاچ پژو 405</v>
          </cell>
          <cell r="C677" t="str">
            <v>قالب تعمیری</v>
          </cell>
          <cell r="AF677">
            <v>5.5</v>
          </cell>
        </row>
        <row r="678">
          <cell r="B678" t="str">
            <v>قالب پخت کلاچ پژو 405</v>
          </cell>
          <cell r="C678" t="str">
            <v>قالب تعمیری</v>
          </cell>
          <cell r="AF678">
            <v>5.5</v>
          </cell>
        </row>
      </sheetData>
      <sheetData sheetId="3">
        <row r="4">
          <cell r="B4" t="str">
            <v>نگهدارنده پلاک قالب</v>
          </cell>
          <cell r="C4" t="str">
            <v>قطعه نو</v>
          </cell>
          <cell r="AF4">
            <v>10</v>
          </cell>
        </row>
        <row r="5">
          <cell r="B5" t="str">
            <v>برش جمعی عقب ریو</v>
          </cell>
          <cell r="C5" t="str">
            <v>قطعه نو</v>
          </cell>
          <cell r="AF5">
            <v>1</v>
          </cell>
        </row>
        <row r="6">
          <cell r="B6" t="str">
            <v>دستگاه پشم فلز چینی</v>
          </cell>
          <cell r="C6" t="str">
            <v>قطعه تعمیری</v>
          </cell>
          <cell r="AF6">
            <v>5.5</v>
          </cell>
        </row>
        <row r="7">
          <cell r="B7" t="str">
            <v>دستگاه پشم فلز چینی</v>
          </cell>
          <cell r="C7" t="str">
            <v>قطعه تعمیری</v>
          </cell>
          <cell r="AF7">
            <v>5.5</v>
          </cell>
        </row>
        <row r="8">
          <cell r="B8" t="str">
            <v>دریل یزدخواستی کلاچ</v>
          </cell>
          <cell r="C8" t="str">
            <v>قطعه نو</v>
          </cell>
          <cell r="AF8">
            <v>10.333333333333334</v>
          </cell>
        </row>
        <row r="9">
          <cell r="B9" t="str">
            <v>صفحات 50*50 پخت کلاچ</v>
          </cell>
          <cell r="C9" t="str">
            <v>قالب تعمیری</v>
          </cell>
          <cell r="AF9">
            <v>11</v>
          </cell>
        </row>
        <row r="10">
          <cell r="B10" t="str">
            <v>دستگاه چسب زنی</v>
          </cell>
          <cell r="C10" t="str">
            <v>قطعه تعمیری</v>
          </cell>
          <cell r="AF10">
            <v>2</v>
          </cell>
        </row>
        <row r="11">
          <cell r="B11" t="str">
            <v>Hammer Mill Machine</v>
          </cell>
          <cell r="C11" t="str">
            <v>دستگاه نو</v>
          </cell>
          <cell r="AF11">
            <v>3</v>
          </cell>
        </row>
        <row r="12">
          <cell r="B12" t="str">
            <v>پخت کلاچ پراید</v>
          </cell>
          <cell r="C12" t="str">
            <v>قالب تعمیری</v>
          </cell>
          <cell r="AF12">
            <v>3</v>
          </cell>
        </row>
        <row r="13">
          <cell r="B13" t="str">
            <v>قالب پخت کلاچ پیکان</v>
          </cell>
          <cell r="C13" t="str">
            <v>قالب تعمیری</v>
          </cell>
          <cell r="AF13">
            <v>2</v>
          </cell>
        </row>
        <row r="14">
          <cell r="B14" t="str">
            <v>پخت کلاچ پراید</v>
          </cell>
          <cell r="C14" t="str">
            <v>قالب تعمیری</v>
          </cell>
          <cell r="AF14">
            <v>2</v>
          </cell>
        </row>
        <row r="15">
          <cell r="B15" t="str">
            <v>قالب پخت کلاچ پیکان</v>
          </cell>
          <cell r="C15" t="str">
            <v>قالب تعمیری</v>
          </cell>
          <cell r="AF15">
            <v>4</v>
          </cell>
        </row>
        <row r="16">
          <cell r="B16" t="str">
            <v>دستگاه پشم فلز چینی</v>
          </cell>
          <cell r="C16" t="str">
            <v>قطعه تعمیری</v>
          </cell>
          <cell r="AF16">
            <v>2</v>
          </cell>
        </row>
        <row r="17">
          <cell r="B17" t="str">
            <v>ماشین پژو پارس سفید</v>
          </cell>
          <cell r="C17" t="str">
            <v>قطعه تعمیری</v>
          </cell>
          <cell r="AF17">
            <v>2</v>
          </cell>
        </row>
        <row r="18">
          <cell r="B18" t="str">
            <v>ساب الماسه</v>
          </cell>
          <cell r="C18" t="str">
            <v>قطعه تعمیری</v>
          </cell>
          <cell r="AF18">
            <v>3.5</v>
          </cell>
        </row>
        <row r="19">
          <cell r="B19" t="str">
            <v>موتور</v>
          </cell>
          <cell r="C19" t="str">
            <v>قطعه تعمیری</v>
          </cell>
          <cell r="AF19">
            <v>3.5</v>
          </cell>
        </row>
        <row r="20">
          <cell r="B20" t="str">
            <v>قالب پخت کلاچ پیکان</v>
          </cell>
          <cell r="C20" t="str">
            <v>قالب تعمیری</v>
          </cell>
          <cell r="AF20">
            <v>2</v>
          </cell>
        </row>
        <row r="21">
          <cell r="B21" t="str">
            <v>صفحه 25*30*50</v>
          </cell>
          <cell r="C21" t="str">
            <v>قالب نو</v>
          </cell>
          <cell r="AF21">
            <v>11</v>
          </cell>
        </row>
        <row r="22">
          <cell r="B22" t="str">
            <v>کلمپ زنی</v>
          </cell>
          <cell r="C22" t="str">
            <v>دستگاه تعمیری</v>
          </cell>
          <cell r="AF22">
            <v>6.333333333333333</v>
          </cell>
        </row>
        <row r="23">
          <cell r="B23" t="str">
            <v>دستگاه مهر زنی</v>
          </cell>
          <cell r="C23" t="str">
            <v>قطعه نو</v>
          </cell>
          <cell r="AF23">
            <v>3.3333333333333335</v>
          </cell>
        </row>
        <row r="24">
          <cell r="B24" t="str">
            <v>دستگاه پشم فلز چینی</v>
          </cell>
          <cell r="C24" t="str">
            <v>قطعه تعمیری</v>
          </cell>
          <cell r="AF24">
            <v>7</v>
          </cell>
        </row>
        <row r="25">
          <cell r="B25" t="str">
            <v>پخت کلاچ پراید</v>
          </cell>
          <cell r="C25" t="str">
            <v>قالب تعمیری</v>
          </cell>
          <cell r="AF25">
            <v>1</v>
          </cell>
        </row>
        <row r="26">
          <cell r="B26" t="str">
            <v>صفحه 25*30*50</v>
          </cell>
          <cell r="C26" t="str">
            <v>قالب نو</v>
          </cell>
          <cell r="AF26">
            <v>6</v>
          </cell>
        </row>
        <row r="27">
          <cell r="B27" t="str">
            <v>کلمپ زنی</v>
          </cell>
          <cell r="C27" t="str">
            <v>دستگاه تعمیری</v>
          </cell>
          <cell r="AF27">
            <v>5.833333333333333</v>
          </cell>
        </row>
        <row r="28">
          <cell r="B28" t="str">
            <v>برش جمعی عقب ریو</v>
          </cell>
          <cell r="C28" t="str">
            <v>قطعه نو</v>
          </cell>
          <cell r="AF28">
            <v>5</v>
          </cell>
        </row>
        <row r="29">
          <cell r="B29" t="str">
            <v>پخت کلاچ پراید</v>
          </cell>
          <cell r="C29" t="str">
            <v>قالب تعمیری</v>
          </cell>
          <cell r="AF29">
            <v>9.5</v>
          </cell>
        </row>
        <row r="30">
          <cell r="B30" t="str">
            <v>دریل یزدخواستی کلاچ</v>
          </cell>
          <cell r="C30" t="str">
            <v>قطعه نو</v>
          </cell>
          <cell r="AF30">
            <v>2.5</v>
          </cell>
        </row>
        <row r="31">
          <cell r="B31" t="str">
            <v>دریل یزدخواستی کلاچ</v>
          </cell>
          <cell r="C31" t="str">
            <v>قطعه نو</v>
          </cell>
          <cell r="AF31">
            <v>2.5</v>
          </cell>
        </row>
        <row r="32">
          <cell r="B32" t="str">
            <v>دریل یزدخواستی کلاچ</v>
          </cell>
          <cell r="C32" t="str">
            <v>قطعه نو</v>
          </cell>
          <cell r="AF32">
            <v>8.5</v>
          </cell>
        </row>
        <row r="33">
          <cell r="B33" t="str">
            <v>دستگاه مهر زنی</v>
          </cell>
          <cell r="C33" t="str">
            <v>قطعه نو</v>
          </cell>
          <cell r="AF33">
            <v>4</v>
          </cell>
        </row>
        <row r="34">
          <cell r="B34" t="str">
            <v>دستگاه چسب زنی</v>
          </cell>
          <cell r="C34" t="str">
            <v>قطعه تعمیری</v>
          </cell>
          <cell r="AF34">
            <v>4</v>
          </cell>
        </row>
        <row r="35">
          <cell r="B35" t="str">
            <v>نگهدارنده پلاک قالب</v>
          </cell>
          <cell r="C35" t="str">
            <v>قطعه نو</v>
          </cell>
          <cell r="AF35">
            <v>4</v>
          </cell>
        </row>
        <row r="36">
          <cell r="B36" t="str">
            <v>قالب عقب F12</v>
          </cell>
          <cell r="C36" t="str">
            <v>قالب نو</v>
          </cell>
          <cell r="AF36">
            <v>4</v>
          </cell>
        </row>
        <row r="37">
          <cell r="B37" t="str">
            <v>دستگاه پرس پخت</v>
          </cell>
          <cell r="C37" t="str">
            <v>قطعه تعمیری</v>
          </cell>
          <cell r="AF37">
            <v>1.5</v>
          </cell>
        </row>
        <row r="38">
          <cell r="B38" t="str">
            <v>دستگاه پرس پخت</v>
          </cell>
          <cell r="C38" t="str">
            <v>قطعه تعمیری</v>
          </cell>
          <cell r="AF38">
            <v>1.5</v>
          </cell>
        </row>
        <row r="39">
          <cell r="B39" t="str">
            <v>دستگاه پرس پخت</v>
          </cell>
          <cell r="C39" t="str">
            <v>قطعه تعمیری</v>
          </cell>
          <cell r="AF39">
            <v>2.5</v>
          </cell>
        </row>
        <row r="40">
          <cell r="B40" t="str">
            <v>صفحات 50*50 پخت کلاچ</v>
          </cell>
          <cell r="C40" t="str">
            <v>قالب تعمیری</v>
          </cell>
          <cell r="AF40">
            <v>9.5</v>
          </cell>
        </row>
        <row r="41">
          <cell r="B41" t="str">
            <v>دستگاه چسب زنی</v>
          </cell>
          <cell r="C41" t="str">
            <v>قطعه تعمیری</v>
          </cell>
          <cell r="AF41">
            <v>4</v>
          </cell>
        </row>
        <row r="42">
          <cell r="B42" t="str">
            <v>پخت کلاچ پراید</v>
          </cell>
          <cell r="C42" t="str">
            <v>قالب تعمیری</v>
          </cell>
          <cell r="AF42">
            <v>1</v>
          </cell>
        </row>
        <row r="43">
          <cell r="B43" t="str">
            <v>قالب ترابوزا</v>
          </cell>
          <cell r="C43" t="str">
            <v>قالب تعمیری</v>
          </cell>
          <cell r="AF43">
            <v>2</v>
          </cell>
        </row>
        <row r="44">
          <cell r="B44" t="str">
            <v>پخت کلاچ پراید</v>
          </cell>
          <cell r="C44" t="str">
            <v>قالب تعمیری</v>
          </cell>
          <cell r="AF44">
            <v>2</v>
          </cell>
        </row>
        <row r="45">
          <cell r="B45" t="str">
            <v>پخت کلاچ پراید</v>
          </cell>
          <cell r="C45" t="str">
            <v>قالب تعمیری</v>
          </cell>
          <cell r="AF45">
            <v>2</v>
          </cell>
        </row>
        <row r="46">
          <cell r="B46" t="str">
            <v xml:space="preserve">پخت کلاچ پراید سکو </v>
          </cell>
          <cell r="C46" t="str">
            <v>قالب تعمیری</v>
          </cell>
          <cell r="AF46">
            <v>2</v>
          </cell>
        </row>
        <row r="47">
          <cell r="B47" t="str">
            <v>قالب پخت کلاچ پیکان</v>
          </cell>
          <cell r="C47" t="str">
            <v>قالب تعمیری</v>
          </cell>
          <cell r="AF47">
            <v>2</v>
          </cell>
        </row>
        <row r="48">
          <cell r="B48" t="str">
            <v>پخت کلاچ پراید</v>
          </cell>
          <cell r="C48" t="str">
            <v>قالب تعمیری</v>
          </cell>
          <cell r="AF48">
            <v>1</v>
          </cell>
        </row>
        <row r="49">
          <cell r="B49" t="str">
            <v>پخت کلاچ پراید</v>
          </cell>
          <cell r="C49" t="str">
            <v>قالب تعمیری</v>
          </cell>
          <cell r="AF49">
            <v>2</v>
          </cell>
        </row>
        <row r="50">
          <cell r="B50" t="str">
            <v>پخت کلاچ پراید</v>
          </cell>
          <cell r="C50" t="str">
            <v>قالب تعمیری</v>
          </cell>
          <cell r="AF50">
            <v>2</v>
          </cell>
        </row>
        <row r="51">
          <cell r="B51" t="str">
            <v xml:space="preserve">پخت کلاچ پراید سکو </v>
          </cell>
          <cell r="C51" t="str">
            <v>قالب تعمیری</v>
          </cell>
          <cell r="AF51">
            <v>2</v>
          </cell>
        </row>
        <row r="52">
          <cell r="B52" t="str">
            <v>قالب پخت کلاچ پیکان</v>
          </cell>
          <cell r="C52" t="str">
            <v>قالب تعمیری</v>
          </cell>
          <cell r="AF52">
            <v>2</v>
          </cell>
        </row>
        <row r="53">
          <cell r="B53" t="str">
            <v>پخت کلاچ پراید</v>
          </cell>
          <cell r="C53" t="str">
            <v>قالب تعمیری</v>
          </cell>
          <cell r="AF53">
            <v>1</v>
          </cell>
        </row>
        <row r="54">
          <cell r="B54" t="str">
            <v>پخت کلاچ پراید</v>
          </cell>
          <cell r="C54" t="str">
            <v>قالب تعمیری</v>
          </cell>
          <cell r="AF54">
            <v>3.5</v>
          </cell>
        </row>
        <row r="55">
          <cell r="B55" t="str">
            <v>پخت کلاچ پراید</v>
          </cell>
          <cell r="C55" t="str">
            <v>قالب تعمیری</v>
          </cell>
          <cell r="AF55">
            <v>5.5</v>
          </cell>
        </row>
        <row r="56">
          <cell r="B56" t="str">
            <v>قالب پخت کلاچ پیکان</v>
          </cell>
          <cell r="C56" t="str">
            <v>قالب تعمیری</v>
          </cell>
          <cell r="AF56">
            <v>2</v>
          </cell>
        </row>
        <row r="57">
          <cell r="B57" t="str">
            <v>قالب عقب F12</v>
          </cell>
          <cell r="C57" t="str">
            <v>قالب نو</v>
          </cell>
          <cell r="AF57">
            <v>11</v>
          </cell>
        </row>
        <row r="58">
          <cell r="B58" t="str">
            <v>پخت کلاچ پراید</v>
          </cell>
          <cell r="C58" t="str">
            <v>قالب تعمیری</v>
          </cell>
          <cell r="AF58">
            <v>9</v>
          </cell>
        </row>
        <row r="59">
          <cell r="B59" t="str">
            <v>پخت کلاچ پراید</v>
          </cell>
          <cell r="C59" t="str">
            <v>قالب تعمیری</v>
          </cell>
          <cell r="AF59">
            <v>2</v>
          </cell>
        </row>
        <row r="60">
          <cell r="B60" t="str">
            <v>کلمپ زنی</v>
          </cell>
          <cell r="C60" t="str">
            <v>دستگاه تعمیری</v>
          </cell>
          <cell r="AF60">
            <v>1.5</v>
          </cell>
        </row>
        <row r="61">
          <cell r="B61" t="str">
            <v>دستگاه پرس پخت</v>
          </cell>
          <cell r="C61" t="str">
            <v>قطعه تعمیری</v>
          </cell>
          <cell r="AF61">
            <v>5</v>
          </cell>
        </row>
        <row r="62">
          <cell r="B62" t="str">
            <v>دستگاه پرس پخت</v>
          </cell>
          <cell r="C62" t="str">
            <v>قطعه تعمیری</v>
          </cell>
          <cell r="AF62">
            <v>6.5</v>
          </cell>
        </row>
        <row r="63">
          <cell r="B63" t="str">
            <v>پخت کلاچ پراید</v>
          </cell>
          <cell r="C63" t="str">
            <v>قالب تعمیری</v>
          </cell>
          <cell r="AF63">
            <v>2</v>
          </cell>
        </row>
        <row r="64">
          <cell r="B64" t="str">
            <v>پایه پرچ لنت نیسان</v>
          </cell>
          <cell r="C64" t="str">
            <v>قطعه نو</v>
          </cell>
          <cell r="AF64">
            <v>4</v>
          </cell>
        </row>
        <row r="65">
          <cell r="B65" t="str">
            <v>قالب عقب F12</v>
          </cell>
          <cell r="C65" t="str">
            <v>قالب نو</v>
          </cell>
          <cell r="AF65">
            <v>2</v>
          </cell>
        </row>
        <row r="66">
          <cell r="B66" t="str">
            <v>قالب پخت کلاچ پیکان</v>
          </cell>
          <cell r="C66" t="str">
            <v>قالب تعمیری</v>
          </cell>
          <cell r="AF66">
            <v>2</v>
          </cell>
        </row>
        <row r="67">
          <cell r="B67" t="str">
            <v>شمش پراید</v>
          </cell>
          <cell r="C67" t="str">
            <v>قالب نو</v>
          </cell>
          <cell r="AF67">
            <v>3</v>
          </cell>
        </row>
        <row r="68">
          <cell r="B68" t="str">
            <v>قالب پخت کلاچ پیکان</v>
          </cell>
          <cell r="C68" t="str">
            <v>قالب تعمیری</v>
          </cell>
          <cell r="AF68">
            <v>4</v>
          </cell>
        </row>
        <row r="69">
          <cell r="B69" t="str">
            <v>قالب پخت کلاچ پیکان</v>
          </cell>
          <cell r="C69" t="str">
            <v>قالب تعمیری</v>
          </cell>
          <cell r="AF69">
            <v>3</v>
          </cell>
        </row>
        <row r="70">
          <cell r="B70" t="str">
            <v>پخت کلاچ ایویکو سوراخدار</v>
          </cell>
          <cell r="C70" t="str">
            <v>قالب تعمیری</v>
          </cell>
          <cell r="AF70">
            <v>3</v>
          </cell>
        </row>
        <row r="71">
          <cell r="B71" t="str">
            <v>دستگاه پرس پخت</v>
          </cell>
          <cell r="C71" t="str">
            <v>قطعه تعمیری</v>
          </cell>
          <cell r="AF71">
            <v>2</v>
          </cell>
        </row>
        <row r="72">
          <cell r="B72" t="str">
            <v>پخت کلاچ پراید</v>
          </cell>
          <cell r="C72" t="str">
            <v>قالب تعمیری</v>
          </cell>
          <cell r="AF72">
            <v>2</v>
          </cell>
        </row>
        <row r="73">
          <cell r="B73" t="str">
            <v>تخته لنت صنعتی</v>
          </cell>
          <cell r="C73" t="str">
            <v>قطعه تعمیری</v>
          </cell>
          <cell r="AF73">
            <v>3</v>
          </cell>
        </row>
        <row r="74">
          <cell r="B74" t="str">
            <v>پخت کلاچ پراید</v>
          </cell>
          <cell r="C74" t="str">
            <v>قالب تعمیری</v>
          </cell>
          <cell r="AF74">
            <v>3</v>
          </cell>
        </row>
        <row r="75">
          <cell r="B75" t="str">
            <v>پخت کلاچ پراید</v>
          </cell>
          <cell r="C75" t="str">
            <v>قالب تعمیری</v>
          </cell>
          <cell r="AF75">
            <v>4</v>
          </cell>
        </row>
        <row r="76">
          <cell r="B76" t="str">
            <v>قالب پخت کلاچ پیکان</v>
          </cell>
          <cell r="C76" t="str">
            <v>قالب تعمیری</v>
          </cell>
          <cell r="AF76">
            <v>4</v>
          </cell>
        </row>
        <row r="77">
          <cell r="B77" t="str">
            <v>صفحه 25*30*50</v>
          </cell>
          <cell r="C77" t="str">
            <v>قالب نو</v>
          </cell>
          <cell r="AF77">
            <v>7.5</v>
          </cell>
        </row>
        <row r="78">
          <cell r="B78" t="str">
            <v>سوراخکاری پیلسان</v>
          </cell>
          <cell r="C78" t="str">
            <v>قطعه نو</v>
          </cell>
          <cell r="AF78">
            <v>3.5</v>
          </cell>
        </row>
        <row r="79">
          <cell r="B79" t="str">
            <v>سوراخکاری پیلسان</v>
          </cell>
          <cell r="C79" t="str">
            <v>قطعه نو</v>
          </cell>
          <cell r="AF79">
            <v>11</v>
          </cell>
        </row>
        <row r="80">
          <cell r="B80" t="str">
            <v>دریل یزدخواستی کلاچ</v>
          </cell>
          <cell r="C80" t="str">
            <v>قطعه نو</v>
          </cell>
          <cell r="AF80">
            <v>4.5</v>
          </cell>
        </row>
        <row r="81">
          <cell r="B81" t="str">
            <v>دریل یزدخواستی کلاچ</v>
          </cell>
          <cell r="C81" t="str">
            <v>قطعه نو</v>
          </cell>
          <cell r="AF81">
            <v>4.5</v>
          </cell>
        </row>
        <row r="82">
          <cell r="B82" t="str">
            <v>پخت کلاچ پراید</v>
          </cell>
          <cell r="C82" t="str">
            <v>قالب تعمیری</v>
          </cell>
          <cell r="AF82">
            <v>2</v>
          </cell>
        </row>
        <row r="83">
          <cell r="B83" t="str">
            <v>پایه پرچ لنت نیسان</v>
          </cell>
          <cell r="C83" t="str">
            <v>قطعه نو</v>
          </cell>
          <cell r="AF83">
            <v>1</v>
          </cell>
        </row>
        <row r="84">
          <cell r="B84" t="str">
            <v>قالب پخت کلاچ پیکان</v>
          </cell>
          <cell r="C84" t="str">
            <v>قالب تعمیری</v>
          </cell>
          <cell r="AF84">
            <v>3</v>
          </cell>
        </row>
        <row r="85">
          <cell r="B85" t="str">
            <v>قالب پخت کلاچ پیکان</v>
          </cell>
          <cell r="C85" t="str">
            <v>قالب تعمیری</v>
          </cell>
          <cell r="AF85">
            <v>2</v>
          </cell>
        </row>
        <row r="86">
          <cell r="B86" t="str">
            <v>ساب سمباده ای</v>
          </cell>
          <cell r="C86" t="str">
            <v>قطعه تعمیری</v>
          </cell>
          <cell r="AF86">
            <v>4</v>
          </cell>
        </row>
        <row r="87">
          <cell r="B87" t="str">
            <v>دستگاه چسب زنی</v>
          </cell>
          <cell r="C87" t="str">
            <v>قطعه تعمیری</v>
          </cell>
          <cell r="AF87">
            <v>8</v>
          </cell>
        </row>
        <row r="88">
          <cell r="B88" t="str">
            <v>دستگاه چسب زنی</v>
          </cell>
          <cell r="C88" t="str">
            <v>قطعه تعمیری</v>
          </cell>
          <cell r="AF88">
            <v>8</v>
          </cell>
        </row>
        <row r="89">
          <cell r="B89" t="str">
            <v>نگهدارنده پلاک قالب</v>
          </cell>
          <cell r="C89" t="str">
            <v>قطعه نو</v>
          </cell>
          <cell r="AF89">
            <v>8</v>
          </cell>
        </row>
        <row r="90">
          <cell r="B90" t="str">
            <v>دستگاه چسب زنی</v>
          </cell>
          <cell r="C90" t="str">
            <v>قطعه تعمیری</v>
          </cell>
          <cell r="AF90">
            <v>12</v>
          </cell>
        </row>
        <row r="91">
          <cell r="B91" t="str">
            <v>نگهدارنده پلاک قالب</v>
          </cell>
          <cell r="C91" t="str">
            <v>قطعه نو</v>
          </cell>
          <cell r="AF91">
            <v>12</v>
          </cell>
        </row>
        <row r="92">
          <cell r="B92" t="str">
            <v>قالب عقب F12</v>
          </cell>
          <cell r="C92" t="str">
            <v>قالب نو</v>
          </cell>
          <cell r="AF92">
            <v>8.6666666666666661</v>
          </cell>
        </row>
        <row r="93">
          <cell r="B93" t="str">
            <v>دریل یزدخواستی کلاچ</v>
          </cell>
          <cell r="C93" t="str">
            <v>قطعه نو</v>
          </cell>
          <cell r="AF93">
            <v>11</v>
          </cell>
        </row>
        <row r="94">
          <cell r="B94" t="str">
            <v>دریل یزدخواستی کلاچ</v>
          </cell>
          <cell r="C94" t="str">
            <v>قطعه نو</v>
          </cell>
          <cell r="AF94">
            <v>5.5</v>
          </cell>
        </row>
        <row r="95">
          <cell r="B95" t="str">
            <v>قالب توری پگاسوز</v>
          </cell>
          <cell r="C95" t="str">
            <v>قالب نو</v>
          </cell>
          <cell r="AF95">
            <v>3.5</v>
          </cell>
        </row>
        <row r="96">
          <cell r="B96" t="str">
            <v>دریل یزدخواستی کلاچ</v>
          </cell>
          <cell r="C96" t="str">
            <v>قطعه نو</v>
          </cell>
          <cell r="AF96">
            <v>2</v>
          </cell>
        </row>
        <row r="97">
          <cell r="B97" t="str">
            <v>دستگاه برش جمعی</v>
          </cell>
          <cell r="C97" t="str">
            <v>قطعه تعمیری</v>
          </cell>
          <cell r="AF97">
            <v>4</v>
          </cell>
        </row>
        <row r="98">
          <cell r="B98" t="str">
            <v>پخت کلاچ پراید</v>
          </cell>
          <cell r="C98" t="str">
            <v>قالب تعمیری</v>
          </cell>
          <cell r="AF98">
            <v>7</v>
          </cell>
        </row>
        <row r="99">
          <cell r="B99" t="str">
            <v>سری نقطه جوش</v>
          </cell>
          <cell r="C99" t="str">
            <v>قطعه تعمیری</v>
          </cell>
          <cell r="AF99">
            <v>1</v>
          </cell>
        </row>
        <row r="100">
          <cell r="B100" t="str">
            <v>آغشته کاری</v>
          </cell>
          <cell r="C100" t="str">
            <v>قطعه تعمیری</v>
          </cell>
          <cell r="AF100">
            <v>2</v>
          </cell>
        </row>
        <row r="101">
          <cell r="B101" t="str">
            <v>لیفتراک</v>
          </cell>
          <cell r="C101" t="str">
            <v>قطعه نو</v>
          </cell>
          <cell r="AF101">
            <v>2.5</v>
          </cell>
        </row>
        <row r="102">
          <cell r="B102" t="str">
            <v>پخت کلاچ پراید</v>
          </cell>
          <cell r="C102" t="str">
            <v>قالب تعمیری</v>
          </cell>
          <cell r="AF102">
            <v>3.6666666666666665</v>
          </cell>
        </row>
        <row r="103">
          <cell r="B103" t="str">
            <v>صفحات 50*50 پخت کلاچ</v>
          </cell>
          <cell r="C103" t="str">
            <v>قالب تعمیری</v>
          </cell>
          <cell r="AF103">
            <v>11</v>
          </cell>
        </row>
        <row r="104">
          <cell r="B104" t="str">
            <v>قالب ترابوزا</v>
          </cell>
          <cell r="C104" t="str">
            <v>قالب تعمیری</v>
          </cell>
          <cell r="AF104">
            <v>8</v>
          </cell>
        </row>
        <row r="105">
          <cell r="B105" t="str">
            <v>قالب SAF توری</v>
          </cell>
          <cell r="C105" t="str">
            <v>قالب تعمیری</v>
          </cell>
          <cell r="AF105">
            <v>0.75</v>
          </cell>
        </row>
        <row r="106">
          <cell r="B106" t="str">
            <v>قالب SAF توری</v>
          </cell>
          <cell r="C106" t="str">
            <v>قالب تعمیری</v>
          </cell>
          <cell r="AF106">
            <v>0.75</v>
          </cell>
        </row>
        <row r="107">
          <cell r="B107" t="str">
            <v>قالب برش میدل باس</v>
          </cell>
          <cell r="C107" t="str">
            <v>قالب تعمیری</v>
          </cell>
          <cell r="AF107">
            <v>0.75</v>
          </cell>
        </row>
        <row r="108">
          <cell r="B108" t="str">
            <v>قالب برش میدل باس</v>
          </cell>
          <cell r="C108" t="str">
            <v>قالب تعمیری</v>
          </cell>
          <cell r="AF108">
            <v>0.75</v>
          </cell>
        </row>
        <row r="109">
          <cell r="B109" t="str">
            <v>صفحات 50*50 پخت کلاچ</v>
          </cell>
          <cell r="C109" t="str">
            <v>قالب تعمیری</v>
          </cell>
          <cell r="AF109">
            <v>11</v>
          </cell>
        </row>
        <row r="110">
          <cell r="B110" t="str">
            <v>قالب پخت کلاچ پیکان</v>
          </cell>
          <cell r="C110" t="str">
            <v>قالب تعمیری</v>
          </cell>
          <cell r="AF110">
            <v>7</v>
          </cell>
        </row>
        <row r="111">
          <cell r="B111" t="str">
            <v>سوراخکاری پیلسان</v>
          </cell>
          <cell r="C111" t="str">
            <v>قطعه نو</v>
          </cell>
          <cell r="AF111">
            <v>2</v>
          </cell>
        </row>
        <row r="112">
          <cell r="B112" t="str">
            <v>سوراخکاری پیلسان</v>
          </cell>
          <cell r="C112" t="str">
            <v>قطعه نو</v>
          </cell>
          <cell r="AF112">
            <v>2</v>
          </cell>
        </row>
        <row r="113">
          <cell r="B113" t="str">
            <v>پخت کلاچ پراید</v>
          </cell>
          <cell r="C113" t="str">
            <v>قالب تعمیری</v>
          </cell>
          <cell r="AF113">
            <v>9</v>
          </cell>
        </row>
        <row r="114">
          <cell r="B114" t="str">
            <v>قالب پخت کلاچ پیکان</v>
          </cell>
          <cell r="C114" t="str">
            <v>قالب تعمیری</v>
          </cell>
          <cell r="AF114">
            <v>2</v>
          </cell>
        </row>
        <row r="115">
          <cell r="B115" t="str">
            <v>دستگاه پرس 600 تن</v>
          </cell>
          <cell r="C115" t="str">
            <v>قطعه نو</v>
          </cell>
          <cell r="AF115">
            <v>9</v>
          </cell>
        </row>
        <row r="116">
          <cell r="B116" t="str">
            <v>دریل یزدخواستی کلاچ</v>
          </cell>
          <cell r="C116" t="str">
            <v>قطعه نو</v>
          </cell>
          <cell r="AF116">
            <v>11</v>
          </cell>
        </row>
        <row r="117">
          <cell r="B117" t="str">
            <v>قالب پخت کلاچ پژو 405</v>
          </cell>
          <cell r="C117" t="str">
            <v>قالب تعمیری</v>
          </cell>
          <cell r="AF117">
            <v>7.5</v>
          </cell>
        </row>
        <row r="118">
          <cell r="B118" t="str">
            <v>قالب پخت کلاچ پیکان آرژانتینی</v>
          </cell>
          <cell r="C118" t="str">
            <v>قالب تعمیری</v>
          </cell>
          <cell r="AF118">
            <v>3.5</v>
          </cell>
        </row>
        <row r="119">
          <cell r="B119" t="str">
            <v>قالب پخت کلاچ پیکان آرژانتینی</v>
          </cell>
          <cell r="C119" t="str">
            <v>قالب تعمیری</v>
          </cell>
          <cell r="AF119">
            <v>6.5</v>
          </cell>
        </row>
        <row r="120">
          <cell r="B120" t="str">
            <v>پخت کلاچ پراید</v>
          </cell>
          <cell r="C120" t="str">
            <v>قالب تعمیری</v>
          </cell>
          <cell r="AF120">
            <v>4.5</v>
          </cell>
        </row>
        <row r="121">
          <cell r="B121" t="str">
            <v>کلمپ زنی</v>
          </cell>
          <cell r="C121" t="str">
            <v>دستگاه تعمیری</v>
          </cell>
          <cell r="AF121">
            <v>3</v>
          </cell>
        </row>
        <row r="122">
          <cell r="B122" t="str">
            <v>قالب ولوو سوپر</v>
          </cell>
          <cell r="C122" t="str">
            <v>قالب تعمیری</v>
          </cell>
          <cell r="AF122">
            <v>2</v>
          </cell>
        </row>
        <row r="123">
          <cell r="B123" t="str">
            <v>سوراخکاری پیلسان</v>
          </cell>
          <cell r="C123" t="str">
            <v>قطعه نو</v>
          </cell>
          <cell r="AF123">
            <v>4.5</v>
          </cell>
        </row>
        <row r="124">
          <cell r="B124" t="str">
            <v>قالب ترابوزا</v>
          </cell>
          <cell r="C124" t="str">
            <v>قالب تعمیری</v>
          </cell>
          <cell r="AF124">
            <v>6.5</v>
          </cell>
        </row>
        <row r="125">
          <cell r="B125" t="str">
            <v>شیم پژو 405</v>
          </cell>
          <cell r="C125" t="str">
            <v>قالب تعمیری</v>
          </cell>
          <cell r="AF125">
            <v>2</v>
          </cell>
        </row>
        <row r="126">
          <cell r="B126" t="str">
            <v>قالب لودری 70021</v>
          </cell>
          <cell r="C126" t="str">
            <v>قالب تعمیری</v>
          </cell>
          <cell r="AF126">
            <v>1</v>
          </cell>
        </row>
        <row r="127">
          <cell r="B127" t="str">
            <v xml:space="preserve">دستگاه جوشکاری </v>
          </cell>
          <cell r="C127" t="str">
            <v>قطعه تعمیری</v>
          </cell>
          <cell r="AF127">
            <v>2</v>
          </cell>
        </row>
        <row r="128">
          <cell r="B128" t="str">
            <v>پخت کلاچ پراید</v>
          </cell>
          <cell r="C128" t="str">
            <v>قالب تعمیری</v>
          </cell>
          <cell r="AF128">
            <v>3</v>
          </cell>
        </row>
        <row r="129">
          <cell r="B129" t="str">
            <v>قالب پخت کلاچ پیکان آرژانتینی</v>
          </cell>
          <cell r="C129" t="str">
            <v>قالب تعمیری</v>
          </cell>
          <cell r="AF129">
            <v>3</v>
          </cell>
        </row>
        <row r="130">
          <cell r="B130" t="str">
            <v>دستگاه مهر زنی</v>
          </cell>
          <cell r="C130" t="str">
            <v>قطعه تعمیری</v>
          </cell>
          <cell r="AF130">
            <v>2</v>
          </cell>
        </row>
        <row r="131">
          <cell r="B131" t="str">
            <v>پخت کلاچ پراید</v>
          </cell>
          <cell r="C131" t="str">
            <v>قالب تعمیری</v>
          </cell>
          <cell r="AF131">
            <v>7</v>
          </cell>
        </row>
        <row r="132">
          <cell r="B132" t="str">
            <v>قالب پخت کلاچ پیکان آرژانتینی</v>
          </cell>
          <cell r="C132" t="str">
            <v>قالب تعمیری</v>
          </cell>
          <cell r="AF132">
            <v>2</v>
          </cell>
        </row>
        <row r="133">
          <cell r="B133" t="str">
            <v>پخت کلاچ پراید</v>
          </cell>
          <cell r="C133" t="str">
            <v>قالب تعمیری</v>
          </cell>
          <cell r="AF133">
            <v>2</v>
          </cell>
        </row>
        <row r="134">
          <cell r="B134" t="str">
            <v>دستگاه برش جمعی</v>
          </cell>
          <cell r="C134" t="str">
            <v>قطعه تعمیری</v>
          </cell>
          <cell r="AF134">
            <v>2</v>
          </cell>
        </row>
        <row r="135">
          <cell r="B135" t="str">
            <v>Hammer Mill Machine</v>
          </cell>
          <cell r="C135" t="str">
            <v>دستگاه نو</v>
          </cell>
          <cell r="AF135">
            <v>2</v>
          </cell>
        </row>
        <row r="136">
          <cell r="B136" t="str">
            <v>Hammer Mill Machine</v>
          </cell>
          <cell r="C136" t="str">
            <v>دستگاه نو</v>
          </cell>
          <cell r="AF136">
            <v>2</v>
          </cell>
        </row>
        <row r="137">
          <cell r="B137" t="str">
            <v>دستگاه پرس پخت</v>
          </cell>
          <cell r="C137" t="str">
            <v>قطعه تعمیری</v>
          </cell>
          <cell r="AF137">
            <v>2</v>
          </cell>
        </row>
        <row r="138">
          <cell r="B138" t="str">
            <v>صفحات 50*50 پخت کلاچ</v>
          </cell>
          <cell r="C138" t="str">
            <v>قالب تعمیری</v>
          </cell>
          <cell r="AF138">
            <v>11</v>
          </cell>
        </row>
        <row r="139">
          <cell r="B139" t="str">
            <v>قالب لودری 70021</v>
          </cell>
          <cell r="C139" t="str">
            <v>قالب تعمیری</v>
          </cell>
          <cell r="AF139">
            <v>1</v>
          </cell>
        </row>
        <row r="140">
          <cell r="B140" t="str">
            <v>قالب لودری 70021</v>
          </cell>
          <cell r="C140" t="str">
            <v>قالب تعمیری</v>
          </cell>
          <cell r="AF140">
            <v>1</v>
          </cell>
        </row>
        <row r="141">
          <cell r="B141" t="str">
            <v>قالب کوبه نک SAF</v>
          </cell>
          <cell r="C141" t="str">
            <v>قالب تعمیری</v>
          </cell>
          <cell r="AF141">
            <v>1</v>
          </cell>
        </row>
        <row r="142">
          <cell r="B142" t="str">
            <v>قالب توری پگاسوز</v>
          </cell>
          <cell r="C142" t="str">
            <v>قالب نو</v>
          </cell>
          <cell r="AF142">
            <v>2</v>
          </cell>
        </row>
        <row r="143">
          <cell r="B143" t="str">
            <v>قالب ترابوزا</v>
          </cell>
          <cell r="C143" t="str">
            <v>قالب تعمیری</v>
          </cell>
          <cell r="AF143">
            <v>3</v>
          </cell>
        </row>
        <row r="144">
          <cell r="B144" t="str">
            <v>دستگاه چسب زنی</v>
          </cell>
          <cell r="C144" t="str">
            <v>قطعه تعمیری</v>
          </cell>
          <cell r="AF144">
            <v>6</v>
          </cell>
        </row>
        <row r="145">
          <cell r="B145" t="str">
            <v>پخت کلاچ پراید</v>
          </cell>
          <cell r="C145" t="str">
            <v>قالب تعمیری</v>
          </cell>
          <cell r="AF145">
            <v>7</v>
          </cell>
        </row>
        <row r="146">
          <cell r="B146" t="str">
            <v>نگهدارنده پلاک قالب</v>
          </cell>
          <cell r="C146" t="str">
            <v>قطعه نو</v>
          </cell>
          <cell r="AF146">
            <v>6</v>
          </cell>
        </row>
        <row r="147">
          <cell r="B147" t="str">
            <v>قالب ولوو سوپر</v>
          </cell>
          <cell r="C147" t="str">
            <v>قالب تعمیری</v>
          </cell>
          <cell r="AF147">
            <v>7</v>
          </cell>
        </row>
        <row r="148">
          <cell r="B148" t="str">
            <v>قالب ولوو سوپر</v>
          </cell>
          <cell r="C148" t="str">
            <v>قالب تعمیری</v>
          </cell>
          <cell r="AF148">
            <v>5</v>
          </cell>
        </row>
        <row r="149">
          <cell r="B149" t="str">
            <v>دستگاه برش جمعی</v>
          </cell>
          <cell r="C149" t="str">
            <v>قطعه تعمیری</v>
          </cell>
          <cell r="AF149">
            <v>2</v>
          </cell>
        </row>
        <row r="150">
          <cell r="B150" t="str">
            <v>دستگاه چسب زنی</v>
          </cell>
          <cell r="C150" t="str">
            <v>قطعه تعمیری</v>
          </cell>
          <cell r="AF150">
            <v>3</v>
          </cell>
        </row>
        <row r="151">
          <cell r="B151" t="str">
            <v>قالب ولوو سوپر</v>
          </cell>
          <cell r="C151" t="str">
            <v>قالب تعمیری</v>
          </cell>
          <cell r="AF151">
            <v>4</v>
          </cell>
        </row>
        <row r="152">
          <cell r="B152" t="str">
            <v>قالب ترابوزا</v>
          </cell>
          <cell r="C152" t="str">
            <v>قالب تعمیری</v>
          </cell>
          <cell r="AF152">
            <v>11</v>
          </cell>
        </row>
        <row r="153">
          <cell r="B153" t="str">
            <v>قالب پخت کلاچ پژو 405</v>
          </cell>
          <cell r="C153" t="str">
            <v>قالب تعمیری</v>
          </cell>
          <cell r="AF153">
            <v>11</v>
          </cell>
        </row>
        <row r="154">
          <cell r="B154" t="str">
            <v>پخت کلاچ پراید</v>
          </cell>
          <cell r="C154" t="str">
            <v>قالب تعمیری</v>
          </cell>
          <cell r="AF154">
            <v>3.5</v>
          </cell>
        </row>
        <row r="155">
          <cell r="B155" t="str">
            <v>پخت کلاچ پراید</v>
          </cell>
          <cell r="C155" t="str">
            <v>قالب تعمیری</v>
          </cell>
          <cell r="AF155">
            <v>7.5</v>
          </cell>
        </row>
        <row r="156">
          <cell r="B156" t="str">
            <v>دریل یزدخواستی کلاچ</v>
          </cell>
          <cell r="C156" t="str">
            <v>قطعه نو</v>
          </cell>
          <cell r="AF156">
            <v>11</v>
          </cell>
        </row>
        <row r="157">
          <cell r="B157" t="str">
            <v>Hammer Mill Machine</v>
          </cell>
          <cell r="C157" t="str">
            <v>دستگاه نو</v>
          </cell>
          <cell r="AF157">
            <v>4.5</v>
          </cell>
        </row>
        <row r="158">
          <cell r="B158" t="str">
            <v>قالب پخت کلاچ پیکان آرژانتینی</v>
          </cell>
          <cell r="C158" t="str">
            <v>قالب تعمیری</v>
          </cell>
          <cell r="AF158">
            <v>6.5</v>
          </cell>
        </row>
        <row r="159">
          <cell r="B159" t="str">
            <v>دستگاه پرس 600 تن</v>
          </cell>
          <cell r="C159" t="str">
            <v>قطعه نو</v>
          </cell>
          <cell r="AF159">
            <v>6</v>
          </cell>
        </row>
        <row r="160">
          <cell r="B160" t="str">
            <v>ساب کونیک</v>
          </cell>
          <cell r="C160" t="str">
            <v>قطعه تعمیری</v>
          </cell>
          <cell r="AF160">
            <v>2</v>
          </cell>
        </row>
        <row r="161">
          <cell r="B161" t="str">
            <v>ساب سمباده ای</v>
          </cell>
          <cell r="C161" t="str">
            <v>قطعه تعمیری</v>
          </cell>
          <cell r="AF161">
            <v>2</v>
          </cell>
        </row>
        <row r="162">
          <cell r="B162" t="str">
            <v>دستگاه پشم فلز چینی</v>
          </cell>
          <cell r="C162" t="str">
            <v>قطعه تعمیری</v>
          </cell>
          <cell r="AF162">
            <v>1</v>
          </cell>
        </row>
        <row r="163">
          <cell r="B163" t="str">
            <v>قالب پخت کلاچ پیکان آرژانتینی</v>
          </cell>
          <cell r="C163" t="str">
            <v>قالب تعمیری</v>
          </cell>
          <cell r="AF163">
            <v>6</v>
          </cell>
        </row>
        <row r="164">
          <cell r="B164" t="str">
            <v>قالب فوتون 107</v>
          </cell>
          <cell r="C164" t="str">
            <v>قالب تعمیری</v>
          </cell>
          <cell r="AF164">
            <v>4</v>
          </cell>
        </row>
        <row r="165">
          <cell r="B165" t="str">
            <v>قالب ترابوزا</v>
          </cell>
          <cell r="C165" t="str">
            <v>قالب تعمیری</v>
          </cell>
          <cell r="AF165">
            <v>11</v>
          </cell>
        </row>
        <row r="166">
          <cell r="B166" t="str">
            <v>صفحات 50*50 پخت کلاچ</v>
          </cell>
          <cell r="C166" t="str">
            <v>قالب تعمیری</v>
          </cell>
          <cell r="AF166">
            <v>3</v>
          </cell>
        </row>
        <row r="167">
          <cell r="B167" t="str">
            <v>پخت کلاچ پراید</v>
          </cell>
          <cell r="C167" t="str">
            <v>قالب تعمیری</v>
          </cell>
          <cell r="AF167">
            <v>3</v>
          </cell>
        </row>
        <row r="168">
          <cell r="B168" t="str">
            <v>قالب کوبه نک SAF</v>
          </cell>
          <cell r="C168" t="str">
            <v>قالب تعمیری</v>
          </cell>
          <cell r="AF168">
            <v>3</v>
          </cell>
        </row>
        <row r="169">
          <cell r="B169" t="str">
            <v>قالب پخت کلاچ پیکان آرژانتینی</v>
          </cell>
          <cell r="C169" t="str">
            <v>قالب تعمیری</v>
          </cell>
          <cell r="AF169">
            <v>3.5</v>
          </cell>
        </row>
        <row r="170">
          <cell r="B170" t="str">
            <v>قالب پخت کلاچ تیبا چپ</v>
          </cell>
          <cell r="C170" t="str">
            <v>قالب تعمیری</v>
          </cell>
          <cell r="AF170">
            <v>3</v>
          </cell>
        </row>
        <row r="171">
          <cell r="B171" t="str">
            <v>دستگاه پرس پخت</v>
          </cell>
          <cell r="C171" t="str">
            <v>قطعه تعمیری</v>
          </cell>
          <cell r="AF171">
            <v>1</v>
          </cell>
        </row>
        <row r="172">
          <cell r="B172" t="str">
            <v>شمش پراید</v>
          </cell>
          <cell r="C172" t="str">
            <v>قالب نو</v>
          </cell>
          <cell r="AF172">
            <v>1</v>
          </cell>
        </row>
        <row r="173">
          <cell r="B173" t="str">
            <v>پخت کلاچ پراید</v>
          </cell>
          <cell r="C173" t="str">
            <v>قالب تعمیری</v>
          </cell>
          <cell r="AF173">
            <v>1</v>
          </cell>
        </row>
        <row r="174">
          <cell r="B174" t="str">
            <v>پخت کلاچ پراید</v>
          </cell>
          <cell r="C174" t="str">
            <v>قالب تعمیری</v>
          </cell>
          <cell r="AF174">
            <v>1.5</v>
          </cell>
        </row>
        <row r="175">
          <cell r="B175" t="str">
            <v>قالب پخت کلاچ پیکان آرژانتینی</v>
          </cell>
          <cell r="C175" t="str">
            <v>قالب تعمیری</v>
          </cell>
          <cell r="AF175">
            <v>3.5</v>
          </cell>
        </row>
        <row r="176">
          <cell r="B176" t="str">
            <v xml:space="preserve">پخت کلاچ پراید سکو </v>
          </cell>
          <cell r="C176" t="str">
            <v>قالب تعمیری</v>
          </cell>
          <cell r="AF176">
            <v>6</v>
          </cell>
        </row>
        <row r="177">
          <cell r="B177" t="str">
            <v>قالب فوتون 107</v>
          </cell>
          <cell r="C177" t="str">
            <v>قالب تعمیری</v>
          </cell>
          <cell r="AF177">
            <v>2.5</v>
          </cell>
        </row>
        <row r="178">
          <cell r="B178" t="str">
            <v>قالب عقب F12</v>
          </cell>
          <cell r="C178" t="str">
            <v>قالب نو</v>
          </cell>
          <cell r="AF178">
            <v>2</v>
          </cell>
        </row>
        <row r="179">
          <cell r="B179" t="str">
            <v xml:space="preserve">قالب پخت کلاچ پیکان </v>
          </cell>
          <cell r="C179" t="str">
            <v>قالب تعمیری</v>
          </cell>
          <cell r="AF179">
            <v>4</v>
          </cell>
        </row>
        <row r="180">
          <cell r="B180" t="str">
            <v>قالب توری پگاسوز</v>
          </cell>
          <cell r="C180" t="str">
            <v>قالب نو</v>
          </cell>
          <cell r="AF180">
            <v>2</v>
          </cell>
        </row>
        <row r="181">
          <cell r="B181" t="str">
            <v>قالب ولوو سوپر</v>
          </cell>
          <cell r="C181" t="str">
            <v>قالب تعمیری</v>
          </cell>
          <cell r="AF181">
            <v>12</v>
          </cell>
        </row>
        <row r="182">
          <cell r="B182" t="str">
            <v>پخت کلاچ پراید</v>
          </cell>
          <cell r="C182" t="str">
            <v>قالب تعمیری</v>
          </cell>
          <cell r="AF182">
            <v>12</v>
          </cell>
        </row>
        <row r="183">
          <cell r="B183" t="str">
            <v>دستگاه چسب زنی</v>
          </cell>
          <cell r="C183" t="str">
            <v>قطعه تعمیری</v>
          </cell>
          <cell r="AF183">
            <v>3</v>
          </cell>
        </row>
        <row r="184">
          <cell r="B184" t="str">
            <v>قالب ولوو سوپر</v>
          </cell>
          <cell r="C184" t="str">
            <v>قالب تعمیری</v>
          </cell>
          <cell r="AF184">
            <v>8</v>
          </cell>
        </row>
        <row r="185">
          <cell r="B185" t="str">
            <v>دستگاه فرز</v>
          </cell>
          <cell r="C185" t="str">
            <v>قطعه تعمیری</v>
          </cell>
          <cell r="AF185">
            <v>6</v>
          </cell>
        </row>
        <row r="186">
          <cell r="B186" t="str">
            <v>قالب ولوو سوپر</v>
          </cell>
          <cell r="C186" t="str">
            <v>قالب تعمیری</v>
          </cell>
          <cell r="AF186">
            <v>6.5</v>
          </cell>
        </row>
        <row r="187">
          <cell r="B187" t="str">
            <v>قالب ترابوزا</v>
          </cell>
          <cell r="C187" t="str">
            <v>قالب تعمیری</v>
          </cell>
          <cell r="AF187">
            <v>11</v>
          </cell>
        </row>
        <row r="188">
          <cell r="B188" t="str">
            <v>قالب پخت کلاچ پژو 405</v>
          </cell>
          <cell r="C188" t="str">
            <v>قالب تعمیری</v>
          </cell>
          <cell r="AF188">
            <v>2</v>
          </cell>
        </row>
        <row r="189">
          <cell r="B189" t="str">
            <v>قالب پخت کلاچ پژو 405</v>
          </cell>
          <cell r="C189" t="str">
            <v>قالب تعمیری</v>
          </cell>
          <cell r="AF189">
            <v>5</v>
          </cell>
        </row>
        <row r="190">
          <cell r="B190" t="str">
            <v>پخت کلاچ پراید</v>
          </cell>
          <cell r="C190" t="str">
            <v>قالب تعمیری</v>
          </cell>
          <cell r="AF190">
            <v>2.5</v>
          </cell>
        </row>
        <row r="191">
          <cell r="B191" t="str">
            <v>قالب پخت کلاچ پژو 405</v>
          </cell>
          <cell r="C191" t="str">
            <v>قالب تعمیری</v>
          </cell>
          <cell r="AF191">
            <v>5.5</v>
          </cell>
        </row>
        <row r="192">
          <cell r="B192" t="str">
            <v>پخت کلاچ پراید</v>
          </cell>
          <cell r="C192" t="str">
            <v>قالب تعمیری</v>
          </cell>
          <cell r="AF192">
            <v>3</v>
          </cell>
        </row>
        <row r="193">
          <cell r="B193" t="str">
            <v>قالب پخت کلاچ پژو 405</v>
          </cell>
          <cell r="C193" t="str">
            <v>قالب تعمیری</v>
          </cell>
          <cell r="AF193">
            <v>7</v>
          </cell>
        </row>
        <row r="194">
          <cell r="B194" t="str">
            <v>Hammer Mill Machine</v>
          </cell>
          <cell r="C194" t="str">
            <v>دستگاه نو</v>
          </cell>
          <cell r="AF194">
            <v>2</v>
          </cell>
        </row>
        <row r="195">
          <cell r="B195" t="str">
            <v>دریل یزدخواستی کلاچ</v>
          </cell>
          <cell r="C195" t="str">
            <v>قطعه نو</v>
          </cell>
          <cell r="AF195">
            <v>5.5</v>
          </cell>
        </row>
        <row r="196">
          <cell r="B196" t="str">
            <v>Hammer Mill Machine</v>
          </cell>
          <cell r="C196" t="str">
            <v>دستگاه نو</v>
          </cell>
          <cell r="AF196">
            <v>5.5</v>
          </cell>
        </row>
        <row r="197">
          <cell r="B197" t="str">
            <v>دستگاه پرس 600 تن</v>
          </cell>
          <cell r="C197" t="str">
            <v>قطعه نو</v>
          </cell>
          <cell r="AF197">
            <v>4</v>
          </cell>
        </row>
        <row r="198">
          <cell r="B198" t="str">
            <v>ساب کونیک</v>
          </cell>
          <cell r="C198" t="str">
            <v>قطعه تعمیری</v>
          </cell>
          <cell r="AF198">
            <v>2</v>
          </cell>
        </row>
        <row r="199">
          <cell r="B199" t="str">
            <v>دستگاه پشم فلز آلمانی</v>
          </cell>
          <cell r="C199" t="str">
            <v>قطعه تعمیری</v>
          </cell>
          <cell r="AF199">
            <v>2</v>
          </cell>
        </row>
        <row r="200">
          <cell r="B200" t="str">
            <v>دستگاه پشم فلز چینی</v>
          </cell>
          <cell r="C200" t="str">
            <v>قطعه تعمیری</v>
          </cell>
          <cell r="AF200">
            <v>3</v>
          </cell>
        </row>
        <row r="201">
          <cell r="B201" t="str">
            <v>صفحات 50*50 پخت کلاچ</v>
          </cell>
          <cell r="C201" t="str">
            <v>قالب تعمیری</v>
          </cell>
          <cell r="AF201">
            <v>11</v>
          </cell>
        </row>
        <row r="202">
          <cell r="B202" t="str">
            <v>قالب ترابوزا</v>
          </cell>
          <cell r="C202" t="str">
            <v>قالب تعمیری</v>
          </cell>
          <cell r="AF202">
            <v>4</v>
          </cell>
        </row>
        <row r="203">
          <cell r="B203" t="str">
            <v>قالب ولوو سوپر</v>
          </cell>
          <cell r="C203" t="str">
            <v>قالب تعمیری</v>
          </cell>
          <cell r="AF203">
            <v>1</v>
          </cell>
        </row>
        <row r="204">
          <cell r="B204" t="str">
            <v>پخت کلاچ پراید</v>
          </cell>
          <cell r="C204" t="str">
            <v>قالب تعمیری</v>
          </cell>
          <cell r="AF204">
            <v>2</v>
          </cell>
        </row>
        <row r="205">
          <cell r="B205" t="str">
            <v>پخت کلاچ پراید</v>
          </cell>
          <cell r="C205" t="str">
            <v>قالب تعمیری</v>
          </cell>
          <cell r="AF205">
            <v>1</v>
          </cell>
        </row>
        <row r="206">
          <cell r="B206" t="str">
            <v xml:space="preserve">پخت کلاچ پراید سکو </v>
          </cell>
          <cell r="C206" t="str">
            <v>قالب تعمیری</v>
          </cell>
          <cell r="AF206">
            <v>3.5</v>
          </cell>
        </row>
        <row r="207">
          <cell r="B207" t="str">
            <v>قالب فوتون 107</v>
          </cell>
          <cell r="C207" t="str">
            <v>قالب تعمیری</v>
          </cell>
          <cell r="AF207">
            <v>1</v>
          </cell>
        </row>
        <row r="208">
          <cell r="B208" t="str">
            <v>پخت کلاچ ده تن</v>
          </cell>
          <cell r="C208" t="str">
            <v>قالب تعمیری</v>
          </cell>
          <cell r="AF208">
            <v>2</v>
          </cell>
        </row>
        <row r="209">
          <cell r="B209" t="str">
            <v>ویوینگ</v>
          </cell>
          <cell r="C209" t="str">
            <v>قطعه تعمیری</v>
          </cell>
          <cell r="AF209">
            <v>1</v>
          </cell>
        </row>
        <row r="210">
          <cell r="B210" t="str">
            <v xml:space="preserve">قالب پخت کلاچ پیکان </v>
          </cell>
          <cell r="C210" t="str">
            <v>قالب تعمیری</v>
          </cell>
          <cell r="AF210">
            <v>1.5</v>
          </cell>
        </row>
        <row r="211">
          <cell r="B211" t="str">
            <v>قالب فوتون 107</v>
          </cell>
          <cell r="C211" t="str">
            <v>قالب تعمیری</v>
          </cell>
          <cell r="AF211">
            <v>5</v>
          </cell>
        </row>
        <row r="212">
          <cell r="B212" t="str">
            <v>قالب فوتون 107</v>
          </cell>
          <cell r="C212" t="str">
            <v>قالب تعمیری</v>
          </cell>
          <cell r="AF212">
            <v>2</v>
          </cell>
        </row>
        <row r="213">
          <cell r="B213" t="str">
            <v>قالب فوتون 107</v>
          </cell>
          <cell r="C213" t="str">
            <v>قالب تعمیری</v>
          </cell>
          <cell r="AF213">
            <v>2</v>
          </cell>
        </row>
        <row r="214">
          <cell r="B214" t="str">
            <v>قالب فوتون 107</v>
          </cell>
          <cell r="C214" t="str">
            <v>قالب تعمیری</v>
          </cell>
          <cell r="AF214">
            <v>2</v>
          </cell>
        </row>
        <row r="215">
          <cell r="B215" t="str">
            <v>قالب ولوو سوپر</v>
          </cell>
          <cell r="C215" t="str">
            <v>قالب تعمیری</v>
          </cell>
          <cell r="AF215">
            <v>11</v>
          </cell>
        </row>
        <row r="216">
          <cell r="B216" t="str">
            <v xml:space="preserve">قالب پخت کلاچ پیکان </v>
          </cell>
          <cell r="C216" t="str">
            <v>قالب تعمیری</v>
          </cell>
          <cell r="AF216">
            <v>11</v>
          </cell>
        </row>
        <row r="217">
          <cell r="B217" t="str">
            <v xml:space="preserve">قالب پخت کلاچ پیکان </v>
          </cell>
          <cell r="C217" t="str">
            <v>قالب تعمیری</v>
          </cell>
          <cell r="AF217">
            <v>2</v>
          </cell>
        </row>
        <row r="218">
          <cell r="B218" t="str">
            <v>قالب توری پگاسوز</v>
          </cell>
          <cell r="C218" t="str">
            <v>قالب نو</v>
          </cell>
          <cell r="AF218">
            <v>2</v>
          </cell>
        </row>
        <row r="219">
          <cell r="B219" t="str">
            <v>پخت کلاچ پراید</v>
          </cell>
          <cell r="C219" t="str">
            <v>قالب تعمیری</v>
          </cell>
          <cell r="AF219">
            <v>1.5</v>
          </cell>
        </row>
        <row r="220">
          <cell r="B220" t="str">
            <v xml:space="preserve">قالب پخت کلاچ پیکان </v>
          </cell>
          <cell r="C220" t="str">
            <v>قالب تعمیری</v>
          </cell>
          <cell r="AF220">
            <v>2.5</v>
          </cell>
        </row>
        <row r="221">
          <cell r="B221" t="str">
            <v>دستگاه مهر زنی</v>
          </cell>
          <cell r="C221" t="str">
            <v>قطعه تعمیری</v>
          </cell>
          <cell r="AF221">
            <v>1</v>
          </cell>
        </row>
        <row r="222">
          <cell r="B222" t="str">
            <v>قالب پخت کلاچ پژو 405</v>
          </cell>
          <cell r="C222" t="str">
            <v>قالب تعمیری</v>
          </cell>
          <cell r="AF222">
            <v>1.5</v>
          </cell>
        </row>
        <row r="223">
          <cell r="B223" t="str">
            <v>پخت کلاچ ده تن</v>
          </cell>
          <cell r="C223" t="str">
            <v>قالب تعمیری</v>
          </cell>
          <cell r="AF223">
            <v>1</v>
          </cell>
        </row>
        <row r="224">
          <cell r="B224" t="str">
            <v>پخت کلاچ پراید</v>
          </cell>
          <cell r="C224" t="str">
            <v>قالب تعمیری</v>
          </cell>
          <cell r="AF224">
            <v>2</v>
          </cell>
        </row>
        <row r="225">
          <cell r="B225" t="str">
            <v>پخت کلاچ ده تن</v>
          </cell>
          <cell r="C225" t="str">
            <v>قالب تعمیری</v>
          </cell>
          <cell r="AF225">
            <v>1</v>
          </cell>
        </row>
        <row r="226">
          <cell r="B226" t="str">
            <v>پخت کلاچ پراید</v>
          </cell>
          <cell r="C226" t="str">
            <v>قالب تعمیری</v>
          </cell>
          <cell r="AF226">
            <v>7.5</v>
          </cell>
        </row>
        <row r="227">
          <cell r="B227" t="str">
            <v>قالب ترابوزا</v>
          </cell>
          <cell r="C227" t="str">
            <v>قالب تعمیری</v>
          </cell>
          <cell r="AF227">
            <v>7.5</v>
          </cell>
        </row>
        <row r="228">
          <cell r="B228" t="str">
            <v>Hammer Mill Machine</v>
          </cell>
          <cell r="C228" t="str">
            <v>دستگاه نو</v>
          </cell>
          <cell r="AF228">
            <v>5.5</v>
          </cell>
        </row>
        <row r="229">
          <cell r="B229" t="str">
            <v>پخت کلاچ ده تن</v>
          </cell>
          <cell r="C229" t="str">
            <v>قالب تعمیری</v>
          </cell>
          <cell r="AF229">
            <v>2</v>
          </cell>
        </row>
        <row r="230">
          <cell r="B230" t="str">
            <v>پخت کلاچ ده تن</v>
          </cell>
          <cell r="C230" t="str">
            <v>قالب تعمیری</v>
          </cell>
          <cell r="AF230">
            <v>3</v>
          </cell>
        </row>
        <row r="231">
          <cell r="B231" t="str">
            <v>صفحات 50*50 پخت کلاچ</v>
          </cell>
          <cell r="C231" t="str">
            <v>قالب تعمیری</v>
          </cell>
          <cell r="AF231">
            <v>7.5</v>
          </cell>
        </row>
        <row r="232">
          <cell r="B232" t="str">
            <v>قالب ترابوزا</v>
          </cell>
          <cell r="C232" t="str">
            <v>قالب تعمیری</v>
          </cell>
          <cell r="AF232">
            <v>3.6666666666666665</v>
          </cell>
        </row>
        <row r="233">
          <cell r="B233" t="str">
            <v>قالب ولوو سوپر</v>
          </cell>
          <cell r="C233" t="str">
            <v>قالب تعمیری</v>
          </cell>
          <cell r="AF233">
            <v>3.8333333333333335</v>
          </cell>
        </row>
        <row r="234">
          <cell r="B234" t="str">
            <v>Hammer Mill Machine</v>
          </cell>
          <cell r="C234" t="str">
            <v>دستگاه نو</v>
          </cell>
          <cell r="AF234">
            <v>3</v>
          </cell>
        </row>
        <row r="235">
          <cell r="B235" t="str">
            <v>پخت کلاچ پراید</v>
          </cell>
          <cell r="C235" t="str">
            <v>قالب تعمیری</v>
          </cell>
          <cell r="AF235">
            <v>2</v>
          </cell>
        </row>
        <row r="236">
          <cell r="B236" t="str">
            <v>سری نقطه جوش</v>
          </cell>
          <cell r="C236" t="str">
            <v>قطعه تعمیری</v>
          </cell>
          <cell r="AF236">
            <v>1</v>
          </cell>
        </row>
        <row r="237">
          <cell r="B237" t="str">
            <v>پخت کلاچ پراید</v>
          </cell>
          <cell r="C237" t="str">
            <v>قالب تعمیری</v>
          </cell>
          <cell r="AF237">
            <v>1</v>
          </cell>
        </row>
        <row r="238">
          <cell r="B238" t="str">
            <v>دستگاه پشم فلز</v>
          </cell>
          <cell r="C238" t="str">
            <v>قطعه تعمیری</v>
          </cell>
          <cell r="AF238">
            <v>5</v>
          </cell>
        </row>
        <row r="239">
          <cell r="B239" t="str">
            <v xml:space="preserve">قالب پخت کلاچ پیکان </v>
          </cell>
          <cell r="C239" t="str">
            <v>قالب تعمیری</v>
          </cell>
          <cell r="AF239">
            <v>8</v>
          </cell>
        </row>
        <row r="240">
          <cell r="B240" t="str">
            <v xml:space="preserve">قالب پخت کلاچ پیکان </v>
          </cell>
          <cell r="C240" t="str">
            <v>قالب تعمیری</v>
          </cell>
          <cell r="AF240">
            <v>3</v>
          </cell>
        </row>
        <row r="241">
          <cell r="B241" t="str">
            <v xml:space="preserve">قالب پخت کلاچ پیکان </v>
          </cell>
          <cell r="C241" t="str">
            <v>قالب تعمیری</v>
          </cell>
          <cell r="AF241">
            <v>5</v>
          </cell>
        </row>
        <row r="242">
          <cell r="B242" t="str">
            <v>پخت کلاچ پراید</v>
          </cell>
          <cell r="C242" t="str">
            <v>قالب تعمیری</v>
          </cell>
          <cell r="AF242">
            <v>3</v>
          </cell>
        </row>
        <row r="243">
          <cell r="B243" t="str">
            <v>پخت کلاچ پراید</v>
          </cell>
          <cell r="C243" t="str">
            <v>قالب تعمیری</v>
          </cell>
          <cell r="AF243">
            <v>2</v>
          </cell>
        </row>
        <row r="244">
          <cell r="B244" t="str">
            <v>قالب پخت کلاچ پژو 405</v>
          </cell>
          <cell r="C244" t="str">
            <v>قالب تعمیری</v>
          </cell>
          <cell r="AF244">
            <v>1.5</v>
          </cell>
        </row>
        <row r="245">
          <cell r="B245" t="str">
            <v>اصول 5S</v>
          </cell>
          <cell r="C245" t="str">
            <v>نظافت</v>
          </cell>
          <cell r="AF245">
            <v>1</v>
          </cell>
        </row>
        <row r="246">
          <cell r="B246" t="str">
            <v>پخت کلاچ پژو 206 TU5</v>
          </cell>
          <cell r="C246" t="str">
            <v>قالب تعمیری</v>
          </cell>
          <cell r="AF246">
            <v>4</v>
          </cell>
        </row>
        <row r="247">
          <cell r="B247" t="str">
            <v>پخت کلاچ پراید</v>
          </cell>
          <cell r="C247" t="str">
            <v>قالب تعمیری</v>
          </cell>
          <cell r="AF247">
            <v>1</v>
          </cell>
        </row>
        <row r="248">
          <cell r="B248" t="str">
            <v>قالب پخت کلاچ پژو 405</v>
          </cell>
          <cell r="C248" t="str">
            <v>قالب تعمیری</v>
          </cell>
          <cell r="AF248">
            <v>1.5</v>
          </cell>
        </row>
        <row r="249">
          <cell r="B249" t="str">
            <v>شیرینگ</v>
          </cell>
          <cell r="C249" t="str">
            <v>قطعه تعمیری</v>
          </cell>
          <cell r="AF249">
            <v>0.5</v>
          </cell>
        </row>
        <row r="250">
          <cell r="B250" t="str">
            <v>دستگاه پشم فلز</v>
          </cell>
          <cell r="C250" t="str">
            <v>قطعه تعمیری</v>
          </cell>
          <cell r="AF250">
            <v>3</v>
          </cell>
        </row>
        <row r="251">
          <cell r="B251" t="str">
            <v>پخت کلاچ پژو 206 TU5</v>
          </cell>
          <cell r="C251" t="str">
            <v>قالب تعمیری</v>
          </cell>
          <cell r="AF251">
            <v>1.5</v>
          </cell>
        </row>
        <row r="252">
          <cell r="B252" t="str">
            <v>پخت کلاچ FH</v>
          </cell>
          <cell r="C252" t="str">
            <v>قالب تعمیری</v>
          </cell>
          <cell r="AF252">
            <v>1</v>
          </cell>
        </row>
        <row r="253">
          <cell r="B253" t="str">
            <v>پخت کلاچ ده تن</v>
          </cell>
          <cell r="C253" t="str">
            <v>قالب تعمیری</v>
          </cell>
          <cell r="AF253">
            <v>1</v>
          </cell>
        </row>
        <row r="254">
          <cell r="B254" t="str">
            <v>پخت کلاچ پژو 206 TU5</v>
          </cell>
          <cell r="C254" t="str">
            <v>قالب تعمیری</v>
          </cell>
          <cell r="AF254">
            <v>4</v>
          </cell>
        </row>
        <row r="255">
          <cell r="B255" t="str">
            <v>پخت کلاچ پراید</v>
          </cell>
          <cell r="C255" t="str">
            <v>قالب تعمیری</v>
          </cell>
          <cell r="AF255">
            <v>2</v>
          </cell>
        </row>
        <row r="256">
          <cell r="B256" t="str">
            <v>پخت کلاچ پراید</v>
          </cell>
          <cell r="C256" t="str">
            <v>قالب تعمیری</v>
          </cell>
          <cell r="AF256">
            <v>0.5</v>
          </cell>
        </row>
        <row r="257">
          <cell r="B257" t="str">
            <v>صفحات 50*50 پخت کلاچ</v>
          </cell>
          <cell r="C257" t="str">
            <v>قالب تعمیری</v>
          </cell>
          <cell r="AF257">
            <v>9</v>
          </cell>
        </row>
        <row r="258">
          <cell r="B258" t="str">
            <v>پخت کلاچ پژو 206 TU5</v>
          </cell>
          <cell r="C258" t="str">
            <v>قالب تعمیری</v>
          </cell>
          <cell r="AF258">
            <v>2</v>
          </cell>
        </row>
        <row r="259">
          <cell r="B259" t="str">
            <v>پخت کلاچ پراید</v>
          </cell>
          <cell r="C259" t="str">
            <v>قالب تعمیری</v>
          </cell>
          <cell r="AF259">
            <v>1</v>
          </cell>
        </row>
        <row r="260">
          <cell r="B260" t="str">
            <v>پخت کلاچ پژو 206 TU5</v>
          </cell>
          <cell r="C260" t="str">
            <v>قالب تعمیری</v>
          </cell>
          <cell r="AF260">
            <v>1</v>
          </cell>
        </row>
        <row r="261">
          <cell r="B261" t="str">
            <v>دستگاه پشم فلز</v>
          </cell>
          <cell r="C261" t="str">
            <v>قطعه تعمیری</v>
          </cell>
          <cell r="AF261">
            <v>4</v>
          </cell>
        </row>
        <row r="262">
          <cell r="B262" t="str">
            <v>پخت کلاچ پراید</v>
          </cell>
          <cell r="C262" t="str">
            <v>قالب تعمیری</v>
          </cell>
          <cell r="AF262">
            <v>5.5</v>
          </cell>
        </row>
        <row r="263">
          <cell r="B263" t="str">
            <v>پخت کلاچ پراید</v>
          </cell>
          <cell r="C263" t="str">
            <v>قالب تعمیری</v>
          </cell>
          <cell r="AF263">
            <v>5.5</v>
          </cell>
        </row>
        <row r="264">
          <cell r="B264" t="str">
            <v>دستگاه پرس پخت</v>
          </cell>
          <cell r="C264" t="str">
            <v>قطعه تعمیری</v>
          </cell>
          <cell r="AF264">
            <v>11</v>
          </cell>
        </row>
        <row r="265">
          <cell r="B265" t="str">
            <v>صفحه قالب یدک
700*500*65</v>
          </cell>
          <cell r="C265" t="str">
            <v>قطعه نو</v>
          </cell>
          <cell r="AF265">
            <v>11</v>
          </cell>
        </row>
        <row r="266">
          <cell r="B266" t="str">
            <v>پخت کلاچ پراید</v>
          </cell>
          <cell r="C266" t="str">
            <v>قالب تعمیری</v>
          </cell>
          <cell r="AF266">
            <v>3</v>
          </cell>
        </row>
        <row r="267">
          <cell r="B267" t="str">
            <v>پخت کلاچ پراید</v>
          </cell>
          <cell r="C267" t="str">
            <v>قالب تعمیری</v>
          </cell>
          <cell r="AF267">
            <v>2</v>
          </cell>
        </row>
        <row r="268">
          <cell r="B268" t="str">
            <v>قالب پخت کلاچ پژو 405</v>
          </cell>
          <cell r="C268" t="str">
            <v>قالب تعمیری</v>
          </cell>
          <cell r="AF268">
            <v>2</v>
          </cell>
        </row>
        <row r="269">
          <cell r="B269" t="str">
            <v>قالب پخت کلاچ پژو 405</v>
          </cell>
          <cell r="C269" t="str">
            <v>قالب تعمیری</v>
          </cell>
          <cell r="AF269">
            <v>2</v>
          </cell>
        </row>
        <row r="270">
          <cell r="B270" t="str">
            <v>قالب توری پگاسوز</v>
          </cell>
          <cell r="C270" t="str">
            <v>قالب نو</v>
          </cell>
          <cell r="AF270">
            <v>2</v>
          </cell>
        </row>
        <row r="271">
          <cell r="B271" t="str">
            <v>پخت کلاچ ده تن</v>
          </cell>
          <cell r="C271" t="str">
            <v>قالب تعمیری</v>
          </cell>
          <cell r="AF271">
            <v>2</v>
          </cell>
        </row>
        <row r="272">
          <cell r="B272" t="str">
            <v>پخت کلاچ پراید</v>
          </cell>
          <cell r="C272" t="str">
            <v>قالب تعمیری</v>
          </cell>
          <cell r="AF272">
            <v>2</v>
          </cell>
        </row>
        <row r="273">
          <cell r="B273" t="str">
            <v>پخت کلاچ پراید</v>
          </cell>
          <cell r="C273" t="str">
            <v>قالب تعمیری</v>
          </cell>
          <cell r="AF273">
            <v>3</v>
          </cell>
        </row>
        <row r="274">
          <cell r="B274" t="str">
            <v>قالب پخت کلاچ پژو 405</v>
          </cell>
          <cell r="C274" t="str">
            <v>قالب تعمیری</v>
          </cell>
          <cell r="AF274">
            <v>3</v>
          </cell>
        </row>
        <row r="275">
          <cell r="B275" t="str">
            <v>قالب پخت کلاچ پژو 405</v>
          </cell>
          <cell r="C275" t="str">
            <v>قالب تعمیری</v>
          </cell>
          <cell r="AF275">
            <v>3</v>
          </cell>
        </row>
        <row r="276">
          <cell r="B276" t="str">
            <v>پخت کلاچ پراید</v>
          </cell>
          <cell r="C276" t="str">
            <v>قالب تعمیری</v>
          </cell>
          <cell r="AF276">
            <v>2.5</v>
          </cell>
        </row>
        <row r="277">
          <cell r="B277" t="str">
            <v>تخته لنت صنعتی</v>
          </cell>
          <cell r="C277" t="str">
            <v>قطعه تعمیری</v>
          </cell>
          <cell r="AF277">
            <v>1.5</v>
          </cell>
        </row>
        <row r="278">
          <cell r="B278" t="str">
            <v>موتور</v>
          </cell>
          <cell r="C278" t="str">
            <v>قطعه تعمیری</v>
          </cell>
          <cell r="AF278">
            <v>1</v>
          </cell>
        </row>
        <row r="279">
          <cell r="B279" t="str">
            <v>قالب پخت کلاچ پژو 405</v>
          </cell>
          <cell r="C279" t="str">
            <v>قالب تعمیری</v>
          </cell>
          <cell r="AF279">
            <v>2</v>
          </cell>
        </row>
        <row r="280">
          <cell r="B280" t="str">
            <v>پخت کلاچ FH</v>
          </cell>
          <cell r="C280" t="str">
            <v>قالب تعمیری</v>
          </cell>
          <cell r="AF280">
            <v>2</v>
          </cell>
        </row>
        <row r="281">
          <cell r="B281" t="str">
            <v>قالب ترابوزا</v>
          </cell>
          <cell r="C281" t="str">
            <v>قالب تعمیری</v>
          </cell>
          <cell r="AF281">
            <v>2</v>
          </cell>
        </row>
        <row r="282">
          <cell r="B282" t="str">
            <v>قالب پخت کلاچ تیبا چپ</v>
          </cell>
          <cell r="C282" t="str">
            <v>قالب تعمیری</v>
          </cell>
          <cell r="AF282">
            <v>2</v>
          </cell>
        </row>
        <row r="283">
          <cell r="B283" t="str">
            <v>سوراخکاری پیلسان</v>
          </cell>
          <cell r="C283" t="str">
            <v>قطعه نو</v>
          </cell>
          <cell r="AF283">
            <v>11</v>
          </cell>
        </row>
        <row r="284">
          <cell r="B284" t="str">
            <v xml:space="preserve">قالب پخت کلاچ پیکان </v>
          </cell>
          <cell r="C284" t="str">
            <v>قالب تعمیری</v>
          </cell>
          <cell r="AF284">
            <v>5</v>
          </cell>
        </row>
        <row r="285">
          <cell r="B285" t="str">
            <v xml:space="preserve">قالب پخت کلاچ پیکان </v>
          </cell>
          <cell r="C285" t="str">
            <v>قالب تعمیری</v>
          </cell>
          <cell r="AF285">
            <v>5.5</v>
          </cell>
        </row>
        <row r="286">
          <cell r="B286" t="str">
            <v>قالب پخت کلاچ پژو 405</v>
          </cell>
          <cell r="C286" t="str">
            <v>قالب تعمیری</v>
          </cell>
          <cell r="AF286">
            <v>3</v>
          </cell>
        </row>
        <row r="287">
          <cell r="B287" t="str">
            <v>قالب پخت کلاچ پژو 405</v>
          </cell>
          <cell r="C287" t="str">
            <v>قالب تعمیری</v>
          </cell>
          <cell r="AF287">
            <v>2</v>
          </cell>
        </row>
        <row r="288">
          <cell r="B288" t="str">
            <v>قالب پخت کلاچ پژو 405</v>
          </cell>
          <cell r="C288" t="str">
            <v>قالب تعمیری</v>
          </cell>
          <cell r="AF288">
            <v>3</v>
          </cell>
        </row>
        <row r="289">
          <cell r="B289" t="str">
            <v>دستگاه سوپر دریل</v>
          </cell>
          <cell r="C289" t="str">
            <v>قطعه نو</v>
          </cell>
          <cell r="AF289">
            <v>2</v>
          </cell>
        </row>
        <row r="290">
          <cell r="B290" t="str">
            <v>دستگاه پشم فلز</v>
          </cell>
          <cell r="C290" t="str">
            <v>قطعه تعمیری</v>
          </cell>
          <cell r="AF290">
            <v>12</v>
          </cell>
        </row>
        <row r="291">
          <cell r="B291" t="str">
            <v>دستگاه پشم فلز</v>
          </cell>
          <cell r="C291" t="str">
            <v>قطعه تعمیری</v>
          </cell>
          <cell r="AF291">
            <v>12</v>
          </cell>
        </row>
        <row r="292">
          <cell r="B292" t="str">
            <v xml:space="preserve">قالب پخت کلاچ پیکان </v>
          </cell>
          <cell r="C292" t="str">
            <v>قالب تعمیری</v>
          </cell>
          <cell r="AF292">
            <v>4</v>
          </cell>
        </row>
        <row r="293">
          <cell r="B293" t="str">
            <v>Hammer Mill Machine</v>
          </cell>
          <cell r="C293" t="str">
            <v>دستگاه نو</v>
          </cell>
          <cell r="AF293">
            <v>2</v>
          </cell>
        </row>
        <row r="294">
          <cell r="B294" t="str">
            <v>پایه پرچ لنت نیسان</v>
          </cell>
          <cell r="C294" t="str">
            <v>قطعه نو</v>
          </cell>
          <cell r="AF294">
            <v>9</v>
          </cell>
        </row>
        <row r="295">
          <cell r="B295" t="str">
            <v>دستگاه پشم فلز</v>
          </cell>
          <cell r="C295" t="str">
            <v>قطعه تعمیری</v>
          </cell>
          <cell r="AF295">
            <v>6</v>
          </cell>
        </row>
        <row r="296">
          <cell r="B296" t="str">
            <v xml:space="preserve">قالب پخت کلاچ پیکان </v>
          </cell>
          <cell r="C296" t="str">
            <v>قالب تعمیری</v>
          </cell>
          <cell r="AF296">
            <v>11</v>
          </cell>
        </row>
        <row r="297">
          <cell r="B297" t="str">
            <v xml:space="preserve">قالب پخت کلاچ پیکان </v>
          </cell>
          <cell r="C297" t="str">
            <v>قالب تعمیری</v>
          </cell>
          <cell r="AF297">
            <v>11</v>
          </cell>
        </row>
        <row r="298">
          <cell r="B298" t="str">
            <v>دستگاه پرس پخت</v>
          </cell>
          <cell r="C298" t="str">
            <v>قطعه تعمیری</v>
          </cell>
          <cell r="AF298">
            <v>11</v>
          </cell>
        </row>
        <row r="299">
          <cell r="B299" t="str">
            <v>سوراخکاری پیلسان</v>
          </cell>
          <cell r="C299" t="str">
            <v>قطعه نو</v>
          </cell>
          <cell r="AF299">
            <v>6.5</v>
          </cell>
        </row>
        <row r="300">
          <cell r="B300" t="str">
            <v>سوراخکاری پیلسان</v>
          </cell>
          <cell r="C300" t="str">
            <v>قطعه نو</v>
          </cell>
          <cell r="AF300">
            <v>4.5</v>
          </cell>
        </row>
        <row r="301">
          <cell r="B301" t="str">
            <v>شیرینگ</v>
          </cell>
          <cell r="C301" t="str">
            <v>قطعه تعمیری</v>
          </cell>
          <cell r="AF301">
            <v>0.5</v>
          </cell>
        </row>
        <row r="302">
          <cell r="B302" t="str">
            <v>دستگاه پشم فلز</v>
          </cell>
          <cell r="C302" t="str">
            <v>قطعه تعمیری</v>
          </cell>
          <cell r="AF302">
            <v>3</v>
          </cell>
        </row>
        <row r="303">
          <cell r="B303" t="str">
            <v>پخت کلاچ پژو 206 TU5</v>
          </cell>
          <cell r="C303" t="str">
            <v>قالب تعمیری</v>
          </cell>
          <cell r="AF303">
            <v>1.5</v>
          </cell>
        </row>
        <row r="304">
          <cell r="B304" t="str">
            <v>پخت کلاچ FH</v>
          </cell>
          <cell r="C304" t="str">
            <v>قالب تعمیری</v>
          </cell>
          <cell r="AF304">
            <v>1</v>
          </cell>
        </row>
        <row r="305">
          <cell r="B305" t="str">
            <v>پخت کلاچ ده تن</v>
          </cell>
          <cell r="C305" t="str">
            <v>قالب تعمیری</v>
          </cell>
          <cell r="AF305">
            <v>1</v>
          </cell>
        </row>
        <row r="306">
          <cell r="B306" t="str">
            <v>پخت کلاچ پراید</v>
          </cell>
          <cell r="C306" t="str">
            <v>قالب تعمیری</v>
          </cell>
          <cell r="AF306">
            <v>3.8333333333333335</v>
          </cell>
        </row>
        <row r="307">
          <cell r="B307" t="str">
            <v>پخت کلاچ ده تن</v>
          </cell>
          <cell r="C307" t="str">
            <v>قالب تعمیری</v>
          </cell>
          <cell r="AF307">
            <v>7.166666666666667</v>
          </cell>
        </row>
        <row r="308">
          <cell r="B308" t="str">
            <v>صفحات 50*50 پخت کلاچ</v>
          </cell>
          <cell r="C308" t="str">
            <v>قالب تعمیری</v>
          </cell>
          <cell r="AF308">
            <v>11</v>
          </cell>
        </row>
        <row r="309">
          <cell r="B309" t="str">
            <v>قالب برش میدل باس</v>
          </cell>
          <cell r="C309" t="str">
            <v>قالب تعمیری</v>
          </cell>
          <cell r="AF309">
            <v>4</v>
          </cell>
        </row>
        <row r="310">
          <cell r="B310" t="str">
            <v>پخت کلاچ پراید</v>
          </cell>
          <cell r="C310" t="str">
            <v>قالب تعمیری</v>
          </cell>
          <cell r="AF310">
            <v>1</v>
          </cell>
        </row>
        <row r="311">
          <cell r="B311" t="str">
            <v xml:space="preserve">قالب پخت کلاچ پیکان </v>
          </cell>
          <cell r="C311" t="str">
            <v>قالب تعمیری</v>
          </cell>
          <cell r="AF311">
            <v>1</v>
          </cell>
        </row>
        <row r="312">
          <cell r="B312" t="str">
            <v>قالب پخت کلاچ پژو 405</v>
          </cell>
          <cell r="C312" t="str">
            <v>قالب تعمیری</v>
          </cell>
          <cell r="AF312">
            <v>1</v>
          </cell>
        </row>
        <row r="313">
          <cell r="B313" t="str">
            <v>ویوینگ</v>
          </cell>
          <cell r="C313" t="str">
            <v>قطعه تعمیری</v>
          </cell>
          <cell r="AF313">
            <v>1</v>
          </cell>
        </row>
        <row r="314">
          <cell r="B314" t="str">
            <v>قالب پخت کلاچ پژو 405</v>
          </cell>
          <cell r="C314" t="str">
            <v>قالب تعمیری</v>
          </cell>
          <cell r="AF314">
            <v>4</v>
          </cell>
        </row>
        <row r="315">
          <cell r="B315" t="str">
            <v xml:space="preserve">قالب پخت کلاچ پیکان </v>
          </cell>
          <cell r="C315" t="str">
            <v>قالب تعمیری</v>
          </cell>
          <cell r="AF315">
            <v>4</v>
          </cell>
        </row>
        <row r="316">
          <cell r="B316" t="str">
            <v>قالب ترابوزا</v>
          </cell>
          <cell r="C316" t="str">
            <v>قالب تعمیری</v>
          </cell>
          <cell r="AF316">
            <v>1</v>
          </cell>
        </row>
        <row r="317">
          <cell r="B317" t="str">
            <v>ویوینگ</v>
          </cell>
          <cell r="C317" t="str">
            <v>قطعه تعمیری</v>
          </cell>
          <cell r="AF317">
            <v>2.5</v>
          </cell>
        </row>
        <row r="318">
          <cell r="B318" t="str">
            <v>ویوینگ</v>
          </cell>
          <cell r="C318" t="str">
            <v>قطعه نو</v>
          </cell>
          <cell r="AF318">
            <v>0.75</v>
          </cell>
        </row>
        <row r="319">
          <cell r="B319" t="str">
            <v>ویوینگ</v>
          </cell>
          <cell r="C319" t="str">
            <v>قطعه نو</v>
          </cell>
          <cell r="AF319">
            <v>0.75</v>
          </cell>
        </row>
        <row r="320">
          <cell r="B320" t="str">
            <v>ویوینگ</v>
          </cell>
          <cell r="C320" t="str">
            <v>قطعه تعمیری</v>
          </cell>
          <cell r="AF320">
            <v>1.5</v>
          </cell>
        </row>
        <row r="321">
          <cell r="B321" t="str">
            <v xml:space="preserve">قالب پخت کلاچ پیکان </v>
          </cell>
          <cell r="C321" t="str">
            <v>قالب تعمیری</v>
          </cell>
          <cell r="AF321">
            <v>2</v>
          </cell>
        </row>
        <row r="322">
          <cell r="B322" t="str">
            <v>همزن مواد</v>
          </cell>
          <cell r="C322" t="str">
            <v>قطعه تعمیری</v>
          </cell>
          <cell r="AF322">
            <v>2</v>
          </cell>
        </row>
        <row r="323">
          <cell r="B323" t="str">
            <v>دستگاه پشم فلز</v>
          </cell>
          <cell r="C323" t="str">
            <v>قطعه تعمیری</v>
          </cell>
          <cell r="AF323">
            <v>10</v>
          </cell>
        </row>
        <row r="324">
          <cell r="B324" t="str">
            <v>دستگاه پشم فلز</v>
          </cell>
          <cell r="C324" t="str">
            <v>قطعه تعمیری</v>
          </cell>
          <cell r="AF324">
            <v>10</v>
          </cell>
        </row>
        <row r="325">
          <cell r="B325" t="str">
            <v>پایه پرچ لنت نیسان</v>
          </cell>
          <cell r="C325" t="str">
            <v>قطعه نو</v>
          </cell>
          <cell r="AF325">
            <v>10</v>
          </cell>
        </row>
        <row r="326">
          <cell r="B326" t="str">
            <v>Hammer Mill Machine</v>
          </cell>
          <cell r="C326" t="str">
            <v>دستگاه نو</v>
          </cell>
          <cell r="AF326">
            <v>2</v>
          </cell>
        </row>
        <row r="327">
          <cell r="B327" t="str">
            <v>ویوینگ</v>
          </cell>
          <cell r="C327" t="str">
            <v>قطعه نو</v>
          </cell>
          <cell r="AF327">
            <v>5</v>
          </cell>
        </row>
        <row r="328">
          <cell r="B328" t="str">
            <v>قالب پخت کلاچ پژو 405</v>
          </cell>
          <cell r="C328" t="str">
            <v>قالب تعمیری</v>
          </cell>
          <cell r="AF328">
            <v>3</v>
          </cell>
        </row>
        <row r="329">
          <cell r="B329" t="str">
            <v>قالب پخت کلاچ پژو 405</v>
          </cell>
          <cell r="C329" t="str">
            <v>قالب تعمیری</v>
          </cell>
          <cell r="AF329">
            <v>3</v>
          </cell>
        </row>
        <row r="330">
          <cell r="B330" t="str">
            <v>قالب ترابوزا</v>
          </cell>
          <cell r="C330" t="str">
            <v>قالب تعمیری</v>
          </cell>
          <cell r="AF330">
            <v>2</v>
          </cell>
        </row>
        <row r="331">
          <cell r="B331" t="str">
            <v>قالب پخت کلاچ تیبا چپ</v>
          </cell>
          <cell r="C331" t="str">
            <v>قالب تعمیری</v>
          </cell>
          <cell r="AF331">
            <v>3</v>
          </cell>
        </row>
        <row r="332">
          <cell r="B332" t="str">
            <v>قالب پخت کلاچ پژو 405</v>
          </cell>
          <cell r="C332" t="str">
            <v>قالب تعمیری</v>
          </cell>
          <cell r="AF332">
            <v>3</v>
          </cell>
        </row>
        <row r="333">
          <cell r="B333" t="str">
            <v>پخت کلاچ FH</v>
          </cell>
          <cell r="C333" t="str">
            <v>قالب تعمیری</v>
          </cell>
          <cell r="AF333">
            <v>5.5</v>
          </cell>
        </row>
        <row r="334">
          <cell r="B334" t="str">
            <v>پخت کلاچ FH</v>
          </cell>
          <cell r="C334" t="str">
            <v>قالب تعمیری</v>
          </cell>
          <cell r="AF334">
            <v>5.5</v>
          </cell>
        </row>
        <row r="335">
          <cell r="B335" t="str">
            <v xml:space="preserve">قالب پخت کلاچ پیکان </v>
          </cell>
          <cell r="C335" t="str">
            <v>قالب تعمیری</v>
          </cell>
          <cell r="AF335">
            <v>11</v>
          </cell>
        </row>
        <row r="336">
          <cell r="B336" t="str">
            <v>صفحه قالب یدک
700*500*65</v>
          </cell>
          <cell r="C336" t="str">
            <v>قطعه نو</v>
          </cell>
          <cell r="AF336">
            <v>5.5</v>
          </cell>
        </row>
        <row r="337">
          <cell r="B337" t="str">
            <v>صفحه قالب یدک
700*500*65</v>
          </cell>
          <cell r="C337" t="str">
            <v>قطعه نو</v>
          </cell>
          <cell r="AF337">
            <v>11</v>
          </cell>
        </row>
        <row r="338">
          <cell r="B338" t="str">
            <v xml:space="preserve">قالب پخت کلاچ پیکان </v>
          </cell>
          <cell r="C338" t="str">
            <v>قالب تعمیری</v>
          </cell>
          <cell r="AF338">
            <v>4.75</v>
          </cell>
        </row>
        <row r="339">
          <cell r="B339" t="str">
            <v xml:space="preserve">قالب پخت کلاچ پیکان </v>
          </cell>
          <cell r="C339" t="str">
            <v>قالب تعمیری</v>
          </cell>
          <cell r="AF339">
            <v>4.75</v>
          </cell>
        </row>
        <row r="340">
          <cell r="B340" t="str">
            <v>صفحات 50*50 پخت کلاچ</v>
          </cell>
          <cell r="C340" t="str">
            <v>قالب تعمیری</v>
          </cell>
          <cell r="AF340">
            <v>11</v>
          </cell>
        </row>
        <row r="341">
          <cell r="B341" t="str">
            <v xml:space="preserve">قالب پخت کلاچ پیکان </v>
          </cell>
          <cell r="C341" t="str">
            <v>قالب تعمیری</v>
          </cell>
          <cell r="AF341">
            <v>2</v>
          </cell>
        </row>
        <row r="342">
          <cell r="B342" t="str">
            <v xml:space="preserve">قالب پخت کلاچ پیکان </v>
          </cell>
          <cell r="C342" t="str">
            <v>قالب تعمیری</v>
          </cell>
          <cell r="AF342">
            <v>5.5</v>
          </cell>
        </row>
        <row r="343">
          <cell r="B343" t="str">
            <v>قالب پخت کلاچ پژو 405</v>
          </cell>
          <cell r="C343" t="str">
            <v>قالب تعمیری</v>
          </cell>
          <cell r="AF343">
            <v>5.5</v>
          </cell>
        </row>
        <row r="344">
          <cell r="B344" t="str">
            <v>سوراخکاری پیلسان</v>
          </cell>
          <cell r="C344" t="str">
            <v>قطعه نو</v>
          </cell>
          <cell r="AF344">
            <v>4.5</v>
          </cell>
        </row>
        <row r="345">
          <cell r="B345" t="str">
            <v>دستگاه پرس 600 تن</v>
          </cell>
          <cell r="C345" t="str">
            <v>قطعه نو</v>
          </cell>
          <cell r="AF345">
            <v>6.5</v>
          </cell>
        </row>
        <row r="346">
          <cell r="B346" t="str">
            <v>پخت کلاچ FH</v>
          </cell>
          <cell r="C346" t="str">
            <v>قالب تعمیری</v>
          </cell>
          <cell r="AF346">
            <v>4</v>
          </cell>
        </row>
        <row r="347">
          <cell r="B347" t="str">
            <v xml:space="preserve">قالب پخت کلاچ پیکان </v>
          </cell>
          <cell r="C347" t="str">
            <v>قالب تعمیری</v>
          </cell>
          <cell r="AF347">
            <v>3</v>
          </cell>
        </row>
        <row r="348">
          <cell r="B348" t="str">
            <v>قالب پخت کلاچ پژو 405</v>
          </cell>
          <cell r="C348" t="str">
            <v>قالب تعمیری</v>
          </cell>
          <cell r="AF348">
            <v>4</v>
          </cell>
        </row>
        <row r="349">
          <cell r="B349" t="str">
            <v xml:space="preserve">قالب پخت کلاچ پیکان </v>
          </cell>
          <cell r="C349" t="str">
            <v>قالب تعمیری</v>
          </cell>
          <cell r="AF349">
            <v>2</v>
          </cell>
        </row>
        <row r="350">
          <cell r="B350" t="str">
            <v>قالب پخت کلاچ پژو 405</v>
          </cell>
          <cell r="C350" t="str">
            <v>قالب تعمیری</v>
          </cell>
          <cell r="AF350">
            <v>3</v>
          </cell>
        </row>
        <row r="351">
          <cell r="B351" t="str">
            <v>قالب ترابوزا</v>
          </cell>
          <cell r="C351" t="str">
            <v>قالب تعمیری</v>
          </cell>
          <cell r="AF351">
            <v>2</v>
          </cell>
        </row>
        <row r="352">
          <cell r="B352" t="str">
            <v xml:space="preserve">قالب پخت کلاچ پیکان </v>
          </cell>
          <cell r="C352" t="str">
            <v>قالب تعمیری</v>
          </cell>
          <cell r="AF352">
            <v>1</v>
          </cell>
        </row>
        <row r="353">
          <cell r="B353" t="str">
            <v>ساب الماسه</v>
          </cell>
          <cell r="C353" t="str">
            <v>قطعه تعمیری</v>
          </cell>
          <cell r="AF353">
            <v>1</v>
          </cell>
        </row>
        <row r="354">
          <cell r="B354" t="str">
            <v>ساب الماسه</v>
          </cell>
          <cell r="C354" t="str">
            <v>قطعه تعمیری</v>
          </cell>
          <cell r="AF354">
            <v>1</v>
          </cell>
        </row>
        <row r="355">
          <cell r="B355" t="str">
            <v>دستگاه پشم فلز</v>
          </cell>
          <cell r="C355" t="str">
            <v>قطعه تعمیری</v>
          </cell>
          <cell r="AF355">
            <v>10</v>
          </cell>
        </row>
        <row r="356">
          <cell r="B356" t="str">
            <v>دستگاه پشم فلز</v>
          </cell>
          <cell r="C356" t="str">
            <v>قطعه تعمیری</v>
          </cell>
          <cell r="AF356">
            <v>10</v>
          </cell>
        </row>
        <row r="357">
          <cell r="B357" t="str">
            <v>قالب پخت کلاچ پژو 405</v>
          </cell>
          <cell r="C357" t="str">
            <v>قالب تعمیری</v>
          </cell>
          <cell r="AF357">
            <v>10</v>
          </cell>
        </row>
        <row r="358">
          <cell r="B358" t="str">
            <v>ویوینگ</v>
          </cell>
          <cell r="C358" t="str">
            <v>قطعه نو</v>
          </cell>
          <cell r="AF358">
            <v>3</v>
          </cell>
        </row>
        <row r="359">
          <cell r="B359" t="str">
            <v>کلمپ زنی</v>
          </cell>
          <cell r="C359" t="str">
            <v>دستگاه تعمیری</v>
          </cell>
          <cell r="AF359">
            <v>7</v>
          </cell>
        </row>
        <row r="360">
          <cell r="B360" t="str">
            <v>قالب ترابوزا</v>
          </cell>
          <cell r="C360" t="str">
            <v>قالب تعمیری</v>
          </cell>
          <cell r="AF360">
            <v>2</v>
          </cell>
        </row>
        <row r="361">
          <cell r="B361" t="str">
            <v>قالب پخت کلاچ پژو 405</v>
          </cell>
          <cell r="C361" t="str">
            <v>قالب تعمیری</v>
          </cell>
          <cell r="AF361">
            <v>2</v>
          </cell>
        </row>
        <row r="362">
          <cell r="B362" t="str">
            <v>ساب الماسه</v>
          </cell>
          <cell r="C362" t="str">
            <v>قطعه تعمیری</v>
          </cell>
          <cell r="AF362">
            <v>2</v>
          </cell>
        </row>
        <row r="363">
          <cell r="B363" t="str">
            <v>ساب الماسه</v>
          </cell>
          <cell r="C363" t="str">
            <v>قطعه تعمیری</v>
          </cell>
          <cell r="AF363">
            <v>2</v>
          </cell>
        </row>
        <row r="364">
          <cell r="B364" t="str">
            <v>ساب الماسه</v>
          </cell>
          <cell r="C364" t="str">
            <v>قطعه نو</v>
          </cell>
          <cell r="AF364">
            <v>3</v>
          </cell>
        </row>
        <row r="365">
          <cell r="B365" t="str">
            <v>پخت کلاچ FH</v>
          </cell>
          <cell r="C365" t="str">
            <v>قالب تعمیری</v>
          </cell>
          <cell r="AF365">
            <v>4</v>
          </cell>
        </row>
        <row r="366">
          <cell r="B366" t="str">
            <v>پخت کلاچ FH</v>
          </cell>
          <cell r="C366" t="str">
            <v>قالب تعمیری</v>
          </cell>
          <cell r="AF366">
            <v>2</v>
          </cell>
        </row>
        <row r="367">
          <cell r="B367" t="str">
            <v>قالب پخت کلاچ پژو 405</v>
          </cell>
          <cell r="C367" t="str">
            <v>قالب تعمیری</v>
          </cell>
          <cell r="AF367">
            <v>1</v>
          </cell>
        </row>
        <row r="368">
          <cell r="B368" t="str">
            <v>قالب پخت کلاچ پژو 405</v>
          </cell>
          <cell r="C368" t="str">
            <v>قالب تعمیری</v>
          </cell>
          <cell r="AF368">
            <v>1</v>
          </cell>
        </row>
        <row r="369">
          <cell r="B369" t="str">
            <v>قالب پخت کلاچ پیکان</v>
          </cell>
          <cell r="C369" t="str">
            <v>قالب تعمیری</v>
          </cell>
          <cell r="AF369">
            <v>3</v>
          </cell>
        </row>
        <row r="370">
          <cell r="B370" t="str">
            <v>پخت کلاچ پراید</v>
          </cell>
          <cell r="C370" t="str">
            <v>قالب تعمیری</v>
          </cell>
          <cell r="AF370">
            <v>10</v>
          </cell>
        </row>
        <row r="371">
          <cell r="B371" t="str">
            <v>پخت کلاچ پراید</v>
          </cell>
          <cell r="C371" t="str">
            <v>قالب تعمیری</v>
          </cell>
          <cell r="AF371">
            <v>1</v>
          </cell>
        </row>
        <row r="372">
          <cell r="B372" t="str">
            <v>دستگاه پرس 600 تن</v>
          </cell>
          <cell r="C372" t="str">
            <v>قطعه نو</v>
          </cell>
          <cell r="AF372">
            <v>11</v>
          </cell>
        </row>
        <row r="373">
          <cell r="B373" t="str">
            <v xml:space="preserve">قالب پخت کلاچ پیکان </v>
          </cell>
          <cell r="C373" t="str">
            <v>قالب تعمیری</v>
          </cell>
          <cell r="AF373">
            <v>11</v>
          </cell>
        </row>
        <row r="374">
          <cell r="B374" t="str">
            <v>دستگاه پرس 600 تن</v>
          </cell>
          <cell r="C374" t="str">
            <v>قطعه نو</v>
          </cell>
          <cell r="AF374">
            <v>11</v>
          </cell>
        </row>
        <row r="375">
          <cell r="B375" t="str">
            <v>صفحات 50*50 پخت کلاچ</v>
          </cell>
          <cell r="C375" t="str">
            <v>قالب تعمیری</v>
          </cell>
          <cell r="AF375">
            <v>11</v>
          </cell>
        </row>
        <row r="376">
          <cell r="B376" t="str">
            <v>سوراخکاری پیلسان</v>
          </cell>
          <cell r="C376" t="str">
            <v>قطعه نو</v>
          </cell>
          <cell r="AF376">
            <v>1</v>
          </cell>
        </row>
        <row r="377">
          <cell r="B377" t="str">
            <v>صفحه قالب یدک
700*500*65</v>
          </cell>
          <cell r="C377" t="str">
            <v>قطعه نو</v>
          </cell>
          <cell r="AF377">
            <v>11</v>
          </cell>
        </row>
        <row r="378">
          <cell r="B378" t="str">
            <v>دستگاه برش جمعی</v>
          </cell>
          <cell r="C378" t="str">
            <v>دستگاه نو</v>
          </cell>
          <cell r="AF378">
            <v>4</v>
          </cell>
        </row>
        <row r="379">
          <cell r="B379" t="str">
            <v>دستگاه پرس پخت</v>
          </cell>
          <cell r="C379" t="str">
            <v>قطعه تعمیری</v>
          </cell>
          <cell r="AF379">
            <v>2.5</v>
          </cell>
        </row>
        <row r="380">
          <cell r="B380" t="str">
            <v>لیفتراک</v>
          </cell>
          <cell r="C380" t="str">
            <v>قطعه تعمیری</v>
          </cell>
          <cell r="AF380">
            <v>2</v>
          </cell>
        </row>
        <row r="381">
          <cell r="B381" t="str">
            <v>قالب پخت کلاچ پژو 405</v>
          </cell>
          <cell r="C381" t="str">
            <v>قالب تعمیری</v>
          </cell>
          <cell r="AF381">
            <v>2</v>
          </cell>
        </row>
        <row r="382">
          <cell r="B382" t="str">
            <v>دستگاه پرس پخت</v>
          </cell>
          <cell r="C382" t="str">
            <v>قطعه تعمیری</v>
          </cell>
          <cell r="AF382">
            <v>3.3333333333333335</v>
          </cell>
        </row>
        <row r="383">
          <cell r="B383" t="str">
            <v xml:space="preserve">قالب پخت کلاچ پیکان </v>
          </cell>
          <cell r="C383" t="str">
            <v>قالب تعمیری</v>
          </cell>
          <cell r="AF383">
            <v>3.3333333333333335</v>
          </cell>
        </row>
        <row r="384">
          <cell r="B384" t="str">
            <v>دستگاه پرس پخت</v>
          </cell>
          <cell r="C384" t="str">
            <v>قطعه تعمیری</v>
          </cell>
          <cell r="AF384">
            <v>2</v>
          </cell>
        </row>
        <row r="385">
          <cell r="B385" t="str">
            <v>سری نقطه جوش</v>
          </cell>
          <cell r="C385" t="str">
            <v>قطعه تعمیری</v>
          </cell>
          <cell r="AF385">
            <v>2</v>
          </cell>
        </row>
        <row r="386">
          <cell r="B386" t="str">
            <v>دستگاه پشم فلز</v>
          </cell>
          <cell r="C386" t="str">
            <v>قطعه تعمیری</v>
          </cell>
          <cell r="AF386">
            <v>12</v>
          </cell>
        </row>
        <row r="387">
          <cell r="B387" t="str">
            <v>قالب پخت کلاچ پژو 405</v>
          </cell>
          <cell r="C387" t="str">
            <v>قالب تعمیری</v>
          </cell>
          <cell r="AF387">
            <v>6</v>
          </cell>
        </row>
        <row r="388">
          <cell r="B388" t="str">
            <v>کلمپ زنی</v>
          </cell>
          <cell r="C388" t="str">
            <v>دستگاه تعمیری</v>
          </cell>
          <cell r="AF388">
            <v>6</v>
          </cell>
        </row>
        <row r="389">
          <cell r="B389" t="str">
            <v>دستگاه پشم فلز</v>
          </cell>
          <cell r="C389" t="str">
            <v>قطعه تعمیری</v>
          </cell>
          <cell r="AF389">
            <v>6</v>
          </cell>
        </row>
        <row r="390">
          <cell r="B390" t="str">
            <v>دستگاه پشم فلز</v>
          </cell>
          <cell r="C390" t="str">
            <v>قطعه تعمیری</v>
          </cell>
          <cell r="AF390">
            <v>12</v>
          </cell>
        </row>
        <row r="391">
          <cell r="B391" t="str">
            <v>پرچ ریو</v>
          </cell>
          <cell r="C391" t="str">
            <v>قطعه تعمیری</v>
          </cell>
          <cell r="AF391">
            <v>4</v>
          </cell>
        </row>
        <row r="392">
          <cell r="B392" t="str">
            <v xml:space="preserve">قالب پخت کلاچ پیکان </v>
          </cell>
          <cell r="C392" t="str">
            <v>قالب تعمیری</v>
          </cell>
          <cell r="AF392">
            <v>2.5</v>
          </cell>
        </row>
        <row r="393">
          <cell r="B393" t="str">
            <v>پخت کلاچ پراید</v>
          </cell>
          <cell r="C393" t="str">
            <v>قالب تعمیری</v>
          </cell>
          <cell r="AF393">
            <v>2.5</v>
          </cell>
        </row>
        <row r="394">
          <cell r="B394" t="str">
            <v>قالب پخت کلاچ پژو 405</v>
          </cell>
          <cell r="C394" t="str">
            <v>قالب تعمیری</v>
          </cell>
          <cell r="AF394">
            <v>2.5</v>
          </cell>
        </row>
        <row r="395">
          <cell r="B395" t="str">
            <v>ویوینگ</v>
          </cell>
          <cell r="C395" t="str">
            <v>قطعه نو</v>
          </cell>
          <cell r="AF395">
            <v>1</v>
          </cell>
        </row>
        <row r="396">
          <cell r="B396" t="str">
            <v>سوراخکاری پیلسان</v>
          </cell>
          <cell r="C396" t="str">
            <v>قطعه نو</v>
          </cell>
          <cell r="AF396">
            <v>1</v>
          </cell>
        </row>
        <row r="397">
          <cell r="B397" t="str">
            <v>دستگاه پرس 600 تن</v>
          </cell>
          <cell r="C397" t="str">
            <v>قطعه نو</v>
          </cell>
          <cell r="AF397">
            <v>0.5</v>
          </cell>
        </row>
        <row r="398">
          <cell r="B398" t="str">
            <v xml:space="preserve">قالب پخت کلاچ پیکان </v>
          </cell>
          <cell r="C398" t="str">
            <v>قالب تعمیری</v>
          </cell>
          <cell r="AF398">
            <v>2.5</v>
          </cell>
        </row>
        <row r="399">
          <cell r="B399" t="str">
            <v>پخت کلاچ پراید</v>
          </cell>
          <cell r="C399" t="str">
            <v>قالب تعمیری</v>
          </cell>
          <cell r="AF399">
            <v>2.5</v>
          </cell>
        </row>
        <row r="400">
          <cell r="B400" t="str">
            <v>قالب پخت کلاچ پژو 405</v>
          </cell>
          <cell r="C400" t="str">
            <v>قالب تعمیری</v>
          </cell>
          <cell r="AF400">
            <v>2.5</v>
          </cell>
        </row>
        <row r="401">
          <cell r="B401" t="str">
            <v>قالب ترابوزا</v>
          </cell>
          <cell r="C401" t="str">
            <v>قالب تعمیری</v>
          </cell>
          <cell r="AF401">
            <v>1.5</v>
          </cell>
        </row>
        <row r="402">
          <cell r="B402" t="str">
            <v>سوراخکاری پیلسان</v>
          </cell>
          <cell r="C402" t="str">
            <v>قطعه نو</v>
          </cell>
          <cell r="AF402">
            <v>1</v>
          </cell>
        </row>
        <row r="403">
          <cell r="B403" t="str">
            <v xml:space="preserve">قالب پخت کلاچ پیکان </v>
          </cell>
          <cell r="C403" t="str">
            <v>قالب تعمیری</v>
          </cell>
          <cell r="AF403">
            <v>11</v>
          </cell>
        </row>
        <row r="404">
          <cell r="B404" t="str">
            <v>دستگاه پرس 600 تن</v>
          </cell>
          <cell r="C404" t="str">
            <v>قطعه نو</v>
          </cell>
          <cell r="AF404">
            <v>11</v>
          </cell>
        </row>
        <row r="405">
          <cell r="B405" t="str">
            <v>صفحه قالب یدک
700*500*65</v>
          </cell>
          <cell r="C405" t="str">
            <v>قطعه نو</v>
          </cell>
          <cell r="AF405">
            <v>11</v>
          </cell>
        </row>
        <row r="406">
          <cell r="B406" t="str">
            <v>صفحات 50*50 پخت کلاچ</v>
          </cell>
          <cell r="C406" t="str">
            <v>قالب تعمیری</v>
          </cell>
          <cell r="AF406">
            <v>11</v>
          </cell>
        </row>
        <row r="407">
          <cell r="B407" t="str">
            <v>پخت کلاچ پراید</v>
          </cell>
          <cell r="C407" t="str">
            <v>قالب تعمیری</v>
          </cell>
          <cell r="AF407">
            <v>8</v>
          </cell>
        </row>
        <row r="408">
          <cell r="B408" t="str">
            <v>قالب پخت کلاچ پژو 405</v>
          </cell>
          <cell r="C408" t="str">
            <v>قالب تعمیری</v>
          </cell>
          <cell r="AF408">
            <v>3</v>
          </cell>
        </row>
        <row r="409">
          <cell r="B409" t="str">
            <v>قالب پخت کلاچ پژو 405</v>
          </cell>
          <cell r="C409" t="str">
            <v>قالب تعمیری</v>
          </cell>
          <cell r="AF409">
            <v>9</v>
          </cell>
        </row>
        <row r="410">
          <cell r="B410" t="str">
            <v>قالب پخت کلاچ پژو 405</v>
          </cell>
          <cell r="C410" t="str">
            <v>قالب تعمیری</v>
          </cell>
          <cell r="AF410">
            <v>2</v>
          </cell>
        </row>
        <row r="411">
          <cell r="B411" t="str">
            <v>دستگاه برش جمعی</v>
          </cell>
          <cell r="C411" t="str">
            <v>قطعه تعمیری</v>
          </cell>
          <cell r="AF411">
            <v>2</v>
          </cell>
        </row>
        <row r="412">
          <cell r="B412" t="str">
            <v>قالب پخت کلاچ پژو 405</v>
          </cell>
          <cell r="C412" t="str">
            <v>قالب تعمیری</v>
          </cell>
          <cell r="AF412">
            <v>4</v>
          </cell>
        </row>
        <row r="413">
          <cell r="B413" t="str">
            <v>ویوینگ</v>
          </cell>
          <cell r="C413" t="str">
            <v>قطعه نو</v>
          </cell>
          <cell r="AF413">
            <v>5</v>
          </cell>
        </row>
        <row r="414">
          <cell r="B414" t="str">
            <v>ویوینگ</v>
          </cell>
          <cell r="C414" t="str">
            <v>قطعه نو</v>
          </cell>
          <cell r="AF414">
            <v>1.5</v>
          </cell>
        </row>
        <row r="415">
          <cell r="B415" t="str">
            <v>پخت کلاچ پژو 206 TU5</v>
          </cell>
          <cell r="C415" t="str">
            <v>قالب تعمیری</v>
          </cell>
          <cell r="AF415">
            <v>1.5</v>
          </cell>
        </row>
        <row r="416">
          <cell r="B416" t="str">
            <v xml:space="preserve">قالب پخت کلاچ پیکان </v>
          </cell>
          <cell r="C416" t="str">
            <v>قالب تعمیری</v>
          </cell>
          <cell r="AF416">
            <v>1.5</v>
          </cell>
        </row>
        <row r="417">
          <cell r="B417" t="str">
            <v>ویوینگ</v>
          </cell>
          <cell r="C417" t="str">
            <v>قطعه نو</v>
          </cell>
          <cell r="AF417">
            <v>1.5</v>
          </cell>
        </row>
        <row r="418">
          <cell r="B418" t="str">
            <v>قالب ترابوزا</v>
          </cell>
          <cell r="C418" t="str">
            <v>قالب تعمیری</v>
          </cell>
          <cell r="AF418">
            <v>5</v>
          </cell>
        </row>
        <row r="419">
          <cell r="B419" t="str">
            <v>قالب پخت کلاچ پژو 405</v>
          </cell>
          <cell r="C419" t="str">
            <v>قالب تعمیری</v>
          </cell>
          <cell r="AF419">
            <v>7.5</v>
          </cell>
        </row>
        <row r="420">
          <cell r="B420" t="str">
            <v>قالب پخت کلاچ پژو 405</v>
          </cell>
          <cell r="C420" t="str">
            <v>قالب تعمیری</v>
          </cell>
          <cell r="AF420">
            <v>7.5</v>
          </cell>
        </row>
        <row r="421">
          <cell r="B421" t="str">
            <v>قالب پخت SAF</v>
          </cell>
          <cell r="C421" t="str">
            <v>قالب نو</v>
          </cell>
          <cell r="AF421">
            <v>7.5</v>
          </cell>
        </row>
        <row r="422">
          <cell r="B422" t="str">
            <v>دستگاه پرس پخت</v>
          </cell>
          <cell r="C422" t="str">
            <v>قطعه تعمیری</v>
          </cell>
          <cell r="AF422">
            <v>6.5</v>
          </cell>
        </row>
        <row r="423">
          <cell r="B423" t="str">
            <v>صفحه قالب یدک
700*500*65</v>
          </cell>
          <cell r="C423" t="str">
            <v>قطعه نو</v>
          </cell>
          <cell r="AF423">
            <v>7.5</v>
          </cell>
        </row>
        <row r="424">
          <cell r="B424" t="str">
            <v>صفحات 50*50 پخت کلاچ</v>
          </cell>
          <cell r="C424" t="str">
            <v>قالب تعمیری</v>
          </cell>
          <cell r="AF424">
            <v>7.5</v>
          </cell>
        </row>
        <row r="425">
          <cell r="B425" t="str">
            <v>قالب پخت کلاچ پژو 405</v>
          </cell>
          <cell r="C425" t="str">
            <v>قالب تعمیری</v>
          </cell>
          <cell r="AF425">
            <v>1</v>
          </cell>
        </row>
        <row r="426">
          <cell r="B426" t="str">
            <v>قالب پخت SAF</v>
          </cell>
          <cell r="C426" t="str">
            <v>قالب نو</v>
          </cell>
          <cell r="AF426">
            <v>4</v>
          </cell>
        </row>
        <row r="427">
          <cell r="B427" t="str">
            <v>قالب پخت کلاچ پژو 405</v>
          </cell>
          <cell r="C427" t="str">
            <v>قالب تعمیری</v>
          </cell>
          <cell r="AF427">
            <v>2</v>
          </cell>
        </row>
        <row r="428">
          <cell r="B428" t="str">
            <v>اصول 5S</v>
          </cell>
          <cell r="C428" t="str">
            <v>نظافت</v>
          </cell>
          <cell r="AF428">
            <v>1</v>
          </cell>
        </row>
        <row r="429">
          <cell r="B429" t="str">
            <v>قالب پخت کلاچ پژو 405</v>
          </cell>
          <cell r="C429" t="str">
            <v>قالب تعمیری</v>
          </cell>
          <cell r="AF429">
            <v>2</v>
          </cell>
        </row>
        <row r="430">
          <cell r="B430" t="str">
            <v>قالب ترابوزا</v>
          </cell>
          <cell r="C430" t="str">
            <v>قالب تعمیری</v>
          </cell>
          <cell r="AF430">
            <v>1</v>
          </cell>
        </row>
        <row r="431">
          <cell r="B431" t="str">
            <v>قالب پخت کلاچ پژو 405</v>
          </cell>
          <cell r="C431" t="str">
            <v>قالب تعمیری</v>
          </cell>
          <cell r="AF431">
            <v>4</v>
          </cell>
        </row>
        <row r="432">
          <cell r="B432" t="str">
            <v>اصول 5S</v>
          </cell>
          <cell r="C432" t="str">
            <v>نظافت</v>
          </cell>
          <cell r="AF432">
            <v>0.5</v>
          </cell>
        </row>
        <row r="433">
          <cell r="B433" t="str">
            <v>قالب ترابوزا</v>
          </cell>
          <cell r="C433" t="str">
            <v>قالب تعمیری</v>
          </cell>
          <cell r="AF433">
            <v>2.5</v>
          </cell>
        </row>
        <row r="434">
          <cell r="B434" t="str">
            <v>قالب پخت کلاچ پژو 405</v>
          </cell>
          <cell r="C434" t="str">
            <v>قالب تعمیری</v>
          </cell>
          <cell r="AF434">
            <v>2.5</v>
          </cell>
        </row>
        <row r="435">
          <cell r="B435" t="str">
            <v>پخت کلاچ ایسوزو</v>
          </cell>
          <cell r="C435" t="str">
            <v>قالب تعمیری</v>
          </cell>
          <cell r="AF435">
            <v>2</v>
          </cell>
        </row>
        <row r="436">
          <cell r="B436" t="str">
            <v>پخت کلاچ پژو 206 TU5</v>
          </cell>
          <cell r="C436" t="str">
            <v>قالب تعمیری</v>
          </cell>
          <cell r="AF436">
            <v>4</v>
          </cell>
        </row>
        <row r="437">
          <cell r="B437" t="str">
            <v>لیفتراک</v>
          </cell>
          <cell r="C437" t="str">
            <v>قطعه تعمیری</v>
          </cell>
          <cell r="AF437">
            <v>1</v>
          </cell>
        </row>
        <row r="438">
          <cell r="B438" t="str">
            <v>قالب ترابوزا</v>
          </cell>
          <cell r="C438" t="str">
            <v>قالب تعمیری</v>
          </cell>
          <cell r="AF438">
            <v>3</v>
          </cell>
        </row>
        <row r="439">
          <cell r="B439" t="str">
            <v>قالب ترابوزا</v>
          </cell>
          <cell r="C439" t="str">
            <v>قالب تعمیری</v>
          </cell>
          <cell r="AF439">
            <v>4</v>
          </cell>
        </row>
        <row r="440">
          <cell r="B440" t="str">
            <v>پخت کلاچ ایسوزو</v>
          </cell>
          <cell r="C440" t="str">
            <v>قالب تعمیری</v>
          </cell>
          <cell r="AF440">
            <v>0.5</v>
          </cell>
        </row>
        <row r="441">
          <cell r="B441" t="str">
            <v>پخت کلاچ ایسوزو</v>
          </cell>
          <cell r="C441" t="str">
            <v>قالب تعمیری</v>
          </cell>
          <cell r="AF441">
            <v>1</v>
          </cell>
        </row>
        <row r="442">
          <cell r="B442" t="str">
            <v>قالب پخت کلاچ پژو 405</v>
          </cell>
          <cell r="C442" t="str">
            <v>قالب تعمیری</v>
          </cell>
          <cell r="AF442">
            <v>2</v>
          </cell>
        </row>
        <row r="443">
          <cell r="B443" t="str">
            <v>دستگاه پرس 600 تن</v>
          </cell>
          <cell r="C443" t="str">
            <v>قطعه نو</v>
          </cell>
          <cell r="AF443">
            <v>2</v>
          </cell>
        </row>
        <row r="444">
          <cell r="B444" t="str">
            <v>قالب پخت کلاچ پژو 405</v>
          </cell>
          <cell r="C444" t="str">
            <v>قالب تعمیری</v>
          </cell>
          <cell r="AF444">
            <v>2</v>
          </cell>
        </row>
        <row r="445">
          <cell r="B445" t="str">
            <v>اصول 5S</v>
          </cell>
          <cell r="C445" t="str">
            <v>نظافت</v>
          </cell>
          <cell r="AF445">
            <v>2</v>
          </cell>
        </row>
        <row r="446">
          <cell r="B446" t="str">
            <v>دستگاه پشم فلز</v>
          </cell>
          <cell r="C446" t="str">
            <v>قطعه تعمیری</v>
          </cell>
          <cell r="AF446">
            <v>10</v>
          </cell>
        </row>
        <row r="447">
          <cell r="B447" t="str">
            <v>دستگاه پشم فلز</v>
          </cell>
          <cell r="C447" t="str">
            <v>قطعه تعمیری</v>
          </cell>
          <cell r="AF447">
            <v>12</v>
          </cell>
        </row>
        <row r="448">
          <cell r="B448" t="str">
            <v>پرچ ریو</v>
          </cell>
          <cell r="C448" t="str">
            <v>قطعه تعمیری</v>
          </cell>
          <cell r="AF448">
            <v>12</v>
          </cell>
        </row>
        <row r="449">
          <cell r="B449" t="str">
            <v>برشی نیوفیس C&amp;C</v>
          </cell>
          <cell r="C449" t="str">
            <v>قالب نو</v>
          </cell>
          <cell r="AF449">
            <v>8</v>
          </cell>
        </row>
        <row r="450">
          <cell r="B450" t="str">
            <v>برشی نیوفیس C&amp;C</v>
          </cell>
          <cell r="C450" t="str">
            <v>قالب نو</v>
          </cell>
          <cell r="AF450">
            <v>2</v>
          </cell>
        </row>
        <row r="451">
          <cell r="B451" t="str">
            <v>برشی نیوفیس C&amp;C</v>
          </cell>
          <cell r="C451" t="str">
            <v>قالب نو</v>
          </cell>
          <cell r="AF451">
            <v>6</v>
          </cell>
        </row>
        <row r="452">
          <cell r="B452" t="str">
            <v>دستگاه پشم فلز</v>
          </cell>
          <cell r="C452" t="str">
            <v>قطعه تعمیری</v>
          </cell>
          <cell r="AF452">
            <v>6</v>
          </cell>
        </row>
        <row r="453">
          <cell r="B453" t="str">
            <v>پرچ ریو</v>
          </cell>
          <cell r="C453" t="str">
            <v>قطعه تعمیری</v>
          </cell>
          <cell r="AF453">
            <v>6</v>
          </cell>
        </row>
        <row r="454">
          <cell r="B454" t="str">
            <v>برشی نیوفیس C&amp;C</v>
          </cell>
          <cell r="C454" t="str">
            <v>قالب نو</v>
          </cell>
          <cell r="AF454">
            <v>6</v>
          </cell>
        </row>
        <row r="455">
          <cell r="B455" t="str">
            <v>لیفتراک</v>
          </cell>
          <cell r="C455" t="str">
            <v>قطعه تعمیری</v>
          </cell>
          <cell r="AF455">
            <v>2</v>
          </cell>
        </row>
        <row r="456">
          <cell r="B456" t="str">
            <v>ویوینگ</v>
          </cell>
          <cell r="C456" t="str">
            <v>قطعه نو</v>
          </cell>
          <cell r="AF456">
            <v>2</v>
          </cell>
        </row>
        <row r="457">
          <cell r="B457" t="str">
            <v>قالب خشاب زنی</v>
          </cell>
          <cell r="C457" t="str">
            <v>قطعه تعمیری</v>
          </cell>
          <cell r="AF457">
            <v>1</v>
          </cell>
        </row>
        <row r="458">
          <cell r="B458" t="str">
            <v>ساب داخل</v>
          </cell>
          <cell r="C458" t="str">
            <v>قطعه تعمیری</v>
          </cell>
          <cell r="AF458">
            <v>2</v>
          </cell>
        </row>
        <row r="459">
          <cell r="B459" t="str">
            <v>قالب پخت کلاچ پژو 405</v>
          </cell>
          <cell r="C459" t="str">
            <v>قالب تعمیری</v>
          </cell>
          <cell r="AF459">
            <v>11</v>
          </cell>
        </row>
        <row r="460">
          <cell r="B460" t="str">
            <v>قالب پخت کلاچ پژو 405</v>
          </cell>
          <cell r="C460" t="str">
            <v>قالب تعمیری</v>
          </cell>
          <cell r="AF460">
            <v>11</v>
          </cell>
        </row>
        <row r="461">
          <cell r="B461" t="str">
            <v>صفحات 50*50 پخت کلاچ</v>
          </cell>
          <cell r="C461" t="str">
            <v>قالب تعمیری</v>
          </cell>
          <cell r="AF461">
            <v>11</v>
          </cell>
        </row>
        <row r="462">
          <cell r="B462" t="str">
            <v>صفحه قالب یدک
700*500*65</v>
          </cell>
          <cell r="C462" t="str">
            <v>قطعه نو</v>
          </cell>
          <cell r="AF462">
            <v>5.5</v>
          </cell>
        </row>
        <row r="463">
          <cell r="B463" t="str">
            <v>برشی نیوفیس C&amp;C</v>
          </cell>
          <cell r="C463" t="str">
            <v>قالب نو</v>
          </cell>
          <cell r="AF463">
            <v>5.5</v>
          </cell>
        </row>
        <row r="464">
          <cell r="B464" t="str">
            <v>قالب پخت کلاچ پژو 405</v>
          </cell>
          <cell r="C464" t="str">
            <v>قالب تعمیری</v>
          </cell>
          <cell r="AF464">
            <v>5</v>
          </cell>
        </row>
        <row r="465">
          <cell r="B465" t="str">
            <v>قالب پخت کلاچ پژو 405</v>
          </cell>
          <cell r="C465" t="str">
            <v>قالب تعمیری</v>
          </cell>
          <cell r="AF465">
            <v>5</v>
          </cell>
        </row>
        <row r="466">
          <cell r="B466" t="str">
            <v>دستگاه پرس پخت</v>
          </cell>
          <cell r="C466" t="str">
            <v>قطعه تعمیری</v>
          </cell>
          <cell r="AF466">
            <v>2.5</v>
          </cell>
        </row>
        <row r="467">
          <cell r="B467" t="str">
            <v>آسیاب پشم فلز</v>
          </cell>
          <cell r="C467" t="str">
            <v>قطعه تعمیری</v>
          </cell>
          <cell r="AF467">
            <v>4</v>
          </cell>
        </row>
        <row r="468">
          <cell r="B468" t="str">
            <v>قالب پخت کلاچ پژو 405</v>
          </cell>
          <cell r="C468" t="str">
            <v>قالب تعمیری</v>
          </cell>
          <cell r="AF468">
            <v>11</v>
          </cell>
        </row>
        <row r="469">
          <cell r="B469" t="str">
            <v>دستگاه پشم فلز</v>
          </cell>
          <cell r="C469" t="str">
            <v>قطعه تعمیری</v>
          </cell>
          <cell r="AF469">
            <v>12</v>
          </cell>
        </row>
        <row r="470">
          <cell r="B470" t="str">
            <v>دستگاه پشم فلز</v>
          </cell>
          <cell r="C470" t="str">
            <v>قطعه تعمیری</v>
          </cell>
          <cell r="AF470">
            <v>12</v>
          </cell>
        </row>
        <row r="471">
          <cell r="B471" t="str">
            <v>برشی نیوفیس C&amp;C</v>
          </cell>
          <cell r="C471" t="str">
            <v>قالب نو</v>
          </cell>
          <cell r="AF471">
            <v>12</v>
          </cell>
        </row>
        <row r="472">
          <cell r="B472" t="str">
            <v>پخت کلاچ ایسوزو</v>
          </cell>
          <cell r="C472" t="str">
            <v>قالب تعمیری</v>
          </cell>
          <cell r="AF472">
            <v>4</v>
          </cell>
        </row>
        <row r="473">
          <cell r="B473" t="str">
            <v xml:space="preserve">پخت کلاچ پراید سکو </v>
          </cell>
          <cell r="C473" t="str">
            <v>قالب تعمیری</v>
          </cell>
          <cell r="AF473">
            <v>4</v>
          </cell>
        </row>
        <row r="474">
          <cell r="B474" t="str">
            <v>قالب پخت کلاچ پژو 405</v>
          </cell>
          <cell r="C474" t="str">
            <v>قالب تعمیری</v>
          </cell>
          <cell r="AF474">
            <v>2</v>
          </cell>
        </row>
        <row r="475">
          <cell r="B475" t="str">
            <v>دستگاه پرس 600 تن</v>
          </cell>
          <cell r="C475" t="str">
            <v>قطعه نو</v>
          </cell>
          <cell r="AF475">
            <v>4</v>
          </cell>
        </row>
        <row r="476">
          <cell r="B476" t="str">
            <v>دستگاه پشم فلز</v>
          </cell>
          <cell r="C476" t="str">
            <v>قطعه تعمیری</v>
          </cell>
          <cell r="AF476">
            <v>4</v>
          </cell>
        </row>
        <row r="477">
          <cell r="B477" t="str">
            <v>قالب پخت کلاچ پژو 405</v>
          </cell>
          <cell r="C477" t="str">
            <v>قالب تعمیری</v>
          </cell>
          <cell r="AF477">
            <v>2</v>
          </cell>
        </row>
        <row r="478">
          <cell r="B478" t="str">
            <v xml:space="preserve">پخت کلاچ پراید سکو </v>
          </cell>
          <cell r="C478" t="str">
            <v>قالب تعمیری</v>
          </cell>
          <cell r="AF478">
            <v>4</v>
          </cell>
        </row>
        <row r="479">
          <cell r="B479" t="str">
            <v>قالب پخت کلاچ پژو 405</v>
          </cell>
          <cell r="C479" t="str">
            <v>قالب تعمیری</v>
          </cell>
          <cell r="AF479">
            <v>2</v>
          </cell>
        </row>
        <row r="480">
          <cell r="B480" t="str">
            <v>قالب پخت کلاچ پژو 405</v>
          </cell>
          <cell r="C480" t="str">
            <v>قالب تعمیری</v>
          </cell>
          <cell r="AF480">
            <v>3</v>
          </cell>
        </row>
        <row r="481">
          <cell r="B481" t="str">
            <v>قالب قطاری</v>
          </cell>
          <cell r="C481" t="str">
            <v>قالب تعمیری</v>
          </cell>
          <cell r="AF481">
            <v>1</v>
          </cell>
        </row>
        <row r="482">
          <cell r="B482" t="str">
            <v>پخت کلاچ ایویکو سوراخدار</v>
          </cell>
          <cell r="C482" t="str">
            <v>قالب تعمیری</v>
          </cell>
          <cell r="AF482">
            <v>2</v>
          </cell>
        </row>
        <row r="483">
          <cell r="B483" t="str">
            <v>دستگاه پشم فلز</v>
          </cell>
          <cell r="C483" t="str">
            <v>قطعه تعمیری</v>
          </cell>
          <cell r="AF483">
            <v>2</v>
          </cell>
        </row>
        <row r="484">
          <cell r="B484" t="str">
            <v>دستگاه پرس پخت</v>
          </cell>
          <cell r="C484" t="str">
            <v>قطعه تعمیری</v>
          </cell>
          <cell r="AF484">
            <v>2</v>
          </cell>
        </row>
        <row r="485">
          <cell r="B485" t="str">
            <v>سوپاپ کلاچ</v>
          </cell>
          <cell r="C485" t="str">
            <v>قطعه تعمیری</v>
          </cell>
          <cell r="AF485">
            <v>2</v>
          </cell>
        </row>
        <row r="486">
          <cell r="B486" t="str">
            <v>دستگاه پرس 600 تن</v>
          </cell>
          <cell r="C486" t="str">
            <v>قطعه نو</v>
          </cell>
          <cell r="AF486">
            <v>2</v>
          </cell>
        </row>
        <row r="487">
          <cell r="B487" t="str">
            <v>قالب پخت کلاچ پژو 405</v>
          </cell>
          <cell r="C487" t="str">
            <v>قالب تعمیری</v>
          </cell>
          <cell r="AF487">
            <v>1.5</v>
          </cell>
        </row>
        <row r="488">
          <cell r="B488" t="str">
            <v>برشی نیوفیس C&amp;C</v>
          </cell>
          <cell r="C488" t="str">
            <v>قالب نو</v>
          </cell>
          <cell r="AF488">
            <v>11</v>
          </cell>
        </row>
        <row r="489">
          <cell r="B489" t="str">
            <v>قالب پخت کلاچ پژو 405</v>
          </cell>
          <cell r="C489" t="str">
            <v>قالب تعمیری</v>
          </cell>
          <cell r="AF489">
            <v>11</v>
          </cell>
        </row>
        <row r="490">
          <cell r="B490" t="str">
            <v>قالب پخت کلاچ پژو 405</v>
          </cell>
          <cell r="C490" t="str">
            <v>قالب تعمیری</v>
          </cell>
          <cell r="AF490">
            <v>5.5</v>
          </cell>
        </row>
        <row r="491">
          <cell r="B491" t="str">
            <v>قالب پخت کلاچ پژو 405</v>
          </cell>
          <cell r="C491" t="str">
            <v>قالب تعمیری</v>
          </cell>
          <cell r="AF491">
            <v>7.5</v>
          </cell>
        </row>
        <row r="492">
          <cell r="B492" t="str">
            <v>قالب عقب F12</v>
          </cell>
          <cell r="C492" t="str">
            <v>قالب نو</v>
          </cell>
          <cell r="AF492">
            <v>3.5</v>
          </cell>
        </row>
        <row r="493">
          <cell r="B493" t="str">
            <v>صفحات 50*50 پخت کلاچ</v>
          </cell>
          <cell r="C493" t="str">
            <v>قالب تعمیری</v>
          </cell>
          <cell r="AF493">
            <v>3.5</v>
          </cell>
        </row>
        <row r="494">
          <cell r="B494" t="str">
            <v>پخت کلاچ پراید</v>
          </cell>
          <cell r="C494" t="str">
            <v>قالب تعمیری</v>
          </cell>
          <cell r="AF494">
            <v>7.5</v>
          </cell>
        </row>
        <row r="495">
          <cell r="B495" t="str">
            <v>آسیاب پشم فلز</v>
          </cell>
          <cell r="C495" t="str">
            <v>قطعه تعمیری</v>
          </cell>
          <cell r="AF495">
            <v>1.5</v>
          </cell>
        </row>
        <row r="496">
          <cell r="B496" t="str">
            <v>صفحه قالب یدک
700*500*65</v>
          </cell>
          <cell r="C496" t="str">
            <v>قطعه نو</v>
          </cell>
          <cell r="AF496">
            <v>5</v>
          </cell>
        </row>
        <row r="497">
          <cell r="B497" t="str">
            <v>قالب پخت کلاچ پژو 405</v>
          </cell>
          <cell r="C497" t="str">
            <v>قالب تعمیری</v>
          </cell>
          <cell r="AF497">
            <v>4.333333333333333</v>
          </cell>
        </row>
        <row r="498">
          <cell r="B498" t="str">
            <v>پخت کلاچ پراید</v>
          </cell>
          <cell r="C498" t="str">
            <v>قالب تعمیری</v>
          </cell>
          <cell r="AF498">
            <v>4.333333333333333</v>
          </cell>
        </row>
        <row r="499">
          <cell r="B499" t="str">
            <v>سری نقطه جوش</v>
          </cell>
          <cell r="C499" t="str">
            <v>قطعه تعمیری</v>
          </cell>
          <cell r="AF499">
            <v>2</v>
          </cell>
        </row>
        <row r="500">
          <cell r="B500" t="str">
            <v>قالب پخت کلاچ پژو 405</v>
          </cell>
          <cell r="C500" t="str">
            <v>قالب تعمیری</v>
          </cell>
          <cell r="AF500">
            <v>2</v>
          </cell>
        </row>
        <row r="501">
          <cell r="B501" t="str">
            <v>پخت کلاچ ایویکو سوراخدار</v>
          </cell>
          <cell r="C501" t="str">
            <v>قالب تعمیری</v>
          </cell>
          <cell r="AF501">
            <v>3</v>
          </cell>
        </row>
        <row r="502">
          <cell r="B502" t="str">
            <v>قالب قطاری</v>
          </cell>
          <cell r="C502" t="str">
            <v>قالب تعمیری</v>
          </cell>
          <cell r="AF502">
            <v>5</v>
          </cell>
        </row>
        <row r="503">
          <cell r="B503" t="str">
            <v>قالب پخت کلاچ پژو 405</v>
          </cell>
          <cell r="C503" t="str">
            <v>قالب تعمیری</v>
          </cell>
          <cell r="AF503">
            <v>3</v>
          </cell>
        </row>
        <row r="504">
          <cell r="B504" t="str">
            <v>پخت کلاچ ایویکو سوراخدار</v>
          </cell>
          <cell r="C504" t="str">
            <v>قالب تعمیری</v>
          </cell>
          <cell r="AF504">
            <v>2</v>
          </cell>
        </row>
        <row r="505">
          <cell r="B505" t="str">
            <v>قالب قطاری</v>
          </cell>
          <cell r="C505" t="str">
            <v>قالب تعمیری</v>
          </cell>
          <cell r="AF505">
            <v>4</v>
          </cell>
        </row>
        <row r="506">
          <cell r="B506" t="str">
            <v>قالب قطاری</v>
          </cell>
          <cell r="C506" t="str">
            <v>قالب تعمیری</v>
          </cell>
          <cell r="AF506">
            <v>2</v>
          </cell>
        </row>
        <row r="507">
          <cell r="B507" t="str">
            <v>قطعه کار سلمانی</v>
          </cell>
          <cell r="C507" t="str">
            <v>قطعه تعمیری</v>
          </cell>
          <cell r="AF507">
            <v>12</v>
          </cell>
        </row>
        <row r="508">
          <cell r="B508" t="str">
            <v>دستگاه پشم فلز</v>
          </cell>
          <cell r="C508" t="str">
            <v>قطعه تعمیری</v>
          </cell>
          <cell r="AF508">
            <v>4</v>
          </cell>
        </row>
        <row r="509">
          <cell r="B509" t="str">
            <v>ویوینگ</v>
          </cell>
          <cell r="C509" t="str">
            <v>قطعه نو</v>
          </cell>
          <cell r="AF509">
            <v>2</v>
          </cell>
        </row>
        <row r="510">
          <cell r="B510" t="str">
            <v>دستگاه پرس پخت</v>
          </cell>
          <cell r="C510" t="str">
            <v>قطعه نو</v>
          </cell>
          <cell r="AF510">
            <v>2</v>
          </cell>
        </row>
        <row r="511">
          <cell r="B511" t="str">
            <v>پخت کلاچ ایویکو سوراخدار</v>
          </cell>
          <cell r="C511" t="str">
            <v>قالب تعمیری</v>
          </cell>
          <cell r="AF511">
            <v>3</v>
          </cell>
        </row>
        <row r="512">
          <cell r="B512" t="str">
            <v>دستگاه پرس پخت</v>
          </cell>
          <cell r="C512" t="str">
            <v>قطعه تعمیری</v>
          </cell>
          <cell r="AF512">
            <v>2</v>
          </cell>
        </row>
        <row r="513">
          <cell r="B513" t="str">
            <v>دستگاه پشم فلز</v>
          </cell>
          <cell r="C513" t="str">
            <v>قطعه تعمیری</v>
          </cell>
          <cell r="AF513">
            <v>4</v>
          </cell>
        </row>
        <row r="514">
          <cell r="B514" t="str">
            <v xml:space="preserve">قالب پخت کلاچ پیکان </v>
          </cell>
          <cell r="C514" t="str">
            <v>قالب تعمیری</v>
          </cell>
          <cell r="AF514">
            <v>3</v>
          </cell>
        </row>
        <row r="515">
          <cell r="B515" t="str">
            <v>قالب پخت کلاچ پیکان</v>
          </cell>
          <cell r="C515" t="str">
            <v>قالب تعمیری</v>
          </cell>
          <cell r="AF515">
            <v>2</v>
          </cell>
        </row>
        <row r="516">
          <cell r="B516" t="str">
            <v>پخت کلاچ پراید</v>
          </cell>
          <cell r="C516" t="str">
            <v>قالب تعمیری</v>
          </cell>
          <cell r="AF516">
            <v>2</v>
          </cell>
        </row>
        <row r="517">
          <cell r="B517" t="str">
            <v>قالب پخت کلاچ پژو 405</v>
          </cell>
          <cell r="C517" t="str">
            <v>قالب تعمیری</v>
          </cell>
          <cell r="AF517">
            <v>11</v>
          </cell>
        </row>
        <row r="518">
          <cell r="B518" t="str">
            <v>صفحه قالب یدک
700*500*65</v>
          </cell>
          <cell r="C518" t="str">
            <v>قطعه نو</v>
          </cell>
          <cell r="AF518">
            <v>6.5</v>
          </cell>
        </row>
        <row r="519">
          <cell r="B519" t="str">
            <v>قالب پخت کلاچ پژو 405</v>
          </cell>
          <cell r="C519" t="str">
            <v>قالب تعمیری</v>
          </cell>
          <cell r="AF519">
            <v>11</v>
          </cell>
        </row>
        <row r="520">
          <cell r="B520" t="str">
            <v>قالب پخت کلاچ پژو 405</v>
          </cell>
          <cell r="C520" t="str">
            <v>قالب تعمیری</v>
          </cell>
          <cell r="AF520">
            <v>7</v>
          </cell>
        </row>
        <row r="521">
          <cell r="B521" t="str">
            <v>قالب پخت کلاچ پژو 405</v>
          </cell>
          <cell r="C521" t="str">
            <v>قالب تعمیری</v>
          </cell>
          <cell r="AF521">
            <v>4</v>
          </cell>
        </row>
        <row r="522">
          <cell r="B522" t="str">
            <v>پخت کلاچ پراید</v>
          </cell>
          <cell r="C522" t="str">
            <v>قالب تعمیری</v>
          </cell>
          <cell r="AF522">
            <v>11</v>
          </cell>
        </row>
        <row r="523">
          <cell r="B523" t="str">
            <v xml:space="preserve">قالب پخت کلاچ پیکان </v>
          </cell>
          <cell r="C523" t="str">
            <v>قالب تعمیری</v>
          </cell>
          <cell r="AF523">
            <v>1</v>
          </cell>
        </row>
        <row r="524">
          <cell r="B524" t="str">
            <v>برشی نیوفیس C&amp;C</v>
          </cell>
          <cell r="C524" t="str">
            <v>قالب نو</v>
          </cell>
          <cell r="AF524">
            <v>5.5</v>
          </cell>
        </row>
        <row r="525">
          <cell r="B525" t="str">
            <v>ابزار زنی</v>
          </cell>
          <cell r="C525" t="str">
            <v>قطعه تعمیری</v>
          </cell>
          <cell r="AF525">
            <v>5.5</v>
          </cell>
        </row>
        <row r="526">
          <cell r="B526" t="str">
            <v>قالب عقب F12</v>
          </cell>
          <cell r="C526" t="str">
            <v>قالب نو</v>
          </cell>
          <cell r="AF526">
            <v>6.5</v>
          </cell>
        </row>
        <row r="527">
          <cell r="B527" t="str">
            <v>قالب پخت کلاچ پژو 405</v>
          </cell>
          <cell r="C527" t="str">
            <v>قالب تعمیری</v>
          </cell>
          <cell r="AF527">
            <v>4.5</v>
          </cell>
        </row>
        <row r="528">
          <cell r="B528" t="str">
            <v>برشی نیوفیس C&amp;C</v>
          </cell>
          <cell r="C528" t="str">
            <v>قالب نو</v>
          </cell>
          <cell r="AF528">
            <v>9</v>
          </cell>
        </row>
        <row r="529">
          <cell r="B529" t="str">
            <v>قالب عقب F12</v>
          </cell>
          <cell r="C529" t="str">
            <v>قالب نو</v>
          </cell>
          <cell r="AF529">
            <v>1</v>
          </cell>
        </row>
        <row r="530">
          <cell r="B530" t="str">
            <v>قالب قطاری</v>
          </cell>
          <cell r="C530" t="str">
            <v>قالب تعمیری</v>
          </cell>
          <cell r="AF530">
            <v>4.5</v>
          </cell>
        </row>
        <row r="531">
          <cell r="B531" t="str">
            <v>سری نقطه جوش</v>
          </cell>
          <cell r="C531" t="str">
            <v>قطعه تعمیری</v>
          </cell>
          <cell r="AF531">
            <v>2</v>
          </cell>
        </row>
        <row r="532">
          <cell r="B532" t="str">
            <v>ویوینگ</v>
          </cell>
          <cell r="C532" t="str">
            <v>قطعه نو</v>
          </cell>
          <cell r="AF532">
            <v>4.5</v>
          </cell>
        </row>
        <row r="533">
          <cell r="B533" t="str">
            <v>دستگاه پرس پخت</v>
          </cell>
          <cell r="C533" t="str">
            <v>قطعه تعمیری</v>
          </cell>
          <cell r="AF533">
            <v>4</v>
          </cell>
        </row>
        <row r="534">
          <cell r="B534" t="str">
            <v>ویوینگ</v>
          </cell>
          <cell r="C534" t="str">
            <v>قطعه نو</v>
          </cell>
          <cell r="AF534">
            <v>3</v>
          </cell>
        </row>
        <row r="535">
          <cell r="B535" t="str">
            <v>ویوینگ</v>
          </cell>
          <cell r="C535" t="str">
            <v>قطعه نو</v>
          </cell>
          <cell r="AF535">
            <v>2</v>
          </cell>
        </row>
        <row r="536">
          <cell r="B536" t="str">
            <v>اهرم زنی</v>
          </cell>
          <cell r="C536" t="str">
            <v>قطعه تعمیری</v>
          </cell>
          <cell r="AF536">
            <v>2</v>
          </cell>
        </row>
        <row r="537">
          <cell r="B537" t="str">
            <v xml:space="preserve">قالب پخت کلاچ پیکان </v>
          </cell>
          <cell r="C537" t="str">
            <v>قالب تعمیری</v>
          </cell>
          <cell r="AF537">
            <v>5</v>
          </cell>
        </row>
        <row r="538">
          <cell r="B538" t="str">
            <v>پخت کلاچ ده تن</v>
          </cell>
          <cell r="C538" t="str">
            <v>قالب تعمیری</v>
          </cell>
          <cell r="AF538">
            <v>6</v>
          </cell>
        </row>
        <row r="539">
          <cell r="B539" t="str">
            <v>قالب قطاری</v>
          </cell>
          <cell r="C539" t="str">
            <v>قالب تعمیری</v>
          </cell>
          <cell r="AF539">
            <v>2.5</v>
          </cell>
        </row>
        <row r="540">
          <cell r="B540" t="str">
            <v>قالب قطاری</v>
          </cell>
          <cell r="C540" t="str">
            <v>قالب تعمیری</v>
          </cell>
          <cell r="AF540">
            <v>1.5</v>
          </cell>
        </row>
        <row r="541">
          <cell r="B541" t="str">
            <v>قالب پخت کلاچ پژو 405</v>
          </cell>
          <cell r="C541" t="str">
            <v>قالب تعمیری</v>
          </cell>
          <cell r="AF541">
            <v>4</v>
          </cell>
        </row>
        <row r="542">
          <cell r="B542" t="str">
            <v>ویوینگ</v>
          </cell>
          <cell r="C542" t="str">
            <v>قطعه نو</v>
          </cell>
          <cell r="AF542">
            <v>1</v>
          </cell>
        </row>
        <row r="543">
          <cell r="B543" t="str">
            <v>ویوینگ</v>
          </cell>
          <cell r="C543" t="str">
            <v>قطعه نو</v>
          </cell>
          <cell r="AF543">
            <v>1.5</v>
          </cell>
        </row>
        <row r="544">
          <cell r="B544" t="str">
            <v xml:space="preserve">قالب پخت کلاچ پیکان </v>
          </cell>
          <cell r="C544" t="str">
            <v>قالب تعمیری</v>
          </cell>
          <cell r="AF544">
            <v>8</v>
          </cell>
        </row>
        <row r="545">
          <cell r="B545" t="str">
            <v xml:space="preserve">قالب پخت کلاچ پیکان </v>
          </cell>
          <cell r="C545" t="str">
            <v>قالب تعمیری</v>
          </cell>
          <cell r="AF545">
            <v>3</v>
          </cell>
        </row>
        <row r="546">
          <cell r="B546" t="str">
            <v>دستگاه ساب سمباده ای</v>
          </cell>
          <cell r="C546" t="str">
            <v>قطعه تعمیری</v>
          </cell>
          <cell r="AF546">
            <v>11</v>
          </cell>
        </row>
        <row r="547">
          <cell r="B547" t="str">
            <v>قالب پخت کلاچ پژو 405</v>
          </cell>
          <cell r="C547" t="str">
            <v>قالب تعمیری</v>
          </cell>
          <cell r="AF547">
            <v>9</v>
          </cell>
        </row>
        <row r="548">
          <cell r="B548" t="str">
            <v xml:space="preserve">قالب پخت کلاچ پیکان </v>
          </cell>
          <cell r="C548" t="str">
            <v>قالب تعمیری</v>
          </cell>
          <cell r="AF548">
            <v>2</v>
          </cell>
        </row>
        <row r="549">
          <cell r="B549" t="str">
            <v>ابزار زنی</v>
          </cell>
          <cell r="C549" t="str">
            <v>قطعه تعمیری</v>
          </cell>
          <cell r="AF549">
            <v>5.5</v>
          </cell>
        </row>
        <row r="550">
          <cell r="B550" t="str">
            <v>لودر دیسکی  XGL 50</v>
          </cell>
          <cell r="C550" t="str">
            <v>قالب نو</v>
          </cell>
          <cell r="AF550">
            <v>5.5</v>
          </cell>
        </row>
        <row r="551">
          <cell r="B551" t="str">
            <v>صفحه قالب یدک
700*500*65</v>
          </cell>
          <cell r="C551" t="str">
            <v>قطعه نو</v>
          </cell>
          <cell r="AF551">
            <v>4.166666666666667</v>
          </cell>
        </row>
        <row r="552">
          <cell r="B552" t="str">
            <v>برشی نیوفیس C&amp;C</v>
          </cell>
          <cell r="C552" t="str">
            <v>قالب نو</v>
          </cell>
          <cell r="AF552">
            <v>2.3333333333333335</v>
          </cell>
        </row>
        <row r="553">
          <cell r="B553" t="str">
            <v>قالب پخت کلاچ پژو 405</v>
          </cell>
          <cell r="C553" t="str">
            <v>قالب تعمیری</v>
          </cell>
          <cell r="AF553">
            <v>7.5</v>
          </cell>
        </row>
        <row r="554">
          <cell r="B554" t="str">
            <v>قالب پخت کلاچ پژو 405</v>
          </cell>
          <cell r="C554" t="str">
            <v>قالب تعمیری</v>
          </cell>
          <cell r="AF554">
            <v>3</v>
          </cell>
        </row>
        <row r="555">
          <cell r="B555" t="str">
            <v>برش دستی</v>
          </cell>
          <cell r="C555" t="str">
            <v>قطعه تعمیری</v>
          </cell>
          <cell r="AF555">
            <v>3</v>
          </cell>
        </row>
        <row r="556">
          <cell r="B556" t="str">
            <v>قالب قطاری</v>
          </cell>
          <cell r="C556" t="str">
            <v>قالب تعمیری</v>
          </cell>
          <cell r="AF556">
            <v>3</v>
          </cell>
        </row>
        <row r="557">
          <cell r="B557" t="str">
            <v>سری نقطه جوش</v>
          </cell>
          <cell r="C557" t="str">
            <v>قطعه تعمیری</v>
          </cell>
          <cell r="AF557">
            <v>1.5</v>
          </cell>
        </row>
        <row r="558">
          <cell r="B558" t="str">
            <v>قالب پخت کلاچ پژو 405</v>
          </cell>
          <cell r="C558" t="str">
            <v>قالب تعمیری</v>
          </cell>
          <cell r="AF558">
            <v>1.5</v>
          </cell>
        </row>
        <row r="559">
          <cell r="B559" t="str">
            <v>قالب پخت کلاچ پژو 405</v>
          </cell>
          <cell r="C559" t="str">
            <v>قالب تعمیری</v>
          </cell>
          <cell r="AF559">
            <v>3</v>
          </cell>
        </row>
        <row r="560">
          <cell r="B560" t="str">
            <v>قالب پخت کلاچ پژو 405</v>
          </cell>
          <cell r="C560" t="str">
            <v>قالب تعمیری</v>
          </cell>
          <cell r="AF560">
            <v>2</v>
          </cell>
        </row>
        <row r="561">
          <cell r="B561" t="str">
            <v>ویوینگ</v>
          </cell>
          <cell r="C561" t="str">
            <v>قطعه تعمیری</v>
          </cell>
          <cell r="AF561">
            <v>2</v>
          </cell>
        </row>
        <row r="562">
          <cell r="B562" t="str">
            <v>دستگاه پشم فلز</v>
          </cell>
          <cell r="C562" t="str">
            <v>قطعه تعمیری</v>
          </cell>
          <cell r="AF562">
            <v>1</v>
          </cell>
        </row>
        <row r="563">
          <cell r="B563" t="str">
            <v>پخت کلاچ ده تن</v>
          </cell>
          <cell r="C563" t="str">
            <v>قالب تعمیری</v>
          </cell>
          <cell r="AF563">
            <v>2</v>
          </cell>
        </row>
        <row r="564">
          <cell r="B564" t="str">
            <v>قالب پخت کلاچ پژو 405</v>
          </cell>
          <cell r="C564" t="str">
            <v>قالب تعمیری</v>
          </cell>
          <cell r="AF564">
            <v>3</v>
          </cell>
        </row>
        <row r="565">
          <cell r="B565" t="str">
            <v>قالب عقب F12</v>
          </cell>
          <cell r="C565" t="str">
            <v>قالب نو</v>
          </cell>
          <cell r="AF565">
            <v>2</v>
          </cell>
        </row>
        <row r="566">
          <cell r="B566" t="str">
            <v>قالب عقب F12</v>
          </cell>
          <cell r="C566" t="str">
            <v>قالب نو</v>
          </cell>
          <cell r="AF566">
            <v>3</v>
          </cell>
        </row>
        <row r="567">
          <cell r="B567" t="str">
            <v>قالب مینی بوس آریا</v>
          </cell>
          <cell r="C567" t="str">
            <v>قالب نو</v>
          </cell>
          <cell r="AF567">
            <v>1</v>
          </cell>
        </row>
        <row r="568">
          <cell r="B568" t="str">
            <v>قالب مینی بوس آریا</v>
          </cell>
          <cell r="C568" t="str">
            <v>قالب نو</v>
          </cell>
          <cell r="AF568">
            <v>11</v>
          </cell>
        </row>
        <row r="569">
          <cell r="B569" t="str">
            <v>قالب پخت کلاچ پژو 405</v>
          </cell>
          <cell r="C569" t="str">
            <v>قالب تعمیری</v>
          </cell>
          <cell r="AF569">
            <v>1</v>
          </cell>
        </row>
        <row r="570">
          <cell r="B570" t="str">
            <v>قالب پخت کلاچ پژو 405</v>
          </cell>
          <cell r="C570" t="str">
            <v>قالب تعمیری</v>
          </cell>
          <cell r="AF570">
            <v>2</v>
          </cell>
        </row>
        <row r="571">
          <cell r="B571" t="str">
            <v>قالب توری پگاسوز</v>
          </cell>
          <cell r="C571" t="str">
            <v>قالب تعمیری</v>
          </cell>
          <cell r="AF571">
            <v>2</v>
          </cell>
        </row>
        <row r="572">
          <cell r="B572" t="str">
            <v>قالب قطاری</v>
          </cell>
          <cell r="C572" t="str">
            <v>قالب تعمیری</v>
          </cell>
          <cell r="AF572">
            <v>3</v>
          </cell>
        </row>
        <row r="573">
          <cell r="B573" t="str">
            <v>قالب قطاری</v>
          </cell>
          <cell r="C573" t="str">
            <v>قالب تعمیری</v>
          </cell>
          <cell r="AF573">
            <v>1</v>
          </cell>
        </row>
        <row r="574">
          <cell r="B574" t="str">
            <v>قالب پخت کلاچ پژو 405</v>
          </cell>
          <cell r="C574" t="str">
            <v>قالب تعمیری</v>
          </cell>
          <cell r="AF574">
            <v>1</v>
          </cell>
        </row>
        <row r="575">
          <cell r="B575" t="str">
            <v xml:space="preserve">قالب پخت کلاچ پیکان </v>
          </cell>
          <cell r="C575" t="str">
            <v>قالب تعمیری</v>
          </cell>
          <cell r="AF575">
            <v>2</v>
          </cell>
        </row>
        <row r="576">
          <cell r="B576" t="str">
            <v xml:space="preserve">قالب پخت کلاچ پیکان </v>
          </cell>
          <cell r="C576" t="str">
            <v>قالب تعمیری</v>
          </cell>
          <cell r="AF576">
            <v>1</v>
          </cell>
        </row>
        <row r="577">
          <cell r="B577" t="str">
            <v>برشی نیوفیس C&amp;C</v>
          </cell>
          <cell r="C577" t="str">
            <v>قالب نو</v>
          </cell>
          <cell r="AF577">
            <v>6.5</v>
          </cell>
        </row>
        <row r="578">
          <cell r="B578" t="str">
            <v xml:space="preserve">قالب پخت کلاچ پیکان </v>
          </cell>
          <cell r="C578" t="str">
            <v>قالب تعمیری</v>
          </cell>
          <cell r="AF578">
            <v>11</v>
          </cell>
        </row>
        <row r="579">
          <cell r="B579" t="str">
            <v>برشی نیوفیس C&amp;C</v>
          </cell>
          <cell r="C579" t="str">
            <v>قالب نو</v>
          </cell>
          <cell r="AF579">
            <v>11</v>
          </cell>
        </row>
        <row r="580">
          <cell r="B580" t="str">
            <v xml:space="preserve">قالب پخت کلاچ پیکان </v>
          </cell>
          <cell r="C580" t="str">
            <v>قالب تعمیری</v>
          </cell>
          <cell r="AF580">
            <v>11</v>
          </cell>
        </row>
        <row r="581">
          <cell r="B581" t="str">
            <v>قالب پخت کلاچ پژو 405</v>
          </cell>
          <cell r="C581" t="str">
            <v>قالب تعمیری</v>
          </cell>
          <cell r="AF581">
            <v>7.5</v>
          </cell>
        </row>
        <row r="582">
          <cell r="B582" t="str">
            <v>پخت کلاچ پراید</v>
          </cell>
          <cell r="C582" t="str">
            <v>قالب تعمیری</v>
          </cell>
          <cell r="AF582">
            <v>3</v>
          </cell>
        </row>
        <row r="583">
          <cell r="B583" t="str">
            <v>قالب مینی بوس آریا</v>
          </cell>
          <cell r="C583" t="str">
            <v>قالب نو</v>
          </cell>
          <cell r="AF583">
            <v>11</v>
          </cell>
        </row>
        <row r="584">
          <cell r="B584" t="str">
            <v>برشی نیوفیس C&amp;C</v>
          </cell>
          <cell r="C584" t="str">
            <v>قالب نو</v>
          </cell>
          <cell r="AF584">
            <v>6</v>
          </cell>
        </row>
        <row r="585">
          <cell r="B585" t="str">
            <v>اصول 5S
کلاس ایمنی و بهداشت</v>
          </cell>
          <cell r="C585" t="str">
            <v>نظافت</v>
          </cell>
          <cell r="AF585">
            <v>1.5</v>
          </cell>
        </row>
        <row r="586">
          <cell r="B586" t="str">
            <v>ویوینگ</v>
          </cell>
          <cell r="C586" t="str">
            <v>قطعه تعمیری</v>
          </cell>
          <cell r="AF586">
            <v>9.5</v>
          </cell>
        </row>
        <row r="587">
          <cell r="B587" t="str">
            <v xml:space="preserve">قالب پخت کلاچ پیکان </v>
          </cell>
          <cell r="C587" t="str">
            <v>قالب تعمیری</v>
          </cell>
          <cell r="AF587">
            <v>5</v>
          </cell>
        </row>
        <row r="588">
          <cell r="B588" t="str">
            <v xml:space="preserve">قالب پخت کلاچ پیکان </v>
          </cell>
          <cell r="C588" t="str">
            <v>قالب تعمیری</v>
          </cell>
          <cell r="AF588">
            <v>4</v>
          </cell>
        </row>
        <row r="589">
          <cell r="B589" t="str">
            <v>قالب قطاری</v>
          </cell>
          <cell r="C589" t="str">
            <v>قالب تعمیری</v>
          </cell>
          <cell r="AF589">
            <v>2</v>
          </cell>
        </row>
        <row r="590">
          <cell r="B590" t="str">
            <v xml:space="preserve">قالب پخت کلاچ پیکان </v>
          </cell>
          <cell r="C590" t="str">
            <v>قالب تعمیری</v>
          </cell>
          <cell r="AF590">
            <v>4</v>
          </cell>
        </row>
        <row r="591">
          <cell r="B591" t="str">
            <v>قالب پخت کلاچ پژو 405</v>
          </cell>
          <cell r="C591" t="str">
            <v>قالب تعمیری</v>
          </cell>
          <cell r="AF591">
            <v>4</v>
          </cell>
        </row>
        <row r="592">
          <cell r="B592" t="str">
            <v xml:space="preserve">قالب پخت کلاچ پیکان </v>
          </cell>
          <cell r="C592" t="str">
            <v>قالب تعمیری</v>
          </cell>
          <cell r="AF592">
            <v>2</v>
          </cell>
        </row>
        <row r="593">
          <cell r="B593" t="str">
            <v>سری نقطه جوش</v>
          </cell>
          <cell r="C593" t="str">
            <v>قطعه تعمیری</v>
          </cell>
          <cell r="AF593">
            <v>1</v>
          </cell>
        </row>
        <row r="594">
          <cell r="B594" t="str">
            <v xml:space="preserve">قالب پخت کلاچ پیکان </v>
          </cell>
          <cell r="C594" t="str">
            <v>قالب تعمیری</v>
          </cell>
          <cell r="AF594">
            <v>2</v>
          </cell>
        </row>
        <row r="595">
          <cell r="B595" t="str">
            <v>پخت کلاچ پراید</v>
          </cell>
          <cell r="C595" t="str">
            <v>قالب تعمیری</v>
          </cell>
          <cell r="AF595">
            <v>2</v>
          </cell>
        </row>
        <row r="596">
          <cell r="B596" t="str">
            <v xml:space="preserve">قالب پخت کلاچ پیکان </v>
          </cell>
          <cell r="C596" t="str">
            <v>قالب تعمیری</v>
          </cell>
          <cell r="AF596">
            <v>2</v>
          </cell>
        </row>
        <row r="597">
          <cell r="B597" t="str">
            <v>قالب قطاری</v>
          </cell>
          <cell r="C597" t="str">
            <v>قالب تعمیری</v>
          </cell>
          <cell r="AF597">
            <v>4</v>
          </cell>
        </row>
        <row r="598">
          <cell r="B598" t="str">
            <v xml:space="preserve">قالب پخت کلاچ پیکان </v>
          </cell>
          <cell r="C598" t="str">
            <v>قالب تعمیری</v>
          </cell>
          <cell r="AF598">
            <v>7.5</v>
          </cell>
        </row>
        <row r="599">
          <cell r="B599" t="str">
            <v>دریل یزدخواستی کلاچ</v>
          </cell>
          <cell r="C599" t="str">
            <v>قطعه نو</v>
          </cell>
          <cell r="AF599">
            <v>5.5</v>
          </cell>
        </row>
        <row r="600">
          <cell r="B600" t="str">
            <v xml:space="preserve">قالب پخت کلاچ پیکان </v>
          </cell>
          <cell r="C600" t="str">
            <v>قالب تعمیری</v>
          </cell>
          <cell r="AF600">
            <v>7.5</v>
          </cell>
        </row>
        <row r="601">
          <cell r="B601" t="str">
            <v>برشی نیوفیس C&amp;C</v>
          </cell>
          <cell r="C601" t="str">
            <v>قالب نو</v>
          </cell>
          <cell r="AF601">
            <v>7.5</v>
          </cell>
        </row>
        <row r="602">
          <cell r="B602" t="str">
            <v>قالب کوبه نک SAF</v>
          </cell>
          <cell r="C602" t="str">
            <v>قالب تعمیری</v>
          </cell>
          <cell r="AF602">
            <v>3</v>
          </cell>
        </row>
        <row r="603">
          <cell r="B603" t="str">
            <v xml:space="preserve">قالب پخت کلاچ پیکان </v>
          </cell>
          <cell r="C603" t="str">
            <v>قالب تعمیری</v>
          </cell>
          <cell r="AF603">
            <v>3</v>
          </cell>
        </row>
        <row r="604">
          <cell r="B604" t="str">
            <v>اصول 5S</v>
          </cell>
          <cell r="C604" t="str">
            <v>نظافت</v>
          </cell>
          <cell r="AF604">
            <v>0.5</v>
          </cell>
        </row>
        <row r="605">
          <cell r="B605" t="str">
            <v xml:space="preserve">قالب پخت کلاچ پیکان </v>
          </cell>
          <cell r="C605" t="str">
            <v>قالب تعمیری</v>
          </cell>
          <cell r="AF605">
            <v>4</v>
          </cell>
        </row>
        <row r="606">
          <cell r="B606" t="str">
            <v xml:space="preserve">قالب پخت کلاچ پیکان </v>
          </cell>
          <cell r="C606" t="str">
            <v>قالب تعمیری</v>
          </cell>
          <cell r="AF606">
            <v>1</v>
          </cell>
        </row>
        <row r="607">
          <cell r="B607" t="str">
            <v>ویوینگ</v>
          </cell>
          <cell r="C607" t="str">
            <v>قطعه تعمیری</v>
          </cell>
          <cell r="AF607">
            <v>3</v>
          </cell>
        </row>
        <row r="608">
          <cell r="B608" t="str">
            <v xml:space="preserve">قالب پخت کلاچ پیکان </v>
          </cell>
          <cell r="C608" t="str">
            <v>قالب تعمیری</v>
          </cell>
          <cell r="AF608">
            <v>2</v>
          </cell>
        </row>
        <row r="609">
          <cell r="B609" t="str">
            <v>اصول 5S</v>
          </cell>
          <cell r="C609" t="str">
            <v>نظافت</v>
          </cell>
          <cell r="AF609">
            <v>2</v>
          </cell>
        </row>
        <row r="610">
          <cell r="B610" t="str">
            <v>قالب پخت SAF</v>
          </cell>
          <cell r="C610" t="str">
            <v>قالب تعمیری</v>
          </cell>
          <cell r="AF610">
            <v>3</v>
          </cell>
        </row>
        <row r="611">
          <cell r="B611" t="str">
            <v>پخت کلاچ پراید</v>
          </cell>
          <cell r="C611" t="str">
            <v>قالب تعمیری</v>
          </cell>
          <cell r="AF611">
            <v>2</v>
          </cell>
        </row>
        <row r="612">
          <cell r="B612" t="str">
            <v>اصول 5S</v>
          </cell>
          <cell r="C612" t="str">
            <v>نظافت</v>
          </cell>
          <cell r="AF612">
            <v>1</v>
          </cell>
        </row>
        <row r="613">
          <cell r="B613" t="str">
            <v>قالب پخت SAF</v>
          </cell>
          <cell r="C613" t="str">
            <v>قالب تعمیری</v>
          </cell>
          <cell r="AF613">
            <v>1</v>
          </cell>
        </row>
        <row r="614">
          <cell r="B614" t="str">
            <v xml:space="preserve">قالب پخت کلاچ پیکان </v>
          </cell>
          <cell r="C614" t="str">
            <v>قالب تعمیری</v>
          </cell>
          <cell r="AF614">
            <v>2</v>
          </cell>
        </row>
        <row r="615">
          <cell r="B615" t="str">
            <v>قالب پخت کلاچ پژو 405</v>
          </cell>
          <cell r="C615" t="str">
            <v>قالب تعمیری</v>
          </cell>
          <cell r="AF615">
            <v>2.5</v>
          </cell>
        </row>
        <row r="616">
          <cell r="B616" t="str">
            <v>اصول 5S</v>
          </cell>
          <cell r="C616" t="str">
            <v>نظافت</v>
          </cell>
          <cell r="AF616">
            <v>0.5</v>
          </cell>
        </row>
        <row r="617">
          <cell r="B617" t="str">
            <v>قالب مینی بوس آریا</v>
          </cell>
          <cell r="C617" t="str">
            <v>قالب نو</v>
          </cell>
          <cell r="AF617">
            <v>4</v>
          </cell>
        </row>
        <row r="618">
          <cell r="B618" t="str">
            <v xml:space="preserve">قالب پخت کلاچ پیکان </v>
          </cell>
          <cell r="C618" t="str">
            <v>قالب تعمیری</v>
          </cell>
          <cell r="AF618">
            <v>1</v>
          </cell>
        </row>
        <row r="619">
          <cell r="B619" t="str">
            <v>برشی نیوفیس C&amp;C</v>
          </cell>
          <cell r="C619" t="str">
            <v>قالب نو</v>
          </cell>
          <cell r="AF619">
            <v>1</v>
          </cell>
        </row>
        <row r="620">
          <cell r="B620" t="str">
            <v>پخت کلاچ پراید</v>
          </cell>
          <cell r="C620" t="str">
            <v>قالب تعمیری</v>
          </cell>
          <cell r="AF620">
            <v>1</v>
          </cell>
        </row>
        <row r="621">
          <cell r="B621" t="str">
            <v>قالب پخت کلاچ پژو 405</v>
          </cell>
          <cell r="C621" t="str">
            <v>قالب تعمیری</v>
          </cell>
          <cell r="AF621">
            <v>8</v>
          </cell>
        </row>
        <row r="622">
          <cell r="B622" t="str">
            <v>قالب عقب F12</v>
          </cell>
          <cell r="C622" t="str">
            <v>قالب نو</v>
          </cell>
          <cell r="AF622">
            <v>8</v>
          </cell>
        </row>
        <row r="623">
          <cell r="B623" t="str">
            <v>لودر دیسکی  XGL 50</v>
          </cell>
          <cell r="C623" t="str">
            <v>قالب نو</v>
          </cell>
          <cell r="AF623">
            <v>8</v>
          </cell>
        </row>
        <row r="624">
          <cell r="B624" t="str">
            <v>برشی نیوفیس C&amp;C</v>
          </cell>
          <cell r="C624" t="str">
            <v>قالب نو</v>
          </cell>
          <cell r="AF624">
            <v>8</v>
          </cell>
        </row>
        <row r="625">
          <cell r="B625" t="str">
            <v>قالب مینی بوس آریا</v>
          </cell>
          <cell r="C625" t="str">
            <v>قالب نو</v>
          </cell>
          <cell r="AF625">
            <v>4</v>
          </cell>
        </row>
        <row r="626">
          <cell r="B626" t="str">
            <v>لنت ترمز دیسكی جلو دیما(خم)</v>
          </cell>
          <cell r="C626" t="str">
            <v>قالب نو</v>
          </cell>
          <cell r="AF626">
            <v>5</v>
          </cell>
        </row>
        <row r="627">
          <cell r="B627" t="str">
            <v>قالب پخت کلاچ پژو 405</v>
          </cell>
          <cell r="C627" t="str">
            <v>قالب تعمیری</v>
          </cell>
          <cell r="AF627">
            <v>5</v>
          </cell>
        </row>
        <row r="628">
          <cell r="B628" t="str">
            <v>قالب عقب F12</v>
          </cell>
          <cell r="C628" t="str">
            <v>قالب نو</v>
          </cell>
          <cell r="AF628">
            <v>5</v>
          </cell>
        </row>
        <row r="629">
          <cell r="B629" t="str">
            <v>برشی نیوفیس C&amp;C</v>
          </cell>
          <cell r="C629" t="str">
            <v>قالب نو</v>
          </cell>
          <cell r="AF629">
            <v>5</v>
          </cell>
        </row>
        <row r="630">
          <cell r="B630" t="str">
            <v>قالب مینی بوس آریا</v>
          </cell>
          <cell r="C630" t="str">
            <v>قالب نو</v>
          </cell>
          <cell r="AF630">
            <v>5</v>
          </cell>
        </row>
        <row r="631">
          <cell r="B631" t="str">
            <v>قالب پخت کلاچ پژو 405</v>
          </cell>
          <cell r="C631" t="str">
            <v>قالب تعمیری</v>
          </cell>
          <cell r="AF631">
            <v>2</v>
          </cell>
        </row>
        <row r="632">
          <cell r="B632" t="str">
            <v>پخت کلاچ پراید</v>
          </cell>
          <cell r="C632" t="str">
            <v>قالب تعمیری</v>
          </cell>
          <cell r="AF632">
            <v>2</v>
          </cell>
        </row>
        <row r="633">
          <cell r="B633" t="str">
            <v>برشی نیوفیس C&amp;C</v>
          </cell>
          <cell r="C633" t="str">
            <v>قالب نو</v>
          </cell>
          <cell r="AF633">
            <v>11</v>
          </cell>
        </row>
        <row r="634">
          <cell r="B634" t="str">
            <v>دریل یزدخواستی کلاچ</v>
          </cell>
          <cell r="C634" t="str">
            <v>قطعه نو</v>
          </cell>
          <cell r="AF634">
            <v>4.5</v>
          </cell>
        </row>
        <row r="635">
          <cell r="B635" t="str">
            <v>دریل یزدخواستی کلاچ</v>
          </cell>
          <cell r="C635" t="str">
            <v>قطعه نو</v>
          </cell>
          <cell r="AF635">
            <v>6.5</v>
          </cell>
        </row>
        <row r="636">
          <cell r="B636" t="str">
            <v>پخت کلاچ پراید</v>
          </cell>
          <cell r="C636" t="str">
            <v>قالب تعمیری</v>
          </cell>
          <cell r="AF636">
            <v>11</v>
          </cell>
        </row>
        <row r="637">
          <cell r="B637" t="str">
            <v>برشی نیوفیس C&amp;C</v>
          </cell>
          <cell r="C637" t="str">
            <v>قالب نو</v>
          </cell>
          <cell r="AF637">
            <v>11</v>
          </cell>
        </row>
        <row r="638">
          <cell r="B638" t="str">
            <v>پخت کلاچ پراید</v>
          </cell>
          <cell r="C638" t="str">
            <v>قالب تعمیری</v>
          </cell>
          <cell r="AF638">
            <v>7.5</v>
          </cell>
        </row>
        <row r="639">
          <cell r="B639" t="str">
            <v>پخت کلاچ پراید</v>
          </cell>
          <cell r="C639" t="str">
            <v>قالب تعمیری</v>
          </cell>
          <cell r="AF639">
            <v>3.5</v>
          </cell>
        </row>
        <row r="640">
          <cell r="B640" t="str">
            <v xml:space="preserve">قالب پخت کلاچ پیکان </v>
          </cell>
          <cell r="C640" t="str">
            <v>قالب تعمیری</v>
          </cell>
          <cell r="AF640">
            <v>3.6666666666666665</v>
          </cell>
        </row>
        <row r="641">
          <cell r="B641" t="str">
            <v>دسته پران لنت</v>
          </cell>
          <cell r="C641" t="str">
            <v>قطعه نو</v>
          </cell>
          <cell r="AF641">
            <v>3</v>
          </cell>
        </row>
        <row r="642">
          <cell r="B642" t="str">
            <v>پخت کلاچ پراید</v>
          </cell>
          <cell r="C642" t="str">
            <v>قالب تعمیری</v>
          </cell>
          <cell r="AF642">
            <v>4.5</v>
          </cell>
        </row>
        <row r="643">
          <cell r="B643" t="str">
            <v>سری نقطه جوش</v>
          </cell>
          <cell r="C643" t="str">
            <v>قطعه تعمیری</v>
          </cell>
          <cell r="AF643">
            <v>1</v>
          </cell>
        </row>
        <row r="644">
          <cell r="B644" t="str">
            <v>پخت کلاچ پراید</v>
          </cell>
          <cell r="C644" t="str">
            <v>قالب تعمیری</v>
          </cell>
          <cell r="AF644">
            <v>4</v>
          </cell>
        </row>
        <row r="645">
          <cell r="B645" t="str">
            <v>پخت کلاچ پراید</v>
          </cell>
          <cell r="C645" t="str">
            <v>قالب تعمیری</v>
          </cell>
          <cell r="AF645">
            <v>4</v>
          </cell>
        </row>
        <row r="646">
          <cell r="B646" t="str">
            <v>برشی نیوفیس C&amp;C</v>
          </cell>
          <cell r="C646" t="str">
            <v>قالب نو</v>
          </cell>
          <cell r="AF646">
            <v>1</v>
          </cell>
        </row>
        <row r="647">
          <cell r="B647" t="str">
            <v>لودر دیسکی  XGL 50</v>
          </cell>
          <cell r="C647" t="str">
            <v>قالب نو</v>
          </cell>
          <cell r="AF647">
            <v>4</v>
          </cell>
        </row>
        <row r="648">
          <cell r="B648" t="str">
            <v>لودر دیسکی  XGL 50</v>
          </cell>
          <cell r="C648" t="str">
            <v>قالب نو</v>
          </cell>
          <cell r="AF648">
            <v>1.5</v>
          </cell>
        </row>
        <row r="649">
          <cell r="B649" t="str">
            <v>Hammer Mill Machine</v>
          </cell>
          <cell r="C649" t="str">
            <v>قطعه تعمیری</v>
          </cell>
          <cell r="AF649">
            <v>5</v>
          </cell>
        </row>
        <row r="650">
          <cell r="B650" t="str">
            <v>دستگاه پرس پخت</v>
          </cell>
          <cell r="C650" t="str">
            <v>قطعه تعمیری</v>
          </cell>
          <cell r="AF650">
            <v>4</v>
          </cell>
        </row>
        <row r="651">
          <cell r="B651" t="str">
            <v>قالب پخت SAF</v>
          </cell>
          <cell r="C651" t="str">
            <v>قالب تعمیری</v>
          </cell>
          <cell r="AF651">
            <v>2</v>
          </cell>
        </row>
        <row r="652">
          <cell r="B652" t="str">
            <v>پخت کلاچ پراید</v>
          </cell>
          <cell r="C652" t="str">
            <v>قالب تعمیری</v>
          </cell>
          <cell r="AF652">
            <v>2</v>
          </cell>
        </row>
        <row r="653">
          <cell r="B653" t="str">
            <v xml:space="preserve">قالب پخت کلاچ پیکان </v>
          </cell>
          <cell r="C653" t="str">
            <v>قالب تعمیری</v>
          </cell>
          <cell r="AF653">
            <v>2</v>
          </cell>
        </row>
        <row r="654">
          <cell r="B654" t="str">
            <v>پخت کلاچ پراید</v>
          </cell>
          <cell r="C654" t="str">
            <v>قالب تعمیری</v>
          </cell>
          <cell r="AF654">
            <v>5</v>
          </cell>
        </row>
        <row r="655">
          <cell r="B655" t="str">
            <v>دسته پران لنت</v>
          </cell>
          <cell r="C655" t="str">
            <v>قطعه نو</v>
          </cell>
          <cell r="AF655">
            <v>1</v>
          </cell>
        </row>
        <row r="656">
          <cell r="B656" t="str">
            <v>پخت کلاچ پراید</v>
          </cell>
          <cell r="C656" t="str">
            <v>قالب تعمیری</v>
          </cell>
          <cell r="AF656">
            <v>1</v>
          </cell>
        </row>
        <row r="657">
          <cell r="B657" t="str">
            <v>پخت کلاچ پراید</v>
          </cell>
          <cell r="C657" t="str">
            <v>قالب تعمیری</v>
          </cell>
          <cell r="AF657">
            <v>3</v>
          </cell>
        </row>
        <row r="658">
          <cell r="B658" t="str">
            <v>پخت کلاچ پراید</v>
          </cell>
          <cell r="C658" t="str">
            <v>قالب تعمیری</v>
          </cell>
          <cell r="AF658">
            <v>3</v>
          </cell>
        </row>
        <row r="659">
          <cell r="B659" t="str">
            <v>پخت کلاچ پراید</v>
          </cell>
          <cell r="C659" t="str">
            <v>قالب تعمیری</v>
          </cell>
          <cell r="AF659">
            <v>2</v>
          </cell>
        </row>
        <row r="660">
          <cell r="B660" t="str">
            <v>پخت کلاچ پراید</v>
          </cell>
          <cell r="C660" t="str">
            <v>قالب تعمیری</v>
          </cell>
          <cell r="AF660">
            <v>3</v>
          </cell>
        </row>
        <row r="661">
          <cell r="B661" t="str">
            <v>قالب پخت کلاچ پژو 405</v>
          </cell>
          <cell r="C661" t="str">
            <v>قالب تعمیری</v>
          </cell>
          <cell r="AF661">
            <v>12</v>
          </cell>
        </row>
        <row r="662">
          <cell r="B662" t="str">
            <v>برشی نیوفیس C&amp;C</v>
          </cell>
          <cell r="C662" t="str">
            <v>قالب نو</v>
          </cell>
          <cell r="AF662">
            <v>4</v>
          </cell>
        </row>
        <row r="663">
          <cell r="B663" t="str">
            <v>دستگاه فرز</v>
          </cell>
          <cell r="C663" t="str">
            <v>قطعه تعمیری</v>
          </cell>
          <cell r="AF663">
            <v>2</v>
          </cell>
        </row>
        <row r="664">
          <cell r="B664" t="str">
            <v>لنت ترمز دیسكی جلو دیما(خم)</v>
          </cell>
          <cell r="C664" t="str">
            <v>قالب نو</v>
          </cell>
          <cell r="AF664">
            <v>12</v>
          </cell>
        </row>
        <row r="665">
          <cell r="B665" t="str">
            <v>قالب عقب F12</v>
          </cell>
          <cell r="C665" t="str">
            <v>قالب نو</v>
          </cell>
          <cell r="AF665">
            <v>12</v>
          </cell>
        </row>
        <row r="666">
          <cell r="B666" t="str">
            <v>قالب مینی بوس آریا</v>
          </cell>
          <cell r="C666" t="str">
            <v>قالب نو</v>
          </cell>
          <cell r="AF666">
            <v>12</v>
          </cell>
        </row>
        <row r="667">
          <cell r="B667" t="str">
            <v>پخت کلاچ پراید</v>
          </cell>
          <cell r="C667" t="str">
            <v>قالب تعمیری</v>
          </cell>
          <cell r="AF667">
            <v>11</v>
          </cell>
        </row>
        <row r="668">
          <cell r="B668" t="str">
            <v>لودر دیسکی  XGL 50</v>
          </cell>
          <cell r="C668" t="str">
            <v>قالب نو</v>
          </cell>
          <cell r="AF668">
            <v>6.5</v>
          </cell>
        </row>
        <row r="669">
          <cell r="B669" t="str">
            <v>برشی نیوفیس C&amp;C</v>
          </cell>
          <cell r="C669" t="str">
            <v>قالب نو</v>
          </cell>
          <cell r="AF669">
            <v>3.5</v>
          </cell>
        </row>
        <row r="670">
          <cell r="B670" t="str">
            <v>برشی نیوفیس C&amp;C</v>
          </cell>
          <cell r="C670" t="str">
            <v>قالب نو</v>
          </cell>
          <cell r="AF670">
            <v>7.5</v>
          </cell>
        </row>
        <row r="671">
          <cell r="B671" t="str">
            <v>دریل یزدخواستی کلاچ</v>
          </cell>
          <cell r="C671" t="str">
            <v>قطعه نو</v>
          </cell>
          <cell r="AF671">
            <v>3.5</v>
          </cell>
        </row>
        <row r="672">
          <cell r="B672" t="str">
            <v>برشی نیوفیس C&amp;C</v>
          </cell>
          <cell r="C672" t="str">
            <v>قالب نو</v>
          </cell>
          <cell r="AF672">
            <v>7.5</v>
          </cell>
        </row>
        <row r="673">
          <cell r="B673" t="str">
            <v xml:space="preserve">قالب پخت کلاچ پیکان </v>
          </cell>
          <cell r="C673" t="str">
            <v>قالب تعمیری</v>
          </cell>
          <cell r="AF673">
            <v>11</v>
          </cell>
        </row>
        <row r="674">
          <cell r="B674" t="str">
            <v xml:space="preserve">قالب پخت کلاچ پیکان </v>
          </cell>
          <cell r="C674" t="str">
            <v>قالب تعمیری</v>
          </cell>
          <cell r="AF674">
            <v>5</v>
          </cell>
        </row>
        <row r="675">
          <cell r="B675" t="str">
            <v>دستگاه پشم فلز آلمانی</v>
          </cell>
          <cell r="C675" t="str">
            <v>قطعه تعمیری</v>
          </cell>
          <cell r="AF675">
            <v>6</v>
          </cell>
        </row>
        <row r="676">
          <cell r="B676" t="str">
            <v>پخت کلاچ پراید</v>
          </cell>
          <cell r="C676" t="str">
            <v>قالب تعمیری</v>
          </cell>
          <cell r="AF676">
            <v>3</v>
          </cell>
        </row>
        <row r="677">
          <cell r="B677" t="str">
            <v>قالب BPW تاجدار</v>
          </cell>
          <cell r="C677" t="str">
            <v>قالب تعمیری</v>
          </cell>
          <cell r="AF677">
            <v>3</v>
          </cell>
        </row>
        <row r="678">
          <cell r="B678" t="str">
            <v>پخت کلاچ ایویکو سوراخدار</v>
          </cell>
          <cell r="C678" t="str">
            <v>قالب تعمیری</v>
          </cell>
          <cell r="AF678">
            <v>3</v>
          </cell>
        </row>
        <row r="679">
          <cell r="B679" t="str">
            <v>پخت کلاچ پراید</v>
          </cell>
          <cell r="C679" t="str">
            <v>قالب تعمیری</v>
          </cell>
          <cell r="AF679">
            <v>2</v>
          </cell>
        </row>
        <row r="680">
          <cell r="B680" t="str">
            <v>قالب ولوو سوپر</v>
          </cell>
          <cell r="C680" t="str">
            <v>قالب تعمیری</v>
          </cell>
          <cell r="AF680">
            <v>2</v>
          </cell>
        </row>
        <row r="681">
          <cell r="B681" t="str">
            <v>ویوینگ</v>
          </cell>
          <cell r="C681" t="str">
            <v>قطعه تعمیری</v>
          </cell>
          <cell r="AF681">
            <v>1</v>
          </cell>
        </row>
        <row r="682">
          <cell r="B682" t="str">
            <v>پخت کلاچ پراید</v>
          </cell>
          <cell r="C682" t="str">
            <v>قالب تعمیری</v>
          </cell>
          <cell r="AF682">
            <v>0.5</v>
          </cell>
        </row>
        <row r="683">
          <cell r="B683" t="str">
            <v>قالب ولوو سوپر</v>
          </cell>
          <cell r="C683" t="str">
            <v>قالب تعمیری</v>
          </cell>
          <cell r="AF683">
            <v>4</v>
          </cell>
        </row>
        <row r="684">
          <cell r="B684" t="str">
            <v>پخت کلاچ پراید</v>
          </cell>
          <cell r="C684" t="str">
            <v>قالب تعمیری</v>
          </cell>
          <cell r="AF684">
            <v>1</v>
          </cell>
        </row>
        <row r="685">
          <cell r="B685" t="str">
            <v>پخت کلاچ پراید</v>
          </cell>
          <cell r="C685" t="str">
            <v>قالب تعمیری</v>
          </cell>
          <cell r="AF685">
            <v>2</v>
          </cell>
        </row>
        <row r="686">
          <cell r="B686" t="str">
            <v>قالب BPW تاجدار</v>
          </cell>
          <cell r="C686" t="str">
            <v>قالب تعمیری</v>
          </cell>
          <cell r="AF686">
            <v>1.5</v>
          </cell>
        </row>
        <row r="687">
          <cell r="B687" t="str">
            <v>قالب BPW تاجدار</v>
          </cell>
          <cell r="C687" t="str">
            <v>قالب تعمیری</v>
          </cell>
          <cell r="AF687">
            <v>1.5</v>
          </cell>
        </row>
        <row r="688">
          <cell r="B688" t="str">
            <v>برشی نیوفیس C&amp;C</v>
          </cell>
          <cell r="C688" t="str">
            <v>قالب نو</v>
          </cell>
          <cell r="AF688">
            <v>11</v>
          </cell>
        </row>
        <row r="689">
          <cell r="B689" t="str">
            <v>قالب توری SAF قدیم</v>
          </cell>
          <cell r="C689" t="str">
            <v>قالب تعمیری</v>
          </cell>
          <cell r="AF689">
            <v>1.5</v>
          </cell>
        </row>
        <row r="690">
          <cell r="B690" t="str">
            <v>قالب توری SAF قدیم</v>
          </cell>
          <cell r="C690" t="str">
            <v>قالب تعمیری</v>
          </cell>
          <cell r="AF690">
            <v>1.5</v>
          </cell>
        </row>
        <row r="691">
          <cell r="B691" t="str">
            <v>لنت ترمز دیسكی جلو دیما(خم)</v>
          </cell>
          <cell r="C691" t="str">
            <v>قالب نو</v>
          </cell>
          <cell r="AF691">
            <v>3</v>
          </cell>
        </row>
        <row r="692">
          <cell r="B692" t="str">
            <v>دستگاه پرس پخت</v>
          </cell>
          <cell r="C692" t="str">
            <v>قطعه تعمیری</v>
          </cell>
          <cell r="AF692">
            <v>2</v>
          </cell>
        </row>
        <row r="693">
          <cell r="B693" t="str">
            <v>دستگاه پشم فلز آلمانی</v>
          </cell>
          <cell r="C693" t="str">
            <v>قطعه تعمیری</v>
          </cell>
          <cell r="AF693">
            <v>1</v>
          </cell>
        </row>
        <row r="694">
          <cell r="B694" t="str">
            <v>دستگاه پشم فلز آلمانی</v>
          </cell>
          <cell r="C694" t="str">
            <v>قطعه نو</v>
          </cell>
          <cell r="AF694">
            <v>2</v>
          </cell>
        </row>
        <row r="695">
          <cell r="B695" t="str">
            <v>دستگاه پشم فلز آلمانی</v>
          </cell>
          <cell r="C695" t="str">
            <v>قطعه نو</v>
          </cell>
          <cell r="AF695">
            <v>1</v>
          </cell>
        </row>
        <row r="696">
          <cell r="B696" t="str">
            <v>قالب پخت کلاچ پژو 405</v>
          </cell>
          <cell r="C696" t="str">
            <v>قالب تعمیری</v>
          </cell>
          <cell r="AF696">
            <v>3</v>
          </cell>
        </row>
        <row r="697">
          <cell r="B697" t="str">
            <v>قالب مینی بوس آریا</v>
          </cell>
          <cell r="C697" t="str">
            <v>قالب نو</v>
          </cell>
          <cell r="AF697">
            <v>9</v>
          </cell>
        </row>
        <row r="698">
          <cell r="B698" t="str">
            <v>لنت ترمز دیسكی جلو دیما(خم)</v>
          </cell>
          <cell r="C698" t="str">
            <v>قالب نو</v>
          </cell>
          <cell r="AF698">
            <v>6</v>
          </cell>
        </row>
        <row r="699">
          <cell r="B699" t="str">
            <v>قالب عقب F12</v>
          </cell>
          <cell r="C699" t="str">
            <v>قالب نو</v>
          </cell>
          <cell r="AF699">
            <v>12</v>
          </cell>
        </row>
        <row r="700">
          <cell r="B700" t="str">
            <v>قالب مینی بوس آریا</v>
          </cell>
          <cell r="C700" t="str">
            <v>قالب نو</v>
          </cell>
          <cell r="AF700">
            <v>6</v>
          </cell>
        </row>
        <row r="701">
          <cell r="B701" t="str">
            <v>لودر دیسکی  XGL 50</v>
          </cell>
          <cell r="C701" t="str">
            <v>قالب نو</v>
          </cell>
          <cell r="AF701">
            <v>6</v>
          </cell>
        </row>
        <row r="702">
          <cell r="B702" t="str">
            <v>لودر دیسکی  XGL 50</v>
          </cell>
          <cell r="C702" t="str">
            <v>قالب نو</v>
          </cell>
          <cell r="AF702">
            <v>6.5</v>
          </cell>
        </row>
        <row r="703">
          <cell r="B703" t="str">
            <v>برشی نیوفیس C&amp;C</v>
          </cell>
          <cell r="C703" t="str">
            <v>قالب نو</v>
          </cell>
          <cell r="AF703">
            <v>7.5</v>
          </cell>
        </row>
        <row r="704">
          <cell r="B704" t="str">
            <v>برشی نیوفیس C&amp;C</v>
          </cell>
          <cell r="C704" t="str">
            <v>قالب نو</v>
          </cell>
          <cell r="AF704">
            <v>3.5</v>
          </cell>
        </row>
        <row r="705">
          <cell r="B705" t="str">
            <v>پخت کلاچ پراید</v>
          </cell>
          <cell r="C705" t="str">
            <v>قالب تعمیری</v>
          </cell>
          <cell r="AF705">
            <v>6.5</v>
          </cell>
        </row>
        <row r="706">
          <cell r="B706" t="str">
            <v>پخت کلاچ پراید</v>
          </cell>
          <cell r="C706" t="str">
            <v>قالب تعمیری</v>
          </cell>
          <cell r="AF706">
            <v>4.5</v>
          </cell>
        </row>
        <row r="707">
          <cell r="B707" t="str">
            <v>دستگاه پشم فلز آلمانی</v>
          </cell>
          <cell r="C707" t="str">
            <v>قطعه تعمیری</v>
          </cell>
          <cell r="AF707">
            <v>4</v>
          </cell>
        </row>
        <row r="708">
          <cell r="B708" t="str">
            <v>دستگاه پرس پخت</v>
          </cell>
          <cell r="C708" t="str">
            <v>قطعه تعمیری</v>
          </cell>
          <cell r="AF708">
            <v>4.333333333333333</v>
          </cell>
        </row>
        <row r="709">
          <cell r="B709" t="str">
            <v>پخت کلاچ ایویکو سوراخدار</v>
          </cell>
          <cell r="C709" t="str">
            <v>قالب تعمیری</v>
          </cell>
          <cell r="AF709">
            <v>4</v>
          </cell>
        </row>
        <row r="710">
          <cell r="B710" t="str">
            <v>قالب ولوو سوپر</v>
          </cell>
          <cell r="C710" t="str">
            <v>قالب تعمیری</v>
          </cell>
          <cell r="AF710">
            <v>3</v>
          </cell>
        </row>
        <row r="711">
          <cell r="B711" t="str">
            <v xml:space="preserve">قالب پخت کلاچ پیکان </v>
          </cell>
          <cell r="C711" t="str">
            <v>قالب تعمیری</v>
          </cell>
          <cell r="AF711">
            <v>11</v>
          </cell>
        </row>
        <row r="712">
          <cell r="B712" t="str">
            <v>قالب ولوو سوپر</v>
          </cell>
          <cell r="C712" t="str">
            <v>قالب تعمیری</v>
          </cell>
          <cell r="AF712">
            <v>5</v>
          </cell>
        </row>
        <row r="713">
          <cell r="B713" t="str">
            <v>برشی نیوفیس C&amp;C</v>
          </cell>
          <cell r="C713" t="str">
            <v>قالب نو</v>
          </cell>
          <cell r="AF713">
            <v>2</v>
          </cell>
        </row>
        <row r="714">
          <cell r="B714" t="str">
            <v>پخت کلاچ پراید</v>
          </cell>
          <cell r="C714" t="str">
            <v>قالب تعمیری</v>
          </cell>
          <cell r="AF714">
            <v>3</v>
          </cell>
        </row>
        <row r="715">
          <cell r="B715" t="str">
            <v>قالب مینی بوس آریا</v>
          </cell>
          <cell r="C715" t="str">
            <v>قالب نو</v>
          </cell>
          <cell r="AF715">
            <v>12</v>
          </cell>
        </row>
        <row r="716">
          <cell r="B716" t="str">
            <v>لنت ترمز دیسكی جلو دیما(خم)</v>
          </cell>
          <cell r="C716" t="str">
            <v>قالب نو</v>
          </cell>
          <cell r="AF716">
            <v>6</v>
          </cell>
        </row>
        <row r="717">
          <cell r="B717" t="str">
            <v>قالب عقب F12</v>
          </cell>
          <cell r="C717" t="str">
            <v>قالب نو</v>
          </cell>
          <cell r="AF717">
            <v>12</v>
          </cell>
        </row>
        <row r="718">
          <cell r="B718" t="str">
            <v>Hammer Mill Machine</v>
          </cell>
          <cell r="C718" t="str">
            <v>قطعه تعمیری</v>
          </cell>
          <cell r="AF718">
            <v>5.5</v>
          </cell>
        </row>
        <row r="719">
          <cell r="B719" t="str">
            <v>دستگاه پرس پخت</v>
          </cell>
          <cell r="C719" t="str">
            <v>قطعه تعمیری</v>
          </cell>
          <cell r="AF719">
            <v>1</v>
          </cell>
        </row>
        <row r="720">
          <cell r="B720" t="str">
            <v>ویوینگ</v>
          </cell>
          <cell r="C720" t="str">
            <v>قطعه تعمیری</v>
          </cell>
          <cell r="AF720">
            <v>2.5</v>
          </cell>
        </row>
        <row r="721">
          <cell r="B721" t="str">
            <v>قالب ولوو سوپر</v>
          </cell>
          <cell r="C721" t="str">
            <v>قالب تعمیری</v>
          </cell>
          <cell r="AF721">
            <v>5</v>
          </cell>
        </row>
        <row r="722">
          <cell r="B722" t="str">
            <v>برشی نیوفیس C&amp;C</v>
          </cell>
          <cell r="C722" t="str">
            <v>قالب نو</v>
          </cell>
          <cell r="AF722">
            <v>1</v>
          </cell>
        </row>
        <row r="723">
          <cell r="B723" t="str">
            <v>Hammer Mill Machine</v>
          </cell>
          <cell r="C723" t="str">
            <v>قطعه تعمیری</v>
          </cell>
          <cell r="AF723">
            <v>1</v>
          </cell>
        </row>
        <row r="724">
          <cell r="B724" t="str">
            <v>پخت کلاچ پراید</v>
          </cell>
          <cell r="C724" t="str">
            <v>قالب تعمیری</v>
          </cell>
          <cell r="AF724">
            <v>1</v>
          </cell>
        </row>
        <row r="725">
          <cell r="B725" t="str">
            <v>برشی نیوفیس C&amp;C</v>
          </cell>
          <cell r="C725" t="str">
            <v>قالب نو</v>
          </cell>
          <cell r="AF725">
            <v>9</v>
          </cell>
        </row>
        <row r="726">
          <cell r="B726" t="str">
            <v>قالب ولوو سوپر</v>
          </cell>
          <cell r="C726" t="str">
            <v>قالب تعمیری</v>
          </cell>
          <cell r="AF726">
            <v>3</v>
          </cell>
        </row>
        <row r="727">
          <cell r="B727" t="str">
            <v>پخت کلاچ پراید</v>
          </cell>
          <cell r="C727" t="str">
            <v>قالب تعمیری</v>
          </cell>
          <cell r="AF727">
            <v>1</v>
          </cell>
        </row>
        <row r="728">
          <cell r="B728" t="str">
            <v>برشی نیوفیس C&amp;C</v>
          </cell>
          <cell r="C728" t="str">
            <v>قالب نو</v>
          </cell>
          <cell r="AF728">
            <v>3</v>
          </cell>
        </row>
        <row r="729">
          <cell r="B729" t="str">
            <v xml:space="preserve">قالب پخت کلاچ پیکان </v>
          </cell>
          <cell r="C729" t="str">
            <v>قالب تعمیری</v>
          </cell>
          <cell r="AF729">
            <v>11</v>
          </cell>
        </row>
        <row r="730">
          <cell r="B730" t="str">
            <v>Hammer Mill Machine</v>
          </cell>
          <cell r="C730" t="str">
            <v>قطعه نو</v>
          </cell>
          <cell r="AF730">
            <v>11</v>
          </cell>
        </row>
        <row r="731">
          <cell r="B731" t="str">
            <v>Hammer Mill Machine</v>
          </cell>
          <cell r="C731" t="str">
            <v>قطعه نو</v>
          </cell>
          <cell r="AF731">
            <v>3.5</v>
          </cell>
        </row>
        <row r="732">
          <cell r="B732" t="str">
            <v>Hammer Mill Machine</v>
          </cell>
          <cell r="C732" t="str">
            <v>قطعه نو</v>
          </cell>
          <cell r="AF732">
            <v>3</v>
          </cell>
        </row>
        <row r="733">
          <cell r="B733" t="str">
            <v>برشی نیوفیس C&amp;C</v>
          </cell>
          <cell r="C733" t="str">
            <v>قالب نو</v>
          </cell>
          <cell r="AF733">
            <v>6.5</v>
          </cell>
        </row>
        <row r="734">
          <cell r="B734" t="str">
            <v>برشی نیوفیس C&amp;C</v>
          </cell>
          <cell r="C734" t="str">
            <v>قالب نو</v>
          </cell>
          <cell r="AF734">
            <v>4.5</v>
          </cell>
        </row>
        <row r="735">
          <cell r="B735" t="str">
            <v>دستگاه پرس پخت</v>
          </cell>
          <cell r="C735" t="str">
            <v>قطعه تعمیری</v>
          </cell>
          <cell r="AF735">
            <v>2</v>
          </cell>
        </row>
        <row r="736">
          <cell r="B736" t="str">
            <v>ویوینگ</v>
          </cell>
          <cell r="C736" t="str">
            <v>قطعه تعمیری</v>
          </cell>
          <cell r="AF736">
            <v>9</v>
          </cell>
        </row>
        <row r="737">
          <cell r="B737" t="str">
            <v>دستگاه پرس پخت</v>
          </cell>
          <cell r="C737" t="str">
            <v>قطعه نو</v>
          </cell>
          <cell r="AF737">
            <v>4</v>
          </cell>
        </row>
        <row r="738">
          <cell r="B738" t="str">
            <v>ایسوزو 6 تن</v>
          </cell>
          <cell r="C738" t="str">
            <v>قالب تعمیری</v>
          </cell>
          <cell r="AF738">
            <v>4</v>
          </cell>
        </row>
        <row r="739">
          <cell r="B739" t="str">
            <v>ایسوزو 6 تن</v>
          </cell>
          <cell r="C739" t="str">
            <v>قالب تعمیری</v>
          </cell>
          <cell r="AF739">
            <v>3</v>
          </cell>
        </row>
        <row r="740">
          <cell r="B740" t="str">
            <v xml:space="preserve">قالب پخت کلاچ پیکان </v>
          </cell>
          <cell r="C740" t="str">
            <v>قالب تعمیری</v>
          </cell>
          <cell r="AF740">
            <v>3.5</v>
          </cell>
        </row>
        <row r="741">
          <cell r="B741" t="str">
            <v>پایه پرچ لنت نیسان</v>
          </cell>
          <cell r="C741" t="str">
            <v>قطعه نو</v>
          </cell>
          <cell r="AF741">
            <v>2</v>
          </cell>
        </row>
        <row r="742">
          <cell r="B742" t="str">
            <v>Hammer Mill Machine</v>
          </cell>
          <cell r="C742" t="str">
            <v>قطعه نو</v>
          </cell>
          <cell r="AF742">
            <v>5.5</v>
          </cell>
        </row>
        <row r="743">
          <cell r="B743" t="str">
            <v>Hammer Mill Machine</v>
          </cell>
          <cell r="C743" t="str">
            <v>قطعه نو</v>
          </cell>
          <cell r="AF743">
            <v>2</v>
          </cell>
        </row>
        <row r="744">
          <cell r="B744" t="str">
            <v>ده تن سوراخدار</v>
          </cell>
          <cell r="C744" t="str">
            <v>قالب تعمیری</v>
          </cell>
          <cell r="AF744">
            <v>1</v>
          </cell>
        </row>
        <row r="745">
          <cell r="B745" t="str">
            <v>پخت کلاچ اینترکولر</v>
          </cell>
          <cell r="C745" t="str">
            <v>قالب تعمیری</v>
          </cell>
          <cell r="AF745">
            <v>3</v>
          </cell>
        </row>
        <row r="746">
          <cell r="B746" t="str">
            <v>پخت کلاچ پراید</v>
          </cell>
          <cell r="C746" t="str">
            <v>قالب تعمیری</v>
          </cell>
          <cell r="AF746">
            <v>2</v>
          </cell>
        </row>
        <row r="747">
          <cell r="B747" t="str">
            <v>پخت کلاچ پراید</v>
          </cell>
          <cell r="C747" t="str">
            <v>قالب تعمیری</v>
          </cell>
          <cell r="AF747">
            <v>2.5</v>
          </cell>
        </row>
        <row r="748">
          <cell r="B748" t="str">
            <v>جلو ریو</v>
          </cell>
          <cell r="C748" t="str">
            <v>قالب تعمیری</v>
          </cell>
          <cell r="AF748">
            <v>0.5</v>
          </cell>
        </row>
        <row r="749">
          <cell r="B749" t="str">
            <v>Hammer Mill Machine</v>
          </cell>
          <cell r="C749" t="str">
            <v>قطعه نو</v>
          </cell>
          <cell r="AF749">
            <v>1</v>
          </cell>
        </row>
        <row r="750">
          <cell r="B750" t="str">
            <v>ایسوزو 6 تن</v>
          </cell>
          <cell r="C750" t="str">
            <v>قالب تعمیری</v>
          </cell>
          <cell r="AF750">
            <v>1</v>
          </cell>
        </row>
        <row r="751">
          <cell r="B751" t="str">
            <v>ایسوزو 6 تن</v>
          </cell>
          <cell r="C751" t="str">
            <v>قالب تعمیری</v>
          </cell>
          <cell r="AF751">
            <v>1</v>
          </cell>
        </row>
        <row r="752">
          <cell r="B752" t="str">
            <v>ایسوزو 6 تن</v>
          </cell>
          <cell r="C752" t="str">
            <v>قالب تعمیری</v>
          </cell>
          <cell r="AF752">
            <v>1</v>
          </cell>
        </row>
        <row r="753">
          <cell r="B753" t="str">
            <v>ده تن سوراخدار</v>
          </cell>
          <cell r="C753" t="str">
            <v>قالب تعمیری</v>
          </cell>
          <cell r="AF753">
            <v>1</v>
          </cell>
        </row>
        <row r="754">
          <cell r="B754" t="str">
            <v>پخت کلاچ اینترکولر</v>
          </cell>
          <cell r="C754" t="str">
            <v>قالب تعمیری</v>
          </cell>
          <cell r="AF754">
            <v>1</v>
          </cell>
        </row>
        <row r="755">
          <cell r="B755" t="str">
            <v>برشی نیوفیس C&amp;C</v>
          </cell>
          <cell r="C755" t="str">
            <v>قالب نو</v>
          </cell>
          <cell r="AF755">
            <v>11</v>
          </cell>
        </row>
        <row r="756">
          <cell r="B756" t="str">
            <v>برشی نیوفیس C&amp;C</v>
          </cell>
          <cell r="C756" t="str">
            <v>قالب نو</v>
          </cell>
          <cell r="AF756">
            <v>5</v>
          </cell>
        </row>
        <row r="757">
          <cell r="B757" t="str">
            <v>قالب توری SAF قدیم</v>
          </cell>
          <cell r="C757" t="str">
            <v>قالب تعمیری</v>
          </cell>
          <cell r="AF757">
            <v>1.5</v>
          </cell>
        </row>
        <row r="758">
          <cell r="B758" t="str">
            <v>قالب توری SAF قدیم</v>
          </cell>
          <cell r="C758" t="str">
            <v>قالب تعمیری</v>
          </cell>
          <cell r="AF758">
            <v>1.5</v>
          </cell>
        </row>
        <row r="759">
          <cell r="B759" t="str">
            <v>پخت کلاچ پراید</v>
          </cell>
          <cell r="C759" t="str">
            <v>قالب تعمیری</v>
          </cell>
          <cell r="AF759">
            <v>2</v>
          </cell>
        </row>
        <row r="760">
          <cell r="B760" t="str">
            <v>Hammer Mill Machine</v>
          </cell>
          <cell r="C760" t="str">
            <v>قطعه نو</v>
          </cell>
          <cell r="AF760">
            <v>11</v>
          </cell>
        </row>
        <row r="761">
          <cell r="B761" t="str">
            <v>Hammer Mill Machine</v>
          </cell>
          <cell r="C761" t="str">
            <v>قطعه تعمیری</v>
          </cell>
          <cell r="AF761">
            <v>11</v>
          </cell>
        </row>
        <row r="762">
          <cell r="B762" t="str">
            <v xml:space="preserve">قالب پخت کلاچ پیکان </v>
          </cell>
          <cell r="C762" t="str">
            <v>قالب تعمیری</v>
          </cell>
          <cell r="AF762">
            <v>8</v>
          </cell>
        </row>
        <row r="763">
          <cell r="B763" t="str">
            <v xml:space="preserve">قالب پخت کلاچ پیکان </v>
          </cell>
          <cell r="C763" t="str">
            <v>قالب تعمیری</v>
          </cell>
          <cell r="AF763">
            <v>3</v>
          </cell>
        </row>
        <row r="764">
          <cell r="B764" t="str">
            <v>برشی نیوفیس C&amp;C</v>
          </cell>
          <cell r="C764" t="str">
            <v>قالب نو</v>
          </cell>
          <cell r="AF764">
            <v>9</v>
          </cell>
        </row>
        <row r="765">
          <cell r="B765" t="str">
            <v>سوراخکاری پیلسان</v>
          </cell>
          <cell r="C765" t="str">
            <v>قطعه نو</v>
          </cell>
          <cell r="AF765">
            <v>2</v>
          </cell>
        </row>
        <row r="766">
          <cell r="B766" t="str">
            <v>ویوینگ</v>
          </cell>
          <cell r="C766" t="str">
            <v>قطعه تعمیری</v>
          </cell>
          <cell r="AF766">
            <v>0.75</v>
          </cell>
        </row>
        <row r="767">
          <cell r="B767" t="str">
            <v>دستگاه پشم فلز</v>
          </cell>
          <cell r="C767" t="str">
            <v>قطعه تعمیری</v>
          </cell>
          <cell r="AF767">
            <v>5.75</v>
          </cell>
        </row>
        <row r="768">
          <cell r="B768" t="str">
            <v>پخت کلاچ اینترکولر</v>
          </cell>
          <cell r="C768" t="str">
            <v>قالب تعمیری</v>
          </cell>
          <cell r="AF768">
            <v>4</v>
          </cell>
        </row>
        <row r="769">
          <cell r="B769" t="str">
            <v>قالب ولوو سوپر</v>
          </cell>
          <cell r="C769" t="str">
            <v>قالب تعمیری</v>
          </cell>
          <cell r="AF769">
            <v>4</v>
          </cell>
        </row>
        <row r="770">
          <cell r="B770" t="str">
            <v xml:space="preserve">قالب پخت کلاچ پیکان </v>
          </cell>
          <cell r="C770" t="str">
            <v>قالب تعمیری</v>
          </cell>
          <cell r="AF770">
            <v>2</v>
          </cell>
        </row>
        <row r="771">
          <cell r="B771" t="str">
            <v>ایسوزو 6 تن</v>
          </cell>
          <cell r="C771" t="str">
            <v>قالب تعمیری</v>
          </cell>
          <cell r="AF771">
            <v>4</v>
          </cell>
        </row>
        <row r="772">
          <cell r="B772" t="str">
            <v>شمش پراید</v>
          </cell>
          <cell r="C772" t="str">
            <v>قالب نو</v>
          </cell>
          <cell r="AF772">
            <v>1</v>
          </cell>
        </row>
        <row r="773">
          <cell r="B773" t="str">
            <v>دریل یزدخواستی کلاچ</v>
          </cell>
          <cell r="C773" t="str">
            <v>قطعه نو</v>
          </cell>
          <cell r="AF773">
            <v>1</v>
          </cell>
        </row>
        <row r="774">
          <cell r="B774" t="str">
            <v xml:space="preserve">قالب پخت کلاچ پیکان </v>
          </cell>
          <cell r="C774" t="str">
            <v>قالب تعمیری</v>
          </cell>
          <cell r="AF774">
            <v>2</v>
          </cell>
        </row>
        <row r="775">
          <cell r="B775" t="str">
            <v>ایسوزو 6 تن</v>
          </cell>
          <cell r="C775" t="str">
            <v>قالب تعمیری</v>
          </cell>
          <cell r="AF775">
            <v>4</v>
          </cell>
        </row>
        <row r="776">
          <cell r="B776" t="str">
            <v>شمش پراید</v>
          </cell>
          <cell r="C776" t="str">
            <v>قالب نو</v>
          </cell>
          <cell r="AF776">
            <v>3</v>
          </cell>
        </row>
        <row r="777">
          <cell r="B777" t="str">
            <v>Hammer Mill Machine</v>
          </cell>
          <cell r="C777" t="str">
            <v>قطعه نو</v>
          </cell>
          <cell r="AF777">
            <v>2</v>
          </cell>
        </row>
        <row r="778">
          <cell r="B778" t="str">
            <v xml:space="preserve">قالب پخت کلاچ پیکان </v>
          </cell>
          <cell r="C778" t="str">
            <v>قالب تعمیری</v>
          </cell>
          <cell r="AF778">
            <v>2</v>
          </cell>
        </row>
        <row r="779">
          <cell r="B779" t="str">
            <v>قالب مینی بوس آریا</v>
          </cell>
          <cell r="C779" t="str">
            <v>قالب نو</v>
          </cell>
          <cell r="AF779">
            <v>12</v>
          </cell>
        </row>
        <row r="780">
          <cell r="B780" t="str">
            <v>برشی نیوفیس C&amp;C</v>
          </cell>
          <cell r="C780" t="str">
            <v>قالب نو</v>
          </cell>
          <cell r="AF780">
            <v>7</v>
          </cell>
        </row>
        <row r="781">
          <cell r="B781" t="str">
            <v>قالب کوبه نک SAF</v>
          </cell>
          <cell r="C781" t="str">
            <v>قالب تعمیری</v>
          </cell>
          <cell r="AF781">
            <v>1</v>
          </cell>
        </row>
        <row r="782">
          <cell r="B782" t="str">
            <v>قالب پخت کلاچ پژو 405</v>
          </cell>
          <cell r="C782" t="str">
            <v>قالب تعمیری</v>
          </cell>
          <cell r="AF782">
            <v>4</v>
          </cell>
        </row>
        <row r="783">
          <cell r="B783" t="str">
            <v>دستگاه فرز</v>
          </cell>
          <cell r="C783" t="str">
            <v>قطعه تعمیری</v>
          </cell>
          <cell r="AF783">
            <v>4</v>
          </cell>
        </row>
        <row r="784">
          <cell r="B784" t="str">
            <v>قالب عقب F12</v>
          </cell>
          <cell r="C784" t="str">
            <v>قالب نو</v>
          </cell>
          <cell r="AF784">
            <v>12</v>
          </cell>
        </row>
        <row r="785">
          <cell r="B785" t="str">
            <v>دستگاه پرس پخت</v>
          </cell>
          <cell r="C785" t="str">
            <v>قطعه تعمیری</v>
          </cell>
          <cell r="AF785">
            <v>2.5</v>
          </cell>
        </row>
        <row r="786">
          <cell r="B786" t="str">
            <v>ویوینگ</v>
          </cell>
          <cell r="C786" t="str">
            <v>قطعه تعمیری</v>
          </cell>
          <cell r="AF786">
            <v>2</v>
          </cell>
        </row>
        <row r="787">
          <cell r="B787" t="str">
            <v>ویوینگ</v>
          </cell>
          <cell r="C787" t="str">
            <v>قطعه تعمیری</v>
          </cell>
          <cell r="AF787">
            <v>1.5</v>
          </cell>
        </row>
        <row r="788">
          <cell r="B788" t="str">
            <v>دستگاه پرس پخت</v>
          </cell>
          <cell r="C788" t="str">
            <v>قطعه تعمیری</v>
          </cell>
          <cell r="AF788">
            <v>1.5</v>
          </cell>
        </row>
        <row r="789">
          <cell r="B789" t="str">
            <v>دستگاه پرس پخت</v>
          </cell>
          <cell r="C789" t="str">
            <v>قطعه تعمیری</v>
          </cell>
          <cell r="AF789">
            <v>1</v>
          </cell>
        </row>
      </sheetData>
      <sheetData sheetId="4">
        <row r="4">
          <cell r="B4" t="str">
            <v>شمش پراید</v>
          </cell>
          <cell r="C4" t="str">
            <v>قالب نو</v>
          </cell>
          <cell r="AF4">
            <v>7.5</v>
          </cell>
        </row>
        <row r="5">
          <cell r="B5" t="str">
            <v xml:space="preserve">قالب پخت کلاچ پیکان </v>
          </cell>
          <cell r="C5" t="str">
            <v>قالب تعمیری</v>
          </cell>
          <cell r="AF5">
            <v>3.5</v>
          </cell>
        </row>
        <row r="6">
          <cell r="B6" t="str">
            <v>قالب ولوو سوپر</v>
          </cell>
          <cell r="C6" t="str">
            <v>قالب تعمیری</v>
          </cell>
          <cell r="AF6">
            <v>3</v>
          </cell>
        </row>
        <row r="7">
          <cell r="B7" t="str">
            <v>اصول 5S</v>
          </cell>
          <cell r="C7" t="str">
            <v>نظافت</v>
          </cell>
          <cell r="AF7">
            <v>1</v>
          </cell>
        </row>
        <row r="8">
          <cell r="B8" t="str">
            <v>اصول 5S</v>
          </cell>
          <cell r="C8" t="str">
            <v>نظافت</v>
          </cell>
          <cell r="AF8">
            <v>1</v>
          </cell>
        </row>
        <row r="9">
          <cell r="B9" t="str">
            <v xml:space="preserve">قالب پخت کلاچ پیکان </v>
          </cell>
          <cell r="C9" t="str">
            <v>قالب تعمیری</v>
          </cell>
          <cell r="AF9">
            <v>2.5</v>
          </cell>
        </row>
        <row r="10">
          <cell r="B10" t="str">
            <v xml:space="preserve">قالب پخت کلاچ پیکان </v>
          </cell>
          <cell r="C10" t="str">
            <v>قالب تعمیری</v>
          </cell>
          <cell r="AF10">
            <v>5</v>
          </cell>
        </row>
        <row r="11">
          <cell r="B11" t="str">
            <v xml:space="preserve">قالب پخت کلاچ پیکان </v>
          </cell>
          <cell r="C11" t="str">
            <v>قالب تعمیری</v>
          </cell>
          <cell r="AF11">
            <v>3.3333333333333335</v>
          </cell>
        </row>
        <row r="12">
          <cell r="B12" t="str">
            <v xml:space="preserve">قالب پخت کلاچ پیکان </v>
          </cell>
          <cell r="C12" t="str">
            <v>قالب تعمیری</v>
          </cell>
          <cell r="AF12">
            <v>3.3333333333333335</v>
          </cell>
        </row>
        <row r="13">
          <cell r="B13" t="str">
            <v>اصول 5S</v>
          </cell>
          <cell r="C13" t="str">
            <v>نظافت</v>
          </cell>
          <cell r="AF13">
            <v>0.83333333333333337</v>
          </cell>
        </row>
        <row r="14">
          <cell r="B14" t="str">
            <v>ایسوزو 6 تن</v>
          </cell>
          <cell r="C14" t="str">
            <v>قالب تعمیری</v>
          </cell>
          <cell r="AF14">
            <v>4</v>
          </cell>
        </row>
        <row r="15">
          <cell r="B15" t="str">
            <v>سری نقطه جوش</v>
          </cell>
          <cell r="C15" t="str">
            <v>قطعه تعمیری</v>
          </cell>
          <cell r="AF15">
            <v>1</v>
          </cell>
        </row>
        <row r="16">
          <cell r="B16" t="str">
            <v>اصول 5S</v>
          </cell>
          <cell r="C16" t="str">
            <v>نظافت</v>
          </cell>
          <cell r="AF16">
            <v>1.5</v>
          </cell>
        </row>
        <row r="17">
          <cell r="B17" t="str">
            <v>دستگاه پرس پخت</v>
          </cell>
          <cell r="C17" t="str">
            <v>قطعه تعمیری</v>
          </cell>
          <cell r="AF17">
            <v>4</v>
          </cell>
        </row>
        <row r="18">
          <cell r="B18" t="str">
            <v>دیتگاه وایر</v>
          </cell>
          <cell r="C18" t="str">
            <v>قطعه نو</v>
          </cell>
          <cell r="AF18">
            <v>1</v>
          </cell>
        </row>
        <row r="19">
          <cell r="B19" t="str">
            <v>قالب پخت کلاچ پژو 405</v>
          </cell>
          <cell r="C19" t="str">
            <v>قالب تعمیری</v>
          </cell>
          <cell r="AF19">
            <v>1</v>
          </cell>
        </row>
        <row r="20">
          <cell r="B20" t="str">
            <v>اصول 5S</v>
          </cell>
          <cell r="C20" t="str">
            <v>نظافت</v>
          </cell>
          <cell r="AF20">
            <v>1</v>
          </cell>
        </row>
        <row r="21">
          <cell r="B21" t="str">
            <v>قالب مینی بوس آریا</v>
          </cell>
          <cell r="C21" t="str">
            <v>قالب نو</v>
          </cell>
          <cell r="AF21">
            <v>8</v>
          </cell>
        </row>
        <row r="22">
          <cell r="B22" t="str">
            <v>قالب پخت کلاچ پژو 405</v>
          </cell>
          <cell r="C22" t="str">
            <v>قالب تعمیری</v>
          </cell>
          <cell r="AF22">
            <v>8</v>
          </cell>
        </row>
        <row r="23">
          <cell r="B23" t="str">
            <v>قلم پژو 405</v>
          </cell>
          <cell r="C23" t="str">
            <v>قطعه تعمیری</v>
          </cell>
          <cell r="AF23">
            <v>5</v>
          </cell>
        </row>
        <row r="24">
          <cell r="B24" t="str">
            <v>قالب عقب F12</v>
          </cell>
          <cell r="C24" t="str">
            <v>قالب تعمیری</v>
          </cell>
          <cell r="AF24">
            <v>8</v>
          </cell>
        </row>
        <row r="25">
          <cell r="B25" t="str">
            <v xml:space="preserve">قالب پخت کلاچ پیکان </v>
          </cell>
          <cell r="C25" t="str">
            <v>قالب تعمیری</v>
          </cell>
          <cell r="AF25">
            <v>2.5</v>
          </cell>
        </row>
        <row r="26">
          <cell r="B26" t="str">
            <v>رادیاتور آغشته کاری</v>
          </cell>
          <cell r="C26" t="str">
            <v>قطعه تعمیری</v>
          </cell>
          <cell r="AF26">
            <v>0.5</v>
          </cell>
        </row>
        <row r="27">
          <cell r="B27" t="str">
            <v>ویوینگ</v>
          </cell>
          <cell r="C27" t="str">
            <v>قطعه تعمیری</v>
          </cell>
          <cell r="AF27">
            <v>1</v>
          </cell>
        </row>
        <row r="28">
          <cell r="B28" t="str">
            <v>ایسوزو 6 تن</v>
          </cell>
          <cell r="C28" t="str">
            <v>قالب تعمیری</v>
          </cell>
          <cell r="AF28">
            <v>2.5</v>
          </cell>
        </row>
        <row r="29">
          <cell r="B29" t="str">
            <v>برشی نیوفیس C&amp;C</v>
          </cell>
          <cell r="C29" t="str">
            <v>قالب نو</v>
          </cell>
          <cell r="AF29">
            <v>1</v>
          </cell>
        </row>
        <row r="30">
          <cell r="B30" t="str">
            <v>قالب ولوو سوپر</v>
          </cell>
          <cell r="C30" t="str">
            <v>قالب تعمیری</v>
          </cell>
          <cell r="AF30">
            <v>3</v>
          </cell>
        </row>
        <row r="31">
          <cell r="B31" t="str">
            <v>قالب ولوو سوپر</v>
          </cell>
          <cell r="C31" t="str">
            <v>قالب تعمیری</v>
          </cell>
          <cell r="AF31">
            <v>8</v>
          </cell>
        </row>
        <row r="32">
          <cell r="B32" t="str">
            <v>برشی نیوفیس C&amp;C</v>
          </cell>
          <cell r="C32" t="str">
            <v>قالب نو</v>
          </cell>
          <cell r="AF32">
            <v>3.5</v>
          </cell>
        </row>
        <row r="33">
          <cell r="B33" t="str">
            <v>ویوینگ</v>
          </cell>
          <cell r="C33" t="str">
            <v>قالب تعمیری</v>
          </cell>
          <cell r="AF33">
            <v>7.5</v>
          </cell>
        </row>
        <row r="34">
          <cell r="B34" t="str">
            <v>Hammer Mill Machine</v>
          </cell>
          <cell r="C34" t="str">
            <v>قطعه تعمیری</v>
          </cell>
          <cell r="AF34">
            <v>7.5</v>
          </cell>
        </row>
        <row r="35">
          <cell r="B35" t="str">
            <v>ویوینگ</v>
          </cell>
          <cell r="C35" t="str">
            <v>قالب تعمیری</v>
          </cell>
          <cell r="AF35">
            <v>3.5</v>
          </cell>
        </row>
        <row r="36">
          <cell r="B36" t="str">
            <v>جلو سمند سورن</v>
          </cell>
          <cell r="C36" t="str">
            <v>قالب تعمیری</v>
          </cell>
          <cell r="AF36">
            <v>4.166666666666667</v>
          </cell>
        </row>
        <row r="37">
          <cell r="B37" t="str">
            <v>جلو ریو</v>
          </cell>
          <cell r="C37" t="str">
            <v>قالب تعمیری</v>
          </cell>
          <cell r="AF37">
            <v>4.166666666666667</v>
          </cell>
        </row>
        <row r="38">
          <cell r="B38" t="str">
            <v>جلو ریو</v>
          </cell>
          <cell r="C38" t="str">
            <v>قالب تعمیری</v>
          </cell>
          <cell r="AF38">
            <v>2.1666666666666665</v>
          </cell>
        </row>
        <row r="39">
          <cell r="B39" t="str">
            <v>قالب مینی بوس آریا</v>
          </cell>
          <cell r="C39" t="str">
            <v>قالب نو</v>
          </cell>
          <cell r="AF39">
            <v>12</v>
          </cell>
        </row>
        <row r="40">
          <cell r="B40" t="str">
            <v>قالب پخت کلاچ پژو 405</v>
          </cell>
          <cell r="C40" t="str">
            <v>قالب تعمیری</v>
          </cell>
          <cell r="AF40">
            <v>8</v>
          </cell>
        </row>
        <row r="41">
          <cell r="B41" t="str">
            <v>قالب مینی بوس آریا</v>
          </cell>
          <cell r="C41" t="str">
            <v>قالب نو</v>
          </cell>
          <cell r="AF41">
            <v>12</v>
          </cell>
        </row>
        <row r="42">
          <cell r="B42" t="str">
            <v>قالب عقب F12</v>
          </cell>
          <cell r="C42" t="str">
            <v>قالب تعمیری</v>
          </cell>
          <cell r="AF42">
            <v>12</v>
          </cell>
        </row>
        <row r="43">
          <cell r="B43" t="str">
            <v>Hammer Mill Machine</v>
          </cell>
          <cell r="C43" t="str">
            <v>قطعه تعمیری</v>
          </cell>
          <cell r="AF43">
            <v>4</v>
          </cell>
        </row>
        <row r="44">
          <cell r="B44" t="str">
            <v>قالب ولوو سوپر</v>
          </cell>
          <cell r="C44" t="str">
            <v>قالب تعمیری</v>
          </cell>
          <cell r="AF44">
            <v>2</v>
          </cell>
        </row>
        <row r="45">
          <cell r="B45" t="str">
            <v>سوراخکاری پیلسان</v>
          </cell>
          <cell r="C45" t="str">
            <v>قطعه نو</v>
          </cell>
          <cell r="AF45">
            <v>0.5</v>
          </cell>
        </row>
        <row r="46">
          <cell r="B46" t="str">
            <v>کوبه برش پراید</v>
          </cell>
          <cell r="C46" t="str">
            <v>قطعه تعمیری</v>
          </cell>
          <cell r="AF46">
            <v>0.5</v>
          </cell>
        </row>
        <row r="47">
          <cell r="B47" t="str">
            <v>جلو ریو</v>
          </cell>
          <cell r="C47" t="str">
            <v>قالب تعمیری</v>
          </cell>
          <cell r="AF47">
            <v>4</v>
          </cell>
        </row>
        <row r="48">
          <cell r="B48" t="str">
            <v>دریل یزدخواستی کلاچ</v>
          </cell>
          <cell r="C48" t="str">
            <v>قطعه نو</v>
          </cell>
          <cell r="AF48">
            <v>1</v>
          </cell>
        </row>
        <row r="49">
          <cell r="B49" t="str">
            <v>پخت کلاچ پراید</v>
          </cell>
          <cell r="C49" t="str">
            <v>قالب تعمیری</v>
          </cell>
          <cell r="AF49">
            <v>2</v>
          </cell>
        </row>
        <row r="50">
          <cell r="B50" t="str">
            <v>پخت کلاچ 309 سوراخدار</v>
          </cell>
          <cell r="C50" t="str">
            <v>قالب تعمیری</v>
          </cell>
          <cell r="AF50">
            <v>1</v>
          </cell>
        </row>
        <row r="51">
          <cell r="B51" t="str">
            <v>شمش پراید</v>
          </cell>
          <cell r="C51" t="str">
            <v>قالب نو</v>
          </cell>
          <cell r="AF51">
            <v>3</v>
          </cell>
        </row>
        <row r="52">
          <cell r="B52" t="str">
            <v>لنت ترمز دیسكی جلو دیما(خم)</v>
          </cell>
          <cell r="C52" t="str">
            <v>قالب نو</v>
          </cell>
          <cell r="AF52">
            <v>1</v>
          </cell>
        </row>
        <row r="53">
          <cell r="B53" t="str">
            <v>پخت کلاچ 309 سوراخدار</v>
          </cell>
          <cell r="C53" t="str">
            <v>قالب تعمیری</v>
          </cell>
          <cell r="AF53">
            <v>2</v>
          </cell>
        </row>
        <row r="54">
          <cell r="B54" t="str">
            <v>پخت کلاچ 309 سوراخدار</v>
          </cell>
          <cell r="C54" t="str">
            <v>قالب تعمیری</v>
          </cell>
          <cell r="AF54">
            <v>8</v>
          </cell>
        </row>
        <row r="55">
          <cell r="B55" t="str">
            <v>ایسوزو 6 تن</v>
          </cell>
          <cell r="C55" t="str">
            <v>قالب تعمیری</v>
          </cell>
          <cell r="AF55">
            <v>3</v>
          </cell>
        </row>
        <row r="56">
          <cell r="B56" t="str">
            <v>برشی نیوفیس C&amp;C</v>
          </cell>
          <cell r="C56" t="str">
            <v>قالب نو</v>
          </cell>
          <cell r="AF56">
            <v>3</v>
          </cell>
        </row>
        <row r="57">
          <cell r="B57" t="str">
            <v>جلو سمند سورن</v>
          </cell>
          <cell r="C57" t="str">
            <v>قالب تعمیری</v>
          </cell>
          <cell r="AF57">
            <v>2</v>
          </cell>
        </row>
        <row r="58">
          <cell r="B58" t="str">
            <v>جلو ریو</v>
          </cell>
          <cell r="C58" t="str">
            <v>قالب تعمیری</v>
          </cell>
          <cell r="AF58">
            <v>2</v>
          </cell>
        </row>
        <row r="59">
          <cell r="B59" t="str">
            <v>پخت کلاچ 309 سوراخدار</v>
          </cell>
          <cell r="C59" t="str">
            <v>قالب تعمیری</v>
          </cell>
          <cell r="AF59">
            <v>1</v>
          </cell>
        </row>
        <row r="60">
          <cell r="B60" t="str">
            <v>دستگاه رولینگ</v>
          </cell>
          <cell r="C60" t="str">
            <v>قطعه نو</v>
          </cell>
          <cell r="AF60">
            <v>4</v>
          </cell>
        </row>
        <row r="61">
          <cell r="B61" t="str">
            <v>قالب پخت کلاچ پژو 405</v>
          </cell>
          <cell r="C61" t="str">
            <v>قالب تعمیری</v>
          </cell>
          <cell r="AF61">
            <v>3</v>
          </cell>
        </row>
        <row r="62">
          <cell r="B62" t="str">
            <v xml:space="preserve">قالب پخت کلاچ پیکان </v>
          </cell>
          <cell r="C62" t="str">
            <v>قالب تعمیری</v>
          </cell>
          <cell r="AF62">
            <v>1</v>
          </cell>
        </row>
        <row r="63">
          <cell r="B63" t="str">
            <v>جلو ریو</v>
          </cell>
          <cell r="C63" t="str">
            <v>قالب تعمیری</v>
          </cell>
          <cell r="AF63">
            <v>1</v>
          </cell>
        </row>
        <row r="64">
          <cell r="B64" t="str">
            <v>دستگاه پشم فلز</v>
          </cell>
          <cell r="C64" t="str">
            <v>قطعه تعمیری</v>
          </cell>
          <cell r="AF64">
            <v>6.5</v>
          </cell>
        </row>
        <row r="65">
          <cell r="B65" t="str">
            <v>پخت عقب پژو 405 شمشی پایه کوتاه</v>
          </cell>
          <cell r="C65" t="str">
            <v>قالب نو</v>
          </cell>
          <cell r="AF65">
            <v>7.5</v>
          </cell>
        </row>
        <row r="66">
          <cell r="B66" t="str">
            <v xml:space="preserve">قالب پخت کلاچ پیکان </v>
          </cell>
          <cell r="C66" t="str">
            <v>قالب تعمیری</v>
          </cell>
          <cell r="AF66">
            <v>7.5</v>
          </cell>
        </row>
        <row r="67">
          <cell r="B67" t="str">
            <v xml:space="preserve">قالب پخت کلاچ پیکان </v>
          </cell>
          <cell r="C67" t="str">
            <v>قالب تعمیری</v>
          </cell>
          <cell r="AF67">
            <v>3.5</v>
          </cell>
        </row>
        <row r="68">
          <cell r="B68" t="str">
            <v>ویوینگ</v>
          </cell>
          <cell r="C68" t="str">
            <v>قطعه تعمیری</v>
          </cell>
          <cell r="AF68">
            <v>4.5</v>
          </cell>
        </row>
        <row r="69">
          <cell r="B69" t="str">
            <v>ساب ترابوزا</v>
          </cell>
          <cell r="C69" t="str">
            <v>قطعه تعمیری</v>
          </cell>
          <cell r="AF69">
            <v>6.5</v>
          </cell>
        </row>
        <row r="70">
          <cell r="B70" t="str">
            <v>پخت کلاچ ایسوزو</v>
          </cell>
          <cell r="C70" t="str">
            <v>قالب تعمیری</v>
          </cell>
          <cell r="AF70">
            <v>1</v>
          </cell>
        </row>
        <row r="71">
          <cell r="B71" t="str">
            <v>پخت کلاچ 309 سوراخدار</v>
          </cell>
          <cell r="C71" t="str">
            <v>قالب تعمیری</v>
          </cell>
          <cell r="AF71">
            <v>1</v>
          </cell>
        </row>
        <row r="72">
          <cell r="B72" t="str">
            <v xml:space="preserve">قالب پخت کلاچ پیکان </v>
          </cell>
          <cell r="C72" t="str">
            <v>قالب تعمیری</v>
          </cell>
          <cell r="AF72">
            <v>2</v>
          </cell>
        </row>
        <row r="73">
          <cell r="B73" t="str">
            <v xml:space="preserve">قالب پخت کلاچ پیکان </v>
          </cell>
          <cell r="C73" t="str">
            <v>قالب تعمیری</v>
          </cell>
          <cell r="AF73">
            <v>4</v>
          </cell>
        </row>
        <row r="74">
          <cell r="B74" t="str">
            <v>ویوینگ</v>
          </cell>
          <cell r="C74" t="str">
            <v>قطعه تعمیری</v>
          </cell>
          <cell r="AF74">
            <v>1.5</v>
          </cell>
        </row>
        <row r="75">
          <cell r="B75" t="str">
            <v>سوراخکاری پیلسان</v>
          </cell>
          <cell r="C75" t="str">
            <v>قطعه نو</v>
          </cell>
          <cell r="AF75">
            <v>6.5</v>
          </cell>
        </row>
        <row r="76">
          <cell r="B76" t="str">
            <v>ویوینگ</v>
          </cell>
          <cell r="C76" t="str">
            <v>قطعه تعمیری</v>
          </cell>
          <cell r="AF76">
            <v>3</v>
          </cell>
        </row>
        <row r="77">
          <cell r="B77" t="str">
            <v>پخت کلاچ 309 سوراخدار</v>
          </cell>
          <cell r="C77" t="str">
            <v>قالب تعمیری</v>
          </cell>
          <cell r="AF77">
            <v>11</v>
          </cell>
        </row>
        <row r="78">
          <cell r="B78" t="str">
            <v>برشی نیوفیس C&amp;C</v>
          </cell>
          <cell r="C78" t="str">
            <v>قالب نو</v>
          </cell>
          <cell r="AF78">
            <v>3.5</v>
          </cell>
        </row>
        <row r="79">
          <cell r="B79" t="str">
            <v>لنت ترمز دیسكی جلو دیما(خم)</v>
          </cell>
          <cell r="C79" t="str">
            <v>قالب نو</v>
          </cell>
          <cell r="AF79">
            <v>3.5</v>
          </cell>
        </row>
        <row r="80">
          <cell r="B80" t="str">
            <v>Hammer Mill Machine</v>
          </cell>
          <cell r="C80" t="str">
            <v>قطعه تعمیری</v>
          </cell>
          <cell r="AF80">
            <v>4</v>
          </cell>
        </row>
        <row r="81">
          <cell r="B81" t="str">
            <v>سری نقطه جوش</v>
          </cell>
          <cell r="C81" t="str">
            <v>قطعه تعمیری</v>
          </cell>
          <cell r="AF81">
            <v>1</v>
          </cell>
        </row>
        <row r="82">
          <cell r="B82" t="str">
            <v xml:space="preserve">قالب پخت کلاچ پیکان </v>
          </cell>
          <cell r="C82" t="str">
            <v>قالب تعمیری</v>
          </cell>
          <cell r="AF82">
            <v>3.3333333333333335</v>
          </cell>
        </row>
        <row r="83">
          <cell r="B83" t="str">
            <v>قالب مینی بوس آریا</v>
          </cell>
          <cell r="C83" t="str">
            <v>قالب نو</v>
          </cell>
          <cell r="AF83">
            <v>12</v>
          </cell>
        </row>
        <row r="84">
          <cell r="B84" t="str">
            <v xml:space="preserve">قالب پخت کلاچ پیکان </v>
          </cell>
          <cell r="C84" t="str">
            <v>قالب تعمیری</v>
          </cell>
          <cell r="AF84">
            <v>7</v>
          </cell>
        </row>
        <row r="85">
          <cell r="B85" t="str">
            <v>قالب مینی بوس آریا</v>
          </cell>
          <cell r="C85" t="str">
            <v>قالب نو</v>
          </cell>
          <cell r="AF85">
            <v>4</v>
          </cell>
        </row>
        <row r="86">
          <cell r="B86" t="str">
            <v>قالب عقب F12</v>
          </cell>
          <cell r="C86" t="str">
            <v>قالب تعمیری</v>
          </cell>
          <cell r="AF86">
            <v>12</v>
          </cell>
        </row>
        <row r="87">
          <cell r="B87" t="str">
            <v>جلو سمند سورن</v>
          </cell>
          <cell r="C87" t="str">
            <v>قالب تعمیری</v>
          </cell>
          <cell r="AF87">
            <v>8</v>
          </cell>
        </row>
        <row r="88">
          <cell r="B88" t="str">
            <v>جلو سمند سورن</v>
          </cell>
          <cell r="C88" t="str">
            <v>قالب تعمیری</v>
          </cell>
          <cell r="AF88">
            <v>5</v>
          </cell>
        </row>
        <row r="89">
          <cell r="B89" t="str">
            <v>پخت کلاچ 309 سوراخدار</v>
          </cell>
          <cell r="C89" t="str">
            <v>قالب تعمیری</v>
          </cell>
          <cell r="AF89">
            <v>2</v>
          </cell>
        </row>
        <row r="90">
          <cell r="B90" t="str">
            <v>پخت کلاچ 309 سوراخدار</v>
          </cell>
          <cell r="C90" t="str">
            <v>قالب تعمیری</v>
          </cell>
          <cell r="AF90">
            <v>2</v>
          </cell>
        </row>
        <row r="91">
          <cell r="B91" t="str">
            <v>پخت کلاچ 309 سوراخدار</v>
          </cell>
          <cell r="C91" t="str">
            <v>قالب تعمیری</v>
          </cell>
          <cell r="AF91">
            <v>2</v>
          </cell>
        </row>
        <row r="92">
          <cell r="B92" t="str">
            <v>جلو ریو</v>
          </cell>
          <cell r="C92" t="str">
            <v>قالب تعمیری</v>
          </cell>
          <cell r="AF92">
            <v>3</v>
          </cell>
        </row>
        <row r="93">
          <cell r="B93" t="str">
            <v>جلو ریو</v>
          </cell>
          <cell r="C93" t="str">
            <v>قالب تعمیری</v>
          </cell>
          <cell r="AF93">
            <v>3</v>
          </cell>
        </row>
        <row r="94">
          <cell r="B94" t="str">
            <v xml:space="preserve">قالب پخت کلاچ پیکان </v>
          </cell>
          <cell r="C94" t="str">
            <v>قالب تعمیری</v>
          </cell>
          <cell r="AF94">
            <v>2</v>
          </cell>
        </row>
        <row r="95">
          <cell r="B95" t="str">
            <v>قالب ولوو سوپر</v>
          </cell>
          <cell r="C95" t="str">
            <v>قالب تعمیری</v>
          </cell>
          <cell r="AF95">
            <v>1</v>
          </cell>
        </row>
        <row r="96">
          <cell r="B96" t="str">
            <v>پخت کلاچ 309 سوراخدار</v>
          </cell>
          <cell r="C96" t="str">
            <v>قالب تعمیری</v>
          </cell>
          <cell r="AF96">
            <v>1</v>
          </cell>
        </row>
        <row r="97">
          <cell r="B97" t="str">
            <v>پخت کلاچ ایسوزو</v>
          </cell>
          <cell r="C97" t="str">
            <v>قالب تعمیری</v>
          </cell>
          <cell r="AF97">
            <v>1</v>
          </cell>
        </row>
        <row r="98">
          <cell r="B98" t="str">
            <v>ویوینگ</v>
          </cell>
          <cell r="C98" t="str">
            <v>قطعه تعمیری</v>
          </cell>
          <cell r="AF98">
            <v>3</v>
          </cell>
        </row>
        <row r="99">
          <cell r="B99" t="str">
            <v>پخت عقب پژو 405 شمشی پایه کوتاه</v>
          </cell>
          <cell r="C99" t="str">
            <v>قالب نو</v>
          </cell>
          <cell r="AF99">
            <v>11</v>
          </cell>
        </row>
        <row r="100">
          <cell r="B100" t="str">
            <v>دستگاه پشم فلز</v>
          </cell>
          <cell r="C100" t="str">
            <v>قطعه تعمیری</v>
          </cell>
          <cell r="AF100">
            <v>6.5</v>
          </cell>
        </row>
        <row r="101">
          <cell r="B101" t="str">
            <v>آسیاب پشم فلز</v>
          </cell>
          <cell r="C101" t="str">
            <v>قطعه تعمیری</v>
          </cell>
          <cell r="AF101">
            <v>1</v>
          </cell>
        </row>
        <row r="102">
          <cell r="B102" t="str">
            <v>قالب ولوو سوپر</v>
          </cell>
          <cell r="C102" t="str">
            <v>قالب تعمیری</v>
          </cell>
          <cell r="AF102">
            <v>10</v>
          </cell>
        </row>
        <row r="103">
          <cell r="B103" t="str">
            <v>ویوینگ</v>
          </cell>
          <cell r="C103" t="str">
            <v>قطعه تعمیری</v>
          </cell>
          <cell r="AF103">
            <v>2</v>
          </cell>
        </row>
        <row r="104">
          <cell r="B104" t="str">
            <v>برشی نیوفیس C&amp;C</v>
          </cell>
          <cell r="C104" t="str">
            <v>قالب نو</v>
          </cell>
          <cell r="AF104">
            <v>2.5</v>
          </cell>
        </row>
        <row r="105">
          <cell r="B105" t="str">
            <v>برشی نیوفیس C&amp;C</v>
          </cell>
          <cell r="C105" t="str">
            <v>قالب نو</v>
          </cell>
          <cell r="AF105">
            <v>3</v>
          </cell>
        </row>
        <row r="106">
          <cell r="B106" t="str">
            <v>ویوینگ</v>
          </cell>
          <cell r="C106" t="str">
            <v>قطعه تعمیری</v>
          </cell>
          <cell r="AF106">
            <v>3</v>
          </cell>
        </row>
        <row r="107">
          <cell r="B107" t="str">
            <v>کولر</v>
          </cell>
          <cell r="C107" t="str">
            <v>دستگاه تعمیری</v>
          </cell>
          <cell r="AF107">
            <v>3</v>
          </cell>
        </row>
        <row r="108">
          <cell r="B108" t="str">
            <v>دستگاه چسب زنی</v>
          </cell>
          <cell r="C108" t="str">
            <v>قطعه تعمیری</v>
          </cell>
          <cell r="AF108">
            <v>3</v>
          </cell>
        </row>
        <row r="109">
          <cell r="B109" t="str">
            <v xml:space="preserve">قالب پخت کلاچ پیکان </v>
          </cell>
          <cell r="C109" t="str">
            <v>قالب تعمیری</v>
          </cell>
          <cell r="AF109">
            <v>5</v>
          </cell>
        </row>
        <row r="110">
          <cell r="B110" t="str">
            <v xml:space="preserve">قالب پخت کلاچ پیکان </v>
          </cell>
          <cell r="C110" t="str">
            <v>قالب تعمیری</v>
          </cell>
          <cell r="AF110">
            <v>2</v>
          </cell>
        </row>
        <row r="111">
          <cell r="B111" t="str">
            <v>قالب توری پگاسوز</v>
          </cell>
          <cell r="C111" t="str">
            <v>قالب تعمیری</v>
          </cell>
          <cell r="AF111">
            <v>2</v>
          </cell>
        </row>
        <row r="112">
          <cell r="B112" t="str">
            <v>پخت کلاچ پراید</v>
          </cell>
          <cell r="C112" t="str">
            <v>قالب تعمیری</v>
          </cell>
          <cell r="AF112">
            <v>1</v>
          </cell>
        </row>
        <row r="113">
          <cell r="B113" t="str">
            <v>Hammer Mill Machine</v>
          </cell>
          <cell r="C113" t="str">
            <v>قطعه نو</v>
          </cell>
          <cell r="AF113">
            <v>2</v>
          </cell>
        </row>
        <row r="114">
          <cell r="B114" t="str">
            <v>پخت کلاچ پراید</v>
          </cell>
          <cell r="C114" t="str">
            <v>قالب تعمیری</v>
          </cell>
          <cell r="AF114">
            <v>2</v>
          </cell>
        </row>
        <row r="115">
          <cell r="B115" t="str">
            <v>سری نقطه جوش</v>
          </cell>
          <cell r="C115" t="str">
            <v>قطعه تعمیری</v>
          </cell>
          <cell r="AF115">
            <v>2</v>
          </cell>
        </row>
        <row r="116">
          <cell r="B116" t="str">
            <v>پخت کلاچ پراید</v>
          </cell>
          <cell r="C116" t="str">
            <v>قالب تعمیری</v>
          </cell>
          <cell r="AF116">
            <v>2</v>
          </cell>
        </row>
        <row r="117">
          <cell r="B117" t="str">
            <v>پخت کلاچ 309 سوراخدار</v>
          </cell>
          <cell r="C117" t="str">
            <v>قالب تعمیری</v>
          </cell>
          <cell r="AF117">
            <v>6</v>
          </cell>
        </row>
        <row r="118">
          <cell r="B118" t="str">
            <v>برشی نیوفیس C&amp;C</v>
          </cell>
          <cell r="C118" t="str">
            <v>قالب نو</v>
          </cell>
          <cell r="AF118">
            <v>2.5</v>
          </cell>
        </row>
        <row r="119">
          <cell r="B119" t="str">
            <v>لنت ترمز دیسكی جلو دیما(خم)</v>
          </cell>
          <cell r="C119" t="str">
            <v>قالب نو</v>
          </cell>
          <cell r="AF119">
            <v>2.5</v>
          </cell>
        </row>
        <row r="120">
          <cell r="B120" t="str">
            <v>پخت کلاچ 309 سوراخدار</v>
          </cell>
          <cell r="C120" t="str">
            <v>قالب تعمیری</v>
          </cell>
          <cell r="AF120">
            <v>5</v>
          </cell>
        </row>
        <row r="121">
          <cell r="B121" t="str">
            <v>قالب توری پگاسوز</v>
          </cell>
          <cell r="C121" t="str">
            <v>قالب تعمیری</v>
          </cell>
          <cell r="AF121">
            <v>1</v>
          </cell>
        </row>
        <row r="122">
          <cell r="B122" t="str">
            <v xml:space="preserve">قالب پخت کلاچ پیکان </v>
          </cell>
          <cell r="C122" t="str">
            <v>قالب تعمیری</v>
          </cell>
          <cell r="AF122">
            <v>2.5</v>
          </cell>
        </row>
        <row r="123">
          <cell r="B123" t="str">
            <v>قالب ولوو سوپر</v>
          </cell>
          <cell r="C123" t="str">
            <v>قالب تعمیری</v>
          </cell>
          <cell r="AF123">
            <v>1.5</v>
          </cell>
        </row>
        <row r="124">
          <cell r="B124" t="str">
            <v>قالب مینی بوس آریا</v>
          </cell>
          <cell r="C124" t="str">
            <v>قالب نو</v>
          </cell>
          <cell r="AF124">
            <v>11</v>
          </cell>
        </row>
        <row r="125">
          <cell r="B125" t="str">
            <v>جلو سمند سورن</v>
          </cell>
          <cell r="C125" t="str">
            <v>قالب تعمیری</v>
          </cell>
          <cell r="AF125">
            <v>11</v>
          </cell>
        </row>
        <row r="126">
          <cell r="B126" t="str">
            <v>جلو سمند سورن</v>
          </cell>
          <cell r="C126" t="str">
            <v>قالب تعمیری</v>
          </cell>
          <cell r="AF126">
            <v>11</v>
          </cell>
        </row>
        <row r="127">
          <cell r="B127" t="str">
            <v>قالب عقب F12</v>
          </cell>
          <cell r="C127" t="str">
            <v>قالب نو</v>
          </cell>
          <cell r="AF127">
            <v>11</v>
          </cell>
        </row>
        <row r="128">
          <cell r="B128" t="str">
            <v>ویوینگ</v>
          </cell>
          <cell r="C128" t="str">
            <v>قطعه تعمیری</v>
          </cell>
          <cell r="AF128">
            <v>6</v>
          </cell>
        </row>
        <row r="129">
          <cell r="B129" t="str">
            <v>ویوینگ</v>
          </cell>
          <cell r="C129" t="str">
            <v>قطعه تعمیری</v>
          </cell>
          <cell r="AF129">
            <v>1</v>
          </cell>
        </row>
        <row r="130">
          <cell r="B130" t="str">
            <v>قالب ولوو سوپر</v>
          </cell>
          <cell r="C130" t="str">
            <v>قالب تعمیری</v>
          </cell>
          <cell r="AF130">
            <v>11</v>
          </cell>
        </row>
        <row r="131">
          <cell r="B131" t="str">
            <v>لنت ترمز دیسكی جلو دیما(خم)</v>
          </cell>
          <cell r="C131" t="str">
            <v>قالب نو</v>
          </cell>
          <cell r="AF131">
            <v>7.5</v>
          </cell>
        </row>
        <row r="132">
          <cell r="B132" t="str">
            <v>پخت کلاچ پراید</v>
          </cell>
          <cell r="C132" t="str">
            <v>قالب تعمیری</v>
          </cell>
          <cell r="AF132">
            <v>3.5</v>
          </cell>
        </row>
        <row r="133">
          <cell r="B133" t="str">
            <v>پخت عقب پژو 405 شمشی پایه کوتاه</v>
          </cell>
          <cell r="C133" t="str">
            <v>قالب نو</v>
          </cell>
          <cell r="AF133">
            <v>13</v>
          </cell>
        </row>
        <row r="134">
          <cell r="B134" t="str">
            <v>دستگاه پشم فلز</v>
          </cell>
          <cell r="C134" t="str">
            <v>قطعه تعمیری</v>
          </cell>
          <cell r="AF134">
            <v>6.5</v>
          </cell>
        </row>
        <row r="135">
          <cell r="B135" t="str">
            <v>قالب ولوو سوپر</v>
          </cell>
          <cell r="C135" t="str">
            <v>قالب تعمیری</v>
          </cell>
          <cell r="AF135">
            <v>11</v>
          </cell>
        </row>
        <row r="136">
          <cell r="B136" t="str">
            <v>قالب پخت کلاچ پژو 405</v>
          </cell>
          <cell r="C136" t="str">
            <v>قالب تعمیری</v>
          </cell>
          <cell r="AF136">
            <v>3</v>
          </cell>
        </row>
        <row r="137">
          <cell r="B137" t="str">
            <v>پخت کلاچ پراید</v>
          </cell>
          <cell r="C137" t="str">
            <v>قالب تعمیری</v>
          </cell>
          <cell r="AF137">
            <v>8</v>
          </cell>
        </row>
        <row r="138">
          <cell r="B138" t="str">
            <v>ویوینگ</v>
          </cell>
          <cell r="C138" t="str">
            <v>قطعه تعمیری</v>
          </cell>
          <cell r="AF138">
            <v>4.5</v>
          </cell>
        </row>
        <row r="139">
          <cell r="B139" t="str">
            <v>ویوینگ</v>
          </cell>
          <cell r="C139" t="str">
            <v>قطعه تعمیری</v>
          </cell>
          <cell r="AF139">
            <v>4.5</v>
          </cell>
        </row>
        <row r="140">
          <cell r="B140" t="str">
            <v>دستگاه پرچ زنی</v>
          </cell>
          <cell r="C140" t="str">
            <v>قطعه تعمیری</v>
          </cell>
          <cell r="AF140">
            <v>1</v>
          </cell>
        </row>
        <row r="141">
          <cell r="B141" t="str">
            <v>دستگاه پرچ زنی</v>
          </cell>
          <cell r="C141" t="str">
            <v>قطعه تعمیری</v>
          </cell>
          <cell r="AF141">
            <v>1</v>
          </cell>
        </row>
        <row r="142">
          <cell r="B142" t="str">
            <v>لنت ترمز دیسكی جلو دیما(خم)</v>
          </cell>
          <cell r="C142" t="str">
            <v>قالب نو</v>
          </cell>
          <cell r="AF142">
            <v>3</v>
          </cell>
        </row>
        <row r="143">
          <cell r="B143" t="str">
            <v>پخت کلاچ 309 سوراخدار</v>
          </cell>
          <cell r="C143" t="str">
            <v>قالب تعمیری</v>
          </cell>
          <cell r="AF143">
            <v>6</v>
          </cell>
        </row>
        <row r="144">
          <cell r="B144" t="str">
            <v>جلو سمند سورن</v>
          </cell>
          <cell r="C144" t="str">
            <v>قالب تعمیری</v>
          </cell>
          <cell r="AF144">
            <v>5</v>
          </cell>
        </row>
        <row r="145">
          <cell r="B145" t="str">
            <v>پخت کلاچ 309 سوراخدار</v>
          </cell>
          <cell r="C145" t="str">
            <v>قالب تعمیری</v>
          </cell>
          <cell r="AF145">
            <v>4</v>
          </cell>
        </row>
        <row r="146">
          <cell r="B146" t="str">
            <v>قالب پخت کلاچ پژو 405</v>
          </cell>
          <cell r="C146" t="str">
            <v>قالب تعمیری</v>
          </cell>
          <cell r="AF146">
            <v>4</v>
          </cell>
        </row>
        <row r="147">
          <cell r="B147" t="str">
            <v>سری نقطه جوش</v>
          </cell>
          <cell r="C147" t="str">
            <v>قطعه تعمیری</v>
          </cell>
          <cell r="AF147">
            <v>1</v>
          </cell>
        </row>
        <row r="148">
          <cell r="B148" t="str">
            <v>برشی نیوفیس C&amp;C</v>
          </cell>
          <cell r="C148" t="str">
            <v>قالب نو</v>
          </cell>
          <cell r="AF148">
            <v>2.5</v>
          </cell>
        </row>
        <row r="149">
          <cell r="B149" t="str">
            <v>لودر دیسکی XGL 50</v>
          </cell>
          <cell r="C149" t="str">
            <v>قالب نو</v>
          </cell>
          <cell r="AF149">
            <v>3</v>
          </cell>
        </row>
        <row r="150">
          <cell r="B150" t="str">
            <v>لنت ترمز دیسكی جلو دیما(خم)</v>
          </cell>
          <cell r="C150" t="str">
            <v>قالب نو</v>
          </cell>
          <cell r="AF150">
            <v>5.5</v>
          </cell>
        </row>
        <row r="151">
          <cell r="B151" t="str">
            <v>دستگاه پرچ زنی</v>
          </cell>
          <cell r="C151" t="str">
            <v>قطعه تعمیری</v>
          </cell>
          <cell r="AF151">
            <v>3</v>
          </cell>
        </row>
        <row r="152">
          <cell r="B152" t="str">
            <v>ساب ترابوزا</v>
          </cell>
          <cell r="C152" t="str">
            <v>قطعه نو</v>
          </cell>
          <cell r="AF152">
            <v>3</v>
          </cell>
        </row>
        <row r="153">
          <cell r="B153" t="str">
            <v>Hammer Mill Machine</v>
          </cell>
          <cell r="C153" t="str">
            <v>قطعه نو</v>
          </cell>
          <cell r="AF153">
            <v>1</v>
          </cell>
        </row>
        <row r="154">
          <cell r="B154" t="str">
            <v>دستگاه پرس پخت</v>
          </cell>
          <cell r="C154" t="str">
            <v>قطعه نو</v>
          </cell>
          <cell r="AF154">
            <v>2</v>
          </cell>
        </row>
        <row r="155">
          <cell r="B155" t="str">
            <v>دستگاه پرس پخت</v>
          </cell>
          <cell r="C155" t="str">
            <v>قطعه تعمیری</v>
          </cell>
          <cell r="AF155">
            <v>3</v>
          </cell>
        </row>
        <row r="156">
          <cell r="B156" t="str">
            <v>قالب پخت SAF</v>
          </cell>
          <cell r="C156" t="str">
            <v>قالب تعمیری</v>
          </cell>
          <cell r="AF156">
            <v>12</v>
          </cell>
        </row>
        <row r="157">
          <cell r="B157" t="str">
            <v>جلو سمند سورن</v>
          </cell>
          <cell r="C157" t="str">
            <v>قالب تعمیری</v>
          </cell>
          <cell r="AF157">
            <v>3</v>
          </cell>
        </row>
        <row r="158">
          <cell r="B158" t="str">
            <v>فیکسچر کفشک پژو 405</v>
          </cell>
          <cell r="C158" t="str">
            <v>قطعه نو</v>
          </cell>
          <cell r="AF158">
            <v>6</v>
          </cell>
        </row>
        <row r="159">
          <cell r="B159" t="str">
            <v>جلو سمند سورن</v>
          </cell>
          <cell r="C159" t="str">
            <v>قالب تعمیری</v>
          </cell>
          <cell r="AF159">
            <v>9</v>
          </cell>
        </row>
        <row r="160">
          <cell r="B160" t="str">
            <v>لنت ترمز دیسكی جلو دیما(خم)</v>
          </cell>
          <cell r="C160" t="str">
            <v>قالب نو</v>
          </cell>
          <cell r="AF160">
            <v>12</v>
          </cell>
        </row>
        <row r="161">
          <cell r="B161" t="str">
            <v>برشی نیوفیس C&amp;C</v>
          </cell>
          <cell r="C161" t="str">
            <v>قالب نو</v>
          </cell>
          <cell r="AF161">
            <v>4</v>
          </cell>
        </row>
        <row r="162">
          <cell r="B162" t="str">
            <v>پخت کلاچ ده تن</v>
          </cell>
          <cell r="C162" t="str">
            <v>قالب تعمیری</v>
          </cell>
          <cell r="AF162">
            <v>5</v>
          </cell>
        </row>
        <row r="163">
          <cell r="B163" t="str">
            <v>پخت عقب پژو 405 شمشی پایه کوتاه</v>
          </cell>
          <cell r="C163" t="str">
            <v>قالب نو</v>
          </cell>
          <cell r="AF163">
            <v>2</v>
          </cell>
        </row>
        <row r="164">
          <cell r="B164" t="str">
            <v>پخت عقب پژو 405 شمشی پایه کوتاه</v>
          </cell>
          <cell r="C164" t="str">
            <v>قالب نو</v>
          </cell>
          <cell r="AF164">
            <v>11</v>
          </cell>
        </row>
        <row r="165">
          <cell r="B165" t="str">
            <v>پخت کلاچ پراید</v>
          </cell>
          <cell r="C165" t="str">
            <v>قالب تعمیری</v>
          </cell>
          <cell r="AF165">
            <v>11</v>
          </cell>
        </row>
        <row r="166">
          <cell r="B166" t="str">
            <v>قالب ولوو سوپر</v>
          </cell>
          <cell r="C166" t="str">
            <v>قالب تعمیری</v>
          </cell>
          <cell r="AF166">
            <v>11</v>
          </cell>
        </row>
        <row r="167">
          <cell r="B167" t="str">
            <v>لنت ترمز دیسكی جلو دیما(خم)</v>
          </cell>
          <cell r="C167" t="str">
            <v>قالب نو</v>
          </cell>
          <cell r="AF167">
            <v>5.5</v>
          </cell>
        </row>
        <row r="168">
          <cell r="B168" t="str">
            <v>برشی نیوفیس C&amp;C</v>
          </cell>
          <cell r="C168" t="str">
            <v>قالب نو</v>
          </cell>
          <cell r="AF168">
            <v>5.5</v>
          </cell>
        </row>
        <row r="169">
          <cell r="B169" t="str">
            <v>دستگاه پرس پخت</v>
          </cell>
          <cell r="C169" t="str">
            <v>قطعه نو</v>
          </cell>
          <cell r="AF169">
            <v>2</v>
          </cell>
        </row>
        <row r="170">
          <cell r="B170" t="str">
            <v>دستگاه پرس پخت</v>
          </cell>
          <cell r="C170" t="str">
            <v>قطعه تعمیری</v>
          </cell>
          <cell r="AF170">
            <v>2</v>
          </cell>
        </row>
        <row r="171">
          <cell r="B171" t="str">
            <v>دستگاه پرس 400 تن</v>
          </cell>
          <cell r="C171" t="str">
            <v>قطعه تعمیری</v>
          </cell>
          <cell r="AF171">
            <v>1</v>
          </cell>
        </row>
        <row r="172">
          <cell r="B172" t="str">
            <v>دستگاه پرس 400 تن</v>
          </cell>
          <cell r="C172" t="str">
            <v>قطعه تعمیری</v>
          </cell>
          <cell r="AF172">
            <v>1</v>
          </cell>
        </row>
        <row r="173">
          <cell r="B173" t="str">
            <v>دستگاه پرس 400 تن</v>
          </cell>
          <cell r="C173" t="str">
            <v>قطعه تعمیری</v>
          </cell>
          <cell r="AF173">
            <v>1</v>
          </cell>
        </row>
        <row r="174">
          <cell r="B174" t="str">
            <v>دستگاه پرس 400 تن</v>
          </cell>
          <cell r="C174" t="str">
            <v>قطعه نو</v>
          </cell>
          <cell r="AF174">
            <v>2</v>
          </cell>
        </row>
        <row r="175">
          <cell r="B175" t="str">
            <v>قالب مینی بوس آریا</v>
          </cell>
          <cell r="C175" t="str">
            <v>قالب نو</v>
          </cell>
          <cell r="AF175">
            <v>2.5</v>
          </cell>
        </row>
        <row r="176">
          <cell r="B176" t="str">
            <v>قالب مینی بوس آریا</v>
          </cell>
          <cell r="C176" t="str">
            <v>قالب نو</v>
          </cell>
          <cell r="AF176">
            <v>1.5</v>
          </cell>
        </row>
        <row r="177">
          <cell r="B177" t="str">
            <v>شمش پراید</v>
          </cell>
          <cell r="C177" t="str">
            <v>قالب نو</v>
          </cell>
          <cell r="AF177">
            <v>3</v>
          </cell>
        </row>
        <row r="178">
          <cell r="B178" t="str">
            <v>ویوینگ</v>
          </cell>
          <cell r="C178" t="str">
            <v>قطعه تعمیری</v>
          </cell>
          <cell r="AF178">
            <v>0.5</v>
          </cell>
        </row>
        <row r="179">
          <cell r="B179" t="str">
            <v>ویوینگ</v>
          </cell>
          <cell r="C179" t="str">
            <v>قطعه تعمیری</v>
          </cell>
          <cell r="AF179">
            <v>0.5</v>
          </cell>
        </row>
        <row r="180">
          <cell r="B180" t="str">
            <v>برشی نیوفیس C&amp;C</v>
          </cell>
          <cell r="C180" t="str">
            <v>قالب نو</v>
          </cell>
          <cell r="AF180">
            <v>1</v>
          </cell>
        </row>
        <row r="181">
          <cell r="B181" t="str">
            <v>برشی نیوفیس C&amp;C</v>
          </cell>
          <cell r="C181" t="str">
            <v>قالب نو</v>
          </cell>
          <cell r="AF181">
            <v>2</v>
          </cell>
        </row>
        <row r="182">
          <cell r="B182" t="str">
            <v>قالب پخت SAF</v>
          </cell>
          <cell r="C182" t="str">
            <v>قالب تعمیری</v>
          </cell>
          <cell r="AF182">
            <v>10</v>
          </cell>
        </row>
        <row r="183">
          <cell r="B183" t="str">
            <v>سری تراش</v>
          </cell>
          <cell r="C183" t="str">
            <v>قطعه تعمیری</v>
          </cell>
          <cell r="AF183">
            <v>2</v>
          </cell>
        </row>
        <row r="184">
          <cell r="B184" t="str">
            <v>قالب مینی بوس آریا</v>
          </cell>
          <cell r="C184" t="str">
            <v>قالب نو</v>
          </cell>
          <cell r="AF184">
            <v>8</v>
          </cell>
        </row>
        <row r="185">
          <cell r="B185" t="str">
            <v>دسنگاه چسب زنی</v>
          </cell>
          <cell r="C185" t="str">
            <v>قطعه نو</v>
          </cell>
          <cell r="AF185">
            <v>6</v>
          </cell>
        </row>
        <row r="186">
          <cell r="B186" t="str">
            <v>لنت ترمز دیسكی جلو دیما(خم)</v>
          </cell>
          <cell r="C186" t="str">
            <v>قالب نو</v>
          </cell>
          <cell r="AF186">
            <v>2</v>
          </cell>
        </row>
        <row r="187">
          <cell r="B187" t="str">
            <v>دسنگاه چسب زنی</v>
          </cell>
          <cell r="C187" t="str">
            <v>قطعه نو</v>
          </cell>
          <cell r="AF187">
            <v>7</v>
          </cell>
        </row>
        <row r="188">
          <cell r="B188" t="str">
            <v>فیکسچر کفشک پژو 405</v>
          </cell>
          <cell r="C188" t="str">
            <v>قطعه نو</v>
          </cell>
          <cell r="AF188">
            <v>3</v>
          </cell>
        </row>
        <row r="189">
          <cell r="B189" t="str">
            <v>قالب کوبه نک SAF</v>
          </cell>
          <cell r="C189" t="str">
            <v>قالب تعمیری</v>
          </cell>
          <cell r="AF189">
            <v>1</v>
          </cell>
        </row>
        <row r="190">
          <cell r="B190" t="str">
            <v>جلو سمند سورن</v>
          </cell>
          <cell r="C190" t="str">
            <v>قالب تعمیری</v>
          </cell>
          <cell r="AF190">
            <v>10</v>
          </cell>
        </row>
        <row r="191">
          <cell r="B191" t="str">
            <v>پخت کلاچ ایسوزو</v>
          </cell>
          <cell r="C191" t="str">
            <v>قالب تعمیری</v>
          </cell>
          <cell r="AF191">
            <v>1</v>
          </cell>
        </row>
        <row r="192">
          <cell r="B192" t="str">
            <v>پخت کلاچ ایسوزو</v>
          </cell>
          <cell r="C192" t="str">
            <v>قالب تعمیری</v>
          </cell>
          <cell r="AF192">
            <v>5.5</v>
          </cell>
        </row>
        <row r="193">
          <cell r="B193" t="str">
            <v>قالب مینی بوس آریا</v>
          </cell>
          <cell r="C193" t="str">
            <v>قالب نو</v>
          </cell>
          <cell r="AF193">
            <v>1.5</v>
          </cell>
        </row>
        <row r="194">
          <cell r="B194" t="str">
            <v>شمش پراید</v>
          </cell>
          <cell r="C194" t="str">
            <v>قالب نو</v>
          </cell>
          <cell r="AF194">
            <v>1.5</v>
          </cell>
        </row>
        <row r="195">
          <cell r="B195" t="str">
            <v>ویوینگ</v>
          </cell>
          <cell r="C195" t="str">
            <v>قطعه تعمیری</v>
          </cell>
          <cell r="AF195">
            <v>2</v>
          </cell>
        </row>
        <row r="196">
          <cell r="B196" t="str">
            <v>ویوینگ</v>
          </cell>
          <cell r="C196" t="str">
            <v>قطعه تعمیری</v>
          </cell>
          <cell r="AF196">
            <v>1</v>
          </cell>
        </row>
        <row r="197">
          <cell r="B197" t="str">
            <v>برشی نیوفیس C&amp;C</v>
          </cell>
          <cell r="C197" t="str">
            <v>قالب نو</v>
          </cell>
          <cell r="AF197">
            <v>1</v>
          </cell>
        </row>
        <row r="198">
          <cell r="B198" t="str">
            <v>برشی نیوفیس C&amp;C</v>
          </cell>
          <cell r="C198" t="str">
            <v>قالب نو</v>
          </cell>
          <cell r="AF198">
            <v>1</v>
          </cell>
        </row>
        <row r="199">
          <cell r="B199" t="str">
            <v>شمش پراید</v>
          </cell>
          <cell r="C199" t="str">
            <v>قالب نو</v>
          </cell>
          <cell r="AF199">
            <v>3</v>
          </cell>
        </row>
        <row r="200">
          <cell r="B200" t="str">
            <v xml:space="preserve">قالب پخت کلاچ پیکان </v>
          </cell>
          <cell r="C200" t="str">
            <v>قالب تعمیری</v>
          </cell>
          <cell r="AF200">
            <v>3</v>
          </cell>
        </row>
        <row r="201">
          <cell r="B201" t="str">
            <v>برشی نیوفیس C&amp;C</v>
          </cell>
          <cell r="C201" t="str">
            <v>قالب نو</v>
          </cell>
          <cell r="AF201">
            <v>7.5</v>
          </cell>
        </row>
        <row r="202">
          <cell r="B202" t="str">
            <v>دستگاه پشم فلز</v>
          </cell>
          <cell r="C202" t="str">
            <v>قطعه تعمیری</v>
          </cell>
          <cell r="AF202">
            <v>6.5</v>
          </cell>
        </row>
        <row r="203">
          <cell r="B203" t="str">
            <v>لنت ترمز دیسكی جلو دیما(خم)</v>
          </cell>
          <cell r="C203" t="str">
            <v>قالب نو</v>
          </cell>
          <cell r="AF203">
            <v>7.5</v>
          </cell>
        </row>
        <row r="204">
          <cell r="B204" t="str">
            <v>شمش پراید</v>
          </cell>
          <cell r="C204" t="str">
            <v>قالب نو</v>
          </cell>
          <cell r="AF204">
            <v>1</v>
          </cell>
        </row>
        <row r="205">
          <cell r="B205" t="str">
            <v xml:space="preserve">قالب پخت کلاچ پیکان </v>
          </cell>
          <cell r="C205" t="str">
            <v>قالب تعمیری</v>
          </cell>
          <cell r="AF205">
            <v>6</v>
          </cell>
        </row>
        <row r="206">
          <cell r="B206" t="str">
            <v>اصول 5S</v>
          </cell>
          <cell r="C206" t="str">
            <v>نظافت</v>
          </cell>
          <cell r="AF206">
            <v>1</v>
          </cell>
        </row>
        <row r="207">
          <cell r="B207" t="str">
            <v>شمش پراید</v>
          </cell>
          <cell r="C207" t="str">
            <v>قالب نو</v>
          </cell>
          <cell r="AF207">
            <v>3</v>
          </cell>
        </row>
        <row r="208">
          <cell r="B208" t="str">
            <v xml:space="preserve">قالب پخت کلاچ پیکان </v>
          </cell>
          <cell r="C208" t="str">
            <v>قالب تعمیری</v>
          </cell>
          <cell r="AF208">
            <v>2</v>
          </cell>
        </row>
        <row r="209">
          <cell r="B209" t="str">
            <v>پخت کلاچ ایسوزو</v>
          </cell>
          <cell r="C209" t="str">
            <v>قالب تعمیری</v>
          </cell>
          <cell r="AF209">
            <v>2</v>
          </cell>
        </row>
        <row r="210">
          <cell r="B210" t="str">
            <v>اصول 5S</v>
          </cell>
          <cell r="C210" t="str">
            <v>نظافت</v>
          </cell>
          <cell r="AF210">
            <v>1</v>
          </cell>
        </row>
        <row r="211">
          <cell r="B211" t="str">
            <v>قالب پخت SAF</v>
          </cell>
          <cell r="C211" t="str">
            <v>قالب تعمیری</v>
          </cell>
          <cell r="AF211">
            <v>8</v>
          </cell>
        </row>
        <row r="212">
          <cell r="B212" t="str">
            <v>قالب مینی بوس آریا</v>
          </cell>
          <cell r="C212" t="str">
            <v>قالب نو</v>
          </cell>
          <cell r="AF212">
            <v>8</v>
          </cell>
        </row>
        <row r="213">
          <cell r="B213" t="str">
            <v>دسنگاه چسب زنی</v>
          </cell>
          <cell r="C213" t="str">
            <v>قطعه نو</v>
          </cell>
          <cell r="AF213">
            <v>8</v>
          </cell>
        </row>
        <row r="214">
          <cell r="B214" t="str">
            <v>دسنگاه چسب زنی</v>
          </cell>
          <cell r="C214" t="str">
            <v>قطعه نو</v>
          </cell>
          <cell r="AF214">
            <v>8</v>
          </cell>
        </row>
        <row r="215">
          <cell r="B215" t="str">
            <v>ابزار زنی</v>
          </cell>
          <cell r="C215" t="str">
            <v>قطعه نو</v>
          </cell>
          <cell r="AF215">
            <v>4</v>
          </cell>
        </row>
        <row r="216">
          <cell r="B216" t="str">
            <v>جک ترمز کلاچ</v>
          </cell>
          <cell r="C216" t="str">
            <v>قطعه تعمیری</v>
          </cell>
          <cell r="AF216">
            <v>1</v>
          </cell>
        </row>
        <row r="217">
          <cell r="B217" t="str">
            <v>دستگاه پرس 400 تن</v>
          </cell>
          <cell r="C217" t="str">
            <v>قطعه نو</v>
          </cell>
          <cell r="AF217">
            <v>1</v>
          </cell>
        </row>
        <row r="218">
          <cell r="B218" t="str">
            <v>اصول 5S</v>
          </cell>
          <cell r="C218" t="str">
            <v>نظافت</v>
          </cell>
          <cell r="AF218">
            <v>1</v>
          </cell>
        </row>
        <row r="219">
          <cell r="B219" t="str">
            <v>شمش پراید</v>
          </cell>
          <cell r="C219" t="str">
            <v>قالب نو</v>
          </cell>
          <cell r="AF219">
            <v>2</v>
          </cell>
        </row>
        <row r="220">
          <cell r="B220" t="str">
            <v>شمش پراید</v>
          </cell>
          <cell r="C220" t="str">
            <v>قالب نو</v>
          </cell>
          <cell r="AF220">
            <v>1</v>
          </cell>
        </row>
        <row r="221">
          <cell r="B221" t="str">
            <v>قالب ولوو سوپر</v>
          </cell>
          <cell r="C221" t="str">
            <v>قالب تعمیری</v>
          </cell>
          <cell r="AF221">
            <v>1</v>
          </cell>
        </row>
        <row r="222">
          <cell r="B222" t="str">
            <v>اصول 5S</v>
          </cell>
          <cell r="C222" t="str">
            <v>نظافت</v>
          </cell>
          <cell r="AF222">
            <v>1</v>
          </cell>
        </row>
        <row r="223">
          <cell r="B223" t="str">
            <v>پخت کلاچ پراید</v>
          </cell>
          <cell r="C223" t="str">
            <v>قالب تعمیری</v>
          </cell>
          <cell r="AF223">
            <v>11</v>
          </cell>
        </row>
        <row r="224">
          <cell r="B224" t="str">
            <v>پخت کلاچ 309 سوراخدار</v>
          </cell>
          <cell r="C224" t="str">
            <v>قالب تعمیری</v>
          </cell>
          <cell r="AF224">
            <v>5.5</v>
          </cell>
        </row>
        <row r="225">
          <cell r="B225" t="str">
            <v>پخت عقب پژو 405 شمشی پایه کوتاه</v>
          </cell>
          <cell r="C225" t="str">
            <v>قالب نو</v>
          </cell>
          <cell r="AF225">
            <v>7.5</v>
          </cell>
        </row>
        <row r="226">
          <cell r="B226" t="str">
            <v>برشی نیوفیس C&amp;C</v>
          </cell>
          <cell r="C226" t="str">
            <v>قالب نو</v>
          </cell>
          <cell r="AF226">
            <v>7.5</v>
          </cell>
        </row>
        <row r="227">
          <cell r="B227" t="str">
            <v>لودر دیسکی XGL 50</v>
          </cell>
          <cell r="C227" t="str">
            <v>قالب نو</v>
          </cell>
          <cell r="AF227">
            <v>7.5</v>
          </cell>
        </row>
        <row r="228">
          <cell r="B228" t="str">
            <v xml:space="preserve">قالب پخت کلاچ پیکان </v>
          </cell>
          <cell r="C228" t="str">
            <v>قالب تعمیری</v>
          </cell>
          <cell r="AF228">
            <v>7.5</v>
          </cell>
        </row>
        <row r="229">
          <cell r="B229" t="str">
            <v xml:space="preserve">قالب پخت کلاچ پیکان </v>
          </cell>
          <cell r="C229" t="str">
            <v>قالب تعمیری</v>
          </cell>
          <cell r="AF229">
            <v>7.5</v>
          </cell>
        </row>
        <row r="230">
          <cell r="B230" t="str">
            <v>پخت کلاچ ایسوزو</v>
          </cell>
          <cell r="C230" t="str">
            <v>قالب تعمیری</v>
          </cell>
          <cell r="AF230">
            <v>3</v>
          </cell>
        </row>
        <row r="231">
          <cell r="B231" t="str">
            <v>پخت کلاچ ایسوزو</v>
          </cell>
          <cell r="C231" t="str">
            <v>قالب تعمیری</v>
          </cell>
          <cell r="AF231">
            <v>2</v>
          </cell>
        </row>
        <row r="232">
          <cell r="B232" t="str">
            <v>پخت کلاچ تیبا چپ</v>
          </cell>
          <cell r="C232" t="str">
            <v>قالب نو</v>
          </cell>
          <cell r="AF232">
            <v>8</v>
          </cell>
        </row>
        <row r="233">
          <cell r="B233" t="str">
            <v>پخت کلاچ تیبا چپ</v>
          </cell>
          <cell r="C233" t="str">
            <v>قالب نو</v>
          </cell>
          <cell r="AF233">
            <v>3</v>
          </cell>
        </row>
        <row r="234">
          <cell r="B234" t="str">
            <v>دستگاه پشم فلز</v>
          </cell>
          <cell r="C234" t="str">
            <v>قطعه تعمیری</v>
          </cell>
          <cell r="AF234">
            <v>3.5</v>
          </cell>
        </row>
        <row r="235">
          <cell r="B235" t="str">
            <v>دستگاه پشم فلز</v>
          </cell>
          <cell r="C235" t="str">
            <v>قطعه تعمیری</v>
          </cell>
          <cell r="AF235">
            <v>3</v>
          </cell>
        </row>
        <row r="236">
          <cell r="B236" t="str">
            <v>دستگاه پشم فلز</v>
          </cell>
          <cell r="C236" t="str">
            <v>قطعه تعمیری</v>
          </cell>
          <cell r="AF236">
            <v>2</v>
          </cell>
        </row>
        <row r="237">
          <cell r="B237" t="str">
            <v>پخت کلاچ پراید</v>
          </cell>
          <cell r="C237" t="str">
            <v>قالب تعمیری</v>
          </cell>
          <cell r="AF237">
            <v>3</v>
          </cell>
        </row>
        <row r="238">
          <cell r="B238" t="str">
            <v>دستگاه پرس پخت</v>
          </cell>
          <cell r="C238" t="str">
            <v>قطعه تعمیری</v>
          </cell>
          <cell r="AF238">
            <v>2</v>
          </cell>
        </row>
        <row r="239">
          <cell r="B239" t="str">
            <v>شمش پراید</v>
          </cell>
          <cell r="C239" t="str">
            <v>قالب نو</v>
          </cell>
          <cell r="AF239">
            <v>0.5</v>
          </cell>
        </row>
        <row r="240">
          <cell r="B240" t="str">
            <v xml:space="preserve">قالب پخت کلاچ پیکان </v>
          </cell>
          <cell r="C240" t="str">
            <v>قالب تعمیری</v>
          </cell>
          <cell r="AF240">
            <v>2</v>
          </cell>
        </row>
        <row r="241">
          <cell r="B241" t="str">
            <v>ابزار زنی</v>
          </cell>
          <cell r="C241" t="str">
            <v>قطعه نو</v>
          </cell>
          <cell r="AF241">
            <v>2</v>
          </cell>
        </row>
        <row r="242">
          <cell r="B242" t="str">
            <v>آغشته کاری</v>
          </cell>
          <cell r="C242" t="str">
            <v>قطعه تعمیری</v>
          </cell>
          <cell r="AF242">
            <v>2</v>
          </cell>
        </row>
        <row r="243">
          <cell r="B243" t="str">
            <v>آغشته کاری</v>
          </cell>
          <cell r="C243" t="str">
            <v>قطعه تعمیری</v>
          </cell>
          <cell r="AF243">
            <v>2</v>
          </cell>
        </row>
        <row r="244">
          <cell r="B244" t="str">
            <v>بسته بندی</v>
          </cell>
          <cell r="C244" t="str">
            <v>قطعه نو</v>
          </cell>
          <cell r="AF244">
            <v>1</v>
          </cell>
        </row>
        <row r="245">
          <cell r="B245" t="str">
            <v>ابزار زنی</v>
          </cell>
          <cell r="C245" t="str">
            <v>قطعه نو</v>
          </cell>
          <cell r="AF245">
            <v>4</v>
          </cell>
        </row>
        <row r="246">
          <cell r="B246" t="str">
            <v>پخت کلاچ ایویکو سوراخدار</v>
          </cell>
          <cell r="C246" t="str">
            <v>قالب تعمیری</v>
          </cell>
          <cell r="AF246">
            <v>1.5</v>
          </cell>
        </row>
        <row r="247">
          <cell r="B247" t="str">
            <v>پخت کلاچ ایویکو سوراخدار</v>
          </cell>
          <cell r="C247" t="str">
            <v>قالب تعمیری</v>
          </cell>
          <cell r="AF247">
            <v>1.5</v>
          </cell>
        </row>
        <row r="248">
          <cell r="B248" t="str">
            <v xml:space="preserve">قالب پخت کلاچ پیکان </v>
          </cell>
          <cell r="C248" t="str">
            <v>قالب تعمیری</v>
          </cell>
          <cell r="AF248">
            <v>2</v>
          </cell>
        </row>
        <row r="249">
          <cell r="B249" t="str">
            <v xml:space="preserve">قالب پخت کلاچ پیکان </v>
          </cell>
          <cell r="C249" t="str">
            <v>قالب تعمیری</v>
          </cell>
          <cell r="AF249">
            <v>2.5</v>
          </cell>
        </row>
        <row r="250">
          <cell r="B250" t="str">
            <v>بسته بندی</v>
          </cell>
          <cell r="C250" t="str">
            <v>قطعه تعمیری</v>
          </cell>
          <cell r="AF250">
            <v>4</v>
          </cell>
        </row>
        <row r="251">
          <cell r="B251" t="str">
            <v>پخت کلاچ 309 سوراخدار</v>
          </cell>
          <cell r="C251" t="str">
            <v>قالب تعمیری</v>
          </cell>
          <cell r="AF251">
            <v>3</v>
          </cell>
        </row>
        <row r="252">
          <cell r="B252" t="str">
            <v>دستگاه پرس پخت</v>
          </cell>
          <cell r="C252" t="str">
            <v>قطعه تعمیری</v>
          </cell>
          <cell r="AF252">
            <v>2.5</v>
          </cell>
        </row>
        <row r="253">
          <cell r="B253" t="str">
            <v xml:space="preserve">قالب پخت کلاچ پیکان </v>
          </cell>
          <cell r="C253" t="str">
            <v>قالب تعمیری</v>
          </cell>
          <cell r="AF253">
            <v>2.5</v>
          </cell>
        </row>
        <row r="254">
          <cell r="B254" t="str">
            <v>پخت عقب پژو 405 شمشی پایه کوتاه</v>
          </cell>
          <cell r="C254" t="str">
            <v>قالب نو</v>
          </cell>
          <cell r="AF254">
            <v>7.5</v>
          </cell>
        </row>
        <row r="255">
          <cell r="B255" t="str">
            <v xml:space="preserve">قالب پخت کلاچ پیکان </v>
          </cell>
          <cell r="C255" t="str">
            <v>قالب تعمیری</v>
          </cell>
          <cell r="AF255">
            <v>5</v>
          </cell>
        </row>
        <row r="256">
          <cell r="B256" t="str">
            <v xml:space="preserve">قالب پخت کلاچ پیکان </v>
          </cell>
          <cell r="C256" t="str">
            <v>قالب تعمیری</v>
          </cell>
          <cell r="AF256">
            <v>7.5</v>
          </cell>
        </row>
        <row r="257">
          <cell r="B257" t="str">
            <v>پخت کلاچ تیبا راست</v>
          </cell>
          <cell r="C257" t="str">
            <v>قالب نو</v>
          </cell>
          <cell r="AF257">
            <v>7.5</v>
          </cell>
        </row>
        <row r="258">
          <cell r="B258" t="str">
            <v>قالب پخت کلاچ پژو 405</v>
          </cell>
          <cell r="C258" t="str">
            <v>قالب تعمیری</v>
          </cell>
          <cell r="AF258">
            <v>2</v>
          </cell>
        </row>
        <row r="259">
          <cell r="B259" t="str">
            <v>قالب پخت کلاچ پژو 405</v>
          </cell>
          <cell r="C259" t="str">
            <v>قالب تعمیری</v>
          </cell>
          <cell r="AF259">
            <v>3.5</v>
          </cell>
        </row>
        <row r="260">
          <cell r="B260" t="str">
            <v>لودر دیسکی XGL 50</v>
          </cell>
          <cell r="C260" t="str">
            <v>قالب نو</v>
          </cell>
          <cell r="AF260">
            <v>5.5</v>
          </cell>
        </row>
        <row r="261">
          <cell r="B261" t="str">
            <v>لودر دیسکی XGL 50</v>
          </cell>
          <cell r="C261" t="str">
            <v>قالب نو</v>
          </cell>
          <cell r="AF261">
            <v>4.5</v>
          </cell>
        </row>
        <row r="262">
          <cell r="B262" t="str">
            <v>قالب پخت کلاچ پژو 405</v>
          </cell>
          <cell r="C262" t="str">
            <v>قالب تعمیری</v>
          </cell>
          <cell r="AF262">
            <v>2</v>
          </cell>
        </row>
        <row r="263">
          <cell r="B263" t="str">
            <v>قالب پخت کلاچ پژو 405</v>
          </cell>
          <cell r="C263" t="str">
            <v>قالب تعمیری</v>
          </cell>
          <cell r="AF263">
            <v>2</v>
          </cell>
        </row>
        <row r="264">
          <cell r="B264" t="str">
            <v>پخت کلاچ پراید</v>
          </cell>
          <cell r="C264" t="str">
            <v>قالب تعمیری</v>
          </cell>
          <cell r="AF264">
            <v>1</v>
          </cell>
        </row>
        <row r="265">
          <cell r="B265" t="str">
            <v>ابزار زنی</v>
          </cell>
          <cell r="C265" t="str">
            <v>قطعه نو</v>
          </cell>
          <cell r="AF265">
            <v>1</v>
          </cell>
        </row>
        <row r="266">
          <cell r="B266" t="str">
            <v>دستگاه پشم فلز</v>
          </cell>
          <cell r="C266" t="str">
            <v>قطعه تعمیری</v>
          </cell>
          <cell r="AF266">
            <v>4</v>
          </cell>
        </row>
        <row r="267">
          <cell r="B267" t="str">
            <v>قالب پخت کلاچ پژو 405</v>
          </cell>
          <cell r="C267" t="str">
            <v>قالب تعمیری</v>
          </cell>
          <cell r="AF267">
            <v>2</v>
          </cell>
        </row>
        <row r="268">
          <cell r="B268" t="str">
            <v>قالب پخت کلاچ پژو 405</v>
          </cell>
          <cell r="C268" t="str">
            <v>قالب تعمیری</v>
          </cell>
          <cell r="AF268">
            <v>1</v>
          </cell>
        </row>
        <row r="269">
          <cell r="B269" t="str">
            <v>پخت کلاچ پراید</v>
          </cell>
          <cell r="C269" t="str">
            <v>قالب تعمیری</v>
          </cell>
          <cell r="AF269">
            <v>7.5</v>
          </cell>
        </row>
        <row r="270">
          <cell r="B270" t="str">
            <v>لودر دیسکی XGL 50</v>
          </cell>
          <cell r="C270" t="str">
            <v>قالب نو</v>
          </cell>
          <cell r="AF270">
            <v>4.5</v>
          </cell>
        </row>
        <row r="271">
          <cell r="B271" t="str">
            <v>قالب شمشی عقب پیکان</v>
          </cell>
          <cell r="C271" t="str">
            <v>قالب نو</v>
          </cell>
          <cell r="AF271">
            <v>7</v>
          </cell>
        </row>
        <row r="272">
          <cell r="B272" t="str">
            <v>پخت عقب پژو 405 شمشی پایه کوتاه</v>
          </cell>
          <cell r="C272" t="str">
            <v>قالب نو</v>
          </cell>
          <cell r="AF272">
            <v>7.5</v>
          </cell>
        </row>
        <row r="273">
          <cell r="B273" t="str">
            <v>دستگاه پشم فلز</v>
          </cell>
          <cell r="C273" t="str">
            <v>قطعه تعمیری</v>
          </cell>
          <cell r="AF273">
            <v>2.5</v>
          </cell>
        </row>
        <row r="274">
          <cell r="B274" t="str">
            <v>قالب پخت کلاچ پژو 405</v>
          </cell>
          <cell r="C274" t="str">
            <v>قالب تعمیری</v>
          </cell>
          <cell r="AF274">
            <v>3</v>
          </cell>
        </row>
        <row r="275">
          <cell r="B275" t="str">
            <v>ترابوزا</v>
          </cell>
          <cell r="C275" t="str">
            <v>قالب تعمیری</v>
          </cell>
          <cell r="AF275">
            <v>2</v>
          </cell>
        </row>
        <row r="276">
          <cell r="B276" t="str">
            <v>پخت کلاچ لندکروز</v>
          </cell>
          <cell r="C276" t="str">
            <v>قالب تعمیری</v>
          </cell>
          <cell r="AF276">
            <v>2</v>
          </cell>
        </row>
        <row r="277">
          <cell r="B277" t="str">
            <v>فوتون 107</v>
          </cell>
          <cell r="C277" t="str">
            <v>قالب تعمیری</v>
          </cell>
          <cell r="AF277">
            <v>2</v>
          </cell>
        </row>
        <row r="278">
          <cell r="B278" t="str">
            <v>قالب پخت کلاچ پژو 405</v>
          </cell>
          <cell r="C278" t="str">
            <v>قالب تعمیری</v>
          </cell>
          <cell r="AF278">
            <v>4.666666666666667</v>
          </cell>
        </row>
        <row r="279">
          <cell r="B279" t="str">
            <v>قالب پخت کلاچ پژو 405</v>
          </cell>
          <cell r="C279" t="str">
            <v>قالب تعمیری</v>
          </cell>
          <cell r="AF279">
            <v>7.5</v>
          </cell>
        </row>
        <row r="280">
          <cell r="B280" t="str">
            <v>پخت عقب پژو 405 شمشی پایه کوتاه</v>
          </cell>
          <cell r="C280" t="str">
            <v>قالب نو</v>
          </cell>
          <cell r="AF280">
            <v>7.5</v>
          </cell>
        </row>
        <row r="281">
          <cell r="B281" t="str">
            <v>قالب پخت کلاچ پژو 405</v>
          </cell>
          <cell r="C281" t="str">
            <v>قالب تعمیری</v>
          </cell>
          <cell r="AF281">
            <v>4.5</v>
          </cell>
        </row>
        <row r="282">
          <cell r="B282" t="str">
            <v>برشی نیوفیس C&amp;C</v>
          </cell>
          <cell r="C282" t="str">
            <v>قالب نو</v>
          </cell>
          <cell r="AF282">
            <v>7.5</v>
          </cell>
        </row>
        <row r="283">
          <cell r="B283" t="str">
            <v>پخت کلاچ تیبا راست</v>
          </cell>
          <cell r="C283" t="str">
            <v>قالب نو</v>
          </cell>
          <cell r="AF283">
            <v>5</v>
          </cell>
        </row>
        <row r="284">
          <cell r="B284" t="str">
            <v>قالب پخت کلاچ پژو 405</v>
          </cell>
          <cell r="C284" t="str">
            <v>قالب تعمیری</v>
          </cell>
          <cell r="AF284">
            <v>2</v>
          </cell>
        </row>
        <row r="285">
          <cell r="B285" t="str">
            <v>پخت کلاچ تیبا راست</v>
          </cell>
          <cell r="C285" t="str">
            <v>قالب نو</v>
          </cell>
          <cell r="AF285">
            <v>11</v>
          </cell>
        </row>
        <row r="286">
          <cell r="B286" t="str">
            <v>برشی نیوفیس C&amp;C</v>
          </cell>
          <cell r="C286" t="str">
            <v>قالب نو</v>
          </cell>
          <cell r="AF286">
            <v>2</v>
          </cell>
        </row>
        <row r="287">
          <cell r="B287" t="str">
            <v>جک ترمز کلاچ</v>
          </cell>
          <cell r="C287" t="str">
            <v>قطعه تعمیری</v>
          </cell>
          <cell r="AF287">
            <v>1</v>
          </cell>
        </row>
        <row r="288">
          <cell r="B288" t="str">
            <v>پخت کلاچ تیبا راست</v>
          </cell>
          <cell r="C288" t="str">
            <v>قالب نو</v>
          </cell>
          <cell r="AF288">
            <v>6.5</v>
          </cell>
        </row>
        <row r="289">
          <cell r="B289" t="str">
            <v>پخت کلاچ تیبا راست</v>
          </cell>
          <cell r="C289" t="str">
            <v>قالب نو</v>
          </cell>
          <cell r="AF289">
            <v>6.5</v>
          </cell>
        </row>
        <row r="290">
          <cell r="B290" t="str">
            <v>ترابوزا</v>
          </cell>
          <cell r="C290" t="str">
            <v>قالب تعمیری</v>
          </cell>
          <cell r="AF290">
            <v>5</v>
          </cell>
        </row>
        <row r="291">
          <cell r="B291" t="str">
            <v>فوتون 107</v>
          </cell>
          <cell r="C291" t="str">
            <v>قالب تعمیری</v>
          </cell>
          <cell r="AF291">
            <v>6.5</v>
          </cell>
        </row>
        <row r="292">
          <cell r="B292" t="str">
            <v>اصول 5S</v>
          </cell>
          <cell r="C292" t="str">
            <v>نظافت</v>
          </cell>
          <cell r="AF292">
            <v>1</v>
          </cell>
        </row>
        <row r="293">
          <cell r="B293" t="str">
            <v>لودر دیسکی XGL 50</v>
          </cell>
          <cell r="C293" t="str">
            <v>قالب نو</v>
          </cell>
          <cell r="AF293">
            <v>7.5</v>
          </cell>
        </row>
        <row r="294">
          <cell r="B294" t="str">
            <v>قالب شمشی عقب پیکان</v>
          </cell>
          <cell r="C294" t="str">
            <v>قالب نو</v>
          </cell>
          <cell r="AF294">
            <v>7.5</v>
          </cell>
        </row>
        <row r="295">
          <cell r="B295" t="str">
            <v>برشی نیوفیس C&amp;C</v>
          </cell>
          <cell r="C295" t="str">
            <v>قالب نو</v>
          </cell>
          <cell r="AF295">
            <v>4.5</v>
          </cell>
        </row>
        <row r="296">
          <cell r="B296" t="str">
            <v>برشی نیوفیس C&amp;C</v>
          </cell>
          <cell r="C296" t="str">
            <v>قالب نو</v>
          </cell>
          <cell r="AF296">
            <v>11</v>
          </cell>
        </row>
        <row r="297">
          <cell r="B297" t="str">
            <v>قالب شمشی عقب پیکان</v>
          </cell>
          <cell r="C297" t="str">
            <v>قالب نو</v>
          </cell>
          <cell r="AF297">
            <v>7.5</v>
          </cell>
        </row>
        <row r="298">
          <cell r="B298" t="str">
            <v>لودر دیسکی XGL 50</v>
          </cell>
          <cell r="C298" t="str">
            <v>قالب نو</v>
          </cell>
          <cell r="AF298">
            <v>7.5</v>
          </cell>
        </row>
        <row r="299">
          <cell r="B299" t="str">
            <v>برشی نیوفیس C&amp;C</v>
          </cell>
          <cell r="C299" t="str">
            <v>قالب نو</v>
          </cell>
          <cell r="AF299">
            <v>4.5</v>
          </cell>
        </row>
        <row r="300">
          <cell r="B300" t="str">
            <v>لودر دیسکی XGL 50</v>
          </cell>
          <cell r="C300" t="str">
            <v>قالب نو</v>
          </cell>
          <cell r="AF300">
            <v>11</v>
          </cell>
        </row>
        <row r="301">
          <cell r="B301" t="str">
            <v>قالب پخت SAF</v>
          </cell>
          <cell r="C301" t="str">
            <v>قالب تعمیری</v>
          </cell>
          <cell r="AF301">
            <v>12</v>
          </cell>
        </row>
        <row r="302">
          <cell r="B302" t="str">
            <v>دسنگاه چسب زنی</v>
          </cell>
          <cell r="C302" t="str">
            <v>قطعه نو</v>
          </cell>
          <cell r="AF302">
            <v>4</v>
          </cell>
        </row>
        <row r="303">
          <cell r="B303" t="str">
            <v>دسنگاه چسب زنی</v>
          </cell>
          <cell r="C303" t="str">
            <v>قطعه نو</v>
          </cell>
          <cell r="AF303">
            <v>3</v>
          </cell>
        </row>
        <row r="304">
          <cell r="B304" t="str">
            <v>دسنگاه چسب زنی</v>
          </cell>
          <cell r="C304" t="str">
            <v>قطعه نو</v>
          </cell>
          <cell r="AF304">
            <v>9</v>
          </cell>
        </row>
        <row r="305">
          <cell r="B305" t="str">
            <v>لودر دیسکی XGL 50</v>
          </cell>
          <cell r="C305" t="str">
            <v>قالب نو</v>
          </cell>
          <cell r="AF305">
            <v>8</v>
          </cell>
        </row>
        <row r="306">
          <cell r="B306" t="str">
            <v>قطعه بیرونی</v>
          </cell>
          <cell r="C306" t="str">
            <v>قطعه تعمیری</v>
          </cell>
          <cell r="AF306">
            <v>0.5</v>
          </cell>
        </row>
        <row r="307">
          <cell r="B307" t="str">
            <v>فوتون 107</v>
          </cell>
          <cell r="C307" t="str">
            <v>قالب تعمیری</v>
          </cell>
          <cell r="AF307">
            <v>2</v>
          </cell>
        </row>
        <row r="308">
          <cell r="B308" t="str">
            <v>پایه پرچ عقب نیسان</v>
          </cell>
          <cell r="C308" t="str">
            <v>قطعه نو</v>
          </cell>
          <cell r="AF308">
            <v>6.5</v>
          </cell>
        </row>
        <row r="309">
          <cell r="B309" t="str">
            <v>اصول 5S</v>
          </cell>
          <cell r="C309" t="str">
            <v>نظافت</v>
          </cell>
          <cell r="AF309">
            <v>1</v>
          </cell>
        </row>
        <row r="310">
          <cell r="B310" t="str">
            <v>پایه پرچ عقب نیسان</v>
          </cell>
          <cell r="C310" t="str">
            <v>قطعه نو</v>
          </cell>
          <cell r="AF310">
            <v>4</v>
          </cell>
        </row>
        <row r="311">
          <cell r="B311" t="str">
            <v>برشی نیوفیس C&amp;C</v>
          </cell>
          <cell r="C311" t="str">
            <v>قالب نو</v>
          </cell>
          <cell r="AF311">
            <v>3</v>
          </cell>
        </row>
        <row r="312">
          <cell r="B312" t="str">
            <v>دستگاه ساب سمباده ای</v>
          </cell>
          <cell r="C312" t="str">
            <v>قطعه تعمیری</v>
          </cell>
          <cell r="AF312">
            <v>3</v>
          </cell>
        </row>
        <row r="313">
          <cell r="B313" t="str">
            <v>ساب ترابوزا</v>
          </cell>
          <cell r="C313" t="str">
            <v>قطعه نو</v>
          </cell>
          <cell r="AF313">
            <v>9</v>
          </cell>
        </row>
        <row r="314">
          <cell r="B314" t="str">
            <v>قالب عقب F12</v>
          </cell>
          <cell r="C314" t="str">
            <v>قالب نو</v>
          </cell>
          <cell r="AF314">
            <v>11</v>
          </cell>
        </row>
        <row r="315">
          <cell r="B315" t="str">
            <v>پخت عقب پژو 405 شمشی پایه کوتاه</v>
          </cell>
          <cell r="C315" t="str">
            <v>قالب نو</v>
          </cell>
          <cell r="AF315">
            <v>11</v>
          </cell>
        </row>
        <row r="316">
          <cell r="B316" t="str">
            <v>قالب شمشی عقب پیکان</v>
          </cell>
          <cell r="C316" t="str">
            <v>قالب نو</v>
          </cell>
          <cell r="AF316">
            <v>6.5</v>
          </cell>
        </row>
        <row r="317">
          <cell r="B317" t="str">
            <v>پخت کلاچ تیبا چپ</v>
          </cell>
          <cell r="C317" t="str">
            <v>قالب نو</v>
          </cell>
          <cell r="AF317">
            <v>11</v>
          </cell>
        </row>
        <row r="318">
          <cell r="B318" t="str">
            <v>پخت عقب پژو 405 شمشی پایه کوتاه</v>
          </cell>
          <cell r="C318" t="str">
            <v>قالب نو</v>
          </cell>
          <cell r="AF318">
            <v>11</v>
          </cell>
        </row>
        <row r="319">
          <cell r="B319" t="str">
            <v>برشی نیوفیس C&amp;C</v>
          </cell>
          <cell r="C319" t="str">
            <v>قالب نو</v>
          </cell>
          <cell r="AF319">
            <v>7.5</v>
          </cell>
        </row>
        <row r="320">
          <cell r="B320" t="str">
            <v>قالب پخت SAF</v>
          </cell>
          <cell r="C320" t="str">
            <v>قالب تعمیری</v>
          </cell>
          <cell r="AF320">
            <v>12</v>
          </cell>
        </row>
        <row r="321">
          <cell r="B321" t="str">
            <v>دسنگاه چسب زنی</v>
          </cell>
          <cell r="C321" t="str">
            <v>قطعه نو</v>
          </cell>
          <cell r="AF321">
            <v>11</v>
          </cell>
        </row>
        <row r="322">
          <cell r="B322" t="str">
            <v>ترابوزا</v>
          </cell>
          <cell r="C322" t="str">
            <v>قالب تعمیری</v>
          </cell>
          <cell r="AF322">
            <v>12</v>
          </cell>
        </row>
        <row r="323">
          <cell r="B323" t="str">
            <v>قطعه بیرونی</v>
          </cell>
          <cell r="C323" t="str">
            <v>قطعه تعمیری</v>
          </cell>
          <cell r="AF323">
            <v>2</v>
          </cell>
        </row>
        <row r="324">
          <cell r="B324" t="str">
            <v>ویوینگ</v>
          </cell>
          <cell r="C324" t="str">
            <v>قطعه تعمیری</v>
          </cell>
          <cell r="AF324">
            <v>1</v>
          </cell>
        </row>
        <row r="325">
          <cell r="B325" t="str">
            <v>ساب ترابوزا</v>
          </cell>
          <cell r="C325" t="str">
            <v>قطعه نو</v>
          </cell>
          <cell r="AF325">
            <v>3</v>
          </cell>
        </row>
        <row r="326">
          <cell r="B326" t="str">
            <v>ابزار زنی</v>
          </cell>
          <cell r="C326" t="str">
            <v>قطعه تعمیری</v>
          </cell>
          <cell r="AF326">
            <v>2</v>
          </cell>
        </row>
        <row r="327">
          <cell r="B327" t="str">
            <v>میکس</v>
          </cell>
          <cell r="C327" t="str">
            <v>قطعه نو</v>
          </cell>
          <cell r="AF327">
            <v>3</v>
          </cell>
        </row>
        <row r="328">
          <cell r="B328" t="str">
            <v>آغشته کاری</v>
          </cell>
          <cell r="C328" t="str">
            <v>قطعه نو</v>
          </cell>
          <cell r="AF328">
            <v>2</v>
          </cell>
        </row>
        <row r="329">
          <cell r="B329" t="str">
            <v>سری تراش</v>
          </cell>
          <cell r="C329" t="str">
            <v>قطعه نو</v>
          </cell>
          <cell r="AF329">
            <v>11</v>
          </cell>
        </row>
        <row r="330">
          <cell r="B330" t="str">
            <v>سری تراش</v>
          </cell>
          <cell r="C330" t="str">
            <v>قطعه نو</v>
          </cell>
          <cell r="AF330">
            <v>3.3333333333333335</v>
          </cell>
        </row>
        <row r="331">
          <cell r="B331" t="str">
            <v>پایه پرچ عقب نیسان</v>
          </cell>
          <cell r="C331" t="str">
            <v>قطعه تعمیری</v>
          </cell>
          <cell r="AF331">
            <v>5</v>
          </cell>
        </row>
        <row r="332">
          <cell r="B332" t="str">
            <v>ساب کف گرگی</v>
          </cell>
          <cell r="C332" t="str">
            <v>قطعه تعمیری</v>
          </cell>
          <cell r="AF332">
            <v>2.6666666666666665</v>
          </cell>
        </row>
        <row r="333">
          <cell r="B333" t="str">
            <v>سری تراش</v>
          </cell>
          <cell r="C333" t="str">
            <v>قطعه نو</v>
          </cell>
          <cell r="AF333">
            <v>1</v>
          </cell>
        </row>
        <row r="334">
          <cell r="B334" t="str">
            <v>پخت عقب پژو 405 شمشی پایه کوتاه</v>
          </cell>
          <cell r="C334" t="str">
            <v>قالب نو</v>
          </cell>
          <cell r="AF334">
            <v>1</v>
          </cell>
        </row>
        <row r="335">
          <cell r="B335" t="str">
            <v xml:space="preserve">پخت کلاچ پراید سکو </v>
          </cell>
          <cell r="C335" t="str">
            <v>قالب تعمیری</v>
          </cell>
          <cell r="AF335">
            <v>2</v>
          </cell>
        </row>
        <row r="336">
          <cell r="B336" t="str">
            <v>فوتون 107</v>
          </cell>
          <cell r="C336" t="str">
            <v>قالب تعمیری</v>
          </cell>
          <cell r="AF336">
            <v>2</v>
          </cell>
        </row>
        <row r="337">
          <cell r="B337" t="str">
            <v>فوتون 107</v>
          </cell>
          <cell r="C337" t="str">
            <v>قالب تعمیری</v>
          </cell>
          <cell r="AF337">
            <v>2</v>
          </cell>
        </row>
        <row r="338">
          <cell r="B338" t="str">
            <v xml:space="preserve">پخت کلاچ پراید سکو </v>
          </cell>
          <cell r="C338" t="str">
            <v>قالب تعمیری</v>
          </cell>
          <cell r="AF338">
            <v>3</v>
          </cell>
        </row>
        <row r="339">
          <cell r="B339" t="str">
            <v>پخت کلاچ تیبا چپ</v>
          </cell>
          <cell r="C339" t="str">
            <v>قالب نو</v>
          </cell>
          <cell r="AF339">
            <v>11</v>
          </cell>
        </row>
        <row r="340">
          <cell r="B340" t="str">
            <v>پخت کلاچ لندکروز</v>
          </cell>
          <cell r="C340" t="str">
            <v>قالب تعمیری</v>
          </cell>
          <cell r="AF340">
            <v>7.5</v>
          </cell>
        </row>
        <row r="341">
          <cell r="B341" t="str">
            <v>پخت کلاچ لندکروز</v>
          </cell>
          <cell r="C341" t="str">
            <v>قالب تعمیری</v>
          </cell>
          <cell r="AF341">
            <v>3.5</v>
          </cell>
        </row>
        <row r="342">
          <cell r="B342" t="str">
            <v>دستگاه ساب سمباده ای</v>
          </cell>
          <cell r="C342" t="str">
            <v>قطعه تعمیری</v>
          </cell>
          <cell r="AF342">
            <v>5.5</v>
          </cell>
        </row>
        <row r="343">
          <cell r="B343" t="str">
            <v>قالب پخت SAF</v>
          </cell>
          <cell r="C343" t="str">
            <v>قالب نو</v>
          </cell>
          <cell r="AF343">
            <v>5.5</v>
          </cell>
        </row>
        <row r="344">
          <cell r="B344" t="str">
            <v>پخت کلاچ تیبا چپ</v>
          </cell>
          <cell r="C344" t="str">
            <v>قالب نو</v>
          </cell>
          <cell r="AF344">
            <v>11</v>
          </cell>
        </row>
        <row r="345">
          <cell r="B345" t="str">
            <v>لودر دیسکی XGL 50</v>
          </cell>
          <cell r="C345" t="str">
            <v>قالب نو</v>
          </cell>
          <cell r="AF345">
            <v>9</v>
          </cell>
        </row>
        <row r="346">
          <cell r="B346" t="str">
            <v>اصول 5S</v>
          </cell>
          <cell r="C346" t="str">
            <v>نظافت</v>
          </cell>
          <cell r="AF346">
            <v>2</v>
          </cell>
        </row>
        <row r="347">
          <cell r="B347" t="str">
            <v>پخت عقب پژو 405 شمشی پایه کوتاه</v>
          </cell>
          <cell r="C347" t="str">
            <v>قالب نو</v>
          </cell>
          <cell r="AF347">
            <v>11</v>
          </cell>
        </row>
        <row r="348">
          <cell r="B348" t="str">
            <v>قالب عقب F12</v>
          </cell>
          <cell r="C348" t="str">
            <v>قالب نو</v>
          </cell>
          <cell r="AF348">
            <v>11</v>
          </cell>
        </row>
        <row r="349">
          <cell r="B349" t="str">
            <v>قالب شمشی عقب پیکان</v>
          </cell>
          <cell r="C349" t="str">
            <v>قالب نو</v>
          </cell>
          <cell r="AF349">
            <v>6.5</v>
          </cell>
        </row>
        <row r="350">
          <cell r="B350" t="str">
            <v>پخت عقب پژو 405 شمشی پایه کوتاه</v>
          </cell>
          <cell r="C350" t="str">
            <v>قالب نو</v>
          </cell>
          <cell r="AF350">
            <v>4</v>
          </cell>
        </row>
        <row r="351">
          <cell r="B351" t="str">
            <v>سری تراش</v>
          </cell>
          <cell r="C351" t="str">
            <v>قطعه نو</v>
          </cell>
          <cell r="AF351">
            <v>7</v>
          </cell>
        </row>
        <row r="352">
          <cell r="B352" t="str">
            <v>لنت ترمز دیسكی جلو دیما(خم)</v>
          </cell>
          <cell r="C352" t="str">
            <v>قالب نو</v>
          </cell>
          <cell r="AF352">
            <v>5.5</v>
          </cell>
        </row>
        <row r="353">
          <cell r="B353" t="str">
            <v>برشی نیوفیس C&amp;C</v>
          </cell>
          <cell r="C353" t="str">
            <v>قالب نو</v>
          </cell>
          <cell r="AF353">
            <v>2</v>
          </cell>
        </row>
        <row r="354">
          <cell r="B354" t="str">
            <v>دستگاه پشم فلز</v>
          </cell>
          <cell r="C354" t="str">
            <v>قطعه تعمیری</v>
          </cell>
          <cell r="AF354">
            <v>3.5</v>
          </cell>
        </row>
        <row r="355">
          <cell r="B355" t="str">
            <v>برشی نیوفیس C&amp;C</v>
          </cell>
          <cell r="C355" t="str">
            <v>قالب نو</v>
          </cell>
          <cell r="AF355">
            <v>2</v>
          </cell>
        </row>
        <row r="356">
          <cell r="B356" t="str">
            <v>برشی نیوفیس C&amp;C</v>
          </cell>
          <cell r="C356" t="str">
            <v>قالب نو</v>
          </cell>
          <cell r="AF356">
            <v>2</v>
          </cell>
        </row>
        <row r="357">
          <cell r="B357" t="str">
            <v xml:space="preserve">پخت کلاچ پراید سکو </v>
          </cell>
          <cell r="C357" t="str">
            <v>قالب تعمیری</v>
          </cell>
          <cell r="AF357">
            <v>3</v>
          </cell>
        </row>
        <row r="358">
          <cell r="B358" t="str">
            <v xml:space="preserve">پخت کلاچ پراید سکو </v>
          </cell>
          <cell r="C358" t="str">
            <v>قالب تعمیری</v>
          </cell>
          <cell r="AF358">
            <v>2</v>
          </cell>
        </row>
        <row r="359">
          <cell r="B359" t="str">
            <v xml:space="preserve">پخت کلاچ پراید سکو </v>
          </cell>
          <cell r="C359" t="str">
            <v>قالب تعمیری</v>
          </cell>
          <cell r="AF359">
            <v>2.5</v>
          </cell>
        </row>
        <row r="360">
          <cell r="B360" t="str">
            <v xml:space="preserve">پخت کلاچ پراید سکو </v>
          </cell>
          <cell r="C360" t="str">
            <v>قالب تعمیری</v>
          </cell>
          <cell r="AF360">
            <v>2.5</v>
          </cell>
        </row>
        <row r="361">
          <cell r="B361" t="str">
            <v>ویوینگ</v>
          </cell>
          <cell r="C361" t="str">
            <v>قطعه تعمیری</v>
          </cell>
          <cell r="AF361">
            <v>2</v>
          </cell>
        </row>
        <row r="362">
          <cell r="B362" t="str">
            <v>پخت عقب پژو 405 شمشی پایه کوتاه</v>
          </cell>
          <cell r="C362" t="str">
            <v>قالب نو</v>
          </cell>
          <cell r="AF362">
            <v>2</v>
          </cell>
        </row>
        <row r="363">
          <cell r="B363" t="str">
            <v>پخت کلاچ تیبا چپ</v>
          </cell>
          <cell r="C363" t="str">
            <v>قالب نو</v>
          </cell>
          <cell r="AF363">
            <v>11</v>
          </cell>
        </row>
        <row r="364">
          <cell r="B364" t="str">
            <v>پخت کلاچ لندکروز</v>
          </cell>
          <cell r="C364" t="str">
            <v>قالب تعمیری</v>
          </cell>
          <cell r="AF364">
            <v>8</v>
          </cell>
        </row>
        <row r="365">
          <cell r="B365" t="str">
            <v>برشی نیوفیس C&amp;C</v>
          </cell>
          <cell r="C365" t="str">
            <v>قالب نو</v>
          </cell>
          <cell r="AF365">
            <v>2</v>
          </cell>
        </row>
        <row r="366">
          <cell r="B366" t="str">
            <v>پخت کلاچ تیبا راست</v>
          </cell>
          <cell r="C366" t="str">
            <v>قالب نو</v>
          </cell>
          <cell r="AF366">
            <v>1</v>
          </cell>
        </row>
        <row r="367">
          <cell r="B367" t="str">
            <v>قالب پخت SAF</v>
          </cell>
          <cell r="C367" t="str">
            <v>قالب تعمیری</v>
          </cell>
          <cell r="AF367">
            <v>12</v>
          </cell>
        </row>
        <row r="368">
          <cell r="B368" t="str">
            <v>ترابوزا</v>
          </cell>
          <cell r="C368" t="str">
            <v>قالب تعمیری</v>
          </cell>
          <cell r="AF368">
            <v>12</v>
          </cell>
        </row>
        <row r="369">
          <cell r="B369" t="str">
            <v>دستگاه پشم فلز</v>
          </cell>
          <cell r="C369" t="str">
            <v>قطعه تعمیری</v>
          </cell>
          <cell r="AF369">
            <v>4</v>
          </cell>
        </row>
        <row r="370">
          <cell r="B370" t="str">
            <v>دستگاه فرز</v>
          </cell>
          <cell r="C370" t="str">
            <v>قطعه تعمیری</v>
          </cell>
          <cell r="AF370">
            <v>1</v>
          </cell>
        </row>
        <row r="371">
          <cell r="B371" t="str">
            <v>میکس</v>
          </cell>
          <cell r="C371" t="str">
            <v>قطعه تعمیری</v>
          </cell>
          <cell r="AF371">
            <v>8</v>
          </cell>
        </row>
        <row r="372">
          <cell r="B372" t="str">
            <v>سری تراش</v>
          </cell>
          <cell r="C372" t="str">
            <v>قطعه نو</v>
          </cell>
          <cell r="AF372">
            <v>1</v>
          </cell>
        </row>
        <row r="373">
          <cell r="B373" t="str">
            <v>قالب پخت SAF</v>
          </cell>
          <cell r="C373" t="str">
            <v>قالب نو</v>
          </cell>
          <cell r="AF373">
            <v>12</v>
          </cell>
        </row>
        <row r="374">
          <cell r="B374" t="str">
            <v>پخت عقب پژو 405 شمشی پایه کوتاه</v>
          </cell>
          <cell r="C374" t="str">
            <v>قالب نو</v>
          </cell>
          <cell r="AF374">
            <v>11</v>
          </cell>
        </row>
        <row r="375">
          <cell r="B375" t="str">
            <v>پخت کلاچ لندکروز</v>
          </cell>
          <cell r="C375" t="str">
            <v>قالب تعمیری</v>
          </cell>
          <cell r="AF375">
            <v>11</v>
          </cell>
        </row>
        <row r="376">
          <cell r="B376" t="str">
            <v>قالب شمشی عقب پیکان</v>
          </cell>
          <cell r="C376" t="str">
            <v>قالب نو</v>
          </cell>
          <cell r="AF376">
            <v>6.5</v>
          </cell>
        </row>
        <row r="377">
          <cell r="B377" t="str">
            <v>قالب پخت SAF</v>
          </cell>
          <cell r="C377" t="str">
            <v>قالب نو</v>
          </cell>
          <cell r="AF377">
            <v>12</v>
          </cell>
        </row>
        <row r="378">
          <cell r="B378" t="str">
            <v>قالب پخت SAF</v>
          </cell>
          <cell r="C378" t="str">
            <v>قالب تعمیری</v>
          </cell>
          <cell r="AF378">
            <v>3</v>
          </cell>
        </row>
        <row r="379">
          <cell r="B379" t="str">
            <v>عقب لیفتراک</v>
          </cell>
          <cell r="C379" t="str">
            <v>قطعه نو</v>
          </cell>
          <cell r="AF379">
            <v>3</v>
          </cell>
        </row>
        <row r="380">
          <cell r="B380" t="str">
            <v>قالب پخت SAF</v>
          </cell>
          <cell r="C380" t="str">
            <v>قالب نو</v>
          </cell>
          <cell r="AF380">
            <v>6</v>
          </cell>
        </row>
        <row r="381">
          <cell r="B381" t="str">
            <v>قالب پخت SAF</v>
          </cell>
          <cell r="C381" t="str">
            <v>قالب تعمیری</v>
          </cell>
          <cell r="AF381">
            <v>6</v>
          </cell>
        </row>
        <row r="382">
          <cell r="B382" t="str">
            <v>نگهدارنده پلاک قالب</v>
          </cell>
          <cell r="C382" t="str">
            <v>قطعه نو</v>
          </cell>
          <cell r="AF382">
            <v>6</v>
          </cell>
        </row>
        <row r="383">
          <cell r="B383" t="str">
            <v>دستگاه پرس 600 تن</v>
          </cell>
          <cell r="C383" t="str">
            <v>قطعه نو</v>
          </cell>
          <cell r="AF383">
            <v>4</v>
          </cell>
        </row>
        <row r="384">
          <cell r="B384" t="str">
            <v>پخت عقب پژو 405 شمشی پایه کوتاه</v>
          </cell>
          <cell r="C384" t="str">
            <v>قالب نو</v>
          </cell>
          <cell r="AF384">
            <v>7.5</v>
          </cell>
        </row>
        <row r="385">
          <cell r="B385" t="str">
            <v>پین عقب پژو 405</v>
          </cell>
          <cell r="C385" t="str">
            <v>قطعه نو</v>
          </cell>
          <cell r="AF385">
            <v>1.5</v>
          </cell>
        </row>
        <row r="386">
          <cell r="B386" t="str">
            <v>فوتون 107</v>
          </cell>
          <cell r="C386" t="str">
            <v>قالب تعمیری</v>
          </cell>
          <cell r="AF386">
            <v>2</v>
          </cell>
        </row>
        <row r="387">
          <cell r="B387" t="str">
            <v>فوتون 107</v>
          </cell>
          <cell r="C387" t="str">
            <v>قالب تعمیری</v>
          </cell>
          <cell r="AF387">
            <v>1.5</v>
          </cell>
        </row>
        <row r="388">
          <cell r="B388" t="str">
            <v>پین عقب پژو 405</v>
          </cell>
          <cell r="C388" t="str">
            <v>قطعه نو</v>
          </cell>
          <cell r="AF388">
            <v>5</v>
          </cell>
        </row>
        <row r="389">
          <cell r="B389" t="str">
            <v>پین عقب پژو 405</v>
          </cell>
          <cell r="C389" t="str">
            <v>قطعه نو</v>
          </cell>
          <cell r="AF389">
            <v>6.5</v>
          </cell>
        </row>
        <row r="390">
          <cell r="B390" t="str">
            <v>دسنگاه چسب زنی</v>
          </cell>
          <cell r="C390" t="str">
            <v>قطعه نو</v>
          </cell>
          <cell r="AF390">
            <v>2.5</v>
          </cell>
        </row>
        <row r="391">
          <cell r="B391" t="str">
            <v>قالب شمشی عقب پیکان</v>
          </cell>
          <cell r="C391" t="str">
            <v>قالب نو</v>
          </cell>
          <cell r="AF391">
            <v>8.5</v>
          </cell>
        </row>
        <row r="392">
          <cell r="B392" t="str">
            <v>فیکسچر کفشک پژو 405</v>
          </cell>
          <cell r="C392" t="str">
            <v>قطعه نو</v>
          </cell>
          <cell r="AF392">
            <v>6.5</v>
          </cell>
        </row>
        <row r="393">
          <cell r="B393" t="str">
            <v>پایه پرچ عقب نیسان</v>
          </cell>
          <cell r="C393" t="str">
            <v>قطعه تعمیری</v>
          </cell>
          <cell r="AF393">
            <v>6.5</v>
          </cell>
        </row>
        <row r="394">
          <cell r="B394" t="str">
            <v>پخت کلاچ تیبا چپ</v>
          </cell>
          <cell r="C394" t="str">
            <v>قالب نو</v>
          </cell>
          <cell r="AF394">
            <v>3.5</v>
          </cell>
        </row>
        <row r="395">
          <cell r="B395" t="str">
            <v>پخت عقب پژو 405 شمشی پایه کوتاه</v>
          </cell>
          <cell r="C395" t="str">
            <v>قالب نو</v>
          </cell>
          <cell r="AF395">
            <v>7.5</v>
          </cell>
        </row>
        <row r="396">
          <cell r="B396" t="str">
            <v>پخت عقب پژو 405 شمشی پایه کوتاه</v>
          </cell>
          <cell r="C396" t="str">
            <v>قالب نو</v>
          </cell>
          <cell r="AF396">
            <v>6.5</v>
          </cell>
        </row>
        <row r="397">
          <cell r="B397" t="str">
            <v>پخت کلاچ تیبا چپ</v>
          </cell>
          <cell r="C397" t="str">
            <v>قالب نو</v>
          </cell>
          <cell r="AF397">
            <v>11</v>
          </cell>
        </row>
        <row r="398">
          <cell r="B398" t="str">
            <v>پخت کلاچ تیبا راست</v>
          </cell>
          <cell r="C398" t="str">
            <v>قالب نو</v>
          </cell>
          <cell r="AF398">
            <v>3</v>
          </cell>
        </row>
        <row r="399">
          <cell r="B399" t="str">
            <v>پخت عقب پژو 405 شمشی پایه کوتاه</v>
          </cell>
          <cell r="C399" t="str">
            <v>قالب نو</v>
          </cell>
          <cell r="AF399">
            <v>2</v>
          </cell>
        </row>
        <row r="400">
          <cell r="B400" t="str">
            <v>پخت کلاچ لندکروز</v>
          </cell>
          <cell r="C400" t="str">
            <v>قالب تعمیری</v>
          </cell>
          <cell r="AF400">
            <v>4</v>
          </cell>
        </row>
        <row r="401">
          <cell r="B401" t="str">
            <v>فوتون 107</v>
          </cell>
          <cell r="C401" t="str">
            <v>قالب تعمیری</v>
          </cell>
          <cell r="AF401">
            <v>2</v>
          </cell>
        </row>
        <row r="402">
          <cell r="B402" t="str">
            <v xml:space="preserve">قالب پخت کلاچ پیکان </v>
          </cell>
          <cell r="C402" t="str">
            <v>قالب تعمیری</v>
          </cell>
          <cell r="AF402">
            <v>2</v>
          </cell>
        </row>
        <row r="403">
          <cell r="B403" t="str">
            <v>قالب پخت کلاچ پژو 405</v>
          </cell>
          <cell r="C403" t="str">
            <v>قالب تعمیری</v>
          </cell>
          <cell r="AF403">
            <v>2</v>
          </cell>
        </row>
        <row r="404">
          <cell r="B404" t="str">
            <v>پخت کلاچ ایسوزو</v>
          </cell>
          <cell r="C404" t="str">
            <v>قالب تعمیری</v>
          </cell>
          <cell r="AF404">
            <v>6.5</v>
          </cell>
        </row>
        <row r="405">
          <cell r="B405" t="str">
            <v>فوتون 107</v>
          </cell>
          <cell r="C405" t="str">
            <v>قالب تعمیری</v>
          </cell>
          <cell r="AF405">
            <v>2</v>
          </cell>
        </row>
        <row r="406">
          <cell r="B406" t="str">
            <v>شمش پراید</v>
          </cell>
          <cell r="C406" t="str">
            <v>قالب نو</v>
          </cell>
          <cell r="AF406">
            <v>5</v>
          </cell>
        </row>
        <row r="407">
          <cell r="B407" t="str">
            <v>قالب پخت کلاچ پژو 405</v>
          </cell>
          <cell r="C407" t="str">
            <v>قالب تعمیری</v>
          </cell>
          <cell r="AF407">
            <v>2</v>
          </cell>
        </row>
        <row r="408">
          <cell r="B408" t="str">
            <v xml:space="preserve">قالب پخت کلاچ پیکان </v>
          </cell>
          <cell r="C408" t="str">
            <v>قالب تعمیری</v>
          </cell>
          <cell r="AF408">
            <v>2</v>
          </cell>
        </row>
        <row r="409">
          <cell r="B409" t="str">
            <v xml:space="preserve">قالب پخت کلاچ پیکان </v>
          </cell>
          <cell r="C409" t="str">
            <v>قالب تعمیری</v>
          </cell>
          <cell r="AF409">
            <v>3</v>
          </cell>
        </row>
        <row r="410">
          <cell r="B410" t="str">
            <v>قالب پخت کلاچ پژو 405</v>
          </cell>
          <cell r="C410" t="str">
            <v>قالب تعمیری</v>
          </cell>
          <cell r="AF410">
            <v>2</v>
          </cell>
        </row>
        <row r="411">
          <cell r="B411" t="str">
            <v>سری تراش</v>
          </cell>
          <cell r="C411" t="str">
            <v>قطعه نو</v>
          </cell>
          <cell r="AF411">
            <v>3</v>
          </cell>
        </row>
        <row r="412">
          <cell r="B412" t="str">
            <v>ویوینگ</v>
          </cell>
          <cell r="C412" t="str">
            <v>قطعه نو</v>
          </cell>
          <cell r="AF412">
            <v>2</v>
          </cell>
        </row>
        <row r="413">
          <cell r="B413" t="str">
            <v>ترابوزا</v>
          </cell>
          <cell r="C413" t="str">
            <v>قالب تعمیری</v>
          </cell>
          <cell r="AF413">
            <v>2</v>
          </cell>
        </row>
        <row r="414">
          <cell r="B414" t="str">
            <v>پایه پرچ عقب نیسان</v>
          </cell>
          <cell r="C414" t="str">
            <v>قطعه تعمیری</v>
          </cell>
          <cell r="AF414">
            <v>4</v>
          </cell>
        </row>
        <row r="415">
          <cell r="B415" t="str">
            <v>ترابوزا</v>
          </cell>
          <cell r="C415" t="str">
            <v>قالب تعمیری</v>
          </cell>
          <cell r="AF415">
            <v>1</v>
          </cell>
        </row>
        <row r="416">
          <cell r="B416" t="str">
            <v>ترابوزا</v>
          </cell>
          <cell r="C416" t="str">
            <v>قالب تعمیری</v>
          </cell>
          <cell r="AF416">
            <v>2</v>
          </cell>
        </row>
        <row r="417">
          <cell r="B417" t="str">
            <v>ترابوزا</v>
          </cell>
          <cell r="C417" t="str">
            <v>قالب تعمیری</v>
          </cell>
          <cell r="AF417">
            <v>1</v>
          </cell>
        </row>
        <row r="418">
          <cell r="B418" t="str">
            <v>ویوینگ</v>
          </cell>
          <cell r="C418" t="str">
            <v>قطعه تعمیری</v>
          </cell>
          <cell r="AF418">
            <v>1</v>
          </cell>
        </row>
        <row r="419">
          <cell r="B419" t="str">
            <v>هواکش</v>
          </cell>
          <cell r="C419" t="str">
            <v>قطعه تعمیری</v>
          </cell>
          <cell r="AF419">
            <v>1</v>
          </cell>
        </row>
        <row r="420">
          <cell r="B420" t="str">
            <v>پخت عقب پژو 405 شمشی پایه کوتاه</v>
          </cell>
          <cell r="C420" t="str">
            <v>قالب نو</v>
          </cell>
          <cell r="AF420">
            <v>4</v>
          </cell>
        </row>
        <row r="421">
          <cell r="B421" t="str">
            <v>ویوینگ</v>
          </cell>
          <cell r="C421" t="str">
            <v>قطعه تعمیری</v>
          </cell>
          <cell r="AF421">
            <v>2.5</v>
          </cell>
        </row>
        <row r="422">
          <cell r="B422" t="str">
            <v>پخت کلاچ لندکروز</v>
          </cell>
          <cell r="C422" t="str">
            <v>قالب تعمیری</v>
          </cell>
          <cell r="AF422">
            <v>6.5</v>
          </cell>
        </row>
        <row r="423">
          <cell r="B423" t="str">
            <v>پخت کلاچ لندکروز</v>
          </cell>
          <cell r="C423" t="str">
            <v>قالب تعمیری</v>
          </cell>
          <cell r="AF423">
            <v>6.5</v>
          </cell>
        </row>
        <row r="424">
          <cell r="B424" t="str">
            <v>پخت عقب پژو 405 شمشی پایه کوتاه</v>
          </cell>
          <cell r="C424" t="str">
            <v>قالب نو</v>
          </cell>
          <cell r="AF424">
            <v>2.5</v>
          </cell>
        </row>
        <row r="425">
          <cell r="B425" t="str">
            <v>پخت کلاچ تیبا راست</v>
          </cell>
          <cell r="C425" t="str">
            <v>قالب نو</v>
          </cell>
          <cell r="AF425">
            <v>8.5</v>
          </cell>
        </row>
        <row r="426">
          <cell r="B426" t="str">
            <v>پین عقب پژو 405</v>
          </cell>
          <cell r="C426" t="str">
            <v>قطعه نو</v>
          </cell>
          <cell r="AF426">
            <v>11</v>
          </cell>
        </row>
        <row r="427">
          <cell r="B427" t="str">
            <v>پخت کلاچ لندکروز</v>
          </cell>
          <cell r="C427" t="str">
            <v>قالب تعمیری</v>
          </cell>
          <cell r="AF427">
            <v>11</v>
          </cell>
        </row>
        <row r="428">
          <cell r="B428" t="str">
            <v>قالب پخت کلاچ پژو 405</v>
          </cell>
          <cell r="C428" t="str">
            <v>قالب تعمیری</v>
          </cell>
          <cell r="AF428">
            <v>2.5</v>
          </cell>
        </row>
        <row r="429">
          <cell r="B429" t="str">
            <v>قالب پخت کلاچ پژو 405</v>
          </cell>
          <cell r="C429" t="str">
            <v>قالب تعمیری</v>
          </cell>
          <cell r="AF429">
            <v>2.5</v>
          </cell>
        </row>
        <row r="430">
          <cell r="B430" t="str">
            <v>فوتون 107</v>
          </cell>
          <cell r="C430" t="str">
            <v>قالب تعمیری</v>
          </cell>
          <cell r="AF430">
            <v>1.5</v>
          </cell>
        </row>
        <row r="431">
          <cell r="B431" t="str">
            <v>ترابوزا</v>
          </cell>
          <cell r="C431" t="str">
            <v>قالب تعمیری</v>
          </cell>
          <cell r="AF431">
            <v>4</v>
          </cell>
        </row>
        <row r="432">
          <cell r="B432" t="str">
            <v>ترابوزا</v>
          </cell>
          <cell r="C432" t="str">
            <v>قالب تعمیری</v>
          </cell>
          <cell r="AF432">
            <v>1</v>
          </cell>
        </row>
        <row r="433">
          <cell r="B433" t="str">
            <v>ترابوزا</v>
          </cell>
          <cell r="C433" t="str">
            <v>قالب تعمیری</v>
          </cell>
          <cell r="AF433">
            <v>3</v>
          </cell>
        </row>
        <row r="434">
          <cell r="B434" t="str">
            <v>قالب پخت SAF</v>
          </cell>
          <cell r="C434" t="str">
            <v>قالب نو</v>
          </cell>
          <cell r="AF434">
            <v>12</v>
          </cell>
        </row>
        <row r="435">
          <cell r="B435" t="str">
            <v>قالب پخت SAF</v>
          </cell>
          <cell r="C435" t="str">
            <v>قالب تعمیری</v>
          </cell>
          <cell r="AF435">
            <v>12</v>
          </cell>
        </row>
        <row r="436">
          <cell r="B436" t="str">
            <v>نگهدارنده پلاک قالب</v>
          </cell>
          <cell r="C436" t="str">
            <v>قطعه نو</v>
          </cell>
          <cell r="AF436">
            <v>12</v>
          </cell>
        </row>
        <row r="437">
          <cell r="B437" t="str">
            <v>دستگاه پرس 600 تن</v>
          </cell>
          <cell r="C437" t="str">
            <v>قطعه نو</v>
          </cell>
          <cell r="AF437">
            <v>12</v>
          </cell>
        </row>
        <row r="438">
          <cell r="B438" t="str">
            <v>پایه پرچ عقب نیسان</v>
          </cell>
          <cell r="C438" t="str">
            <v>قطعه تعمیری</v>
          </cell>
          <cell r="AF438">
            <v>11</v>
          </cell>
        </row>
        <row r="439">
          <cell r="B439" t="str">
            <v>ترابوزا</v>
          </cell>
          <cell r="C439" t="str">
            <v>قالب تعمیری</v>
          </cell>
          <cell r="AF439">
            <v>4</v>
          </cell>
        </row>
        <row r="440">
          <cell r="B440" t="str">
            <v>پخت عقب پژو 405 شمشی پایه کوتاه</v>
          </cell>
          <cell r="C440" t="str">
            <v>قالب نو</v>
          </cell>
          <cell r="AF440">
            <v>3</v>
          </cell>
        </row>
        <row r="441">
          <cell r="B441" t="str">
            <v>پخت عقب پژو 405 شمشی پایه کوتاه</v>
          </cell>
          <cell r="C441" t="str">
            <v>قالب نو</v>
          </cell>
          <cell r="AF441">
            <v>3</v>
          </cell>
        </row>
        <row r="442">
          <cell r="B442" t="str">
            <v>پخت عقب پژو 405 شمشی پایه کوتاه</v>
          </cell>
          <cell r="C442" t="str">
            <v>قالب نو</v>
          </cell>
          <cell r="AF442">
            <v>2</v>
          </cell>
        </row>
        <row r="443">
          <cell r="B443" t="str">
            <v>نگهدارنده پلاک قالب</v>
          </cell>
          <cell r="C443" t="str">
            <v>قطعه نو</v>
          </cell>
          <cell r="AF443">
            <v>4</v>
          </cell>
        </row>
        <row r="444">
          <cell r="B444" t="str">
            <v>پخت عقب پژو 405 شمشی پایه کوتاه</v>
          </cell>
          <cell r="C444" t="str">
            <v>قالب نو</v>
          </cell>
          <cell r="AF444">
            <v>5</v>
          </cell>
        </row>
        <row r="445">
          <cell r="B445" t="str">
            <v>پایه پرچ عقب نیسان</v>
          </cell>
          <cell r="C445" t="str">
            <v>قطعه تعمیری</v>
          </cell>
          <cell r="AF445">
            <v>3</v>
          </cell>
        </row>
        <row r="446">
          <cell r="B446" t="str">
            <v>پایه پرچ عقب نیسان</v>
          </cell>
          <cell r="C446" t="str">
            <v>قطعه تعمیری</v>
          </cell>
          <cell r="AF446">
            <v>3</v>
          </cell>
        </row>
        <row r="447">
          <cell r="B447" t="str">
            <v>سری نقطه جوش</v>
          </cell>
          <cell r="C447" t="str">
            <v>قطعه تعمیری</v>
          </cell>
          <cell r="AF447">
            <v>1</v>
          </cell>
        </row>
        <row r="448">
          <cell r="B448" t="str">
            <v>قالب پخت کلاچ پژو 405</v>
          </cell>
          <cell r="C448" t="str">
            <v>قالب تعمیری</v>
          </cell>
          <cell r="AF448">
            <v>4</v>
          </cell>
        </row>
        <row r="449">
          <cell r="B449" t="str">
            <v>پخت کلاچ لندکروز</v>
          </cell>
          <cell r="C449" t="str">
            <v>قالب تعمیری</v>
          </cell>
          <cell r="AF449">
            <v>4</v>
          </cell>
        </row>
        <row r="450">
          <cell r="B450" t="str">
            <v>پخت کلاچ ایسوزو</v>
          </cell>
          <cell r="C450" t="str">
            <v>قالب تعمیری</v>
          </cell>
          <cell r="AF450">
            <v>9</v>
          </cell>
        </row>
        <row r="451">
          <cell r="B451" t="str">
            <v>پخت عقب پژو 405 شمشی پایه کوتاه</v>
          </cell>
          <cell r="C451" t="str">
            <v>قالب نو</v>
          </cell>
          <cell r="AF451">
            <v>1</v>
          </cell>
        </row>
        <row r="452">
          <cell r="B452" t="str">
            <v>فوتون 107</v>
          </cell>
          <cell r="C452" t="str">
            <v>قالب تعمیری</v>
          </cell>
          <cell r="AF452">
            <v>6</v>
          </cell>
        </row>
        <row r="453">
          <cell r="B453" t="str">
            <v>قالب پخت کلاچ پژو 405</v>
          </cell>
          <cell r="C453" t="str">
            <v>قالب تعمیری</v>
          </cell>
          <cell r="AF453">
            <v>2</v>
          </cell>
        </row>
        <row r="454">
          <cell r="B454" t="str">
            <v>پخت کلاچ 302 سوراخدار</v>
          </cell>
          <cell r="C454" t="str">
            <v>قالب تعمیری</v>
          </cell>
          <cell r="AF454">
            <v>5.5</v>
          </cell>
        </row>
        <row r="455">
          <cell r="B455" t="str">
            <v>پخت کلاچ 302 سوراخدار</v>
          </cell>
          <cell r="C455" t="str">
            <v>قالب تعمیری</v>
          </cell>
          <cell r="AF455">
            <v>5.5</v>
          </cell>
        </row>
        <row r="456">
          <cell r="B456" t="str">
            <v>پخت کلاچ 302 سوراخدار</v>
          </cell>
          <cell r="C456" t="str">
            <v>قالب تعمیری</v>
          </cell>
          <cell r="AF456">
            <v>3</v>
          </cell>
        </row>
        <row r="457">
          <cell r="B457" t="str">
            <v>پخت کلاچ ایویکو سوراخدار</v>
          </cell>
          <cell r="C457" t="str">
            <v>قالب تعمیری</v>
          </cell>
          <cell r="AF457">
            <v>3</v>
          </cell>
        </row>
        <row r="458">
          <cell r="B458" t="str">
            <v>دستگاه پرس 600 تن</v>
          </cell>
          <cell r="C458" t="str">
            <v>قطعه نو</v>
          </cell>
          <cell r="AF458">
            <v>2</v>
          </cell>
        </row>
        <row r="459">
          <cell r="B459" t="str">
            <v>پخت عقب پژو 405 شمشی پایه کوتاه</v>
          </cell>
          <cell r="C459" t="str">
            <v>قالب نو</v>
          </cell>
          <cell r="AF459">
            <v>1.5</v>
          </cell>
        </row>
        <row r="460">
          <cell r="B460" t="str">
            <v>پخت کلاچ 302 سوراخدار</v>
          </cell>
          <cell r="C460" t="str">
            <v>قالب تعمیری</v>
          </cell>
          <cell r="AF460">
            <v>3</v>
          </cell>
        </row>
        <row r="461">
          <cell r="B461" t="str">
            <v>قالب پخت کلاچ پژو 405</v>
          </cell>
          <cell r="C461" t="str">
            <v>قالب تعمیری</v>
          </cell>
          <cell r="AF461">
            <v>1.5</v>
          </cell>
        </row>
        <row r="462">
          <cell r="B462" t="str">
            <v>پخت کلاچ 302 سوراخدار</v>
          </cell>
          <cell r="C462" t="str">
            <v>قالب تعمیری</v>
          </cell>
          <cell r="AF462">
            <v>1.5</v>
          </cell>
        </row>
        <row r="463">
          <cell r="B463" t="str">
            <v>پخت کلاچ ایویکو سوراخدار</v>
          </cell>
          <cell r="C463" t="str">
            <v>قالب تعمیری</v>
          </cell>
          <cell r="AF463">
            <v>3</v>
          </cell>
        </row>
        <row r="464">
          <cell r="B464" t="str">
            <v>قالب پخت SAF</v>
          </cell>
          <cell r="C464" t="str">
            <v>قالب نو</v>
          </cell>
          <cell r="AF464">
            <v>7.5</v>
          </cell>
        </row>
        <row r="465">
          <cell r="B465" t="str">
            <v>پخت کلاچ تیبا راست</v>
          </cell>
          <cell r="C465" t="str">
            <v>قالب نو</v>
          </cell>
          <cell r="AF465">
            <v>3.5</v>
          </cell>
        </row>
        <row r="466">
          <cell r="B466" t="str">
            <v>فوتون 107</v>
          </cell>
          <cell r="C466" t="str">
            <v>قالب تعمیری</v>
          </cell>
          <cell r="AF466">
            <v>11</v>
          </cell>
        </row>
        <row r="467">
          <cell r="B467" t="str">
            <v>قالب پخت کلاچ پژو 405</v>
          </cell>
          <cell r="C467" t="str">
            <v>قالب تعمیری</v>
          </cell>
          <cell r="AF467">
            <v>9</v>
          </cell>
        </row>
        <row r="468">
          <cell r="B468" t="str">
            <v>پخت عقب پژو 405 شمشی پایه کوتاه</v>
          </cell>
          <cell r="C468" t="str">
            <v>قالب نو</v>
          </cell>
          <cell r="AF468">
            <v>2</v>
          </cell>
        </row>
        <row r="469">
          <cell r="B469" t="str">
            <v>فوتون 107</v>
          </cell>
          <cell r="C469" t="str">
            <v>قالب تعمیری</v>
          </cell>
          <cell r="AF469">
            <v>1.5</v>
          </cell>
        </row>
        <row r="470">
          <cell r="B470" t="str">
            <v>دستگاه پرس 600 تن</v>
          </cell>
          <cell r="C470" t="str">
            <v>قطعه نو</v>
          </cell>
          <cell r="AF470">
            <v>3</v>
          </cell>
        </row>
        <row r="471">
          <cell r="B471" t="str">
            <v>فوتون 107</v>
          </cell>
          <cell r="C471" t="str">
            <v>قالب تعمیری</v>
          </cell>
          <cell r="AF471">
            <v>2</v>
          </cell>
        </row>
        <row r="472">
          <cell r="B472" t="str">
            <v>پین عقب پژو 405</v>
          </cell>
          <cell r="C472" t="str">
            <v>قطعه نو</v>
          </cell>
          <cell r="AF472">
            <v>11</v>
          </cell>
        </row>
        <row r="473">
          <cell r="B473" t="str">
            <v>پخت کلاچ تیبا راست</v>
          </cell>
          <cell r="C473" t="str">
            <v>قالب نو</v>
          </cell>
          <cell r="AF473">
            <v>3.5</v>
          </cell>
        </row>
        <row r="474">
          <cell r="B474" t="str">
            <v>فوتون 107</v>
          </cell>
          <cell r="C474" t="str">
            <v>قالب تعمیری</v>
          </cell>
          <cell r="AF474">
            <v>4</v>
          </cell>
        </row>
        <row r="475">
          <cell r="B475" t="str">
            <v>پخت کلاچ ایسوزو</v>
          </cell>
          <cell r="C475" t="str">
            <v>قالب تعمیری</v>
          </cell>
          <cell r="AF475">
            <v>3.5</v>
          </cell>
        </row>
        <row r="476">
          <cell r="B476" t="str">
            <v>پخت کلاچ لندکروز</v>
          </cell>
          <cell r="C476" t="str">
            <v>قالب تعمیری</v>
          </cell>
          <cell r="AF476">
            <v>11</v>
          </cell>
        </row>
        <row r="477">
          <cell r="B477" t="str">
            <v>قالب پخت SAF</v>
          </cell>
          <cell r="C477" t="str">
            <v>قالب تعمیری</v>
          </cell>
          <cell r="AF477">
            <v>12</v>
          </cell>
        </row>
        <row r="478">
          <cell r="B478" t="str">
            <v>نگهدارنده پلاک قالب</v>
          </cell>
          <cell r="C478" t="str">
            <v>قطعه نو</v>
          </cell>
          <cell r="AF478">
            <v>12</v>
          </cell>
        </row>
        <row r="479">
          <cell r="B479" t="str">
            <v>عقب لیفتراک</v>
          </cell>
          <cell r="C479" t="str">
            <v>قطعه نو</v>
          </cell>
          <cell r="AF479">
            <v>3</v>
          </cell>
        </row>
        <row r="480">
          <cell r="B480" t="str">
            <v>دستگاه فرز</v>
          </cell>
          <cell r="C480" t="str">
            <v>قطعه تعمیری</v>
          </cell>
          <cell r="AF480">
            <v>3</v>
          </cell>
        </row>
        <row r="481">
          <cell r="B481" t="str">
            <v>فوتون 107</v>
          </cell>
          <cell r="C481" t="str">
            <v>قالب تعمیری</v>
          </cell>
          <cell r="AF481">
            <v>12</v>
          </cell>
        </row>
        <row r="482">
          <cell r="B482" t="str">
            <v>قالب پخت کلاچ پژو 405</v>
          </cell>
          <cell r="C482" t="str">
            <v>قالب تعمیری</v>
          </cell>
          <cell r="AF482">
            <v>6</v>
          </cell>
        </row>
        <row r="483">
          <cell r="B483" t="str">
            <v>پایه پرچ عقب نیسان</v>
          </cell>
          <cell r="C483" t="str">
            <v>قطعه تعمیری</v>
          </cell>
          <cell r="AF483">
            <v>4</v>
          </cell>
        </row>
        <row r="484">
          <cell r="B484" t="str">
            <v>دریل یزدخواستی کلاچ</v>
          </cell>
          <cell r="C484" t="str">
            <v>قطعه نو</v>
          </cell>
          <cell r="AF484">
            <v>3.5</v>
          </cell>
        </row>
        <row r="485">
          <cell r="B485" t="str">
            <v>دریل یزدخواستی کلاچ</v>
          </cell>
          <cell r="C485" t="str">
            <v>قطعه نو</v>
          </cell>
          <cell r="AF485">
            <v>1.5</v>
          </cell>
        </row>
        <row r="486">
          <cell r="B486" t="str">
            <v>آغشته کاری</v>
          </cell>
          <cell r="C486" t="str">
            <v>قطعه تعمیری</v>
          </cell>
          <cell r="AF486">
            <v>2</v>
          </cell>
        </row>
        <row r="487">
          <cell r="B487" t="str">
            <v>ساب ترابوزا</v>
          </cell>
          <cell r="C487" t="str">
            <v>قطعه نو</v>
          </cell>
          <cell r="AF487">
            <v>9</v>
          </cell>
        </row>
        <row r="488">
          <cell r="B488" t="str">
            <v>پخت کلاچ تیبا راست</v>
          </cell>
          <cell r="C488" t="str">
            <v>قالب نو</v>
          </cell>
          <cell r="AF488">
            <v>11</v>
          </cell>
        </row>
        <row r="489">
          <cell r="B489" t="str">
            <v>قالب پخت SAF</v>
          </cell>
          <cell r="C489" t="str">
            <v>قالب نو</v>
          </cell>
          <cell r="AF489">
            <v>8.5</v>
          </cell>
        </row>
        <row r="490">
          <cell r="B490" t="str">
            <v>پخت کلاچ لندکروز</v>
          </cell>
          <cell r="C490" t="str">
            <v>قالب تعمیری</v>
          </cell>
          <cell r="AF490">
            <v>2.5</v>
          </cell>
        </row>
        <row r="491">
          <cell r="B491" t="str">
            <v>قالب پخت SAF</v>
          </cell>
          <cell r="C491" t="str">
            <v>قالب نو</v>
          </cell>
          <cell r="AF491">
            <v>11</v>
          </cell>
        </row>
        <row r="492">
          <cell r="B492" t="str">
            <v>پخت کلاچ ایسوزو</v>
          </cell>
          <cell r="C492" t="str">
            <v>قالب تعمیری</v>
          </cell>
          <cell r="AF492">
            <v>11</v>
          </cell>
        </row>
        <row r="493">
          <cell r="B493" t="str">
            <v>پخت کلاچ ایسوزو</v>
          </cell>
          <cell r="C493" t="str">
            <v>قالب تعمیری</v>
          </cell>
          <cell r="AF493">
            <v>11</v>
          </cell>
        </row>
        <row r="494">
          <cell r="B494" t="str">
            <v>فوتون 107</v>
          </cell>
          <cell r="C494" t="str">
            <v>قالب تعمیری</v>
          </cell>
          <cell r="AF494">
            <v>6.5</v>
          </cell>
        </row>
        <row r="495">
          <cell r="B495" t="str">
            <v>فوتون 107</v>
          </cell>
          <cell r="C495" t="str">
            <v>قالب تعمیری</v>
          </cell>
          <cell r="AF495">
            <v>6.5</v>
          </cell>
        </row>
        <row r="496">
          <cell r="B496" t="str">
            <v>دریل یزدخواستی کلاچ</v>
          </cell>
          <cell r="C496" t="str">
            <v>قطعه نو</v>
          </cell>
          <cell r="AF496">
            <v>8.5</v>
          </cell>
        </row>
        <row r="497">
          <cell r="B497" t="str">
            <v>دریل یزدخواستی کلاچ</v>
          </cell>
          <cell r="C497" t="str">
            <v>قطعه نو</v>
          </cell>
          <cell r="AF497">
            <v>9.3333333333333339</v>
          </cell>
        </row>
        <row r="498">
          <cell r="B498" t="str">
            <v>آغشته کاری</v>
          </cell>
          <cell r="C498" t="str">
            <v>قطعه تعمیری</v>
          </cell>
          <cell r="AF498">
            <v>2</v>
          </cell>
        </row>
        <row r="499">
          <cell r="B499" t="str">
            <v>سری تراش</v>
          </cell>
          <cell r="C499" t="str">
            <v>قطعه نو</v>
          </cell>
          <cell r="AF499">
            <v>2</v>
          </cell>
        </row>
        <row r="500">
          <cell r="B500" t="str">
            <v>دستگاه پشم فلز</v>
          </cell>
          <cell r="C500" t="str">
            <v>قطعه تعمیری</v>
          </cell>
          <cell r="AF500">
            <v>3</v>
          </cell>
        </row>
        <row r="501">
          <cell r="B501" t="str">
            <v>Pin zob ahan</v>
          </cell>
          <cell r="C501" t="str">
            <v>قطعه نو</v>
          </cell>
          <cell r="AF501">
            <v>4</v>
          </cell>
        </row>
        <row r="502">
          <cell r="B502" t="str">
            <v>Pin zob ahan</v>
          </cell>
          <cell r="C502" t="str">
            <v>قطعه نو</v>
          </cell>
          <cell r="AF502">
            <v>11</v>
          </cell>
        </row>
        <row r="503">
          <cell r="B503" t="str">
            <v>فوتون 107</v>
          </cell>
          <cell r="C503" t="str">
            <v>قالب تعمیری</v>
          </cell>
          <cell r="AF503">
            <v>11</v>
          </cell>
        </row>
        <row r="504">
          <cell r="B504" t="str">
            <v>پخت عقب پژو 405 شمشی پایه کوتاه</v>
          </cell>
          <cell r="C504" t="str">
            <v>قالب نو</v>
          </cell>
          <cell r="AF504">
            <v>1</v>
          </cell>
        </row>
        <row r="505">
          <cell r="B505" t="str">
            <v>قالب پخت SAF</v>
          </cell>
          <cell r="C505" t="str">
            <v>قالب تعمیری</v>
          </cell>
          <cell r="AF505">
            <v>4</v>
          </cell>
        </row>
        <row r="506">
          <cell r="B506" t="str">
            <v>قالب پخت SAF</v>
          </cell>
          <cell r="C506" t="str">
            <v>قالب تعمیری</v>
          </cell>
          <cell r="AF506">
            <v>11</v>
          </cell>
        </row>
        <row r="507">
          <cell r="B507" t="str">
            <v>پخت کلاچ پژو 206 TU5</v>
          </cell>
          <cell r="C507" t="str">
            <v>قالب تعمیری</v>
          </cell>
          <cell r="AF507">
            <v>4</v>
          </cell>
        </row>
        <row r="508">
          <cell r="B508" t="str">
            <v>فوتون 107</v>
          </cell>
          <cell r="C508" t="str">
            <v>قالب تعمیری</v>
          </cell>
          <cell r="AF508">
            <v>7</v>
          </cell>
        </row>
        <row r="509">
          <cell r="B509" t="str">
            <v>قالب پخت کلاچ پژو 405</v>
          </cell>
          <cell r="C509" t="str">
            <v>قالب تعمیری</v>
          </cell>
          <cell r="AF509">
            <v>3</v>
          </cell>
        </row>
        <row r="510">
          <cell r="B510" t="str">
            <v>دستگاه پرس 600 تن</v>
          </cell>
          <cell r="C510" t="str">
            <v>قطعه نو</v>
          </cell>
          <cell r="AF510">
            <v>3</v>
          </cell>
        </row>
        <row r="511">
          <cell r="B511" t="str">
            <v>پخت کلاچ پژو 206 TU5</v>
          </cell>
          <cell r="C511" t="str">
            <v>قالب تعمیری</v>
          </cell>
          <cell r="AF511">
            <v>3</v>
          </cell>
        </row>
        <row r="512">
          <cell r="B512" t="str">
            <v>قالب عقب F12</v>
          </cell>
          <cell r="C512" t="str">
            <v>قالب نو</v>
          </cell>
          <cell r="AF512">
            <v>2</v>
          </cell>
        </row>
        <row r="513">
          <cell r="B513" t="str">
            <v>قالب شمشی عقب پیکان</v>
          </cell>
          <cell r="C513" t="str">
            <v>قالب نو</v>
          </cell>
          <cell r="AF513">
            <v>2</v>
          </cell>
        </row>
        <row r="514">
          <cell r="B514" t="str">
            <v>قالب شمشی عقب پیکان</v>
          </cell>
          <cell r="C514" t="str">
            <v>قالب نو</v>
          </cell>
          <cell r="AF514">
            <v>2</v>
          </cell>
        </row>
        <row r="515">
          <cell r="B515" t="str">
            <v>قالب پخت کلاچ پژو 405</v>
          </cell>
          <cell r="C515" t="str">
            <v>قالب تعمیری</v>
          </cell>
          <cell r="AF515">
            <v>2</v>
          </cell>
        </row>
        <row r="516">
          <cell r="B516" t="str">
            <v>قالب مترو مشهد</v>
          </cell>
          <cell r="C516" t="str">
            <v>قالب تعمیری</v>
          </cell>
          <cell r="AF516">
            <v>3</v>
          </cell>
        </row>
        <row r="517">
          <cell r="B517" t="str">
            <v>ساب ترابوزا</v>
          </cell>
          <cell r="C517" t="str">
            <v>قطعه نو</v>
          </cell>
          <cell r="AF517">
            <v>5</v>
          </cell>
        </row>
        <row r="518">
          <cell r="B518" t="str">
            <v>آغشته کاری</v>
          </cell>
          <cell r="C518" t="str">
            <v>قطعه تعمیری</v>
          </cell>
          <cell r="AF518">
            <v>1</v>
          </cell>
        </row>
        <row r="519">
          <cell r="B519" t="str">
            <v>ساب سمباده ای</v>
          </cell>
          <cell r="C519" t="str">
            <v>قطعه تعمیری</v>
          </cell>
          <cell r="AF519">
            <v>2</v>
          </cell>
        </row>
        <row r="520">
          <cell r="B520" t="str">
            <v>ویوینگ</v>
          </cell>
          <cell r="C520" t="str">
            <v>قطعه نو</v>
          </cell>
          <cell r="AF520">
            <v>3</v>
          </cell>
        </row>
        <row r="521">
          <cell r="B521" t="str">
            <v>ویوینگ</v>
          </cell>
          <cell r="C521" t="str">
            <v>قطعه تعمیری</v>
          </cell>
          <cell r="AF521">
            <v>3</v>
          </cell>
        </row>
        <row r="522">
          <cell r="B522" t="str">
            <v>دستگاه پرس 600 تن</v>
          </cell>
          <cell r="C522" t="str">
            <v>قطعه نو</v>
          </cell>
          <cell r="AF522">
            <v>6</v>
          </cell>
        </row>
        <row r="523">
          <cell r="B523" t="str">
            <v>ویوینگ</v>
          </cell>
          <cell r="C523" t="str">
            <v>قطعه تعمیری</v>
          </cell>
          <cell r="AF523">
            <v>0.5</v>
          </cell>
        </row>
        <row r="524">
          <cell r="B524" t="str">
            <v>آغشته کاری</v>
          </cell>
          <cell r="C524" t="str">
            <v>قطعه تعمیری</v>
          </cell>
          <cell r="AF524">
            <v>0.5</v>
          </cell>
        </row>
        <row r="525">
          <cell r="B525" t="str">
            <v>قالب پخت کلاچ پژو 405</v>
          </cell>
          <cell r="C525" t="str">
            <v>قالب تعمیری</v>
          </cell>
          <cell r="AF525">
            <v>3</v>
          </cell>
        </row>
        <row r="526">
          <cell r="B526" t="str">
            <v>پخت کلاچ پژو 206 TU5</v>
          </cell>
          <cell r="C526" t="str">
            <v>قالب تعمیری</v>
          </cell>
          <cell r="AF526">
            <v>5</v>
          </cell>
        </row>
        <row r="527">
          <cell r="B527" t="str">
            <v>آغشته کاری</v>
          </cell>
          <cell r="C527" t="str">
            <v>قطعه تعمیری</v>
          </cell>
          <cell r="AF527">
            <v>1</v>
          </cell>
        </row>
        <row r="528">
          <cell r="B528" t="str">
            <v>ویوینگ</v>
          </cell>
          <cell r="C528" t="str">
            <v>قطعه تعمیری</v>
          </cell>
          <cell r="AF528">
            <v>1</v>
          </cell>
        </row>
        <row r="529">
          <cell r="B529" t="str">
            <v>قالب پخت کلاچ پژو 405</v>
          </cell>
          <cell r="C529" t="str">
            <v>قالب تعمیری</v>
          </cell>
          <cell r="AF529">
            <v>2.5</v>
          </cell>
        </row>
        <row r="530">
          <cell r="B530" t="str">
            <v>قالب شمشی عقب پیکان</v>
          </cell>
          <cell r="C530" t="str">
            <v>قالب نو</v>
          </cell>
          <cell r="AF530">
            <v>1.5</v>
          </cell>
        </row>
        <row r="531">
          <cell r="B531" t="str">
            <v>قالب عقب F12</v>
          </cell>
          <cell r="C531" t="str">
            <v>قالب نو</v>
          </cell>
          <cell r="AF531">
            <v>2</v>
          </cell>
        </row>
        <row r="532">
          <cell r="B532" t="str">
            <v>قالب پخت کلاچ پژو 405</v>
          </cell>
          <cell r="C532" t="str">
            <v>قالب تعمیری</v>
          </cell>
          <cell r="AF532">
            <v>1</v>
          </cell>
        </row>
        <row r="533">
          <cell r="B533" t="str">
            <v>قالب پخت SAF</v>
          </cell>
          <cell r="C533" t="str">
            <v>قالب تعمیری</v>
          </cell>
          <cell r="AF533">
            <v>12</v>
          </cell>
        </row>
        <row r="534">
          <cell r="B534" t="str">
            <v>نگهدارنده پلاک قالب</v>
          </cell>
          <cell r="C534" t="str">
            <v>قطعه نو</v>
          </cell>
          <cell r="AF534">
            <v>6</v>
          </cell>
        </row>
        <row r="535">
          <cell r="B535" t="str">
            <v>Pin zob ahan</v>
          </cell>
          <cell r="C535" t="str">
            <v>قطعه نو</v>
          </cell>
          <cell r="AF535">
            <v>2</v>
          </cell>
        </row>
        <row r="536">
          <cell r="B536" t="str">
            <v>قلم ریو</v>
          </cell>
          <cell r="C536" t="str">
            <v>قطعه تعمیری</v>
          </cell>
          <cell r="AF536">
            <v>3</v>
          </cell>
        </row>
        <row r="537">
          <cell r="B537" t="str">
            <v>قالب پخت کلاچ پژو 405</v>
          </cell>
          <cell r="C537" t="str">
            <v>قالب تعمیری</v>
          </cell>
          <cell r="AF537">
            <v>12</v>
          </cell>
        </row>
        <row r="538">
          <cell r="B538" t="str">
            <v>دستگاه پرس 600 تن</v>
          </cell>
          <cell r="C538" t="str">
            <v>قطعه نو</v>
          </cell>
          <cell r="AF538">
            <v>12</v>
          </cell>
        </row>
        <row r="539">
          <cell r="B539" t="str">
            <v>فوتون 107</v>
          </cell>
          <cell r="C539" t="str">
            <v>قالب تعمیری</v>
          </cell>
          <cell r="AF539">
            <v>11</v>
          </cell>
        </row>
        <row r="540">
          <cell r="B540" t="str">
            <v>فوتون 107</v>
          </cell>
          <cell r="C540" t="str">
            <v>قالب تعمیری</v>
          </cell>
          <cell r="AF540">
            <v>11</v>
          </cell>
        </row>
        <row r="541">
          <cell r="B541" t="str">
            <v>قلم ریو</v>
          </cell>
          <cell r="C541" t="str">
            <v>قطعه تعمیری</v>
          </cell>
          <cell r="AF541">
            <v>2</v>
          </cell>
        </row>
        <row r="542">
          <cell r="B542" t="str">
            <v>قالب پخت کلاچ پژو 405</v>
          </cell>
          <cell r="C542" t="str">
            <v>قالب تعمیری</v>
          </cell>
          <cell r="AF542">
            <v>3</v>
          </cell>
        </row>
        <row r="543">
          <cell r="B543" t="str">
            <v>عقب لیفتراک</v>
          </cell>
          <cell r="C543" t="str">
            <v>قطعه نو</v>
          </cell>
          <cell r="AF543">
            <v>1</v>
          </cell>
        </row>
        <row r="544">
          <cell r="B544" t="str">
            <v>نگهدارنده پلاک قالب</v>
          </cell>
          <cell r="C544" t="str">
            <v>قطعه نو</v>
          </cell>
          <cell r="AF544">
            <v>8</v>
          </cell>
        </row>
        <row r="545">
          <cell r="B545" t="str">
            <v>پین عقب پژو 405</v>
          </cell>
          <cell r="C545" t="str">
            <v>قطعه نو</v>
          </cell>
          <cell r="AF545">
            <v>6.166666666666667</v>
          </cell>
        </row>
        <row r="546">
          <cell r="B546" t="str">
            <v>فوتون 107</v>
          </cell>
          <cell r="C546" t="str">
            <v>قالب تعمیری</v>
          </cell>
          <cell r="AF546">
            <v>1.5</v>
          </cell>
        </row>
        <row r="547">
          <cell r="B547" t="str">
            <v>دستگاه پرس 600 تن</v>
          </cell>
          <cell r="C547" t="str">
            <v>قطعه نو</v>
          </cell>
          <cell r="AF547">
            <v>3</v>
          </cell>
        </row>
        <row r="548">
          <cell r="B548" t="str">
            <v>بک پلیت ذوب آهن</v>
          </cell>
          <cell r="C548" t="str">
            <v>قطعه تعمیری</v>
          </cell>
          <cell r="AF548">
            <v>2</v>
          </cell>
        </row>
        <row r="549">
          <cell r="B549" t="str">
            <v>پرس لودری 70021</v>
          </cell>
          <cell r="C549" t="str">
            <v>قالب تعمیری</v>
          </cell>
          <cell r="AF549">
            <v>11</v>
          </cell>
        </row>
        <row r="550">
          <cell r="B550" t="str">
            <v>Pin zob ahan</v>
          </cell>
          <cell r="C550" t="str">
            <v>قطعه نو</v>
          </cell>
          <cell r="AF550">
            <v>11</v>
          </cell>
        </row>
        <row r="551">
          <cell r="B551" t="str">
            <v>پخت عقب پژو 405 شمشی پایه کوتاه</v>
          </cell>
          <cell r="C551" t="str">
            <v>قالب نو</v>
          </cell>
          <cell r="AF551">
            <v>10</v>
          </cell>
        </row>
        <row r="552">
          <cell r="B552" t="str">
            <v>ساب سمباده ای</v>
          </cell>
          <cell r="C552" t="str">
            <v>قطعه تعمیری</v>
          </cell>
          <cell r="AF552">
            <v>1</v>
          </cell>
        </row>
        <row r="553">
          <cell r="B553" t="str">
            <v>پخت کلاچ ایسوزو</v>
          </cell>
          <cell r="C553" t="str">
            <v>قالب تعمیری</v>
          </cell>
          <cell r="AF553">
            <v>11</v>
          </cell>
        </row>
        <row r="554">
          <cell r="B554" t="str">
            <v>قالب پخت SAF</v>
          </cell>
          <cell r="C554" t="str">
            <v>قالب نو</v>
          </cell>
          <cell r="AF554">
            <v>5.5</v>
          </cell>
        </row>
        <row r="555">
          <cell r="B555" t="str">
            <v>پخت عقب پژو 405 شمشی پایه کوتاه</v>
          </cell>
          <cell r="C555" t="str">
            <v>قالب نو</v>
          </cell>
          <cell r="AF555">
            <v>5.5</v>
          </cell>
        </row>
        <row r="556">
          <cell r="B556" t="str">
            <v>دریل یزدخواستی کلاچ</v>
          </cell>
          <cell r="C556" t="str">
            <v>قطعه نو</v>
          </cell>
          <cell r="AF556">
            <v>4.5</v>
          </cell>
        </row>
        <row r="557">
          <cell r="B557" t="str">
            <v>سوراخکاری پیلسان</v>
          </cell>
          <cell r="C557" t="str">
            <v>قطعه نو</v>
          </cell>
          <cell r="AF557">
            <v>4.5</v>
          </cell>
        </row>
        <row r="558">
          <cell r="B558" t="str">
            <v>دریل یزدخواستی کلاچ</v>
          </cell>
          <cell r="C558" t="str">
            <v>قطعه نو</v>
          </cell>
          <cell r="AF558">
            <v>2</v>
          </cell>
        </row>
        <row r="559">
          <cell r="B559" t="str">
            <v>قالب پخت SAF</v>
          </cell>
          <cell r="C559" t="str">
            <v>قالب نو</v>
          </cell>
          <cell r="AF559">
            <v>11</v>
          </cell>
        </row>
        <row r="560">
          <cell r="B560" t="str">
            <v>قالب مترو مشهد</v>
          </cell>
          <cell r="C560" t="str">
            <v>قالب تعمیری</v>
          </cell>
          <cell r="AF560">
            <v>4</v>
          </cell>
        </row>
        <row r="561">
          <cell r="B561" t="str">
            <v>قالب مترو مشهد</v>
          </cell>
          <cell r="C561" t="str">
            <v>قالب تعمیری</v>
          </cell>
          <cell r="AF561">
            <v>4</v>
          </cell>
        </row>
        <row r="562">
          <cell r="B562" t="str">
            <v>فوتون 107</v>
          </cell>
          <cell r="C562" t="str">
            <v>قالب تعمیری</v>
          </cell>
          <cell r="AF562">
            <v>2</v>
          </cell>
        </row>
        <row r="563">
          <cell r="B563" t="str">
            <v>نک آرایش BPW تاجدار</v>
          </cell>
          <cell r="C563" t="str">
            <v>قالب تعمیری</v>
          </cell>
          <cell r="AF563">
            <v>1</v>
          </cell>
        </row>
        <row r="564">
          <cell r="B564" t="str">
            <v>میکس</v>
          </cell>
          <cell r="C564" t="str">
            <v>قطعه تعمیری</v>
          </cell>
          <cell r="AF564">
            <v>4</v>
          </cell>
        </row>
        <row r="565">
          <cell r="B565" t="str">
            <v>ساب کونیک</v>
          </cell>
          <cell r="C565" t="str">
            <v>قطعه تعمیری</v>
          </cell>
          <cell r="AF565">
            <v>1</v>
          </cell>
        </row>
        <row r="566">
          <cell r="B566" t="str">
            <v>ویوینگ</v>
          </cell>
          <cell r="C566" t="str">
            <v>قطعه تعمیری</v>
          </cell>
          <cell r="AF566">
            <v>0.5</v>
          </cell>
        </row>
        <row r="567">
          <cell r="B567" t="str">
            <v>ساب کونیک</v>
          </cell>
          <cell r="C567" t="str">
            <v>قطعه تعمیری</v>
          </cell>
          <cell r="AF567">
            <v>2</v>
          </cell>
        </row>
        <row r="568">
          <cell r="B568" t="str">
            <v>ساب سمباده ای</v>
          </cell>
          <cell r="C568" t="str">
            <v>قطعه تعمیری</v>
          </cell>
          <cell r="AF568">
            <v>2</v>
          </cell>
        </row>
        <row r="569">
          <cell r="B569" t="str">
            <v>فوتون 107</v>
          </cell>
          <cell r="C569" t="str">
            <v>قالب تعمیری</v>
          </cell>
          <cell r="AF569">
            <v>12</v>
          </cell>
        </row>
        <row r="570">
          <cell r="B570" t="str">
            <v>فوتون 107</v>
          </cell>
          <cell r="C570" t="str">
            <v>قالب تعمیری</v>
          </cell>
          <cell r="AF570">
            <v>12</v>
          </cell>
        </row>
        <row r="571">
          <cell r="B571" t="str">
            <v>نگهدارنده پلاک قالب</v>
          </cell>
          <cell r="C571" t="str">
            <v>قطعه نو</v>
          </cell>
          <cell r="AF571">
            <v>12</v>
          </cell>
        </row>
        <row r="572">
          <cell r="B572" t="str">
            <v>عقب لیفتراک</v>
          </cell>
          <cell r="C572" t="str">
            <v>قطعه نو</v>
          </cell>
          <cell r="AF572">
            <v>6</v>
          </cell>
        </row>
        <row r="573">
          <cell r="B573" t="str">
            <v>قالب عقب F12</v>
          </cell>
          <cell r="C573" t="str">
            <v>قالب نو</v>
          </cell>
          <cell r="AF573">
            <v>3</v>
          </cell>
        </row>
        <row r="574">
          <cell r="B574" t="str">
            <v>پخت عقب پژو 405 شمشی پایه کوتاه</v>
          </cell>
          <cell r="C574" t="str">
            <v>قالب نو</v>
          </cell>
          <cell r="AF574">
            <v>4</v>
          </cell>
        </row>
        <row r="575">
          <cell r="B575" t="str">
            <v>قالب عقب F12</v>
          </cell>
          <cell r="C575" t="str">
            <v>قالب نو</v>
          </cell>
          <cell r="AF575">
            <v>3</v>
          </cell>
        </row>
        <row r="576">
          <cell r="B576" t="str">
            <v>کفشک قطاری</v>
          </cell>
          <cell r="C576" t="str">
            <v>قطعه تعمیری</v>
          </cell>
          <cell r="AF576">
            <v>2</v>
          </cell>
        </row>
        <row r="577">
          <cell r="B577" t="str">
            <v>کفشک قطاری</v>
          </cell>
          <cell r="C577" t="str">
            <v>قطعه تعمیری</v>
          </cell>
          <cell r="AF577">
            <v>2</v>
          </cell>
        </row>
        <row r="578">
          <cell r="B578" t="str">
            <v>پخت کلاچ ایویکو سوراخدار</v>
          </cell>
          <cell r="C578" t="str">
            <v>قالب تعمیری</v>
          </cell>
          <cell r="AF578">
            <v>2</v>
          </cell>
        </row>
        <row r="579">
          <cell r="B579" t="str">
            <v>قالب پخت کلاچ</v>
          </cell>
          <cell r="C579" t="str">
            <v>قالب تعمیری</v>
          </cell>
          <cell r="AF579">
            <v>7.5</v>
          </cell>
        </row>
        <row r="580">
          <cell r="B580" t="str">
            <v>قالب پخت SAF</v>
          </cell>
          <cell r="C580" t="str">
            <v>قالب نو</v>
          </cell>
          <cell r="AF580">
            <v>5.5</v>
          </cell>
        </row>
        <row r="581">
          <cell r="B581" t="str">
            <v>پخت کلاچ پژو 206 TU5</v>
          </cell>
          <cell r="C581" t="str">
            <v>قالب تعمیری</v>
          </cell>
          <cell r="AF581">
            <v>2</v>
          </cell>
        </row>
        <row r="582">
          <cell r="B582" t="str">
            <v>قالب پخت SAF</v>
          </cell>
          <cell r="C582" t="str">
            <v>قالب تعمیری</v>
          </cell>
          <cell r="AF582">
            <v>8</v>
          </cell>
        </row>
        <row r="583">
          <cell r="B583" t="str">
            <v>قالب پخت SAF</v>
          </cell>
          <cell r="C583" t="str">
            <v>قالب تعمیری</v>
          </cell>
          <cell r="AF583">
            <v>8</v>
          </cell>
        </row>
        <row r="584">
          <cell r="B584" t="str">
            <v>قالب پخت SAF</v>
          </cell>
          <cell r="C584" t="str">
            <v>قالب تعمیری</v>
          </cell>
          <cell r="AF584">
            <v>8</v>
          </cell>
        </row>
        <row r="585">
          <cell r="B585" t="str">
            <v>فوتون 107</v>
          </cell>
          <cell r="C585" t="str">
            <v>قالب تعمیری</v>
          </cell>
          <cell r="AF585">
            <v>8</v>
          </cell>
        </row>
        <row r="586">
          <cell r="B586" t="str">
            <v>قطعه بیرونی</v>
          </cell>
          <cell r="C586" t="str">
            <v>قطعه تعمیری</v>
          </cell>
          <cell r="AF586">
            <v>8</v>
          </cell>
        </row>
        <row r="587">
          <cell r="B587" t="str">
            <v>پخت عقب پژو 405 شمشی پایه کوتاه</v>
          </cell>
          <cell r="C587" t="str">
            <v>قالب نو</v>
          </cell>
          <cell r="AF587">
            <v>7.5</v>
          </cell>
        </row>
        <row r="588">
          <cell r="B588" t="str">
            <v>پخت کلاچ ایسوزو</v>
          </cell>
          <cell r="C588" t="str">
            <v>قالب تعمیری</v>
          </cell>
          <cell r="AF588">
            <v>7.5</v>
          </cell>
        </row>
        <row r="589">
          <cell r="B589" t="str">
            <v>دستگاه پرس 600 تن</v>
          </cell>
          <cell r="C589" t="str">
            <v>قطعه نو</v>
          </cell>
          <cell r="AF589">
            <v>3</v>
          </cell>
        </row>
        <row r="590">
          <cell r="B590" t="str">
            <v>نوار نقاله</v>
          </cell>
          <cell r="C590" t="str">
            <v>قطعه نو</v>
          </cell>
          <cell r="AF590">
            <v>2</v>
          </cell>
        </row>
        <row r="591">
          <cell r="B591" t="str">
            <v>نوار نقاله</v>
          </cell>
          <cell r="C591" t="str">
            <v>قطعه نو</v>
          </cell>
          <cell r="AF591">
            <v>1</v>
          </cell>
        </row>
        <row r="592">
          <cell r="B592" t="str">
            <v>میکس</v>
          </cell>
          <cell r="C592" t="str">
            <v>قطعه تعمیری</v>
          </cell>
          <cell r="AF592">
            <v>2</v>
          </cell>
        </row>
        <row r="593">
          <cell r="B593" t="str">
            <v>Pin zob ahan</v>
          </cell>
          <cell r="C593" t="str">
            <v>قطعه نو</v>
          </cell>
          <cell r="AF593">
            <v>7.5</v>
          </cell>
        </row>
        <row r="594">
          <cell r="B594" t="str">
            <v>پخت کلاچ پراید</v>
          </cell>
          <cell r="C594" t="str">
            <v>قالب تعمیری</v>
          </cell>
          <cell r="AF594">
            <v>4</v>
          </cell>
        </row>
        <row r="595">
          <cell r="B595" t="str">
            <v>پخت عقب پژو 405 شمشی پایه کوتاه</v>
          </cell>
          <cell r="C595" t="str">
            <v>قالب نو</v>
          </cell>
          <cell r="AF595">
            <v>1</v>
          </cell>
        </row>
        <row r="596">
          <cell r="B596" t="str">
            <v>پخت عقب پژو 405 شمشی پایه کوتاه</v>
          </cell>
          <cell r="C596" t="str">
            <v>قالب نو</v>
          </cell>
          <cell r="AF596">
            <v>1</v>
          </cell>
        </row>
        <row r="597">
          <cell r="B597" t="str">
            <v>پخت کلاچ ایویکو سوراخدار</v>
          </cell>
          <cell r="C597" t="str">
            <v>قالب تعمیری</v>
          </cell>
          <cell r="AF597">
            <v>1</v>
          </cell>
        </row>
        <row r="598">
          <cell r="B598" t="str">
            <v>پخت عقب پژو 405 شمشی پایه کوتاه</v>
          </cell>
          <cell r="C598" t="str">
            <v>قالب نو</v>
          </cell>
          <cell r="AF598">
            <v>5.5</v>
          </cell>
        </row>
        <row r="599">
          <cell r="B599" t="str">
            <v>پخت عقب پژو 405 شمشی پایه کوتاه</v>
          </cell>
          <cell r="C599" t="str">
            <v>قالب نو</v>
          </cell>
          <cell r="AF599">
            <v>11</v>
          </cell>
        </row>
        <row r="600">
          <cell r="B600" t="str">
            <v>پخت کلاچ تیبا راست</v>
          </cell>
          <cell r="C600" t="str">
            <v>قالب نو</v>
          </cell>
          <cell r="AF600">
            <v>11</v>
          </cell>
        </row>
        <row r="601">
          <cell r="B601" t="str">
            <v>قالب پخت کلاچ</v>
          </cell>
          <cell r="C601" t="str">
            <v>قالب تعمیری</v>
          </cell>
          <cell r="AF601">
            <v>11</v>
          </cell>
        </row>
        <row r="602">
          <cell r="B602" t="str">
            <v>قالب مینی بوس آریا</v>
          </cell>
          <cell r="C602" t="str">
            <v>قالب نو</v>
          </cell>
          <cell r="AF602">
            <v>11</v>
          </cell>
        </row>
        <row r="603">
          <cell r="B603" t="str">
            <v>فوتون 107</v>
          </cell>
          <cell r="C603" t="str">
            <v>قالب تعمیری</v>
          </cell>
          <cell r="AF603">
            <v>6</v>
          </cell>
        </row>
        <row r="604">
          <cell r="B604" t="str">
            <v>قالب پخت کلاچ</v>
          </cell>
          <cell r="C604" t="str">
            <v>قالب تعمیری</v>
          </cell>
          <cell r="AF604">
            <v>0.5</v>
          </cell>
        </row>
        <row r="605">
          <cell r="B605" t="str">
            <v>پخت کلاچ لندکروز</v>
          </cell>
          <cell r="C605" t="str">
            <v>قالب تعمیری</v>
          </cell>
          <cell r="AF605">
            <v>5.5</v>
          </cell>
        </row>
        <row r="606">
          <cell r="B606" t="str">
            <v>Pin zob ahan</v>
          </cell>
          <cell r="C606" t="str">
            <v>قطعه نو</v>
          </cell>
          <cell r="AF606">
            <v>2.5</v>
          </cell>
        </row>
        <row r="607">
          <cell r="B607" t="str">
            <v>پخت 300 تن</v>
          </cell>
          <cell r="C607" t="str">
            <v>قطعه نو</v>
          </cell>
          <cell r="AF607">
            <v>5</v>
          </cell>
        </row>
        <row r="608">
          <cell r="B608" t="str">
            <v>پخت 300 تن</v>
          </cell>
          <cell r="C608" t="str">
            <v>قطعه نو</v>
          </cell>
          <cell r="AF608">
            <v>2</v>
          </cell>
        </row>
        <row r="609">
          <cell r="B609" t="str">
            <v>پخت کلاچ پژو 206 TU5</v>
          </cell>
          <cell r="C609" t="str">
            <v>قالب تعمیری</v>
          </cell>
          <cell r="AF609">
            <v>8</v>
          </cell>
        </row>
        <row r="610">
          <cell r="B610" t="str">
            <v>توری میدل باس</v>
          </cell>
          <cell r="C610" t="str">
            <v>قالب تعمیری</v>
          </cell>
          <cell r="AF610">
            <v>1</v>
          </cell>
        </row>
        <row r="611">
          <cell r="B611" t="str">
            <v>توری میدل باس</v>
          </cell>
          <cell r="C611" t="str">
            <v>قالب تعمیری</v>
          </cell>
          <cell r="AF611">
            <v>1</v>
          </cell>
        </row>
        <row r="612">
          <cell r="B612" t="str">
            <v>پخت کلاچ لندکروز</v>
          </cell>
          <cell r="C612" t="str">
            <v>قالب تعمیری</v>
          </cell>
          <cell r="AF612">
            <v>1</v>
          </cell>
        </row>
        <row r="613">
          <cell r="B613" t="str">
            <v>قالب شمشی عقب پیکان</v>
          </cell>
          <cell r="C613" t="str">
            <v>قالب نو</v>
          </cell>
          <cell r="AF613">
            <v>12</v>
          </cell>
        </row>
        <row r="614">
          <cell r="B614" t="str">
            <v>فوتون 107</v>
          </cell>
          <cell r="C614" t="str">
            <v>قالب تعمیری</v>
          </cell>
          <cell r="AF614">
            <v>12</v>
          </cell>
        </row>
        <row r="615">
          <cell r="B615" t="str">
            <v>دستگاه CNC</v>
          </cell>
          <cell r="C615" t="str">
            <v>قطعه نو</v>
          </cell>
          <cell r="AF615">
            <v>3</v>
          </cell>
        </row>
        <row r="616">
          <cell r="B616" t="str">
            <v>ساب کف گرگی</v>
          </cell>
          <cell r="C616" t="str">
            <v>قطعه تعمیری</v>
          </cell>
          <cell r="AF616">
            <v>2</v>
          </cell>
        </row>
        <row r="617">
          <cell r="B617" t="str">
            <v>نوار نقاله</v>
          </cell>
          <cell r="C617" t="str">
            <v>قطعه نو</v>
          </cell>
          <cell r="AF617">
            <v>3</v>
          </cell>
        </row>
        <row r="618">
          <cell r="B618" t="str">
            <v>نوار نقاله</v>
          </cell>
          <cell r="C618" t="str">
            <v>قطعه نو</v>
          </cell>
          <cell r="AF618">
            <v>12</v>
          </cell>
        </row>
        <row r="619">
          <cell r="B619" t="str">
            <v>دستگاه پرس 600 تن</v>
          </cell>
          <cell r="C619" t="str">
            <v>قطعه نو</v>
          </cell>
          <cell r="AF619">
            <v>2</v>
          </cell>
        </row>
        <row r="620">
          <cell r="B620" t="str">
            <v>کمپرسور باد</v>
          </cell>
          <cell r="C620" t="str">
            <v>قطعه نو</v>
          </cell>
          <cell r="AF620">
            <v>1</v>
          </cell>
        </row>
        <row r="621">
          <cell r="B621" t="str">
            <v>قالب عقب F12</v>
          </cell>
          <cell r="C621" t="str">
            <v>قالب نو</v>
          </cell>
          <cell r="AF621">
            <v>3</v>
          </cell>
        </row>
        <row r="622">
          <cell r="B622" t="str">
            <v>نوار نقاله</v>
          </cell>
          <cell r="C622" t="str">
            <v>قطعه نو</v>
          </cell>
          <cell r="AF622">
            <v>2</v>
          </cell>
        </row>
        <row r="623">
          <cell r="B623" t="str">
            <v>پین عقب پژو 405</v>
          </cell>
          <cell r="C623" t="str">
            <v>قطعه نو</v>
          </cell>
          <cell r="AF623">
            <v>4</v>
          </cell>
        </row>
        <row r="624">
          <cell r="B624" t="str">
            <v>اصول 5S</v>
          </cell>
          <cell r="C624" t="str">
            <v>نظافت</v>
          </cell>
          <cell r="AF624">
            <v>4</v>
          </cell>
        </row>
        <row r="625">
          <cell r="B625" t="str">
            <v>کلمپ زنی</v>
          </cell>
          <cell r="C625" t="str">
            <v>قطعه تعمیری</v>
          </cell>
          <cell r="AF625">
            <v>4</v>
          </cell>
        </row>
        <row r="626">
          <cell r="AF626">
            <v>0</v>
          </cell>
        </row>
        <row r="627">
          <cell r="AF627">
            <v>0</v>
          </cell>
        </row>
        <row r="628">
          <cell r="AF628">
            <v>0</v>
          </cell>
        </row>
        <row r="629">
          <cell r="AF629">
            <v>0</v>
          </cell>
        </row>
        <row r="630">
          <cell r="AF630">
            <v>0</v>
          </cell>
        </row>
        <row r="631">
          <cell r="AF631">
            <v>0</v>
          </cell>
        </row>
        <row r="632">
          <cell r="AF632">
            <v>0</v>
          </cell>
        </row>
        <row r="633">
          <cell r="AF633">
            <v>0</v>
          </cell>
        </row>
        <row r="634">
          <cell r="AF634">
            <v>0</v>
          </cell>
        </row>
        <row r="635">
          <cell r="AF635">
            <v>0</v>
          </cell>
        </row>
        <row r="636">
          <cell r="AF636">
            <v>0</v>
          </cell>
        </row>
        <row r="637">
          <cell r="AF637">
            <v>0</v>
          </cell>
        </row>
        <row r="638">
          <cell r="AF638">
            <v>0</v>
          </cell>
        </row>
        <row r="639">
          <cell r="AF639">
            <v>0</v>
          </cell>
        </row>
        <row r="640">
          <cell r="AF640">
            <v>0</v>
          </cell>
        </row>
        <row r="641">
          <cell r="AF641">
            <v>0</v>
          </cell>
        </row>
        <row r="642">
          <cell r="AF642">
            <v>0</v>
          </cell>
        </row>
        <row r="643">
          <cell r="AF643">
            <v>0</v>
          </cell>
        </row>
        <row r="644">
          <cell r="AF644">
            <v>0</v>
          </cell>
        </row>
        <row r="645">
          <cell r="AF645">
            <v>0</v>
          </cell>
        </row>
        <row r="646">
          <cell r="AF646">
            <v>0</v>
          </cell>
        </row>
        <row r="647">
          <cell r="AF647">
            <v>0</v>
          </cell>
        </row>
        <row r="648">
          <cell r="AF648">
            <v>0</v>
          </cell>
        </row>
        <row r="649">
          <cell r="AF649">
            <v>0</v>
          </cell>
        </row>
        <row r="650">
          <cell r="AF650">
            <v>0</v>
          </cell>
        </row>
        <row r="651">
          <cell r="AF651">
            <v>0</v>
          </cell>
        </row>
        <row r="652">
          <cell r="AF652">
            <v>0</v>
          </cell>
        </row>
        <row r="653">
          <cell r="AF653">
            <v>0</v>
          </cell>
        </row>
        <row r="654">
          <cell r="AF654">
            <v>0</v>
          </cell>
        </row>
        <row r="655">
          <cell r="AF655">
            <v>0</v>
          </cell>
        </row>
        <row r="656">
          <cell r="AF656">
            <v>0</v>
          </cell>
        </row>
        <row r="657">
          <cell r="AF657">
            <v>0</v>
          </cell>
        </row>
        <row r="658">
          <cell r="AF658">
            <v>0</v>
          </cell>
        </row>
        <row r="659">
          <cell r="AF659">
            <v>0</v>
          </cell>
        </row>
        <row r="660">
          <cell r="AF660">
            <v>0</v>
          </cell>
        </row>
        <row r="661">
          <cell r="AF661">
            <v>0</v>
          </cell>
        </row>
        <row r="662">
          <cell r="AF662">
            <v>0</v>
          </cell>
        </row>
        <row r="663">
          <cell r="AF663">
            <v>0</v>
          </cell>
        </row>
        <row r="664">
          <cell r="AF664">
            <v>0</v>
          </cell>
        </row>
        <row r="665">
          <cell r="AF665">
            <v>0</v>
          </cell>
        </row>
        <row r="666">
          <cell r="AF666">
            <v>0</v>
          </cell>
        </row>
        <row r="667">
          <cell r="AF667">
            <v>0</v>
          </cell>
        </row>
        <row r="668">
          <cell r="AF668">
            <v>0</v>
          </cell>
        </row>
        <row r="669">
          <cell r="AF669">
            <v>0</v>
          </cell>
        </row>
        <row r="670">
          <cell r="AF670">
            <v>0</v>
          </cell>
        </row>
        <row r="671">
          <cell r="AF671">
            <v>0</v>
          </cell>
        </row>
        <row r="672">
          <cell r="AF672">
            <v>0</v>
          </cell>
        </row>
        <row r="673">
          <cell r="AF673">
            <v>0</v>
          </cell>
        </row>
        <row r="674">
          <cell r="AF674">
            <v>0</v>
          </cell>
        </row>
        <row r="675">
          <cell r="AF675">
            <v>0</v>
          </cell>
        </row>
        <row r="676">
          <cell r="AF676">
            <v>0</v>
          </cell>
        </row>
        <row r="677">
          <cell r="AF677">
            <v>0</v>
          </cell>
        </row>
        <row r="678">
          <cell r="AF678">
            <v>0</v>
          </cell>
        </row>
        <row r="679">
          <cell r="AF679">
            <v>0</v>
          </cell>
        </row>
        <row r="680">
          <cell r="AF680">
            <v>0</v>
          </cell>
        </row>
        <row r="681">
          <cell r="AF681">
            <v>0</v>
          </cell>
        </row>
        <row r="682">
          <cell r="AF682">
            <v>0</v>
          </cell>
        </row>
        <row r="683">
          <cell r="AF683">
            <v>0</v>
          </cell>
        </row>
        <row r="684">
          <cell r="AF684">
            <v>0</v>
          </cell>
        </row>
        <row r="685">
          <cell r="AF685">
            <v>0</v>
          </cell>
        </row>
        <row r="686">
          <cell r="AF686">
            <v>0</v>
          </cell>
        </row>
        <row r="687">
          <cell r="AF687">
            <v>0</v>
          </cell>
        </row>
        <row r="688">
          <cell r="AF688">
            <v>0</v>
          </cell>
        </row>
        <row r="689">
          <cell r="AF689">
            <v>0</v>
          </cell>
        </row>
        <row r="690">
          <cell r="AF690">
            <v>0</v>
          </cell>
        </row>
        <row r="691">
          <cell r="AF691">
            <v>0</v>
          </cell>
        </row>
        <row r="692">
          <cell r="AF692">
            <v>0</v>
          </cell>
        </row>
        <row r="693">
          <cell r="AF693">
            <v>0</v>
          </cell>
        </row>
        <row r="694">
          <cell r="AF694">
            <v>0</v>
          </cell>
        </row>
        <row r="695">
          <cell r="AF695">
            <v>0</v>
          </cell>
        </row>
        <row r="696">
          <cell r="AF696">
            <v>0</v>
          </cell>
        </row>
        <row r="697">
          <cell r="AF697">
            <v>0</v>
          </cell>
        </row>
        <row r="698">
          <cell r="AF698">
            <v>0</v>
          </cell>
        </row>
        <row r="699">
          <cell r="AF699">
            <v>0</v>
          </cell>
        </row>
        <row r="700">
          <cell r="AF700">
            <v>0</v>
          </cell>
        </row>
        <row r="701">
          <cell r="AF701">
            <v>0</v>
          </cell>
        </row>
        <row r="702">
          <cell r="AF702">
            <v>0</v>
          </cell>
        </row>
        <row r="703">
          <cell r="AF703">
            <v>0</v>
          </cell>
        </row>
        <row r="704">
          <cell r="AF704">
            <v>0</v>
          </cell>
        </row>
        <row r="705">
          <cell r="AF705">
            <v>0</v>
          </cell>
        </row>
        <row r="706">
          <cell r="AF706">
            <v>0</v>
          </cell>
        </row>
        <row r="707">
          <cell r="AF707">
            <v>0</v>
          </cell>
        </row>
        <row r="708">
          <cell r="AF708">
            <v>0</v>
          </cell>
        </row>
        <row r="709">
          <cell r="AF709">
            <v>0</v>
          </cell>
        </row>
        <row r="710">
          <cell r="AF710">
            <v>0</v>
          </cell>
        </row>
        <row r="711">
          <cell r="AF711">
            <v>0</v>
          </cell>
        </row>
        <row r="712">
          <cell r="AF712">
            <v>0</v>
          </cell>
        </row>
        <row r="713">
          <cell r="AF713">
            <v>0</v>
          </cell>
        </row>
        <row r="714">
          <cell r="AF714">
            <v>0</v>
          </cell>
        </row>
        <row r="715">
          <cell r="AF715">
            <v>0</v>
          </cell>
        </row>
        <row r="716">
          <cell r="AF716">
            <v>0</v>
          </cell>
        </row>
        <row r="717">
          <cell r="AF717">
            <v>0</v>
          </cell>
        </row>
        <row r="718">
          <cell r="AF718">
            <v>0</v>
          </cell>
        </row>
        <row r="719">
          <cell r="AF719">
            <v>0</v>
          </cell>
        </row>
        <row r="720">
          <cell r="AF720">
            <v>0</v>
          </cell>
        </row>
        <row r="721">
          <cell r="AF721">
            <v>0</v>
          </cell>
        </row>
        <row r="722">
          <cell r="AF722">
            <v>0</v>
          </cell>
        </row>
        <row r="723">
          <cell r="AF723">
            <v>0</v>
          </cell>
        </row>
        <row r="724">
          <cell r="AF724">
            <v>0</v>
          </cell>
        </row>
        <row r="725">
          <cell r="AF725">
            <v>0</v>
          </cell>
        </row>
        <row r="726">
          <cell r="AF726">
            <v>0</v>
          </cell>
        </row>
        <row r="727">
          <cell r="AF727">
            <v>0</v>
          </cell>
        </row>
        <row r="728">
          <cell r="AF728">
            <v>0</v>
          </cell>
        </row>
        <row r="729">
          <cell r="AF729">
            <v>0</v>
          </cell>
        </row>
        <row r="730">
          <cell r="AF730">
            <v>0</v>
          </cell>
        </row>
        <row r="731">
          <cell r="AF731">
            <v>0</v>
          </cell>
        </row>
        <row r="732">
          <cell r="AF732">
            <v>0</v>
          </cell>
        </row>
        <row r="733">
          <cell r="AF733">
            <v>0</v>
          </cell>
        </row>
        <row r="734">
          <cell r="AF734">
            <v>0</v>
          </cell>
        </row>
        <row r="735">
          <cell r="AF735">
            <v>0</v>
          </cell>
        </row>
        <row r="736">
          <cell r="AF736">
            <v>0</v>
          </cell>
        </row>
        <row r="737">
          <cell r="AF737">
            <v>0</v>
          </cell>
        </row>
        <row r="738">
          <cell r="AF738">
            <v>0</v>
          </cell>
        </row>
        <row r="739">
          <cell r="AF739">
            <v>0</v>
          </cell>
        </row>
        <row r="740">
          <cell r="AF740">
            <v>0</v>
          </cell>
        </row>
        <row r="741">
          <cell r="AF741">
            <v>0</v>
          </cell>
        </row>
        <row r="742">
          <cell r="AF742">
            <v>0</v>
          </cell>
        </row>
        <row r="743">
          <cell r="AF743">
            <v>0</v>
          </cell>
        </row>
        <row r="744">
          <cell r="AF744">
            <v>0</v>
          </cell>
        </row>
        <row r="745">
          <cell r="AF745">
            <v>0</v>
          </cell>
        </row>
        <row r="746">
          <cell r="AF746">
            <v>0</v>
          </cell>
        </row>
        <row r="747">
          <cell r="AF747">
            <v>0</v>
          </cell>
        </row>
        <row r="748">
          <cell r="AF748">
            <v>0</v>
          </cell>
        </row>
        <row r="749">
          <cell r="AF749">
            <v>0</v>
          </cell>
        </row>
        <row r="750">
          <cell r="AF750">
            <v>0</v>
          </cell>
        </row>
        <row r="751">
          <cell r="AF751">
            <v>0</v>
          </cell>
        </row>
        <row r="752">
          <cell r="AF752">
            <v>0</v>
          </cell>
        </row>
        <row r="753">
          <cell r="AF753">
            <v>0</v>
          </cell>
        </row>
        <row r="754">
          <cell r="AF754">
            <v>0</v>
          </cell>
        </row>
        <row r="755">
          <cell r="AF755">
            <v>0</v>
          </cell>
        </row>
        <row r="756">
          <cell r="AF756">
            <v>0</v>
          </cell>
        </row>
        <row r="757">
          <cell r="AF757">
            <v>0</v>
          </cell>
        </row>
        <row r="758">
          <cell r="AF758">
            <v>0</v>
          </cell>
        </row>
        <row r="759">
          <cell r="AF759">
            <v>0</v>
          </cell>
        </row>
        <row r="760">
          <cell r="AF760">
            <v>0</v>
          </cell>
        </row>
        <row r="761">
          <cell r="AF761">
            <v>0</v>
          </cell>
        </row>
        <row r="762">
          <cell r="AF762">
            <v>0</v>
          </cell>
        </row>
        <row r="763">
          <cell r="AF763">
            <v>0</v>
          </cell>
        </row>
        <row r="764">
          <cell r="AF764">
            <v>0</v>
          </cell>
        </row>
        <row r="765">
          <cell r="AF765">
            <v>0</v>
          </cell>
        </row>
        <row r="766">
          <cell r="AF766">
            <v>0</v>
          </cell>
        </row>
        <row r="767">
          <cell r="AF767">
            <v>0</v>
          </cell>
        </row>
        <row r="768">
          <cell r="AF768">
            <v>0</v>
          </cell>
        </row>
        <row r="769">
          <cell r="AF769">
            <v>0</v>
          </cell>
        </row>
        <row r="770">
          <cell r="AF770">
            <v>0</v>
          </cell>
        </row>
        <row r="771">
          <cell r="AF771">
            <v>0</v>
          </cell>
        </row>
        <row r="772">
          <cell r="AF772">
            <v>0</v>
          </cell>
        </row>
        <row r="773">
          <cell r="AF773">
            <v>0</v>
          </cell>
        </row>
        <row r="774">
          <cell r="AF774">
            <v>0</v>
          </cell>
        </row>
        <row r="775">
          <cell r="AF775">
            <v>0</v>
          </cell>
        </row>
        <row r="776">
          <cell r="AF776">
            <v>0</v>
          </cell>
        </row>
        <row r="777">
          <cell r="AF777">
            <v>0</v>
          </cell>
        </row>
        <row r="778">
          <cell r="AF778">
            <v>0</v>
          </cell>
        </row>
        <row r="779">
          <cell r="AF779">
            <v>0</v>
          </cell>
        </row>
        <row r="780">
          <cell r="AF780">
            <v>0</v>
          </cell>
        </row>
        <row r="781">
          <cell r="AF781">
            <v>0</v>
          </cell>
        </row>
        <row r="782">
          <cell r="AF782">
            <v>0</v>
          </cell>
        </row>
        <row r="783">
          <cell r="AF783">
            <v>0</v>
          </cell>
        </row>
        <row r="784">
          <cell r="AF784">
            <v>0</v>
          </cell>
        </row>
        <row r="785">
          <cell r="AF785">
            <v>0</v>
          </cell>
        </row>
        <row r="786">
          <cell r="AF786">
            <v>0</v>
          </cell>
        </row>
        <row r="787">
          <cell r="AF787">
            <v>0</v>
          </cell>
        </row>
        <row r="788">
          <cell r="AF788">
            <v>0</v>
          </cell>
        </row>
        <row r="789">
          <cell r="AF789">
            <v>0</v>
          </cell>
        </row>
        <row r="790">
          <cell r="AF790">
            <v>0</v>
          </cell>
        </row>
        <row r="791">
          <cell r="AF791">
            <v>0</v>
          </cell>
        </row>
        <row r="792">
          <cell r="AF792">
            <v>0</v>
          </cell>
        </row>
        <row r="793">
          <cell r="AF793">
            <v>0</v>
          </cell>
        </row>
        <row r="794">
          <cell r="AF794">
            <v>0</v>
          </cell>
        </row>
        <row r="795">
          <cell r="AF795">
            <v>0</v>
          </cell>
        </row>
        <row r="796">
          <cell r="AF796">
            <v>0</v>
          </cell>
        </row>
        <row r="797">
          <cell r="AF797">
            <v>0</v>
          </cell>
        </row>
        <row r="798">
          <cell r="AF798">
            <v>0</v>
          </cell>
        </row>
        <row r="799">
          <cell r="AF799">
            <v>0</v>
          </cell>
        </row>
        <row r="800">
          <cell r="AF800">
            <v>0</v>
          </cell>
        </row>
        <row r="801">
          <cell r="AF801">
            <v>0</v>
          </cell>
        </row>
        <row r="802">
          <cell r="AF802">
            <v>0</v>
          </cell>
        </row>
        <row r="803">
          <cell r="AF803">
            <v>0</v>
          </cell>
        </row>
        <row r="804">
          <cell r="AF804">
            <v>0</v>
          </cell>
        </row>
        <row r="805">
          <cell r="AF805">
            <v>0</v>
          </cell>
        </row>
        <row r="806">
          <cell r="AF806">
            <v>0</v>
          </cell>
        </row>
        <row r="807">
          <cell r="AF807">
            <v>0</v>
          </cell>
        </row>
        <row r="808">
          <cell r="AF808">
            <v>0</v>
          </cell>
        </row>
        <row r="809">
          <cell r="AF809">
            <v>0</v>
          </cell>
        </row>
        <row r="810">
          <cell r="AF810">
            <v>0</v>
          </cell>
        </row>
        <row r="811">
          <cell r="AF811">
            <v>0</v>
          </cell>
        </row>
        <row r="812">
          <cell r="AF812">
            <v>0</v>
          </cell>
        </row>
        <row r="813">
          <cell r="AF813">
            <v>0</v>
          </cell>
        </row>
      </sheetData>
      <sheetData sheetId="5">
        <row r="4">
          <cell r="B4" t="str">
            <v>پخت کلاچ تیبا راست</v>
          </cell>
          <cell r="C4" t="str">
            <v>قالب نو</v>
          </cell>
          <cell r="AF4">
            <v>11</v>
          </cell>
        </row>
        <row r="5">
          <cell r="B5" t="str">
            <v>قالب پخت کلاچ</v>
          </cell>
          <cell r="C5" t="str">
            <v>قالب تعمیری</v>
          </cell>
          <cell r="AF5">
            <v>11</v>
          </cell>
        </row>
        <row r="6">
          <cell r="B6" t="str">
            <v>قالب پخت کلاچ</v>
          </cell>
          <cell r="C6" t="str">
            <v>قالب تعمیری</v>
          </cell>
          <cell r="AF6">
            <v>6.5</v>
          </cell>
        </row>
        <row r="7">
          <cell r="B7" t="str">
            <v>ساب ترابوزا</v>
          </cell>
          <cell r="C7" t="str">
            <v>قطعه نو</v>
          </cell>
          <cell r="AF7">
            <v>4.75</v>
          </cell>
        </row>
        <row r="8">
          <cell r="B8" t="str">
            <v>قالب پخت کلاچ</v>
          </cell>
          <cell r="C8" t="str">
            <v>قالب تعمیری</v>
          </cell>
          <cell r="AF8">
            <v>1.75</v>
          </cell>
        </row>
        <row r="9">
          <cell r="B9" t="str">
            <v>پخت عقب پژو 405 شمشی پایه کوتاه</v>
          </cell>
          <cell r="C9" t="str">
            <v>قالب نو</v>
          </cell>
          <cell r="AF9">
            <v>2.5</v>
          </cell>
        </row>
        <row r="10">
          <cell r="B10" t="str">
            <v>پخت کلاچ پژو 206 TU5</v>
          </cell>
          <cell r="C10" t="str">
            <v>قالب تعمیری</v>
          </cell>
          <cell r="AF10">
            <v>4.5</v>
          </cell>
        </row>
        <row r="11">
          <cell r="B11" t="str">
            <v>پخت کلاچ پژو 206 TU5</v>
          </cell>
          <cell r="C11" t="str">
            <v>قالب تعمیری</v>
          </cell>
          <cell r="AF11">
            <v>11</v>
          </cell>
        </row>
        <row r="12">
          <cell r="B12" t="str">
            <v>دستگاه پرس پخت</v>
          </cell>
          <cell r="C12" t="str">
            <v>قطعه نو</v>
          </cell>
          <cell r="AF12">
            <v>4</v>
          </cell>
        </row>
        <row r="13">
          <cell r="B13" t="str">
            <v>پخت کلاچ پژو 206 TU5</v>
          </cell>
          <cell r="C13" t="str">
            <v>قالب تعمیری</v>
          </cell>
          <cell r="AF13">
            <v>4</v>
          </cell>
        </row>
        <row r="14">
          <cell r="B14" t="str">
            <v>پخت کلاچ پژو 206 TU5</v>
          </cell>
          <cell r="C14" t="str">
            <v>قالب تعمیری</v>
          </cell>
          <cell r="AF14">
            <v>11</v>
          </cell>
        </row>
        <row r="15">
          <cell r="B15" t="str">
            <v>ساب کف گرگی</v>
          </cell>
          <cell r="C15" t="str">
            <v>قطعه نو</v>
          </cell>
          <cell r="AF15">
            <v>2</v>
          </cell>
        </row>
        <row r="16">
          <cell r="B16" t="str">
            <v>دستگاه پرس پخت</v>
          </cell>
          <cell r="C16" t="str">
            <v>قطعه تعمیری</v>
          </cell>
          <cell r="AF16">
            <v>2</v>
          </cell>
        </row>
        <row r="17">
          <cell r="B17" t="str">
            <v>دستگاه پرس پخت</v>
          </cell>
          <cell r="C17" t="str">
            <v>قطعه نو</v>
          </cell>
          <cell r="AF17">
            <v>2</v>
          </cell>
        </row>
        <row r="18">
          <cell r="B18" t="str">
            <v>دستگاه ساب الماسه</v>
          </cell>
          <cell r="C18" t="str">
            <v>قطعه تعمیری</v>
          </cell>
          <cell r="AF18">
            <v>2</v>
          </cell>
        </row>
        <row r="19">
          <cell r="B19" t="str">
            <v>دستگاه پرس پخت</v>
          </cell>
          <cell r="C19" t="str">
            <v>قطعه تعمیری</v>
          </cell>
          <cell r="AF19">
            <v>3</v>
          </cell>
        </row>
        <row r="20">
          <cell r="B20" t="str">
            <v>پشم فلز آلمانی</v>
          </cell>
          <cell r="C20" t="str">
            <v>قطعه نو</v>
          </cell>
          <cell r="AF20">
            <v>3</v>
          </cell>
        </row>
        <row r="21">
          <cell r="B21" t="str">
            <v>دستگاه پرس 600 تن</v>
          </cell>
          <cell r="C21" t="str">
            <v>قطعه نو</v>
          </cell>
          <cell r="AF21">
            <v>5</v>
          </cell>
        </row>
        <row r="22">
          <cell r="B22" t="str">
            <v>ساب کف گرگی</v>
          </cell>
          <cell r="C22" t="str">
            <v>قطعه نو</v>
          </cell>
          <cell r="AF22">
            <v>2</v>
          </cell>
        </row>
        <row r="23">
          <cell r="B23" t="str">
            <v>دستگاه پرس 600 تن</v>
          </cell>
          <cell r="C23" t="str">
            <v>قطعه نو</v>
          </cell>
          <cell r="AF23">
            <v>1</v>
          </cell>
        </row>
        <row r="24">
          <cell r="B24" t="str">
            <v>قالب شمشی عقب پیکان</v>
          </cell>
          <cell r="C24" t="str">
            <v>قالب نو</v>
          </cell>
          <cell r="AF24">
            <v>12</v>
          </cell>
        </row>
        <row r="25">
          <cell r="B25" t="str">
            <v>نگهدارنده پلاک قالب</v>
          </cell>
          <cell r="C25" t="str">
            <v>قطعه نو</v>
          </cell>
          <cell r="AF25">
            <v>11</v>
          </cell>
        </row>
        <row r="26">
          <cell r="B26" t="str">
            <v>ویوینگ</v>
          </cell>
          <cell r="C26" t="str">
            <v>قطعه تعمیری</v>
          </cell>
          <cell r="AF26">
            <v>5</v>
          </cell>
        </row>
        <row r="27">
          <cell r="B27" t="str">
            <v>فوتون 107</v>
          </cell>
          <cell r="C27" t="str">
            <v>قالب تعمیری</v>
          </cell>
          <cell r="AF27">
            <v>6</v>
          </cell>
        </row>
        <row r="28">
          <cell r="B28" t="str">
            <v>پخت کلاچ لندکروز</v>
          </cell>
          <cell r="C28" t="str">
            <v>قالب تعمیری</v>
          </cell>
          <cell r="AF28">
            <v>7</v>
          </cell>
        </row>
        <row r="29">
          <cell r="B29" t="str">
            <v>پخت کلاچ لندکروز</v>
          </cell>
          <cell r="C29" t="str">
            <v>قالب تعمیری</v>
          </cell>
          <cell r="AF29">
            <v>3</v>
          </cell>
        </row>
        <row r="30">
          <cell r="B30" t="str">
            <v>فوتون 107</v>
          </cell>
          <cell r="C30" t="str">
            <v>قالب تعمیری</v>
          </cell>
          <cell r="AF30">
            <v>1</v>
          </cell>
        </row>
        <row r="31">
          <cell r="B31" t="str">
            <v>فوتون 107</v>
          </cell>
          <cell r="C31" t="str">
            <v>قالب تعمیری</v>
          </cell>
          <cell r="AF31">
            <v>6</v>
          </cell>
        </row>
        <row r="32">
          <cell r="B32" t="str">
            <v>قالب پخت کلاچ</v>
          </cell>
          <cell r="C32" t="str">
            <v>قالب تعمیری</v>
          </cell>
          <cell r="AF32">
            <v>5</v>
          </cell>
        </row>
        <row r="33">
          <cell r="B33" t="str">
            <v>اصول 5S</v>
          </cell>
          <cell r="C33" t="str">
            <v>نظافت</v>
          </cell>
          <cell r="AF33">
            <v>4</v>
          </cell>
        </row>
        <row r="34">
          <cell r="B34" t="str">
            <v>دستگاه پرس پخت</v>
          </cell>
          <cell r="C34" t="str">
            <v>قطعه تعمیری</v>
          </cell>
          <cell r="AF34">
            <v>2</v>
          </cell>
        </row>
        <row r="35">
          <cell r="B35" t="str">
            <v>برشی نیوفیس C&amp;C</v>
          </cell>
          <cell r="C35" t="str">
            <v>قالب نو</v>
          </cell>
          <cell r="AF35">
            <v>2</v>
          </cell>
        </row>
        <row r="36">
          <cell r="B36" t="str">
            <v>برشی نیوفیس C&amp;C</v>
          </cell>
          <cell r="C36" t="str">
            <v>قالب نو</v>
          </cell>
          <cell r="AF36">
            <v>3</v>
          </cell>
        </row>
        <row r="37">
          <cell r="B37" t="str">
            <v>قالب پخت کلاچ</v>
          </cell>
          <cell r="C37" t="str">
            <v>قالب تعمیری</v>
          </cell>
          <cell r="AF37">
            <v>4.5</v>
          </cell>
        </row>
        <row r="38">
          <cell r="B38" t="str">
            <v>پخت کلاچ ایسوزو</v>
          </cell>
          <cell r="C38" t="str">
            <v>قالب تعمیری</v>
          </cell>
          <cell r="AF38">
            <v>3.5</v>
          </cell>
        </row>
        <row r="39">
          <cell r="B39" t="str">
            <v>قالب پخت کلاچ</v>
          </cell>
          <cell r="C39" t="str">
            <v>قالب تعمیری</v>
          </cell>
          <cell r="AF39">
            <v>3</v>
          </cell>
        </row>
        <row r="40">
          <cell r="B40" t="str">
            <v>قالب پخت کلاچ</v>
          </cell>
          <cell r="C40" t="str">
            <v>قالب تعمیری</v>
          </cell>
          <cell r="AF40">
            <v>3.5</v>
          </cell>
        </row>
        <row r="41">
          <cell r="B41" t="str">
            <v>قالب پخت کلاچ</v>
          </cell>
          <cell r="C41" t="str">
            <v>قالب تعمیری</v>
          </cell>
          <cell r="AF41">
            <v>4.5</v>
          </cell>
        </row>
        <row r="42">
          <cell r="B42" t="str">
            <v>قالب پخت کلاچ</v>
          </cell>
          <cell r="C42" t="str">
            <v>قالب تعمیری</v>
          </cell>
          <cell r="AF42">
            <v>3</v>
          </cell>
        </row>
        <row r="43">
          <cell r="B43" t="str">
            <v>اصول 5S</v>
          </cell>
          <cell r="C43" t="str">
            <v>نظافت</v>
          </cell>
          <cell r="AF43">
            <v>4</v>
          </cell>
        </row>
        <row r="44">
          <cell r="B44" t="str">
            <v>نوار نقاله</v>
          </cell>
          <cell r="C44" t="str">
            <v>قطعه نو</v>
          </cell>
          <cell r="AF44">
            <v>1</v>
          </cell>
        </row>
        <row r="45">
          <cell r="B45" t="str">
            <v>نوار نقاله</v>
          </cell>
          <cell r="C45" t="str">
            <v>قطعه نو</v>
          </cell>
          <cell r="AF45">
            <v>1</v>
          </cell>
        </row>
        <row r="46">
          <cell r="B46" t="str">
            <v>پخت عقب پژو 405 شمشی پایه کوتاه</v>
          </cell>
          <cell r="C46" t="str">
            <v>قالب نو</v>
          </cell>
          <cell r="AF46">
            <v>5</v>
          </cell>
        </row>
        <row r="47">
          <cell r="B47" t="str">
            <v>اصول 5S</v>
          </cell>
          <cell r="C47" t="str">
            <v>نظافت</v>
          </cell>
          <cell r="AF47">
            <v>3</v>
          </cell>
        </row>
        <row r="48">
          <cell r="B48" t="str">
            <v>قالب عقب F12</v>
          </cell>
          <cell r="C48" t="str">
            <v>قالب نو</v>
          </cell>
          <cell r="AF48">
            <v>3</v>
          </cell>
        </row>
        <row r="49">
          <cell r="B49" t="str">
            <v>برشی نیوفیس C&amp;C</v>
          </cell>
          <cell r="C49" t="str">
            <v>قالب نو</v>
          </cell>
          <cell r="AF49">
            <v>2</v>
          </cell>
        </row>
        <row r="50">
          <cell r="B50" t="str">
            <v>دستگاه پرس پخت</v>
          </cell>
          <cell r="C50" t="str">
            <v>قطعه تعمیری</v>
          </cell>
          <cell r="AF50">
            <v>3</v>
          </cell>
        </row>
        <row r="51">
          <cell r="B51" t="str">
            <v>کلمپ زنی</v>
          </cell>
          <cell r="C51" t="str">
            <v>قطعه تعمیری</v>
          </cell>
          <cell r="AF51">
            <v>10</v>
          </cell>
        </row>
        <row r="52">
          <cell r="B52" t="str">
            <v>قالب پخت کلاچ پژو 405</v>
          </cell>
          <cell r="C52" t="str">
            <v>قالب تعمیری</v>
          </cell>
          <cell r="AF52">
            <v>0.5</v>
          </cell>
        </row>
        <row r="53">
          <cell r="B53" t="str">
            <v>شمش پراید</v>
          </cell>
          <cell r="C53" t="str">
            <v>قالب نو</v>
          </cell>
          <cell r="AF53">
            <v>10</v>
          </cell>
        </row>
        <row r="54">
          <cell r="B54" t="str">
            <v>کلمپ زنی</v>
          </cell>
          <cell r="C54" t="str">
            <v>قطعه تعمیری</v>
          </cell>
          <cell r="AF54">
            <v>1</v>
          </cell>
        </row>
        <row r="55">
          <cell r="B55" t="str">
            <v>آسانسور</v>
          </cell>
          <cell r="C55" t="str">
            <v>قطعه تعمیری</v>
          </cell>
          <cell r="AF55">
            <v>3</v>
          </cell>
        </row>
        <row r="56">
          <cell r="B56" t="str">
            <v>پین عقب پژو 405</v>
          </cell>
          <cell r="C56" t="str">
            <v>قطعه نو</v>
          </cell>
          <cell r="AF56">
            <v>2</v>
          </cell>
        </row>
        <row r="57">
          <cell r="B57" t="str">
            <v>جلو ساب دیسکی</v>
          </cell>
          <cell r="C57" t="str">
            <v>قطعه نو</v>
          </cell>
          <cell r="AF57">
            <v>3</v>
          </cell>
        </row>
        <row r="58">
          <cell r="B58" t="str">
            <v>پخت کلاچ ایسوزو</v>
          </cell>
          <cell r="C58" t="str">
            <v>قالب تعمیری</v>
          </cell>
          <cell r="AF58">
            <v>1</v>
          </cell>
        </row>
        <row r="59">
          <cell r="B59" t="str">
            <v>شمش پراید</v>
          </cell>
          <cell r="C59" t="str">
            <v>قالب نو</v>
          </cell>
          <cell r="AF59">
            <v>8</v>
          </cell>
        </row>
        <row r="60">
          <cell r="B60" t="str">
            <v>قالب پخت کلاچ</v>
          </cell>
          <cell r="C60" t="str">
            <v>قالب تعمیری</v>
          </cell>
          <cell r="AF60">
            <v>7</v>
          </cell>
        </row>
        <row r="61">
          <cell r="B61" t="str">
            <v>قالب شمشی عقب پیکان</v>
          </cell>
          <cell r="C61" t="str">
            <v>قالب نو</v>
          </cell>
          <cell r="AF61">
            <v>2</v>
          </cell>
        </row>
        <row r="62">
          <cell r="B62" t="str">
            <v>قالب پخت کلاچ</v>
          </cell>
          <cell r="C62" t="str">
            <v>قالب تعمیری</v>
          </cell>
          <cell r="AF62">
            <v>6</v>
          </cell>
        </row>
        <row r="63">
          <cell r="B63" t="str">
            <v>قالب شمشی عقب پیکان</v>
          </cell>
          <cell r="C63" t="str">
            <v>قالب نو</v>
          </cell>
          <cell r="AF63">
            <v>2</v>
          </cell>
        </row>
        <row r="64">
          <cell r="B64" t="str">
            <v>برشی نیوفیس C&amp;C</v>
          </cell>
          <cell r="C64" t="str">
            <v>قالب نو</v>
          </cell>
          <cell r="AF64">
            <v>1</v>
          </cell>
        </row>
        <row r="65">
          <cell r="B65" t="str">
            <v>برشی نیوفیس C&amp;C</v>
          </cell>
          <cell r="C65" t="str">
            <v>قالب نو</v>
          </cell>
          <cell r="AF65">
            <v>2</v>
          </cell>
        </row>
        <row r="66">
          <cell r="B66" t="str">
            <v>قالب پخت کلاچ</v>
          </cell>
          <cell r="C66" t="str">
            <v>قالب تعمیری</v>
          </cell>
          <cell r="AF66">
            <v>4.5</v>
          </cell>
        </row>
        <row r="67">
          <cell r="B67" t="str">
            <v>قالب پخت کلاچ</v>
          </cell>
          <cell r="C67" t="str">
            <v>قالب تعمیری</v>
          </cell>
          <cell r="AF67">
            <v>4.5</v>
          </cell>
        </row>
        <row r="68">
          <cell r="B68" t="str">
            <v>پشم فلز آلمانی</v>
          </cell>
          <cell r="C68" t="str">
            <v>قطعه نو</v>
          </cell>
          <cell r="AF68">
            <v>1</v>
          </cell>
        </row>
        <row r="69">
          <cell r="B69" t="str">
            <v>پشم فلز آلمانی</v>
          </cell>
          <cell r="C69" t="str">
            <v>قطعه نو</v>
          </cell>
          <cell r="AF69">
            <v>2.5</v>
          </cell>
        </row>
        <row r="70">
          <cell r="B70" t="str">
            <v>جلو ساب دیسکی</v>
          </cell>
          <cell r="C70" t="str">
            <v>قطعه نو</v>
          </cell>
          <cell r="AF70">
            <v>1</v>
          </cell>
        </row>
        <row r="71">
          <cell r="B71" t="str">
            <v>پخت عقب پژو 405 شمشی پایه کوتاه</v>
          </cell>
          <cell r="C71" t="str">
            <v>قالب نو</v>
          </cell>
          <cell r="AF71">
            <v>4.5</v>
          </cell>
        </row>
        <row r="72">
          <cell r="B72" t="str">
            <v>قالب پخت کلاچ</v>
          </cell>
          <cell r="C72" t="str">
            <v>قالب تعمیری</v>
          </cell>
          <cell r="AF72">
            <v>2</v>
          </cell>
        </row>
        <row r="73">
          <cell r="B73" t="str">
            <v>قالب پخت کلاچ</v>
          </cell>
          <cell r="C73" t="str">
            <v>قالب تعمیری</v>
          </cell>
          <cell r="AF73">
            <v>11</v>
          </cell>
        </row>
        <row r="74">
          <cell r="B74" t="str">
            <v>قالب پخت کلاچ</v>
          </cell>
          <cell r="C74" t="str">
            <v>قالب تعمیری</v>
          </cell>
          <cell r="AF74">
            <v>11</v>
          </cell>
        </row>
        <row r="75">
          <cell r="B75" t="str">
            <v>قالب پخت کلاچ</v>
          </cell>
          <cell r="C75" t="str">
            <v>قالب تعمیری</v>
          </cell>
          <cell r="AF75">
            <v>6.5</v>
          </cell>
        </row>
        <row r="76">
          <cell r="B76" t="str">
            <v>قالب پخت کلاچ</v>
          </cell>
          <cell r="C76" t="str">
            <v>قالب تعمیری</v>
          </cell>
          <cell r="AF76">
            <v>6.5</v>
          </cell>
        </row>
        <row r="77">
          <cell r="B77" t="str">
            <v xml:space="preserve">قالب پخت کلاچ پیکان </v>
          </cell>
          <cell r="C77" t="str">
            <v>قالب تعمیری</v>
          </cell>
          <cell r="AF77">
            <v>4</v>
          </cell>
        </row>
        <row r="78">
          <cell r="B78" t="str">
            <v>جلو ساب دیسکی</v>
          </cell>
          <cell r="C78" t="str">
            <v>قطعه نو</v>
          </cell>
          <cell r="AF78">
            <v>4</v>
          </cell>
        </row>
        <row r="79">
          <cell r="B79" t="str">
            <v>جلو ساب دیسکی</v>
          </cell>
          <cell r="C79" t="str">
            <v>قطعه نو</v>
          </cell>
          <cell r="AF79">
            <v>2</v>
          </cell>
        </row>
        <row r="80">
          <cell r="B80" t="str">
            <v>سری نقطه جوش</v>
          </cell>
          <cell r="C80" t="str">
            <v>قطعه تعمیری</v>
          </cell>
          <cell r="AF80">
            <v>1</v>
          </cell>
        </row>
        <row r="81">
          <cell r="B81" t="str">
            <v>آسانسور</v>
          </cell>
          <cell r="C81" t="str">
            <v>قطعه نو</v>
          </cell>
          <cell r="AF81">
            <v>3</v>
          </cell>
        </row>
        <row r="82">
          <cell r="B82" t="str">
            <v>آسانسور</v>
          </cell>
          <cell r="C82" t="str">
            <v>قطعه تعمیری</v>
          </cell>
          <cell r="AF82">
            <v>2</v>
          </cell>
        </row>
        <row r="83">
          <cell r="B83" t="str">
            <v>پشم فلز آلمانی</v>
          </cell>
          <cell r="C83" t="str">
            <v>قطعه تعمیری</v>
          </cell>
          <cell r="AF83">
            <v>4</v>
          </cell>
        </row>
        <row r="84">
          <cell r="B84" t="str">
            <v>پخت عقب پژو 405 شمشی پایه کوتاه</v>
          </cell>
          <cell r="C84" t="str">
            <v>قالب نو</v>
          </cell>
          <cell r="AF84">
            <v>0.5</v>
          </cell>
        </row>
        <row r="85">
          <cell r="B85" t="str">
            <v>شمش پراید</v>
          </cell>
          <cell r="C85" t="str">
            <v>قالب نو</v>
          </cell>
          <cell r="AF85">
            <v>0.5</v>
          </cell>
        </row>
        <row r="86">
          <cell r="B86" t="str">
            <v>ویوینگ</v>
          </cell>
          <cell r="C86" t="str">
            <v>قطعه تعمیری</v>
          </cell>
          <cell r="AF86">
            <v>2</v>
          </cell>
        </row>
        <row r="87">
          <cell r="B87" t="str">
            <v>جلو ساب دیسکی</v>
          </cell>
          <cell r="C87" t="str">
            <v>قطعه نو</v>
          </cell>
          <cell r="AF87">
            <v>5</v>
          </cell>
        </row>
        <row r="88">
          <cell r="B88" t="str">
            <v>جلو ساب دیسکی</v>
          </cell>
          <cell r="C88" t="str">
            <v>قطعه نو</v>
          </cell>
          <cell r="AF88">
            <v>2</v>
          </cell>
        </row>
        <row r="89">
          <cell r="B89" t="str">
            <v>پشم فلز آلمانی</v>
          </cell>
          <cell r="C89" t="str">
            <v>قطعه نو</v>
          </cell>
          <cell r="AF89">
            <v>1</v>
          </cell>
        </row>
        <row r="90">
          <cell r="B90" t="str">
            <v>پشم فلز آلمانی</v>
          </cell>
          <cell r="C90" t="str">
            <v>قطعه نو</v>
          </cell>
          <cell r="AF90">
            <v>5</v>
          </cell>
        </row>
        <row r="91">
          <cell r="B91" t="str">
            <v>ساب کف گرگی</v>
          </cell>
          <cell r="C91" t="str">
            <v>قطعه نو</v>
          </cell>
          <cell r="AF91">
            <v>3</v>
          </cell>
        </row>
        <row r="92">
          <cell r="B92" t="str">
            <v>پرچ زنی</v>
          </cell>
          <cell r="C92" t="str">
            <v>قطعه تعمیری</v>
          </cell>
          <cell r="AF92">
            <v>3</v>
          </cell>
        </row>
        <row r="93">
          <cell r="B93" t="str">
            <v>قالب شمشی عقب پیکان</v>
          </cell>
          <cell r="C93" t="str">
            <v>قالب نو</v>
          </cell>
          <cell r="AF93">
            <v>11</v>
          </cell>
        </row>
        <row r="94">
          <cell r="B94" t="str">
            <v>نگهدارنده پلاک قالب</v>
          </cell>
          <cell r="C94" t="str">
            <v>قطعه نو</v>
          </cell>
          <cell r="AF94">
            <v>11</v>
          </cell>
        </row>
        <row r="95">
          <cell r="B95" t="str">
            <v>فوتون 107</v>
          </cell>
          <cell r="C95" t="str">
            <v>قالب تعمیری</v>
          </cell>
          <cell r="AF95">
            <v>11</v>
          </cell>
        </row>
        <row r="96">
          <cell r="B96" t="str">
            <v>پخت کلاچ پژو 206 TU5</v>
          </cell>
          <cell r="C96" t="str">
            <v>قالب تعمیری</v>
          </cell>
          <cell r="AF96">
            <v>11</v>
          </cell>
        </row>
        <row r="97">
          <cell r="B97" t="str">
            <v>پخت کلاچ لندکروز</v>
          </cell>
          <cell r="C97" t="str">
            <v>قالب تعمیری</v>
          </cell>
          <cell r="AF97">
            <v>1.5</v>
          </cell>
        </row>
        <row r="98">
          <cell r="B98" t="str">
            <v>پخت کلاچ لندکروز</v>
          </cell>
          <cell r="C98" t="str">
            <v>قالب تعمیری</v>
          </cell>
          <cell r="AF98">
            <v>5.5</v>
          </cell>
        </row>
        <row r="99">
          <cell r="B99" t="str">
            <v>جلو سمند سورن</v>
          </cell>
          <cell r="C99" t="str">
            <v>قالب تعمیری</v>
          </cell>
          <cell r="AF99">
            <v>11</v>
          </cell>
        </row>
        <row r="100">
          <cell r="B100" t="str">
            <v>جلو سمند سورن</v>
          </cell>
          <cell r="C100" t="str">
            <v>قالب تعمیری</v>
          </cell>
          <cell r="AF100">
            <v>11</v>
          </cell>
        </row>
        <row r="101">
          <cell r="B101" t="str">
            <v>پخت کلاچ تیبا چپ</v>
          </cell>
          <cell r="C101" t="str">
            <v>قالب نو</v>
          </cell>
          <cell r="AF101">
            <v>11</v>
          </cell>
        </row>
        <row r="102">
          <cell r="B102" t="str">
            <v>پخت کلاچ تیبا چپ</v>
          </cell>
          <cell r="C102" t="str">
            <v>قالب نو</v>
          </cell>
          <cell r="AF102">
            <v>11</v>
          </cell>
        </row>
        <row r="103">
          <cell r="B103" t="str">
            <v>پخت کلاچ پژو 206 TU5</v>
          </cell>
          <cell r="C103" t="str">
            <v>قالب تعمیری</v>
          </cell>
          <cell r="AF103">
            <v>11</v>
          </cell>
        </row>
        <row r="104">
          <cell r="B104" t="str">
            <v>قالب شمشی عقب پیکان</v>
          </cell>
          <cell r="C104" t="str">
            <v>قالب نو</v>
          </cell>
          <cell r="AF104">
            <v>11</v>
          </cell>
        </row>
        <row r="105">
          <cell r="B105" t="str">
            <v>قالب شمشی عقب پیکان</v>
          </cell>
          <cell r="C105" t="str">
            <v>قالب نو</v>
          </cell>
          <cell r="AF105">
            <v>11</v>
          </cell>
        </row>
        <row r="106">
          <cell r="B106" t="str">
            <v>قالب پخت کلاچ</v>
          </cell>
          <cell r="C106" t="str">
            <v>قالب تعمیری</v>
          </cell>
          <cell r="AF106">
            <v>3.5</v>
          </cell>
        </row>
        <row r="107">
          <cell r="B107" t="str">
            <v>قالب پخت کلاچ</v>
          </cell>
          <cell r="C107" t="str">
            <v>قالب تعمیری</v>
          </cell>
          <cell r="AF107">
            <v>4</v>
          </cell>
        </row>
        <row r="108">
          <cell r="B108" t="str">
            <v>قالب پخت کلاچ</v>
          </cell>
          <cell r="C108" t="str">
            <v>قالب تعمیری</v>
          </cell>
          <cell r="AF108">
            <v>3.5</v>
          </cell>
        </row>
        <row r="109">
          <cell r="B109" t="str">
            <v>قالب پخت کلاچ</v>
          </cell>
          <cell r="C109" t="str">
            <v>قالب تعمیری</v>
          </cell>
          <cell r="AF109">
            <v>4</v>
          </cell>
        </row>
        <row r="110">
          <cell r="B110" t="str">
            <v>لنت ترمز دیسكی جلو دیما(خم)</v>
          </cell>
          <cell r="C110" t="str">
            <v>قالب تعمیری</v>
          </cell>
          <cell r="AF110">
            <v>1</v>
          </cell>
        </row>
        <row r="111">
          <cell r="B111" t="str">
            <v>لنت ترمز دیسكی جلو دیما(خم)</v>
          </cell>
          <cell r="C111" t="str">
            <v>قالب تعمیری</v>
          </cell>
          <cell r="AF111">
            <v>1</v>
          </cell>
        </row>
        <row r="112">
          <cell r="B112" t="str">
            <v>جلو سمند سورن</v>
          </cell>
          <cell r="C112" t="str">
            <v>قالب تعمیری</v>
          </cell>
          <cell r="AF112">
            <v>5</v>
          </cell>
        </row>
        <row r="113">
          <cell r="B113" t="str">
            <v>لنت صنعتی</v>
          </cell>
          <cell r="C113" t="str">
            <v>قطعه تعمیری</v>
          </cell>
          <cell r="AF113">
            <v>1</v>
          </cell>
        </row>
        <row r="114">
          <cell r="B114" t="str">
            <v>شمش پراید</v>
          </cell>
          <cell r="C114" t="str">
            <v>قالب نو</v>
          </cell>
          <cell r="AF114">
            <v>3</v>
          </cell>
        </row>
        <row r="115">
          <cell r="B115" t="str">
            <v>پخت عقب پژو 405 شمشی پایه کوتاه</v>
          </cell>
          <cell r="C115" t="str">
            <v>قالب نو</v>
          </cell>
          <cell r="AF115">
            <v>1</v>
          </cell>
        </row>
        <row r="116">
          <cell r="B116" t="str">
            <v>قالب پخت کلاچ</v>
          </cell>
          <cell r="C116" t="str">
            <v>قالب تعمیری</v>
          </cell>
          <cell r="AF116">
            <v>6.5</v>
          </cell>
        </row>
        <row r="117">
          <cell r="B117" t="str">
            <v>سری نقطه جوش</v>
          </cell>
          <cell r="C117" t="str">
            <v>قطعه تعمیری</v>
          </cell>
          <cell r="AF117">
            <v>1.5</v>
          </cell>
        </row>
        <row r="118">
          <cell r="B118" t="str">
            <v>ساب کف گرگی</v>
          </cell>
          <cell r="C118" t="str">
            <v>قطعه نو</v>
          </cell>
          <cell r="AF118">
            <v>9.5</v>
          </cell>
        </row>
        <row r="119">
          <cell r="B119" t="str">
            <v>پخت کلاچ لندکروز</v>
          </cell>
          <cell r="C119" t="str">
            <v>قالب تعمیری</v>
          </cell>
          <cell r="AF119">
            <v>4.5</v>
          </cell>
        </row>
        <row r="120">
          <cell r="B120" t="str">
            <v>فوتون 107</v>
          </cell>
          <cell r="C120" t="str">
            <v>قالب تعمیری</v>
          </cell>
          <cell r="AF120">
            <v>6.5</v>
          </cell>
        </row>
        <row r="121">
          <cell r="B121" t="str">
            <v>جلو سمند سورن</v>
          </cell>
          <cell r="C121" t="str">
            <v>قالب تعمیری</v>
          </cell>
          <cell r="AF121">
            <v>2.5</v>
          </cell>
        </row>
        <row r="122">
          <cell r="B122" t="str">
            <v>قالب پخت کلاچ پژو 405</v>
          </cell>
          <cell r="C122" t="str">
            <v>قالب تعمیری</v>
          </cell>
          <cell r="AF122">
            <v>8.5</v>
          </cell>
        </row>
        <row r="123">
          <cell r="B123" t="str">
            <v>قالب پخت کلاچ</v>
          </cell>
          <cell r="C123" t="str">
            <v>قالب تعمیری</v>
          </cell>
          <cell r="AF123">
            <v>11</v>
          </cell>
        </row>
        <row r="124">
          <cell r="B124" t="str">
            <v>قالب پخت کلاچ</v>
          </cell>
          <cell r="C124" t="str">
            <v>قالب تعمیری</v>
          </cell>
          <cell r="AF124">
            <v>11</v>
          </cell>
        </row>
        <row r="125">
          <cell r="B125" t="str">
            <v>قالب پخت کلاچ</v>
          </cell>
          <cell r="C125" t="str">
            <v>قالب تعمیری</v>
          </cell>
          <cell r="AF125">
            <v>6.5</v>
          </cell>
        </row>
        <row r="126">
          <cell r="B126" t="str">
            <v>قالب پخت کلاچ</v>
          </cell>
          <cell r="C126" t="str">
            <v>قالب تعمیری</v>
          </cell>
          <cell r="AF126">
            <v>5.5</v>
          </cell>
        </row>
        <row r="127">
          <cell r="B127" t="str">
            <v>جلو سمند سورن</v>
          </cell>
          <cell r="C127" t="str">
            <v>قالب تعمیری</v>
          </cell>
          <cell r="AF127">
            <v>5.5</v>
          </cell>
        </row>
        <row r="128">
          <cell r="B128" t="str">
            <v>برشی نیوفیس C&amp;C</v>
          </cell>
          <cell r="C128" t="str">
            <v>قالب نو</v>
          </cell>
          <cell r="AF128">
            <v>3</v>
          </cell>
        </row>
        <row r="129">
          <cell r="B129" t="str">
            <v>فوتون 107</v>
          </cell>
          <cell r="C129" t="str">
            <v>قالب تعمیری</v>
          </cell>
          <cell r="AF129">
            <v>12</v>
          </cell>
        </row>
        <row r="130">
          <cell r="B130" t="str">
            <v>برشی نیوفیس C&amp;C</v>
          </cell>
          <cell r="C130" t="str">
            <v>قالب نو</v>
          </cell>
          <cell r="AF130">
            <v>11</v>
          </cell>
        </row>
        <row r="131">
          <cell r="B131" t="str">
            <v>قالب شمشی عقب پیکان</v>
          </cell>
          <cell r="C131" t="str">
            <v>قالب نو</v>
          </cell>
          <cell r="AF131">
            <v>7</v>
          </cell>
        </row>
        <row r="132">
          <cell r="B132" t="str">
            <v>برشی نیوفیس C&amp;C</v>
          </cell>
          <cell r="C132" t="str">
            <v>قالب نو</v>
          </cell>
          <cell r="AF132">
            <v>9</v>
          </cell>
        </row>
        <row r="133">
          <cell r="B133" t="str">
            <v>قالب شمشی عقب پیکان</v>
          </cell>
          <cell r="C133" t="str">
            <v>قالب نو</v>
          </cell>
          <cell r="AF133">
            <v>6</v>
          </cell>
        </row>
        <row r="134">
          <cell r="B134" t="str">
            <v>فوتون 107</v>
          </cell>
          <cell r="C134" t="str">
            <v>قالب تعمیری</v>
          </cell>
          <cell r="AF134">
            <v>9</v>
          </cell>
        </row>
        <row r="135">
          <cell r="B135" t="str">
            <v>شمش پراید</v>
          </cell>
          <cell r="C135" t="str">
            <v>قالب نو</v>
          </cell>
          <cell r="AF135">
            <v>2</v>
          </cell>
        </row>
        <row r="136">
          <cell r="B136" t="str">
            <v>شمش پراید</v>
          </cell>
          <cell r="C136" t="str">
            <v>قالب نو</v>
          </cell>
          <cell r="AF136">
            <v>3</v>
          </cell>
        </row>
        <row r="137">
          <cell r="B137" t="str">
            <v>قالب پخت کلاچ پژو 405</v>
          </cell>
          <cell r="C137" t="str">
            <v>قالب تعمیری</v>
          </cell>
          <cell r="AF137">
            <v>11</v>
          </cell>
        </row>
        <row r="138">
          <cell r="B138" t="str">
            <v>قالب شمشی عقب پیکان</v>
          </cell>
          <cell r="C138" t="str">
            <v>قالب نو</v>
          </cell>
          <cell r="AF138">
            <v>11</v>
          </cell>
        </row>
        <row r="139">
          <cell r="B139" t="str">
            <v>فوتون 107</v>
          </cell>
          <cell r="C139" t="str">
            <v>قالب تعمیری</v>
          </cell>
          <cell r="AF139">
            <v>5.5</v>
          </cell>
        </row>
        <row r="140">
          <cell r="B140" t="str">
            <v>فوتون 107</v>
          </cell>
          <cell r="C140" t="str">
            <v>قالب تعمیری</v>
          </cell>
          <cell r="AF140">
            <v>5.5</v>
          </cell>
        </row>
        <row r="141">
          <cell r="B141" t="str">
            <v>فوتون 107</v>
          </cell>
          <cell r="C141" t="str">
            <v>قالب تعمیری</v>
          </cell>
          <cell r="AF141">
            <v>6</v>
          </cell>
        </row>
        <row r="142">
          <cell r="B142" t="str">
            <v>قالب شمشی عقب پیکان</v>
          </cell>
          <cell r="C142" t="str">
            <v>قالب نو</v>
          </cell>
          <cell r="AF142">
            <v>4</v>
          </cell>
        </row>
        <row r="143">
          <cell r="B143" t="str">
            <v>قالب شمشی عقب پیکان</v>
          </cell>
          <cell r="C143" t="str">
            <v>قالب نو</v>
          </cell>
          <cell r="AF143">
            <v>1</v>
          </cell>
        </row>
        <row r="144">
          <cell r="B144" t="str">
            <v>سوراخکاری پیلسان</v>
          </cell>
          <cell r="C144" t="str">
            <v>قطعه نو</v>
          </cell>
          <cell r="AF144">
            <v>6.5</v>
          </cell>
        </row>
        <row r="145">
          <cell r="B145" t="str">
            <v>فوتون 107</v>
          </cell>
          <cell r="C145" t="str">
            <v>قالب تعمیری</v>
          </cell>
          <cell r="AF145">
            <v>4.5</v>
          </cell>
        </row>
        <row r="146">
          <cell r="B146" t="str">
            <v>شمش پراید</v>
          </cell>
          <cell r="C146" t="str">
            <v>قالب نو</v>
          </cell>
          <cell r="AF146">
            <v>3</v>
          </cell>
        </row>
        <row r="147">
          <cell r="B147" t="str">
            <v>فوتون 107</v>
          </cell>
          <cell r="C147" t="str">
            <v>قالب تعمیری</v>
          </cell>
          <cell r="AF147">
            <v>3</v>
          </cell>
        </row>
        <row r="148">
          <cell r="B148" t="str">
            <v>لودر دیسکی XGL 50</v>
          </cell>
          <cell r="C148" t="str">
            <v>قالب نو</v>
          </cell>
          <cell r="AF148">
            <v>2</v>
          </cell>
        </row>
        <row r="149">
          <cell r="B149" t="str">
            <v>دستگاه ساب الماسه</v>
          </cell>
          <cell r="C149" t="str">
            <v>قطعه نو</v>
          </cell>
          <cell r="AF149">
            <v>1</v>
          </cell>
        </row>
        <row r="150">
          <cell r="B150" t="str">
            <v>دستگاه ساب الماسه</v>
          </cell>
          <cell r="C150" t="str">
            <v>قطعه نو</v>
          </cell>
          <cell r="AF150">
            <v>1</v>
          </cell>
        </row>
        <row r="151">
          <cell r="B151" t="str">
            <v>فوتون 107</v>
          </cell>
          <cell r="C151" t="str">
            <v>قالب تعمیری</v>
          </cell>
          <cell r="AF151">
            <v>2</v>
          </cell>
        </row>
        <row r="152">
          <cell r="B152" t="str">
            <v>قالب مترو مشهد</v>
          </cell>
          <cell r="C152" t="str">
            <v>قالب تعمیری</v>
          </cell>
          <cell r="AF152">
            <v>3</v>
          </cell>
        </row>
        <row r="153">
          <cell r="B153" t="str">
            <v>پخت کلاچ 309 سوراخدار</v>
          </cell>
          <cell r="C153" t="str">
            <v>قالب تعمیری</v>
          </cell>
          <cell r="AF153">
            <v>2</v>
          </cell>
        </row>
        <row r="154">
          <cell r="B154" t="str">
            <v>شمش پراید</v>
          </cell>
          <cell r="C154" t="str">
            <v>قالب نو</v>
          </cell>
          <cell r="AF154">
            <v>3</v>
          </cell>
        </row>
        <row r="155">
          <cell r="B155" t="str">
            <v>قالب مترو مشهد</v>
          </cell>
          <cell r="C155" t="str">
            <v>قالب تعمیری</v>
          </cell>
          <cell r="AF155">
            <v>3</v>
          </cell>
        </row>
        <row r="156">
          <cell r="B156" t="str">
            <v>جلو سمند سورن</v>
          </cell>
          <cell r="C156" t="str">
            <v>قالب تعمیری</v>
          </cell>
          <cell r="AF156">
            <v>2</v>
          </cell>
        </row>
        <row r="157">
          <cell r="B157" t="str">
            <v>پخت کلاچ 309 سوراخدار</v>
          </cell>
          <cell r="C157" t="str">
            <v>قالب تعمیری</v>
          </cell>
          <cell r="AF157">
            <v>3</v>
          </cell>
        </row>
        <row r="158">
          <cell r="B158" t="str">
            <v>دستگاه ساب الماسه</v>
          </cell>
          <cell r="C158" t="str">
            <v>قطعه نو</v>
          </cell>
          <cell r="AF158">
            <v>1</v>
          </cell>
        </row>
        <row r="159">
          <cell r="B159" t="str">
            <v>فوتون 107</v>
          </cell>
          <cell r="C159" t="str">
            <v>قالب تعمیری</v>
          </cell>
          <cell r="AF159">
            <v>2.5</v>
          </cell>
        </row>
        <row r="160">
          <cell r="B160" t="str">
            <v>لودر دیسکی XGL 50</v>
          </cell>
          <cell r="C160" t="str">
            <v>قالب نو</v>
          </cell>
          <cell r="AF160">
            <v>2</v>
          </cell>
        </row>
        <row r="161">
          <cell r="B161" t="str">
            <v>فوتون 107</v>
          </cell>
          <cell r="C161" t="str">
            <v>قالب تعمیری</v>
          </cell>
          <cell r="AF161">
            <v>6.5</v>
          </cell>
        </row>
        <row r="162">
          <cell r="B162" t="str">
            <v>قالب شمشی عقب پیکان</v>
          </cell>
          <cell r="C162" t="str">
            <v>قالب نو</v>
          </cell>
          <cell r="AF162">
            <v>11</v>
          </cell>
        </row>
        <row r="163">
          <cell r="B163" t="str">
            <v>قالب مترو مشهد</v>
          </cell>
          <cell r="C163" t="str">
            <v>قالب تعمیری</v>
          </cell>
          <cell r="AF163">
            <v>4.5</v>
          </cell>
        </row>
        <row r="164">
          <cell r="B164" t="str">
            <v>قالب مترو مشهد</v>
          </cell>
          <cell r="C164" t="str">
            <v>قالب تعمیری</v>
          </cell>
          <cell r="AF164">
            <v>6.5</v>
          </cell>
        </row>
        <row r="165">
          <cell r="B165" t="str">
            <v>قالب پخت کلاچ</v>
          </cell>
          <cell r="C165" t="str">
            <v>قالب تعمیری</v>
          </cell>
          <cell r="AF165">
            <v>6.5</v>
          </cell>
        </row>
        <row r="166">
          <cell r="B166" t="str">
            <v>دستگاه ساب الماسه</v>
          </cell>
          <cell r="C166" t="str">
            <v>قطعه نو</v>
          </cell>
          <cell r="AF166">
            <v>3.3333333333333335</v>
          </cell>
        </row>
        <row r="167">
          <cell r="B167" t="str">
            <v>پخت کلاچ 309 سوراخدار</v>
          </cell>
          <cell r="C167" t="str">
            <v>قالب تعمیری</v>
          </cell>
          <cell r="AF167">
            <v>4.083333333333333</v>
          </cell>
        </row>
        <row r="168">
          <cell r="B168" t="str">
            <v>دستگاه ساب الماسه</v>
          </cell>
          <cell r="C168" t="str">
            <v>قطعه نو</v>
          </cell>
          <cell r="AF168">
            <v>9</v>
          </cell>
        </row>
        <row r="169">
          <cell r="B169" t="str">
            <v>دستگاه کشش سیم مفتول</v>
          </cell>
          <cell r="C169" t="str">
            <v>قطعه نو</v>
          </cell>
          <cell r="AF169">
            <v>2</v>
          </cell>
        </row>
        <row r="170">
          <cell r="B170" t="str">
            <v>قالب 29162</v>
          </cell>
          <cell r="C170" t="str">
            <v>قالب تعمیری</v>
          </cell>
          <cell r="AF170">
            <v>8</v>
          </cell>
        </row>
        <row r="171">
          <cell r="B171" t="str">
            <v>برشی نیوفیس C&amp;C</v>
          </cell>
          <cell r="C171" t="str">
            <v>قالب نو</v>
          </cell>
          <cell r="AF171">
            <v>8</v>
          </cell>
        </row>
        <row r="172">
          <cell r="B172" t="str">
            <v>شمش پراید</v>
          </cell>
          <cell r="C172" t="str">
            <v>قالب نو</v>
          </cell>
          <cell r="AF172">
            <v>8</v>
          </cell>
        </row>
        <row r="173">
          <cell r="B173" t="str">
            <v>برشی نیوفیس C&amp;C</v>
          </cell>
          <cell r="C173" t="str">
            <v>قالب نو</v>
          </cell>
          <cell r="AF173">
            <v>12</v>
          </cell>
        </row>
        <row r="174">
          <cell r="B174" t="str">
            <v>قطعه بیرونی</v>
          </cell>
          <cell r="C174" t="str">
            <v>قطعه تعمیری</v>
          </cell>
          <cell r="AF174">
            <v>4</v>
          </cell>
        </row>
        <row r="175">
          <cell r="B175" t="str">
            <v>پخت عقب پژو 405 شمشی پایه کوتاه</v>
          </cell>
          <cell r="C175" t="str">
            <v>قالب نو</v>
          </cell>
          <cell r="AF175">
            <v>3</v>
          </cell>
        </row>
        <row r="176">
          <cell r="B176" t="str">
            <v>پخت کلاچ 309 سوراخدار</v>
          </cell>
          <cell r="C176" t="str">
            <v>قالب تعمیری</v>
          </cell>
          <cell r="AF176">
            <v>4</v>
          </cell>
        </row>
        <row r="177">
          <cell r="B177" t="str">
            <v>دستگاه کشش سیم مفتول</v>
          </cell>
          <cell r="C177" t="str">
            <v>قطعه نو</v>
          </cell>
          <cell r="AF177">
            <v>0.5</v>
          </cell>
        </row>
        <row r="178">
          <cell r="B178" t="str">
            <v>پخت کلاچ 309 سوراخدار</v>
          </cell>
          <cell r="C178" t="str">
            <v>قالب تعمیری</v>
          </cell>
          <cell r="AF178">
            <v>1</v>
          </cell>
        </row>
        <row r="179">
          <cell r="B179" t="str">
            <v>لنت صنعتی</v>
          </cell>
          <cell r="C179" t="str">
            <v>قطعه تعمیری</v>
          </cell>
          <cell r="AF179">
            <v>1</v>
          </cell>
        </row>
        <row r="180">
          <cell r="B180" t="str">
            <v>جلو سمند سورن</v>
          </cell>
          <cell r="C180" t="str">
            <v>قالب تعمیری</v>
          </cell>
          <cell r="AF180">
            <v>4</v>
          </cell>
        </row>
        <row r="181">
          <cell r="B181" t="str">
            <v>لنت صنعتی</v>
          </cell>
          <cell r="C181" t="str">
            <v>قطعه تعمیری</v>
          </cell>
          <cell r="AF181">
            <v>1</v>
          </cell>
        </row>
        <row r="182">
          <cell r="B182" t="str">
            <v>قالب مترو مشهد</v>
          </cell>
          <cell r="C182" t="str">
            <v>قالب تعمیری</v>
          </cell>
          <cell r="AF182">
            <v>4</v>
          </cell>
        </row>
        <row r="183">
          <cell r="B183" t="str">
            <v>پخت کلاچ 309 سوراخدار</v>
          </cell>
          <cell r="C183" t="str">
            <v>قالب تعمیری</v>
          </cell>
          <cell r="AF183">
            <v>1</v>
          </cell>
        </row>
        <row r="184">
          <cell r="B184" t="str">
            <v>قالب مترو مشهد</v>
          </cell>
          <cell r="C184" t="str">
            <v>قالب تعمیری</v>
          </cell>
          <cell r="AF184">
            <v>1</v>
          </cell>
        </row>
        <row r="185">
          <cell r="B185" t="str">
            <v>قالب پخت کلاچ</v>
          </cell>
          <cell r="C185" t="str">
            <v>قالب تعمیری</v>
          </cell>
          <cell r="AF185">
            <v>11</v>
          </cell>
        </row>
        <row r="186">
          <cell r="B186" t="str">
            <v>قالب شمشی عقب پیکان</v>
          </cell>
          <cell r="C186" t="str">
            <v>قالب نو</v>
          </cell>
          <cell r="AF186">
            <v>6.5</v>
          </cell>
        </row>
        <row r="187">
          <cell r="B187" t="str">
            <v>ساب ترابوزا</v>
          </cell>
          <cell r="C187" t="str">
            <v>قطعه نو</v>
          </cell>
          <cell r="AF187">
            <v>11</v>
          </cell>
        </row>
        <row r="188">
          <cell r="B188" t="str">
            <v>قالب شمشی عقب پیکان</v>
          </cell>
          <cell r="C188" t="str">
            <v>قالب نو</v>
          </cell>
          <cell r="AF188">
            <v>11</v>
          </cell>
        </row>
        <row r="189">
          <cell r="B189" t="str">
            <v>فوتون 107</v>
          </cell>
          <cell r="C189" t="str">
            <v>قالب تعمیری</v>
          </cell>
          <cell r="AF189">
            <v>2</v>
          </cell>
        </row>
        <row r="190">
          <cell r="B190" t="str">
            <v>برشی نیوفیس C&amp;C</v>
          </cell>
          <cell r="C190" t="str">
            <v>قالب نو</v>
          </cell>
          <cell r="AF190">
            <v>9</v>
          </cell>
        </row>
        <row r="191">
          <cell r="B191" t="str">
            <v>فوتون 107</v>
          </cell>
          <cell r="C191" t="str">
            <v>قالب تعمیری</v>
          </cell>
          <cell r="AF191">
            <v>2.5</v>
          </cell>
        </row>
        <row r="192">
          <cell r="B192" t="str">
            <v>پخت عقب پژو 405 شمشی پایه کوتاه</v>
          </cell>
          <cell r="C192" t="str">
            <v>قالب نو</v>
          </cell>
          <cell r="AF192">
            <v>4</v>
          </cell>
        </row>
        <row r="193">
          <cell r="B193" t="str">
            <v>قالب مینی بوس آریا</v>
          </cell>
          <cell r="C193" t="str">
            <v>قالب نو</v>
          </cell>
          <cell r="AF193">
            <v>4.5</v>
          </cell>
        </row>
        <row r="194">
          <cell r="B194" t="str">
            <v>ویوینگ</v>
          </cell>
          <cell r="C194" t="str">
            <v>قطعه تعمیری</v>
          </cell>
          <cell r="AF194">
            <v>4</v>
          </cell>
        </row>
        <row r="195">
          <cell r="B195" t="str">
            <v>دستگاه کشش سیم مفتول</v>
          </cell>
          <cell r="C195" t="str">
            <v>قطعه نو</v>
          </cell>
          <cell r="AF195">
            <v>4</v>
          </cell>
        </row>
        <row r="196">
          <cell r="B196" t="str">
            <v>جلو سمند سورن</v>
          </cell>
          <cell r="C196" t="str">
            <v>قالب تعمیری</v>
          </cell>
          <cell r="AF196">
            <v>2</v>
          </cell>
        </row>
        <row r="197">
          <cell r="B197" t="str">
            <v>قطعه بیرونی</v>
          </cell>
          <cell r="C197" t="str">
            <v>قطعه تعمیری</v>
          </cell>
          <cell r="AF197">
            <v>12</v>
          </cell>
        </row>
        <row r="198">
          <cell r="B198" t="str">
            <v>پخت کلاچ 309 سوراخدار</v>
          </cell>
          <cell r="C198" t="str">
            <v>قالب تعمیری</v>
          </cell>
          <cell r="AF198">
            <v>4</v>
          </cell>
        </row>
        <row r="199">
          <cell r="B199" t="str">
            <v>قالب پخت SAF</v>
          </cell>
          <cell r="C199" t="str">
            <v>قالب نو</v>
          </cell>
          <cell r="AF199">
            <v>12</v>
          </cell>
        </row>
        <row r="200">
          <cell r="B200" t="str">
            <v>جلو سمند سورن</v>
          </cell>
          <cell r="C200" t="str">
            <v>قالب تعمیری</v>
          </cell>
          <cell r="AF200">
            <v>3</v>
          </cell>
        </row>
        <row r="201">
          <cell r="B201" t="str">
            <v>پخت کلاچ 309 سوراخدار</v>
          </cell>
          <cell r="C201" t="str">
            <v>قالب تعمیری</v>
          </cell>
          <cell r="AF201">
            <v>2</v>
          </cell>
        </row>
        <row r="202">
          <cell r="B202" t="str">
            <v>سنگ مغناطیسی</v>
          </cell>
          <cell r="C202" t="str">
            <v>دستگاه تعمیری</v>
          </cell>
          <cell r="AF202">
            <v>2</v>
          </cell>
        </row>
        <row r="203">
          <cell r="B203" t="str">
            <v>فوتون 107</v>
          </cell>
          <cell r="C203" t="str">
            <v>قالب تعمیری</v>
          </cell>
          <cell r="AF203">
            <v>4</v>
          </cell>
        </row>
        <row r="204">
          <cell r="B204" t="str">
            <v>قالب مترو مشهد</v>
          </cell>
          <cell r="C204" t="str">
            <v>قالب تعمیری</v>
          </cell>
          <cell r="AF204">
            <v>3</v>
          </cell>
        </row>
        <row r="205">
          <cell r="B205" t="str">
            <v>پخت کلاچ پراید</v>
          </cell>
          <cell r="C205" t="str">
            <v>قالب تعمیری</v>
          </cell>
          <cell r="AF205">
            <v>3</v>
          </cell>
        </row>
        <row r="206">
          <cell r="B206" t="str">
            <v>کامیونت هیوندای</v>
          </cell>
          <cell r="C206" t="str">
            <v>قالب نو</v>
          </cell>
          <cell r="AF206">
            <v>6.5</v>
          </cell>
        </row>
        <row r="207">
          <cell r="B207" t="str">
            <v>خودرو دیزل آذربایجان</v>
          </cell>
          <cell r="C207" t="str">
            <v>قالب نو</v>
          </cell>
          <cell r="AF207">
            <v>11</v>
          </cell>
        </row>
        <row r="208">
          <cell r="B208" t="str">
            <v>کامیونت هیوندای</v>
          </cell>
          <cell r="C208" t="str">
            <v>قالب نو</v>
          </cell>
          <cell r="AF208">
            <v>5.5</v>
          </cell>
        </row>
        <row r="209">
          <cell r="B209" t="str">
            <v>قالب پخت کلاچ</v>
          </cell>
          <cell r="C209" t="str">
            <v>قالب تعمیری</v>
          </cell>
          <cell r="AF209">
            <v>5.5</v>
          </cell>
        </row>
        <row r="210">
          <cell r="B210" t="str">
            <v>قالب پخت کلاچ</v>
          </cell>
          <cell r="C210" t="str">
            <v>قالب تعمیری</v>
          </cell>
          <cell r="AF210">
            <v>11</v>
          </cell>
        </row>
        <row r="211">
          <cell r="B211" t="str">
            <v>قالب مینی بوس آریا</v>
          </cell>
          <cell r="C211" t="str">
            <v>قالب نو</v>
          </cell>
          <cell r="AF211">
            <v>3</v>
          </cell>
        </row>
        <row r="212">
          <cell r="B212" t="str">
            <v>قالب مینی بوس آریا</v>
          </cell>
          <cell r="C212" t="str">
            <v>قالب نو</v>
          </cell>
          <cell r="AF212">
            <v>8</v>
          </cell>
        </row>
        <row r="213">
          <cell r="B213" t="str">
            <v>کلمپ زنی</v>
          </cell>
          <cell r="C213" t="str">
            <v>قطعه تعمیری</v>
          </cell>
          <cell r="AF213">
            <v>4</v>
          </cell>
        </row>
        <row r="214">
          <cell r="B214" t="str">
            <v>ویوینگ</v>
          </cell>
          <cell r="C214" t="str">
            <v>قطعه تعمیری</v>
          </cell>
          <cell r="AF214">
            <v>2</v>
          </cell>
        </row>
        <row r="215">
          <cell r="B215" t="str">
            <v>ساب سمباده ای</v>
          </cell>
          <cell r="C215" t="str">
            <v>قطعه نو</v>
          </cell>
          <cell r="AF215">
            <v>3</v>
          </cell>
        </row>
        <row r="216">
          <cell r="B216" t="str">
            <v>برشی نیوفیس C&amp;C</v>
          </cell>
          <cell r="C216" t="str">
            <v>قالب نو</v>
          </cell>
          <cell r="AF216">
            <v>2.5</v>
          </cell>
        </row>
        <row r="217">
          <cell r="B217" t="str">
            <v>سوراخکاری پیلسان</v>
          </cell>
          <cell r="C217" t="str">
            <v>قطعه نو</v>
          </cell>
          <cell r="AF217">
            <v>2.5</v>
          </cell>
        </row>
        <row r="218">
          <cell r="B218" t="str">
            <v>دریل یزدخواستی کلاچ</v>
          </cell>
          <cell r="C218" t="str">
            <v>قطعه نو</v>
          </cell>
          <cell r="AF218">
            <v>3</v>
          </cell>
        </row>
        <row r="219">
          <cell r="B219" t="str">
            <v>لودر دیسکی XGL 50</v>
          </cell>
          <cell r="C219" t="str">
            <v>قالب نو</v>
          </cell>
          <cell r="AF219">
            <v>3</v>
          </cell>
        </row>
        <row r="220">
          <cell r="B220" t="str">
            <v>پخت کلاچ 309 سوراخدار</v>
          </cell>
          <cell r="C220" t="str">
            <v>قالب تعمیری</v>
          </cell>
          <cell r="AF220">
            <v>12</v>
          </cell>
        </row>
        <row r="221">
          <cell r="B221" t="str">
            <v>قالب پخت SAF</v>
          </cell>
          <cell r="C221" t="str">
            <v>قالب نو</v>
          </cell>
          <cell r="AF221">
            <v>12</v>
          </cell>
        </row>
        <row r="222">
          <cell r="B222" t="str">
            <v>قطعه بیرونی</v>
          </cell>
          <cell r="C222" t="str">
            <v>قطعه تعمیری</v>
          </cell>
          <cell r="AF222">
            <v>12</v>
          </cell>
        </row>
        <row r="223">
          <cell r="B223" t="str">
            <v>قالب مترو مشهد</v>
          </cell>
          <cell r="C223" t="str">
            <v>قالب تعمیری</v>
          </cell>
          <cell r="AF223">
            <v>2</v>
          </cell>
        </row>
        <row r="224">
          <cell r="B224" t="str">
            <v>پخت کلاچ هوو</v>
          </cell>
          <cell r="C224" t="str">
            <v>قالب تعمیری</v>
          </cell>
          <cell r="AF224">
            <v>4</v>
          </cell>
        </row>
        <row r="225">
          <cell r="B225" t="str">
            <v>برشی نیوفیس C&amp;C</v>
          </cell>
          <cell r="C225" t="str">
            <v>قالب نو</v>
          </cell>
          <cell r="AF225">
            <v>3</v>
          </cell>
        </row>
        <row r="226">
          <cell r="B226" t="str">
            <v>قالب شمشی عقب پیکان</v>
          </cell>
          <cell r="C226" t="str">
            <v>قالب نو</v>
          </cell>
          <cell r="AF226">
            <v>2</v>
          </cell>
        </row>
        <row r="227">
          <cell r="B227" t="str">
            <v>ویوینگ</v>
          </cell>
          <cell r="C227" t="str">
            <v>قطعه نو</v>
          </cell>
          <cell r="AF227">
            <v>3</v>
          </cell>
        </row>
        <row r="228">
          <cell r="B228" t="str">
            <v>ساب ترابوزا</v>
          </cell>
          <cell r="C228" t="str">
            <v>قطعه نو</v>
          </cell>
          <cell r="AF228">
            <v>3</v>
          </cell>
        </row>
        <row r="229">
          <cell r="B229" t="str">
            <v>پخت کلاچ ایسوزو</v>
          </cell>
          <cell r="C229" t="str">
            <v>قالب تعمیری</v>
          </cell>
          <cell r="AF229">
            <v>5</v>
          </cell>
        </row>
        <row r="230">
          <cell r="B230" t="str">
            <v>قالب پخت کلاچ</v>
          </cell>
          <cell r="C230" t="str">
            <v>قالب تعمیری</v>
          </cell>
          <cell r="AF230">
            <v>4</v>
          </cell>
        </row>
        <row r="231">
          <cell r="B231" t="str">
            <v>کامیونت هیوندای</v>
          </cell>
          <cell r="C231" t="str">
            <v>قالب نو</v>
          </cell>
          <cell r="AF231">
            <v>6</v>
          </cell>
        </row>
        <row r="232">
          <cell r="B232" t="str">
            <v>کامیونت هیوندای</v>
          </cell>
          <cell r="C232" t="str">
            <v>قالب نو</v>
          </cell>
          <cell r="AF232">
            <v>1</v>
          </cell>
        </row>
        <row r="233">
          <cell r="B233" t="str">
            <v>دریل یزدخواستی کلاچ</v>
          </cell>
          <cell r="C233" t="str">
            <v>قطعه نو</v>
          </cell>
          <cell r="AF233">
            <v>6.5</v>
          </cell>
        </row>
        <row r="234">
          <cell r="B234" t="str">
            <v xml:space="preserve">قالب پخت کلاچ پیکان </v>
          </cell>
          <cell r="C234" t="str">
            <v>قالب تعمیری</v>
          </cell>
          <cell r="AF234">
            <v>11</v>
          </cell>
        </row>
        <row r="235">
          <cell r="B235" t="str">
            <v>قالب پخت کلاچ</v>
          </cell>
          <cell r="C235" t="str">
            <v>قالب تعمیری</v>
          </cell>
          <cell r="AF235">
            <v>11</v>
          </cell>
        </row>
        <row r="236">
          <cell r="B236" t="str">
            <v>قالب مینی بوس آریا</v>
          </cell>
          <cell r="C236" t="str">
            <v>قالب نو</v>
          </cell>
          <cell r="AF236">
            <v>6.5</v>
          </cell>
        </row>
        <row r="237">
          <cell r="B237" t="str">
            <v>خودرو دیزل آذربایجان</v>
          </cell>
          <cell r="C237" t="str">
            <v>قالب نو</v>
          </cell>
          <cell r="AF237">
            <v>4.5</v>
          </cell>
        </row>
        <row r="238">
          <cell r="B238" t="str">
            <v>کامیونت هیوندای</v>
          </cell>
          <cell r="C238" t="str">
            <v>قالب نو</v>
          </cell>
          <cell r="AF238">
            <v>5</v>
          </cell>
        </row>
        <row r="239">
          <cell r="B239" t="str">
            <v>کامیونت هیوندای</v>
          </cell>
          <cell r="C239" t="str">
            <v>قالب نو</v>
          </cell>
          <cell r="AF239">
            <v>1.5</v>
          </cell>
        </row>
        <row r="240">
          <cell r="B240" t="str">
            <v>سنگ مغناطیسی</v>
          </cell>
          <cell r="C240" t="str">
            <v>دستگاه تعمیری</v>
          </cell>
          <cell r="AF240">
            <v>5.5</v>
          </cell>
        </row>
        <row r="241">
          <cell r="B241" t="str">
            <v>قالب پخت کلاچ</v>
          </cell>
          <cell r="C241" t="str">
            <v>قالب تعمیری</v>
          </cell>
          <cell r="AF241">
            <v>5.5</v>
          </cell>
        </row>
        <row r="242">
          <cell r="B242" t="str">
            <v>ساب سمباده ای</v>
          </cell>
          <cell r="C242" t="str">
            <v>قطعه نو</v>
          </cell>
          <cell r="AF242">
            <v>8</v>
          </cell>
        </row>
        <row r="243">
          <cell r="B243" t="str">
            <v>پخت عقب پژو 405 شمشی پایه کوتاه</v>
          </cell>
          <cell r="C243" t="str">
            <v>قالب نو</v>
          </cell>
          <cell r="AF243">
            <v>9</v>
          </cell>
        </row>
        <row r="244">
          <cell r="B244" t="str">
            <v>پخت کلاچ 309 سوراخدار</v>
          </cell>
          <cell r="C244" t="str">
            <v>قالب تعمیری</v>
          </cell>
          <cell r="AF244">
            <v>3</v>
          </cell>
        </row>
        <row r="245">
          <cell r="B245" t="str">
            <v>لودر دیسکی XGL 50</v>
          </cell>
          <cell r="C245" t="str">
            <v>قالب نو</v>
          </cell>
          <cell r="AF245">
            <v>9</v>
          </cell>
        </row>
        <row r="246">
          <cell r="B246" t="str">
            <v>کامیونت هیوندای</v>
          </cell>
          <cell r="C246" t="str">
            <v>قالب نو</v>
          </cell>
          <cell r="AF246">
            <v>6</v>
          </cell>
        </row>
        <row r="247">
          <cell r="B247" t="str">
            <v>قالب پخت SAF</v>
          </cell>
          <cell r="C247" t="str">
            <v>قالب نو</v>
          </cell>
          <cell r="AF247">
            <v>2</v>
          </cell>
        </row>
        <row r="248">
          <cell r="B248" t="str">
            <v>قالب پخت کلاچ</v>
          </cell>
          <cell r="C248" t="str">
            <v>قالب تعمیری</v>
          </cell>
          <cell r="AF248">
            <v>3</v>
          </cell>
        </row>
        <row r="249">
          <cell r="B249" t="str">
            <v>خودرو دیزل آذربایجان</v>
          </cell>
          <cell r="C249" t="str">
            <v>قالب نو</v>
          </cell>
          <cell r="AF249">
            <v>4</v>
          </cell>
        </row>
        <row r="250">
          <cell r="B250" t="str">
            <v>قالب مترو مشهد</v>
          </cell>
          <cell r="C250" t="str">
            <v>قالب تعمیری</v>
          </cell>
          <cell r="AF250">
            <v>2</v>
          </cell>
        </row>
        <row r="251">
          <cell r="B251" t="str">
            <v>سنگ مغناطیسی</v>
          </cell>
          <cell r="C251" t="str">
            <v>دستگاه تعمیری</v>
          </cell>
          <cell r="AF251">
            <v>2</v>
          </cell>
        </row>
        <row r="252">
          <cell r="B252" t="str">
            <v>ساب سمباده ای</v>
          </cell>
          <cell r="C252" t="str">
            <v>قطعه نو</v>
          </cell>
          <cell r="AF252">
            <v>4</v>
          </cell>
        </row>
        <row r="253">
          <cell r="B253" t="str">
            <v>ساب ترابوزا</v>
          </cell>
          <cell r="C253" t="str">
            <v>قطعه نو</v>
          </cell>
          <cell r="AF253">
            <v>3</v>
          </cell>
        </row>
        <row r="254">
          <cell r="B254" t="str">
            <v>ساب الماسه</v>
          </cell>
          <cell r="C254" t="str">
            <v>قطعه تعمیری</v>
          </cell>
          <cell r="AF254">
            <v>2</v>
          </cell>
        </row>
        <row r="255">
          <cell r="B255" t="str">
            <v>ساب ترابوزا</v>
          </cell>
          <cell r="C255" t="str">
            <v>قطعه تعمیری</v>
          </cell>
          <cell r="AF255">
            <v>2</v>
          </cell>
        </row>
        <row r="256">
          <cell r="B256" t="str">
            <v>دستگاه پرس پخت</v>
          </cell>
          <cell r="C256" t="str">
            <v>قطعه تعمیری</v>
          </cell>
          <cell r="AF256">
            <v>1</v>
          </cell>
        </row>
        <row r="257">
          <cell r="B257" t="str">
            <v>ویوینگ</v>
          </cell>
          <cell r="C257" t="str">
            <v>قطعه تعمیری</v>
          </cell>
          <cell r="AF257">
            <v>2</v>
          </cell>
        </row>
        <row r="258">
          <cell r="B258" t="str">
            <v>قالب مترو مشهد</v>
          </cell>
          <cell r="C258" t="str">
            <v>قالب تعمیری</v>
          </cell>
          <cell r="AF258">
            <v>2</v>
          </cell>
        </row>
        <row r="259">
          <cell r="B259" t="str">
            <v>قالب مترو مشهد</v>
          </cell>
          <cell r="C259" t="str">
            <v>قالب تعمیری</v>
          </cell>
          <cell r="AF259">
            <v>2</v>
          </cell>
        </row>
        <row r="260">
          <cell r="B260" t="str">
            <v>پخت کلاچ 309 سوراخدار</v>
          </cell>
          <cell r="C260" t="str">
            <v>قالب تعمیری</v>
          </cell>
          <cell r="AF260">
            <v>1</v>
          </cell>
        </row>
        <row r="261">
          <cell r="B261" t="str">
            <v>جلو سمند سورن</v>
          </cell>
          <cell r="C261" t="str">
            <v>قالب تعمیری</v>
          </cell>
          <cell r="AF261">
            <v>5</v>
          </cell>
        </row>
        <row r="262">
          <cell r="B262" t="str">
            <v>قالب مترو مشهد</v>
          </cell>
          <cell r="C262" t="str">
            <v>قالب تعمیری</v>
          </cell>
          <cell r="AF262">
            <v>4</v>
          </cell>
        </row>
        <row r="263">
          <cell r="B263" t="str">
            <v>پخت کلاچ 309 سوراخدار</v>
          </cell>
          <cell r="C263" t="str">
            <v>قالب تعمیری</v>
          </cell>
          <cell r="AF263">
            <v>1</v>
          </cell>
        </row>
        <row r="264">
          <cell r="B264" t="str">
            <v>خودرو دیزل آذربایجان</v>
          </cell>
          <cell r="C264" t="str">
            <v>قالب نو</v>
          </cell>
          <cell r="AF264">
            <v>11</v>
          </cell>
        </row>
        <row r="265">
          <cell r="B265" t="str">
            <v xml:space="preserve">قالب پخت کلاچ پیکان </v>
          </cell>
          <cell r="C265" t="str">
            <v>قالب تعمیری</v>
          </cell>
          <cell r="AF265">
            <v>11</v>
          </cell>
        </row>
        <row r="266">
          <cell r="B266" t="str">
            <v>کامیونت هیوندای</v>
          </cell>
          <cell r="C266" t="str">
            <v>قالب نو</v>
          </cell>
          <cell r="AF266">
            <v>6.5</v>
          </cell>
        </row>
        <row r="267">
          <cell r="B267" t="str">
            <v>قالب پخت کلاچ</v>
          </cell>
          <cell r="C267" t="str">
            <v>قالب تعمیری</v>
          </cell>
          <cell r="AF267">
            <v>3.5</v>
          </cell>
        </row>
        <row r="268">
          <cell r="B268" t="str">
            <v>فرز Taksan</v>
          </cell>
          <cell r="C268" t="str">
            <v>دستگاه تعمیری</v>
          </cell>
          <cell r="AF268">
            <v>7.5</v>
          </cell>
        </row>
        <row r="269">
          <cell r="B269" t="str">
            <v>کامیونت هیوندای</v>
          </cell>
          <cell r="C269" t="str">
            <v>قالب نو</v>
          </cell>
          <cell r="AF269">
            <v>5.5</v>
          </cell>
        </row>
        <row r="270">
          <cell r="B270" t="str">
            <v>کامیونت هیوندای</v>
          </cell>
          <cell r="C270" t="str">
            <v>قالب نو</v>
          </cell>
          <cell r="AF270">
            <v>4.5</v>
          </cell>
        </row>
        <row r="271">
          <cell r="B271" t="str">
            <v>چکش تست لنت</v>
          </cell>
          <cell r="C271" t="str">
            <v>قطعه تعمیری</v>
          </cell>
          <cell r="AF271">
            <v>1</v>
          </cell>
        </row>
        <row r="272">
          <cell r="B272" t="str">
            <v>پخت کلاچ 309 سوراخدار</v>
          </cell>
          <cell r="C272" t="str">
            <v>قالب تعمیری</v>
          </cell>
          <cell r="AF272">
            <v>3.3333333333333335</v>
          </cell>
        </row>
        <row r="273">
          <cell r="B273" t="str">
            <v>دستگاه برش جمعی</v>
          </cell>
          <cell r="C273" t="str">
            <v>قطعه تعمیری</v>
          </cell>
          <cell r="AF273">
            <v>3.3333333333333335</v>
          </cell>
        </row>
        <row r="274">
          <cell r="B274" t="str">
            <v>سری نقطه جوش</v>
          </cell>
          <cell r="C274" t="str">
            <v>قطعه تعمیری</v>
          </cell>
          <cell r="AF274">
            <v>1</v>
          </cell>
        </row>
        <row r="275">
          <cell r="B275" t="str">
            <v>قالب پخت SAF</v>
          </cell>
          <cell r="C275" t="str">
            <v>قالب نو</v>
          </cell>
          <cell r="AF275">
            <v>3.3333333333333335</v>
          </cell>
        </row>
        <row r="276">
          <cell r="B276" t="str">
            <v>پخت عقب پژو 405 شمشی پایه کوتاه</v>
          </cell>
          <cell r="C276" t="str">
            <v>قالب نو</v>
          </cell>
          <cell r="AF276">
            <v>12</v>
          </cell>
        </row>
        <row r="277">
          <cell r="B277" t="str">
            <v>فیکسچر سوراخکاری  لنت دایان انرژی</v>
          </cell>
          <cell r="C277" t="str">
            <v>قطعه نو</v>
          </cell>
          <cell r="AF277">
            <v>7</v>
          </cell>
        </row>
        <row r="278">
          <cell r="B278" t="str">
            <v>پشم فلز آلمانی</v>
          </cell>
          <cell r="C278" t="str">
            <v>قطعه نو</v>
          </cell>
          <cell r="AF278">
            <v>4</v>
          </cell>
        </row>
        <row r="279">
          <cell r="B279" t="str">
            <v>ساب ترابوزا</v>
          </cell>
          <cell r="C279" t="str">
            <v>قطعه نو</v>
          </cell>
          <cell r="AF279">
            <v>3</v>
          </cell>
        </row>
        <row r="280">
          <cell r="B280" t="str">
            <v>پشم فلز آلمانی</v>
          </cell>
          <cell r="C280" t="str">
            <v>قطعه نو</v>
          </cell>
          <cell r="AF280">
            <v>2</v>
          </cell>
        </row>
        <row r="281">
          <cell r="B281" t="str">
            <v>اصول 5S</v>
          </cell>
          <cell r="C281" t="str">
            <v>نظافت</v>
          </cell>
          <cell r="AF281">
            <v>1</v>
          </cell>
        </row>
        <row r="282">
          <cell r="B282" t="str">
            <v>خودرو دیزل آذربایجان</v>
          </cell>
          <cell r="C282" t="str">
            <v>قالب نو</v>
          </cell>
          <cell r="AF282">
            <v>3</v>
          </cell>
        </row>
        <row r="283">
          <cell r="B283" t="str">
            <v>قالب پخت SAF</v>
          </cell>
          <cell r="C283" t="str">
            <v>قالب نو</v>
          </cell>
          <cell r="AF283">
            <v>2</v>
          </cell>
        </row>
        <row r="284">
          <cell r="B284" t="str">
            <v>قالب پخت SAF</v>
          </cell>
          <cell r="C284" t="str">
            <v>قالب نو</v>
          </cell>
          <cell r="AF284">
            <v>2</v>
          </cell>
        </row>
        <row r="285">
          <cell r="B285" t="str">
            <v>Grinding Machine Drum</v>
          </cell>
          <cell r="C285" t="str">
            <v>قطعه نو</v>
          </cell>
          <cell r="AF285">
            <v>5</v>
          </cell>
        </row>
        <row r="286">
          <cell r="B286" t="str">
            <v>قالب پخت SAF</v>
          </cell>
          <cell r="C286" t="str">
            <v>قالب تعمیری</v>
          </cell>
          <cell r="AF286">
            <v>2</v>
          </cell>
        </row>
        <row r="287">
          <cell r="B287" t="str">
            <v>پخت کلاچ 309 سوراخدار</v>
          </cell>
          <cell r="C287" t="str">
            <v>قالب تعمیری</v>
          </cell>
          <cell r="AF287">
            <v>2</v>
          </cell>
        </row>
        <row r="288">
          <cell r="B288" t="str">
            <v>قالب پخت SAF</v>
          </cell>
          <cell r="C288" t="str">
            <v>قالب نو</v>
          </cell>
          <cell r="AF288">
            <v>2</v>
          </cell>
        </row>
        <row r="289">
          <cell r="B289" t="str">
            <v>قالب پخت SAF</v>
          </cell>
          <cell r="C289" t="str">
            <v>قالب تعمیری</v>
          </cell>
          <cell r="AF289">
            <v>2</v>
          </cell>
        </row>
        <row r="290">
          <cell r="B290" t="str">
            <v>قالب پخت SAF</v>
          </cell>
          <cell r="C290" t="str">
            <v>قالب تعمیری</v>
          </cell>
          <cell r="AF290">
            <v>1</v>
          </cell>
        </row>
        <row r="291">
          <cell r="B291" t="str">
            <v>پخت کلاچ 309 سوراخدار</v>
          </cell>
          <cell r="C291" t="str">
            <v>قالب تعمیری</v>
          </cell>
          <cell r="AF291">
            <v>3</v>
          </cell>
        </row>
        <row r="292">
          <cell r="B292" t="str">
            <v>پشم فلز آلمانی</v>
          </cell>
          <cell r="C292" t="str">
            <v>قطعه نو</v>
          </cell>
          <cell r="AF292">
            <v>1</v>
          </cell>
        </row>
        <row r="293">
          <cell r="B293" t="str">
            <v>قالب پخت SAF</v>
          </cell>
          <cell r="C293" t="str">
            <v>قالب تعمیری</v>
          </cell>
          <cell r="AF293">
            <v>2</v>
          </cell>
        </row>
        <row r="294">
          <cell r="B294" t="str">
            <v>دریل یزدخواستی کلاچ</v>
          </cell>
          <cell r="C294" t="str">
            <v>قطعه نو</v>
          </cell>
          <cell r="AF294">
            <v>5.5</v>
          </cell>
        </row>
        <row r="295">
          <cell r="B295" t="str">
            <v>سوراخکاری پیلسان</v>
          </cell>
          <cell r="C295" t="str">
            <v>قطعه نو</v>
          </cell>
          <cell r="AF295">
            <v>5.5</v>
          </cell>
        </row>
        <row r="296">
          <cell r="B296" t="str">
            <v>کامیونت هیوندای</v>
          </cell>
          <cell r="C296" t="str">
            <v>قالب نو</v>
          </cell>
          <cell r="AF296">
            <v>6.5</v>
          </cell>
        </row>
        <row r="297">
          <cell r="B297" t="str">
            <v xml:space="preserve">قالب پخت کلاچ پیکان </v>
          </cell>
          <cell r="C297" t="str">
            <v>قالب تعمیری</v>
          </cell>
          <cell r="AF297">
            <v>6</v>
          </cell>
        </row>
        <row r="298">
          <cell r="B298" t="str">
            <v>اصول 5S</v>
          </cell>
          <cell r="C298" t="str">
            <v>نظافت</v>
          </cell>
          <cell r="AF298">
            <v>1.5</v>
          </cell>
        </row>
        <row r="299">
          <cell r="B299" t="str">
            <v xml:space="preserve">قالب پخت کلاچ پیکان </v>
          </cell>
          <cell r="C299" t="str">
            <v>قالب تعمیری</v>
          </cell>
          <cell r="AF299">
            <v>3.5</v>
          </cell>
        </row>
        <row r="300">
          <cell r="B300" t="str">
            <v>کامیونت هیوندای</v>
          </cell>
          <cell r="C300" t="str">
            <v>قالب نو</v>
          </cell>
          <cell r="AF300">
            <v>3</v>
          </cell>
        </row>
        <row r="301">
          <cell r="B301" t="str">
            <v>قالب پخت کلاچ</v>
          </cell>
          <cell r="C301" t="str">
            <v>قالب تعمیری</v>
          </cell>
          <cell r="AF301">
            <v>8</v>
          </cell>
        </row>
        <row r="302">
          <cell r="B302" t="str">
            <v>کامیونت هیوندای</v>
          </cell>
          <cell r="C302" t="str">
            <v>قالب نو</v>
          </cell>
          <cell r="AF302">
            <v>3.5</v>
          </cell>
        </row>
        <row r="303">
          <cell r="B303" t="str">
            <v>قالب پخت کلاچ</v>
          </cell>
          <cell r="C303" t="str">
            <v>قالب تعمیری</v>
          </cell>
          <cell r="AF303">
            <v>7.5</v>
          </cell>
        </row>
        <row r="304">
          <cell r="B304" t="str">
            <v>خودرو دیزل آذربایجان</v>
          </cell>
          <cell r="C304" t="str">
            <v>قالب نو</v>
          </cell>
          <cell r="AF304">
            <v>6</v>
          </cell>
        </row>
        <row r="305">
          <cell r="B305" t="str">
            <v>اصول 5S</v>
          </cell>
          <cell r="C305" t="str">
            <v>نظافت</v>
          </cell>
          <cell r="AF305">
            <v>1.5</v>
          </cell>
        </row>
        <row r="306">
          <cell r="B306" t="str">
            <v>خودرو دیزل آذربایجان</v>
          </cell>
          <cell r="C306" t="str">
            <v>قالب نو</v>
          </cell>
          <cell r="AF306">
            <v>3.5</v>
          </cell>
        </row>
        <row r="307">
          <cell r="B307" t="str">
            <v>سوراخکاری پیلسان</v>
          </cell>
          <cell r="C307" t="str">
            <v>قطعه نو</v>
          </cell>
          <cell r="AF307">
            <v>3.5</v>
          </cell>
        </row>
        <row r="308">
          <cell r="B308" t="str">
            <v>Grinding Machine Drum</v>
          </cell>
          <cell r="C308" t="str">
            <v>قطعه نو</v>
          </cell>
          <cell r="AF308">
            <v>2</v>
          </cell>
        </row>
        <row r="309">
          <cell r="B309" t="str">
            <v>Grinding Machine Drum</v>
          </cell>
          <cell r="C309" t="str">
            <v>قطعه نو</v>
          </cell>
          <cell r="AF309">
            <v>1.5</v>
          </cell>
        </row>
        <row r="310">
          <cell r="B310" t="str">
            <v>اصول 5S</v>
          </cell>
          <cell r="C310" t="str">
            <v>نظافت</v>
          </cell>
          <cell r="AF310">
            <v>1.5</v>
          </cell>
        </row>
        <row r="311">
          <cell r="B311" t="str">
            <v>ویوینگ</v>
          </cell>
          <cell r="C311" t="str">
            <v>قطعه تعمیری</v>
          </cell>
          <cell r="AF311">
            <v>2</v>
          </cell>
        </row>
        <row r="312">
          <cell r="B312" t="str">
            <v>ساب دیسکی</v>
          </cell>
          <cell r="C312" t="str">
            <v>قطعه نو</v>
          </cell>
          <cell r="AF312">
            <v>3</v>
          </cell>
        </row>
        <row r="313">
          <cell r="B313" t="str">
            <v>ساب سمباده ای</v>
          </cell>
          <cell r="C313" t="str">
            <v>قطعه نو</v>
          </cell>
          <cell r="AF313">
            <v>5</v>
          </cell>
        </row>
        <row r="314">
          <cell r="B314" t="str">
            <v>ویوینگ</v>
          </cell>
          <cell r="C314" t="str">
            <v>قطعه تعمیری</v>
          </cell>
          <cell r="AF314">
            <v>1</v>
          </cell>
        </row>
        <row r="315">
          <cell r="B315" t="str">
            <v>دستگاه پرس پخت</v>
          </cell>
          <cell r="C315" t="str">
            <v>قطعه تعمیری</v>
          </cell>
          <cell r="AF315">
            <v>1</v>
          </cell>
        </row>
        <row r="316">
          <cell r="B316" t="str">
            <v>قالب پخت SAF</v>
          </cell>
          <cell r="C316" t="str">
            <v>قالب نو</v>
          </cell>
          <cell r="AF316">
            <v>1</v>
          </cell>
        </row>
        <row r="317">
          <cell r="B317" t="str">
            <v>قالب پخت SAF</v>
          </cell>
          <cell r="C317" t="str">
            <v>قالب تعمیری</v>
          </cell>
          <cell r="AF317">
            <v>4</v>
          </cell>
        </row>
        <row r="318">
          <cell r="B318" t="str">
            <v>قالب مینی بوس آریا</v>
          </cell>
          <cell r="C318" t="str">
            <v>قالب نو</v>
          </cell>
          <cell r="AF318">
            <v>4</v>
          </cell>
        </row>
        <row r="319">
          <cell r="B319" t="str">
            <v>قالب ذوب آهن</v>
          </cell>
          <cell r="C319" t="str">
            <v>قالب تعمیری</v>
          </cell>
          <cell r="AF319">
            <v>1</v>
          </cell>
        </row>
        <row r="320">
          <cell r="B320" t="str">
            <v>قالب پخت SAF</v>
          </cell>
          <cell r="C320" t="str">
            <v>قالب تعمیری</v>
          </cell>
          <cell r="AF320">
            <v>4</v>
          </cell>
        </row>
        <row r="321">
          <cell r="B321" t="str">
            <v>قالب مینی بوس آریا</v>
          </cell>
          <cell r="C321" t="str">
            <v>قالب نو</v>
          </cell>
          <cell r="AF321">
            <v>3</v>
          </cell>
        </row>
        <row r="322">
          <cell r="B322" t="str">
            <v>ساب دیسکی</v>
          </cell>
          <cell r="C322" t="str">
            <v>قطعه نو</v>
          </cell>
          <cell r="AF322">
            <v>1</v>
          </cell>
        </row>
        <row r="323">
          <cell r="B323" t="str">
            <v>دستگاه پرس پخت</v>
          </cell>
          <cell r="C323" t="str">
            <v>قطعه تعمیری</v>
          </cell>
          <cell r="AF323">
            <v>1</v>
          </cell>
        </row>
        <row r="324">
          <cell r="B324" t="str">
            <v>قالب پخت SAF</v>
          </cell>
          <cell r="C324" t="str">
            <v>قالب نو</v>
          </cell>
          <cell r="AF324">
            <v>2</v>
          </cell>
        </row>
        <row r="325">
          <cell r="B325" t="str">
            <v>کامیونت هیوندای</v>
          </cell>
          <cell r="C325" t="str">
            <v>قالب نو</v>
          </cell>
          <cell r="AF325">
            <v>3</v>
          </cell>
        </row>
        <row r="326">
          <cell r="B326" t="str">
            <v>خودرو دیزل آذربایجان</v>
          </cell>
          <cell r="C326" t="str">
            <v>قالب نو</v>
          </cell>
          <cell r="AF326">
            <v>3</v>
          </cell>
        </row>
        <row r="327">
          <cell r="B327" t="str">
            <v>پشم فلز آلمانی</v>
          </cell>
          <cell r="C327" t="str">
            <v>قطعه نو</v>
          </cell>
          <cell r="AF327">
            <v>10</v>
          </cell>
        </row>
        <row r="328">
          <cell r="B328" t="str">
            <v>قالب برشی SAF</v>
          </cell>
          <cell r="C328" t="str">
            <v>قالب تعمیری</v>
          </cell>
          <cell r="AF328">
            <v>1</v>
          </cell>
        </row>
        <row r="329">
          <cell r="B329" t="str">
            <v>خودرو دیزل آذربایجان</v>
          </cell>
          <cell r="C329" t="str">
            <v>قالب نو</v>
          </cell>
          <cell r="AF329">
            <v>2</v>
          </cell>
        </row>
        <row r="330">
          <cell r="B330" t="str">
            <v>قالب پخت SAF</v>
          </cell>
          <cell r="C330" t="str">
            <v>قالب نو</v>
          </cell>
          <cell r="AF330">
            <v>4</v>
          </cell>
        </row>
        <row r="331">
          <cell r="B331" t="str">
            <v>قالب پخت SAF</v>
          </cell>
          <cell r="C331" t="str">
            <v>قالب تعمیری</v>
          </cell>
          <cell r="AF331">
            <v>4</v>
          </cell>
        </row>
        <row r="332">
          <cell r="B332" t="str">
            <v>سری نقطه جوش</v>
          </cell>
          <cell r="C332" t="str">
            <v>قطعه تعمیری</v>
          </cell>
          <cell r="AF332">
            <v>3</v>
          </cell>
        </row>
        <row r="333">
          <cell r="B333" t="str">
            <v>کامیونت هیوندای</v>
          </cell>
          <cell r="C333" t="str">
            <v>قالب نو</v>
          </cell>
          <cell r="AF333">
            <v>6.5</v>
          </cell>
        </row>
        <row r="334">
          <cell r="B334" t="str">
            <v xml:space="preserve">قالب پخت کلاچ پیکان </v>
          </cell>
          <cell r="C334" t="str">
            <v>قالب تعمیری</v>
          </cell>
          <cell r="AF334">
            <v>11</v>
          </cell>
        </row>
        <row r="335">
          <cell r="B335" t="str">
            <v>خودرو دیزل آذربایجان</v>
          </cell>
          <cell r="C335" t="str">
            <v>قالب نو</v>
          </cell>
          <cell r="AF335">
            <v>11</v>
          </cell>
        </row>
        <row r="336">
          <cell r="B336" t="str">
            <v>ساب ترابوزا</v>
          </cell>
          <cell r="C336" t="str">
            <v>قطعه نو</v>
          </cell>
          <cell r="AF336">
            <v>11</v>
          </cell>
        </row>
        <row r="337">
          <cell r="B337" t="str">
            <v>کامیونت هیوندای</v>
          </cell>
          <cell r="C337" t="str">
            <v>قالب نو</v>
          </cell>
          <cell r="AF337">
            <v>7.5</v>
          </cell>
        </row>
        <row r="338">
          <cell r="B338" t="str">
            <v>فیکسچر سوراخکاری  لنت دایان انرژی</v>
          </cell>
          <cell r="C338" t="str">
            <v>قطعه نو</v>
          </cell>
          <cell r="AF338">
            <v>3.5</v>
          </cell>
        </row>
        <row r="339">
          <cell r="B339" t="str">
            <v>Grinding Machine Drum</v>
          </cell>
          <cell r="C339" t="str">
            <v>قطعه نو</v>
          </cell>
          <cell r="AF339">
            <v>2</v>
          </cell>
        </row>
        <row r="340">
          <cell r="B340" t="str">
            <v>Grinding Machine Drum</v>
          </cell>
          <cell r="C340" t="str">
            <v>قطعه نو</v>
          </cell>
          <cell r="AF340">
            <v>3.5</v>
          </cell>
        </row>
        <row r="341">
          <cell r="B341" t="str">
            <v>پخت کلاچ 309 سوراخدار</v>
          </cell>
          <cell r="C341" t="str">
            <v>قالب تعمیری</v>
          </cell>
          <cell r="AF341">
            <v>5.5</v>
          </cell>
        </row>
        <row r="342">
          <cell r="B342" t="str">
            <v>کامیونت هیوندای</v>
          </cell>
          <cell r="C342" t="str">
            <v>قالب نو</v>
          </cell>
          <cell r="AF342">
            <v>12</v>
          </cell>
        </row>
        <row r="343">
          <cell r="B343" t="str">
            <v>خودرو دیزل آذربایجان</v>
          </cell>
          <cell r="C343" t="str">
            <v>قالب نو</v>
          </cell>
          <cell r="AF343">
            <v>9</v>
          </cell>
        </row>
        <row r="344">
          <cell r="B344" t="str">
            <v>خودرو دیزل آذربایجان</v>
          </cell>
          <cell r="C344" t="str">
            <v>قالب نو</v>
          </cell>
          <cell r="AF344">
            <v>9</v>
          </cell>
        </row>
        <row r="345">
          <cell r="B345" t="str">
            <v>ساب دیسکی</v>
          </cell>
          <cell r="C345" t="str">
            <v>قطعه نو</v>
          </cell>
          <cell r="AF345">
            <v>1</v>
          </cell>
        </row>
        <row r="346">
          <cell r="B346" t="str">
            <v>فیکسچر سوراخکاری  لنت دایان انرژی</v>
          </cell>
          <cell r="C346" t="str">
            <v>قطعه نو</v>
          </cell>
          <cell r="AF346">
            <v>5</v>
          </cell>
        </row>
        <row r="347">
          <cell r="B347" t="str">
            <v>قالب شمشی عقب پیکان</v>
          </cell>
          <cell r="C347" t="str">
            <v>قالب نو</v>
          </cell>
          <cell r="AF347">
            <v>1</v>
          </cell>
        </row>
        <row r="348">
          <cell r="B348" t="str">
            <v>قالب شمشی عقب پیکان</v>
          </cell>
          <cell r="C348" t="str">
            <v>قالب نو</v>
          </cell>
          <cell r="AF348">
            <v>2.5</v>
          </cell>
        </row>
        <row r="349">
          <cell r="B349" t="str">
            <v>قالب کوبه دیما</v>
          </cell>
          <cell r="C349" t="str">
            <v>قالب تعمیری</v>
          </cell>
          <cell r="AF349">
            <v>5.5</v>
          </cell>
        </row>
        <row r="350">
          <cell r="B350" t="str">
            <v>قالب عقب F12</v>
          </cell>
          <cell r="C350" t="str">
            <v>قالب نو</v>
          </cell>
          <cell r="AF350">
            <v>4</v>
          </cell>
        </row>
        <row r="351">
          <cell r="B351" t="str">
            <v>فیکسچر سوراخکاری  لنت دایان انرژی</v>
          </cell>
          <cell r="C351" t="str">
            <v>قطعه نو</v>
          </cell>
          <cell r="AF351">
            <v>6</v>
          </cell>
        </row>
        <row r="352">
          <cell r="B352" t="str">
            <v>کامیونت هیوندای</v>
          </cell>
          <cell r="C352" t="str">
            <v>قالب نو</v>
          </cell>
          <cell r="AF352">
            <v>5</v>
          </cell>
        </row>
        <row r="353">
          <cell r="B353" t="str">
            <v>کامیونت هیوندای</v>
          </cell>
          <cell r="C353" t="str">
            <v>قالب نو</v>
          </cell>
          <cell r="AF353">
            <v>7</v>
          </cell>
        </row>
        <row r="354">
          <cell r="B354" t="str">
            <v>قالب پخت SAF</v>
          </cell>
          <cell r="C354" t="str">
            <v>قالب تعمیری</v>
          </cell>
          <cell r="AF354">
            <v>4</v>
          </cell>
        </row>
        <row r="355">
          <cell r="B355" t="str">
            <v>دستگاه کشش پشم فلز</v>
          </cell>
          <cell r="C355" t="str">
            <v>قطعه نو</v>
          </cell>
          <cell r="AF355">
            <v>3</v>
          </cell>
        </row>
        <row r="356">
          <cell r="B356" t="str">
            <v>پشم فلز آلمانی</v>
          </cell>
          <cell r="C356" t="str">
            <v>قطعه تعمیری</v>
          </cell>
          <cell r="AF356">
            <v>2</v>
          </cell>
        </row>
        <row r="357">
          <cell r="B357" t="str">
            <v>سری نقطه جوش</v>
          </cell>
          <cell r="C357" t="str">
            <v>قطعه تعمیری</v>
          </cell>
          <cell r="AF357">
            <v>2</v>
          </cell>
        </row>
        <row r="358">
          <cell r="B358" t="str">
            <v>قالب ذوب آهن</v>
          </cell>
          <cell r="C358" t="str">
            <v>قالب تعمیری</v>
          </cell>
          <cell r="AF358">
            <v>3</v>
          </cell>
        </row>
        <row r="359">
          <cell r="B359" t="str">
            <v>قالب عقب F12</v>
          </cell>
          <cell r="C359" t="str">
            <v>قالب نو</v>
          </cell>
          <cell r="AF359">
            <v>5</v>
          </cell>
        </row>
        <row r="360">
          <cell r="B360" t="str">
            <v>قالب مینی بوس آریا</v>
          </cell>
          <cell r="C360" t="str">
            <v>قالب نو</v>
          </cell>
          <cell r="AF360">
            <v>2</v>
          </cell>
        </row>
        <row r="361">
          <cell r="B361" t="str">
            <v>پخت کلاچ 309 سوراخدار</v>
          </cell>
          <cell r="C361" t="str">
            <v>قالب تعمیری</v>
          </cell>
          <cell r="AF361">
            <v>1</v>
          </cell>
        </row>
        <row r="362">
          <cell r="B362" t="str">
            <v>قالب ذوب آهن</v>
          </cell>
          <cell r="C362" t="str">
            <v>قالب تعمیری</v>
          </cell>
          <cell r="AF362">
            <v>3</v>
          </cell>
        </row>
        <row r="363">
          <cell r="B363" t="str">
            <v>قالب عقب F12</v>
          </cell>
          <cell r="C363" t="str">
            <v>قالب نو</v>
          </cell>
          <cell r="AF363">
            <v>2</v>
          </cell>
        </row>
        <row r="364">
          <cell r="B364" t="str">
            <v>آسانسور</v>
          </cell>
          <cell r="C364" t="str">
            <v>قطعه نو</v>
          </cell>
          <cell r="AF364">
            <v>3</v>
          </cell>
        </row>
        <row r="365">
          <cell r="B365" t="str">
            <v>Grinding Machine Drum</v>
          </cell>
          <cell r="C365" t="str">
            <v>قطعه نو</v>
          </cell>
          <cell r="AF365">
            <v>3</v>
          </cell>
        </row>
        <row r="366">
          <cell r="B366" t="str">
            <v>فیکسچر سوراخکاری  لنت دایان انرژی</v>
          </cell>
          <cell r="C366" t="str">
            <v>قطعه نو</v>
          </cell>
          <cell r="AF366">
            <v>11</v>
          </cell>
        </row>
        <row r="367">
          <cell r="B367" t="str">
            <v>کامیونت هیوندای</v>
          </cell>
          <cell r="C367" t="str">
            <v>قالب نو</v>
          </cell>
          <cell r="AF367">
            <v>6.5</v>
          </cell>
        </row>
        <row r="368">
          <cell r="B368" t="str">
            <v>قالب پیلسان</v>
          </cell>
          <cell r="C368" t="str">
            <v>قالب تعمیری</v>
          </cell>
          <cell r="AF368">
            <v>6.5</v>
          </cell>
        </row>
        <row r="369">
          <cell r="B369" t="str">
            <v>قالب عقب دیما</v>
          </cell>
          <cell r="C369" t="str">
            <v>قالب تعمیری</v>
          </cell>
          <cell r="AF369">
            <v>4.5</v>
          </cell>
        </row>
        <row r="370">
          <cell r="B37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AF370">
            <v>0</v>
          </cell>
        </row>
        <row r="371">
          <cell r="AF37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>
        <row r="4">
          <cell r="B4" t="str">
            <v>کوره ابزار زنی</v>
          </cell>
          <cell r="C4" t="str">
            <v>قطعه تعمیری</v>
          </cell>
          <cell r="AC4" t="str">
            <v>1405/01/10</v>
          </cell>
        </row>
        <row r="5">
          <cell r="B5" t="str">
            <v>کوره ابزار زنی</v>
          </cell>
          <cell r="C5" t="str">
            <v>قطعه تعمیری</v>
          </cell>
          <cell r="AC5" t="str">
            <v>1405/01/11</v>
          </cell>
        </row>
        <row r="6">
          <cell r="B6" t="str">
            <v>برش توری پگاسوز</v>
          </cell>
          <cell r="C6" t="str">
            <v>قالب تعمیری</v>
          </cell>
          <cell r="AC6" t="str">
            <v>1405/01/11</v>
          </cell>
        </row>
        <row r="7">
          <cell r="B7" t="str">
            <v>دستگاه پشم فلز چینی</v>
          </cell>
          <cell r="C7" t="str">
            <v>قطعه نو</v>
          </cell>
          <cell r="AC7" t="str">
            <v>1405/01/10</v>
          </cell>
        </row>
        <row r="8">
          <cell r="B8" t="str">
            <v>دستگاه پشم فلز چینی</v>
          </cell>
          <cell r="C8" t="str">
            <v>قطعه نو</v>
          </cell>
          <cell r="AC8" t="str">
            <v>1405/01/11</v>
          </cell>
        </row>
        <row r="9">
          <cell r="B9" t="str">
            <v>قالب ولوو سوپر</v>
          </cell>
          <cell r="C9" t="str">
            <v>قالب تعمیری</v>
          </cell>
          <cell r="AC9" t="str">
            <v>1405/01/11</v>
          </cell>
        </row>
        <row r="10">
          <cell r="B10" t="str">
            <v>قالب پخت کلاچ پیکان آرژانتینی</v>
          </cell>
          <cell r="C10" t="str">
            <v>قالب تعمیری</v>
          </cell>
          <cell r="AC10" t="str">
            <v>1405/01/08</v>
          </cell>
        </row>
        <row r="11">
          <cell r="B11" t="str">
            <v>قالب پخت کلاچ پیکان آرژانتینی</v>
          </cell>
          <cell r="C11" t="str">
            <v>قالب تعمیری</v>
          </cell>
          <cell r="AC11" t="str">
            <v>1405/01/08</v>
          </cell>
        </row>
        <row r="12">
          <cell r="B12" t="str">
            <v>قالب پخت کلاچ پیکان آرژانتینی</v>
          </cell>
          <cell r="C12" t="str">
            <v>قالب تعمیری</v>
          </cell>
          <cell r="AC12" t="str">
            <v>1405/01/10</v>
          </cell>
        </row>
        <row r="13">
          <cell r="B13" t="str">
            <v>قالب اکسپرس</v>
          </cell>
          <cell r="C13" t="str">
            <v>قالب تعمیری</v>
          </cell>
          <cell r="AC13" t="str">
            <v>1405/01/10</v>
          </cell>
        </row>
        <row r="14">
          <cell r="B14" t="str">
            <v>قالب پخت کلاچ پیکان آرژانتینی</v>
          </cell>
          <cell r="C14" t="str">
            <v>قالب تعمیری</v>
          </cell>
          <cell r="AC14" t="str">
            <v>1405/01/09</v>
          </cell>
        </row>
        <row r="15">
          <cell r="B15" t="str">
            <v>قالب اکسپرس</v>
          </cell>
          <cell r="C15" t="str">
            <v>قالب تعمیری</v>
          </cell>
          <cell r="AC15" t="str">
            <v>1405/01/11</v>
          </cell>
        </row>
        <row r="16">
          <cell r="B16" t="str">
            <v>کوره ابزار زنی</v>
          </cell>
          <cell r="C16" t="str">
            <v>قطعه تعمیری</v>
          </cell>
          <cell r="AC16" t="str">
            <v>1405/01/11</v>
          </cell>
        </row>
        <row r="17">
          <cell r="B17" t="str">
            <v>دستگاه پشم فلز چینی</v>
          </cell>
          <cell r="C17" t="str">
            <v>قطعه نو</v>
          </cell>
          <cell r="AC17" t="str">
            <v>1405/01/11</v>
          </cell>
        </row>
        <row r="18">
          <cell r="B18" t="str">
            <v>پخت کلاچ پراید</v>
          </cell>
          <cell r="C18" t="str">
            <v>قالب تعمیری</v>
          </cell>
          <cell r="AC18" t="str">
            <v>1405/01/11</v>
          </cell>
        </row>
        <row r="19">
          <cell r="B19" t="str">
            <v>قالب پخت کلاچ پیکان</v>
          </cell>
          <cell r="C19" t="str">
            <v>قالب تعمیری</v>
          </cell>
          <cell r="AC19" t="str">
            <v>1405/01/11</v>
          </cell>
        </row>
        <row r="20">
          <cell r="B20" t="str">
            <v>قالب پخت کلاچ پیکان</v>
          </cell>
          <cell r="C20" t="str">
            <v>قالب تعمیری</v>
          </cell>
          <cell r="AC20" t="str">
            <v>1405/01/08</v>
          </cell>
        </row>
        <row r="21">
          <cell r="B21" t="str">
            <v>پخت کلاچ پراید</v>
          </cell>
          <cell r="C21" t="str">
            <v>قالب تعمیری</v>
          </cell>
          <cell r="AC21" t="str">
            <v>1405/01/08</v>
          </cell>
        </row>
        <row r="22">
          <cell r="B22" t="str">
            <v>پخت کلاچ پراید</v>
          </cell>
          <cell r="C22" t="str">
            <v>قالب تعمیری</v>
          </cell>
          <cell r="AC22" t="str">
            <v>1405/01/08</v>
          </cell>
        </row>
        <row r="23">
          <cell r="B23" t="str">
            <v>قالب اکسپرس</v>
          </cell>
          <cell r="C23" t="str">
            <v>قالب تعمیری</v>
          </cell>
          <cell r="AC23" t="str">
            <v>1405/01/09</v>
          </cell>
        </row>
        <row r="24">
          <cell r="B24" t="str">
            <v>قالب ولوو سوپر</v>
          </cell>
          <cell r="C24" t="str">
            <v>قالب تعمیری</v>
          </cell>
          <cell r="AC24" t="str">
            <v>1405/01/09</v>
          </cell>
        </row>
        <row r="25">
          <cell r="B25" t="str">
            <v>قالب پخت کلاچ پیکان</v>
          </cell>
          <cell r="C25" t="str">
            <v>قالب تعمیری</v>
          </cell>
          <cell r="AC25" t="str">
            <v>1405/01/10</v>
          </cell>
        </row>
        <row r="26">
          <cell r="B26" t="str">
            <v>قالب پخت کلاچ پیکان</v>
          </cell>
          <cell r="C26" t="str">
            <v>قالب تعمیری</v>
          </cell>
          <cell r="AC26" t="str">
            <v>1405/01/10</v>
          </cell>
        </row>
        <row r="27">
          <cell r="B27" t="str">
            <v>شابلون پراید خاردار</v>
          </cell>
          <cell r="C27" t="str">
            <v>قطعه نو</v>
          </cell>
          <cell r="AC27" t="str">
            <v>1405/01/15</v>
          </cell>
        </row>
        <row r="28">
          <cell r="B28" t="str">
            <v>کوره ابزار زنی</v>
          </cell>
          <cell r="C28" t="str">
            <v>قطعه تعمیری</v>
          </cell>
          <cell r="AC28" t="str">
            <v>1405/01/15</v>
          </cell>
        </row>
        <row r="29">
          <cell r="B29" t="str">
            <v>قالب پخت کلاچ پیکان</v>
          </cell>
          <cell r="C29" t="str">
            <v>قالب تعمیری</v>
          </cell>
          <cell r="AC29" t="str">
            <v>1405/01/15</v>
          </cell>
        </row>
        <row r="30">
          <cell r="B30" t="str">
            <v>قالب ولوو سوپر</v>
          </cell>
          <cell r="C30" t="str">
            <v>قالب تعمیری</v>
          </cell>
          <cell r="AC30" t="str">
            <v>1405/01/15</v>
          </cell>
        </row>
        <row r="31">
          <cell r="B31" t="str">
            <v>دستگاه پشم فلز چینی</v>
          </cell>
          <cell r="C31" t="str">
            <v>قطعه نو</v>
          </cell>
          <cell r="AC31" t="str">
            <v>1405/01/15</v>
          </cell>
        </row>
        <row r="32">
          <cell r="B32" t="str">
            <v>برش جمعی عقب ریو</v>
          </cell>
          <cell r="C32" t="str">
            <v>قطعه نو</v>
          </cell>
          <cell r="AC32" t="str">
            <v>1405/01/15</v>
          </cell>
        </row>
        <row r="33">
          <cell r="B33" t="str">
            <v>شابلون پراید بی خار</v>
          </cell>
          <cell r="C33" t="str">
            <v>قطعه نو</v>
          </cell>
          <cell r="AC33" t="str">
            <v>1405/01/15</v>
          </cell>
        </row>
        <row r="34">
          <cell r="B34" t="str">
            <v>قالب ترنست</v>
          </cell>
          <cell r="C34" t="str">
            <v>قالب تعمیری</v>
          </cell>
          <cell r="AC34" t="str">
            <v>1405/01/15</v>
          </cell>
        </row>
        <row r="35">
          <cell r="B35" t="str">
            <v>ویوینگ</v>
          </cell>
          <cell r="C35" t="str">
            <v>قطعه نو</v>
          </cell>
          <cell r="AC35" t="str">
            <v>1405/01/15</v>
          </cell>
        </row>
        <row r="36">
          <cell r="B36" t="str">
            <v>ساب سمباده ای</v>
          </cell>
          <cell r="C36" t="str">
            <v>قطعه تعمیری</v>
          </cell>
          <cell r="AC36" t="str">
            <v>1405/01/15</v>
          </cell>
        </row>
        <row r="37">
          <cell r="B37" t="str">
            <v>دستگاه پشم فلز آلمانی</v>
          </cell>
          <cell r="C37" t="str">
            <v>قطعه نو</v>
          </cell>
          <cell r="AC37" t="str">
            <v>1405/01/15</v>
          </cell>
        </row>
        <row r="38">
          <cell r="B38" t="str">
            <v>دستگاه پشم فلز آلمانی</v>
          </cell>
          <cell r="C38" t="str">
            <v>قطعه نو</v>
          </cell>
          <cell r="AC38" t="str">
            <v>1405/01/15</v>
          </cell>
        </row>
        <row r="39">
          <cell r="B39" t="str">
            <v>قالب پراید خاردار</v>
          </cell>
          <cell r="C39" t="str">
            <v>قالب تعمیری</v>
          </cell>
          <cell r="AC39" t="str">
            <v>1405/01/08</v>
          </cell>
        </row>
        <row r="40">
          <cell r="B40" t="str">
            <v>قالب پخت کلاچ پیکان</v>
          </cell>
          <cell r="C40" t="str">
            <v>قالب تعمیری</v>
          </cell>
          <cell r="AC40" t="str">
            <v>1405/01/09</v>
          </cell>
        </row>
        <row r="41">
          <cell r="B41" t="str">
            <v>قالب پخت کلاچ پیکان</v>
          </cell>
          <cell r="C41" t="str">
            <v>قالب تعمیری</v>
          </cell>
          <cell r="AC41" t="str">
            <v>1405/01/10</v>
          </cell>
        </row>
        <row r="42">
          <cell r="B42" t="str">
            <v>پخت کلاچ پراید</v>
          </cell>
          <cell r="C42" t="str">
            <v>قالب تعمیری</v>
          </cell>
          <cell r="AC42" t="str">
            <v>1405/01/15</v>
          </cell>
        </row>
        <row r="43">
          <cell r="B43" t="str">
            <v>پخت کلاچ پراید</v>
          </cell>
          <cell r="C43" t="str">
            <v>قالب تعمیری</v>
          </cell>
          <cell r="AC43" t="str">
            <v>1405/01/15</v>
          </cell>
        </row>
        <row r="44">
          <cell r="B44" t="str">
            <v>ساب سمباده ای</v>
          </cell>
          <cell r="C44" t="str">
            <v>قطعه تعمیری</v>
          </cell>
          <cell r="AC44" t="str">
            <v>1405/01/15</v>
          </cell>
        </row>
        <row r="45">
          <cell r="B45" t="str">
            <v>قالب پراید خاردار</v>
          </cell>
          <cell r="C45" t="str">
            <v>قالب تعمیری</v>
          </cell>
          <cell r="AC45" t="str">
            <v>1405/01/15</v>
          </cell>
        </row>
        <row r="46">
          <cell r="B46" t="str">
            <v>قالب پخت کلاچ پیکان</v>
          </cell>
          <cell r="C46" t="str">
            <v>قالب تعمیری</v>
          </cell>
          <cell r="AC46" t="str">
            <v>1405/01/15</v>
          </cell>
        </row>
        <row r="47">
          <cell r="B47" t="str">
            <v>کوره ابزار زنی</v>
          </cell>
          <cell r="C47" t="str">
            <v>قطعه تعمیری</v>
          </cell>
          <cell r="AC47" t="str">
            <v>1405/01/11</v>
          </cell>
        </row>
        <row r="48">
          <cell r="B48" t="str">
            <v>دستگاه پشم فلز چینی</v>
          </cell>
          <cell r="C48" t="str">
            <v>قطعه نو</v>
          </cell>
          <cell r="AC48" t="str">
            <v>1405/01/11</v>
          </cell>
        </row>
        <row r="49">
          <cell r="B49" t="str">
            <v>پخت کلاچ پراید</v>
          </cell>
          <cell r="C49" t="str">
            <v>قالب تعمیری</v>
          </cell>
          <cell r="AC49" t="str">
            <v>1405/01/11</v>
          </cell>
        </row>
        <row r="50">
          <cell r="B50" t="str">
            <v>قالب پخت کلاچ پیکان</v>
          </cell>
          <cell r="C50" t="str">
            <v>قالب تعمیری</v>
          </cell>
          <cell r="AC50" t="str">
            <v>1405/01/11</v>
          </cell>
        </row>
        <row r="51">
          <cell r="B51" t="str">
            <v>قالب پخت کلاچ پیکان</v>
          </cell>
          <cell r="C51" t="str">
            <v>قالب تعمیری</v>
          </cell>
          <cell r="AC51" t="str">
            <v>1405/01/08</v>
          </cell>
        </row>
        <row r="52">
          <cell r="B52" t="str">
            <v>پخت کلاچ پراید</v>
          </cell>
          <cell r="C52" t="str">
            <v>قالب تعمیری</v>
          </cell>
          <cell r="AC52" t="str">
            <v>1405/01/08</v>
          </cell>
        </row>
        <row r="53">
          <cell r="B53" t="str">
            <v>پخت کلاچ پراید</v>
          </cell>
          <cell r="C53" t="str">
            <v>قالب تعمیری</v>
          </cell>
          <cell r="AC53" t="str">
            <v>1405/01/08</v>
          </cell>
        </row>
        <row r="54">
          <cell r="B54" t="str">
            <v>قالب اکسپرس</v>
          </cell>
          <cell r="C54" t="str">
            <v>قالب تعمیری</v>
          </cell>
          <cell r="AC54" t="str">
            <v>1405/01/09</v>
          </cell>
        </row>
        <row r="55">
          <cell r="B55" t="str">
            <v>قالب ولوو سوپر</v>
          </cell>
          <cell r="C55" t="str">
            <v>قالب تعمیری</v>
          </cell>
          <cell r="AC55" t="str">
            <v>1405/01/09</v>
          </cell>
        </row>
        <row r="56">
          <cell r="B56" t="str">
            <v>قالب پخت کلاچ پیکان</v>
          </cell>
          <cell r="C56" t="str">
            <v>قالب تعمیری</v>
          </cell>
          <cell r="AC56" t="str">
            <v>1405/01/10</v>
          </cell>
        </row>
        <row r="57">
          <cell r="B57" t="str">
            <v>قالب پخت کلاچ پیکان</v>
          </cell>
          <cell r="C57" t="str">
            <v>قالب تعمیری</v>
          </cell>
          <cell r="AC57" t="str">
            <v>1405/01/10</v>
          </cell>
        </row>
        <row r="58">
          <cell r="B58" t="str">
            <v>شابلون پراید خاردار</v>
          </cell>
          <cell r="C58" t="str">
            <v>قطعه نو</v>
          </cell>
          <cell r="AC58" t="str">
            <v>1405/01/15</v>
          </cell>
        </row>
        <row r="59">
          <cell r="B59" t="str">
            <v>کوره ابزار زنی</v>
          </cell>
          <cell r="C59" t="str">
            <v>قطعه تعمیری</v>
          </cell>
          <cell r="AC59" t="str">
            <v>1405/01/15</v>
          </cell>
        </row>
        <row r="60">
          <cell r="B60" t="str">
            <v>قالب پخت کلاچ پیکان</v>
          </cell>
          <cell r="C60" t="str">
            <v>قالب تعمیری</v>
          </cell>
          <cell r="AC60" t="str">
            <v>1405/01/15</v>
          </cell>
        </row>
        <row r="61">
          <cell r="B61" t="str">
            <v>دستگاه پشم فلز آلمانی</v>
          </cell>
          <cell r="C61" t="str">
            <v>قطعه نو</v>
          </cell>
          <cell r="AC61" t="str">
            <v>1405/01/15</v>
          </cell>
        </row>
        <row r="62">
          <cell r="B62" t="str">
            <v>دستگاه پشم فلز آلمانی</v>
          </cell>
          <cell r="C62" t="str">
            <v>قطعه نو</v>
          </cell>
          <cell r="AC62" t="str">
            <v>1405/01/16</v>
          </cell>
        </row>
        <row r="63">
          <cell r="B63" t="str">
            <v>پخت کلاچ پراید</v>
          </cell>
          <cell r="C63" t="str">
            <v>قالب تعمیری</v>
          </cell>
          <cell r="AC63" t="str">
            <v>1405/01/16</v>
          </cell>
        </row>
        <row r="64">
          <cell r="B64" t="str">
            <v>پخت کلاچ پراید</v>
          </cell>
          <cell r="C64" t="str">
            <v>قالب تعمیری</v>
          </cell>
          <cell r="AC64" t="str">
            <v>1405/01/16</v>
          </cell>
        </row>
        <row r="65">
          <cell r="B65" t="str">
            <v>پخت کلاچ پراید</v>
          </cell>
          <cell r="C65" t="str">
            <v>قالب تعمیری</v>
          </cell>
          <cell r="AC65" t="str">
            <v>1405/01/16</v>
          </cell>
        </row>
        <row r="66">
          <cell r="B66" t="str">
            <v>قالب پخت کلاچ پژو 405</v>
          </cell>
          <cell r="C66" t="str">
            <v>قالب تعمیری</v>
          </cell>
          <cell r="AC66" t="str">
            <v>1405/01/16</v>
          </cell>
        </row>
        <row r="67">
          <cell r="B67" t="str">
            <v>ساب سمباده ای</v>
          </cell>
          <cell r="C67" t="str">
            <v>قطعه تعمیری</v>
          </cell>
          <cell r="AC67" t="str">
            <v>1405/01/16</v>
          </cell>
        </row>
        <row r="68">
          <cell r="B68" t="str">
            <v>قالب پخت کلاچ پیکان</v>
          </cell>
          <cell r="C68" t="str">
            <v>قالب تعمیری</v>
          </cell>
          <cell r="AC68" t="str">
            <v>1405/01/16</v>
          </cell>
        </row>
        <row r="69">
          <cell r="B69" t="str">
            <v>دستگاه پشم فلز آلمانی</v>
          </cell>
          <cell r="C69" t="str">
            <v>قطعه نو</v>
          </cell>
          <cell r="AC69" t="str">
            <v>1405/01/16</v>
          </cell>
        </row>
        <row r="70">
          <cell r="B70" t="str">
            <v>شابلون پراید خاردار</v>
          </cell>
          <cell r="C70" t="str">
            <v>قطعه نو</v>
          </cell>
          <cell r="AC70" t="str">
            <v>1405/01/16</v>
          </cell>
        </row>
        <row r="71">
          <cell r="B71" t="str">
            <v>قالب ترنست</v>
          </cell>
          <cell r="C71" t="str">
            <v>قالب تعمیری</v>
          </cell>
          <cell r="AC71" t="str">
            <v>1405/01/16</v>
          </cell>
        </row>
        <row r="72">
          <cell r="B72" t="str">
            <v>قالب پخت کلاچ پیکان</v>
          </cell>
          <cell r="C72" t="str">
            <v>قالب تعمیری</v>
          </cell>
          <cell r="AC72" t="str">
            <v>1405/01/16</v>
          </cell>
        </row>
        <row r="73">
          <cell r="B73" t="str">
            <v>شابلون پراید خاردار</v>
          </cell>
          <cell r="C73" t="str">
            <v>قطعه نو</v>
          </cell>
          <cell r="AC73" t="str">
            <v>1405/01/16</v>
          </cell>
        </row>
        <row r="74">
          <cell r="B74" t="str">
            <v>قالب ترنست</v>
          </cell>
          <cell r="C74" t="str">
            <v>قالب تعمیری</v>
          </cell>
          <cell r="AC74" t="str">
            <v>1405/01/16</v>
          </cell>
        </row>
        <row r="75">
          <cell r="B75" t="str">
            <v>قالب پخت کلاچ پیکان</v>
          </cell>
          <cell r="C75" t="str">
            <v>قالب تعمیری</v>
          </cell>
          <cell r="AC75" t="str">
            <v>1405/01/16</v>
          </cell>
        </row>
        <row r="76">
          <cell r="B76" t="str">
            <v>قالب ولوو سوپر</v>
          </cell>
          <cell r="C76" t="str">
            <v>قالب تعمیری</v>
          </cell>
          <cell r="AC76" t="str">
            <v>1405/01/16</v>
          </cell>
        </row>
        <row r="77">
          <cell r="B77" t="str">
            <v>دستگاه پشم فلز چینی</v>
          </cell>
          <cell r="C77" t="str">
            <v>قطعه نو</v>
          </cell>
          <cell r="AC77" t="str">
            <v>1405/01/16</v>
          </cell>
        </row>
        <row r="78">
          <cell r="B78" t="str">
            <v>برش جمعی عقب ریو</v>
          </cell>
          <cell r="C78" t="str">
            <v>قطعه نو</v>
          </cell>
          <cell r="AC78" t="str">
            <v>1405/01/16</v>
          </cell>
        </row>
        <row r="79">
          <cell r="B79" t="str">
            <v>قالب ترنست</v>
          </cell>
          <cell r="C79" t="str">
            <v>قالب تعمیری</v>
          </cell>
          <cell r="AC79" t="str">
            <v>1405/01/16</v>
          </cell>
        </row>
        <row r="80">
          <cell r="B80" t="str">
            <v>دستگاه پشم فلز آلمانی</v>
          </cell>
          <cell r="C80" t="str">
            <v>قطعه نو</v>
          </cell>
          <cell r="AC80" t="str">
            <v>1405/01/16</v>
          </cell>
        </row>
        <row r="81">
          <cell r="B81" t="str">
            <v>قالب پراید خاردار</v>
          </cell>
          <cell r="C81" t="str">
            <v>قالب تعمیری</v>
          </cell>
          <cell r="AC81" t="str">
            <v>1405/01/16</v>
          </cell>
        </row>
        <row r="82">
          <cell r="B82" t="str">
            <v>قالب پخت کلاچ پیکان</v>
          </cell>
          <cell r="C82" t="str">
            <v>قالب تعمیری</v>
          </cell>
          <cell r="AC82" t="str">
            <v>1405/01/17</v>
          </cell>
        </row>
        <row r="83">
          <cell r="B83" t="str">
            <v>پخت کلاچ پراید</v>
          </cell>
          <cell r="C83" t="str">
            <v>قالب تعمیری</v>
          </cell>
          <cell r="AC83" t="str">
            <v>1405/01/17</v>
          </cell>
        </row>
        <row r="84">
          <cell r="B84" t="str">
            <v>پخت کلاچ پراید</v>
          </cell>
          <cell r="C84" t="str">
            <v>قالب تعمیری</v>
          </cell>
          <cell r="AC84" t="str">
            <v>1405/01/17</v>
          </cell>
        </row>
        <row r="85">
          <cell r="B85" t="str">
            <v>قالب پخت کلاچ پیکان</v>
          </cell>
          <cell r="C85" t="str">
            <v>قالب تعمیری</v>
          </cell>
          <cell r="AC85" t="str">
            <v>1405/01/17</v>
          </cell>
        </row>
        <row r="86">
          <cell r="B86" t="str">
            <v>قالب پخت کلاچ پیکان</v>
          </cell>
          <cell r="C86" t="str">
            <v>قالب تعمیری</v>
          </cell>
          <cell r="AC86" t="str">
            <v>1405/01/17</v>
          </cell>
        </row>
        <row r="87">
          <cell r="B87" t="str">
            <v>قالب پخت کلاچ پژو 405</v>
          </cell>
          <cell r="C87" t="str">
            <v>قالب تعمیری</v>
          </cell>
          <cell r="AC87" t="str">
            <v>1405/01/17</v>
          </cell>
        </row>
        <row r="88">
          <cell r="B88" t="str">
            <v>قالب پخت کلاچ پژو 405</v>
          </cell>
          <cell r="C88" t="str">
            <v>قالب تعمیری</v>
          </cell>
          <cell r="AC88" t="str">
            <v>1405/01/17</v>
          </cell>
        </row>
        <row r="89">
          <cell r="B89" t="str">
            <v>قالب پخت کلاچ پژو 405</v>
          </cell>
          <cell r="C89" t="str">
            <v>قالب تعمیری</v>
          </cell>
          <cell r="AC89" t="str">
            <v>1405/01/17</v>
          </cell>
        </row>
        <row r="90">
          <cell r="B90" t="str">
            <v>ویوینگ</v>
          </cell>
          <cell r="C90" t="str">
            <v>قطعه تعمیری</v>
          </cell>
          <cell r="AC90" t="str">
            <v>1405/01/17</v>
          </cell>
        </row>
        <row r="91">
          <cell r="B91" t="str">
            <v>قالب پخت کلاچ پژو 405</v>
          </cell>
          <cell r="C91" t="str">
            <v>قالب تعمیری</v>
          </cell>
          <cell r="AC91" t="str">
            <v>1405/01/17</v>
          </cell>
        </row>
        <row r="92">
          <cell r="B92" t="str">
            <v>قالب پخت کلاچ پژو 405</v>
          </cell>
          <cell r="C92" t="str">
            <v>قالب تعمیری</v>
          </cell>
          <cell r="AC92" t="str">
            <v>1405/01/17</v>
          </cell>
        </row>
        <row r="93">
          <cell r="B93" t="str">
            <v>قالب پخت کلاچ پژو 405</v>
          </cell>
          <cell r="C93" t="str">
            <v>قالب تعمیری</v>
          </cell>
          <cell r="AC93" t="str">
            <v>1405/01/17</v>
          </cell>
        </row>
        <row r="94">
          <cell r="B94" t="str">
            <v>ویوینگ</v>
          </cell>
          <cell r="C94" t="str">
            <v>قطعه تعمیری</v>
          </cell>
          <cell r="AC94" t="str">
            <v>1405/01/17</v>
          </cell>
        </row>
        <row r="95">
          <cell r="B95" t="str">
            <v>ضایعات جمع کن پشم فلز آلمانی</v>
          </cell>
          <cell r="C95" t="str">
            <v>دستگاه نو</v>
          </cell>
          <cell r="AC95" t="str">
            <v>1405/01/16</v>
          </cell>
        </row>
        <row r="96">
          <cell r="B96" t="str">
            <v>قالب ولوو سوپر</v>
          </cell>
          <cell r="C96" t="str">
            <v>قالب تعمیری</v>
          </cell>
          <cell r="AC96" t="str">
            <v>1405/01/17</v>
          </cell>
        </row>
        <row r="97">
          <cell r="B97" t="str">
            <v>برش جمعی عقب ریو</v>
          </cell>
          <cell r="C97" t="str">
            <v>قطعه نو</v>
          </cell>
          <cell r="AC97" t="str">
            <v>1405/01/17</v>
          </cell>
        </row>
        <row r="98">
          <cell r="B98" t="str">
            <v>قالب پخت کلاچ پیکان</v>
          </cell>
          <cell r="C98" t="str">
            <v>قالب تعمیری</v>
          </cell>
          <cell r="AC98" t="str">
            <v>1405/01/17</v>
          </cell>
        </row>
        <row r="99">
          <cell r="B99" t="str">
            <v>ساب سمباده ای</v>
          </cell>
          <cell r="C99" t="str">
            <v>قطعه تعمیری</v>
          </cell>
          <cell r="AC99" t="str">
            <v>1405/01/17</v>
          </cell>
        </row>
        <row r="100">
          <cell r="B100" t="str">
            <v>برش جمعی عقب ریو</v>
          </cell>
          <cell r="C100" t="str">
            <v>قطعه نو</v>
          </cell>
          <cell r="AC100" t="str">
            <v>1405/01/17</v>
          </cell>
        </row>
        <row r="101">
          <cell r="B101" t="str">
            <v>ضایعات جمع کن پشم فلز آلمانی</v>
          </cell>
          <cell r="C101" t="str">
            <v>دستگاه نو</v>
          </cell>
          <cell r="AC101" t="str">
            <v>1405/01/17</v>
          </cell>
        </row>
        <row r="102">
          <cell r="B102" t="str">
            <v>قالب پراید خاردار</v>
          </cell>
          <cell r="C102" t="str">
            <v>قالب تعمیری</v>
          </cell>
          <cell r="AC102" t="str">
            <v>1405/01/17</v>
          </cell>
        </row>
        <row r="103">
          <cell r="B103" t="str">
            <v>دستگاه پشم فلز چینی</v>
          </cell>
          <cell r="C103" t="str">
            <v>قطعه نو</v>
          </cell>
          <cell r="AC103" t="str">
            <v>1405/01/17</v>
          </cell>
        </row>
        <row r="104">
          <cell r="B104" t="str">
            <v>ویوینگ</v>
          </cell>
          <cell r="C104" t="str">
            <v>قطعه نو</v>
          </cell>
          <cell r="AC104" t="str">
            <v>1405/01/17</v>
          </cell>
        </row>
        <row r="105">
          <cell r="B105" t="str">
            <v>دستگاه پشم فلز آلمانی</v>
          </cell>
          <cell r="C105" t="str">
            <v>قطعه نو</v>
          </cell>
          <cell r="AC105" t="str">
            <v>1405/01/18</v>
          </cell>
        </row>
        <row r="106">
          <cell r="B106" t="str">
            <v>ابزار زنی</v>
          </cell>
          <cell r="C106" t="str">
            <v>قطعه تعمیری</v>
          </cell>
          <cell r="AC106" t="str">
            <v>1405/01/18</v>
          </cell>
        </row>
        <row r="107">
          <cell r="B107" t="str">
            <v>دستگاه پشم فلز چینی</v>
          </cell>
          <cell r="C107" t="str">
            <v>قطعه نو</v>
          </cell>
          <cell r="AC107" t="str">
            <v>1405/01/18</v>
          </cell>
        </row>
        <row r="108">
          <cell r="B108" t="str">
            <v>قالب ولوو سوپر</v>
          </cell>
          <cell r="C108" t="str">
            <v>قالب تعمیری</v>
          </cell>
          <cell r="AC108" t="str">
            <v>1405/01/18</v>
          </cell>
        </row>
        <row r="109">
          <cell r="B109" t="str">
            <v>برش جمعی عقب ریو</v>
          </cell>
          <cell r="C109" t="str">
            <v>قطعه نو</v>
          </cell>
          <cell r="AC109" t="str">
            <v>1405/01/18</v>
          </cell>
        </row>
        <row r="110">
          <cell r="B110" t="str">
            <v>قالب پخت کلاچ پیکان</v>
          </cell>
          <cell r="C110" t="str">
            <v>قالب تعمیری</v>
          </cell>
          <cell r="AC110" t="str">
            <v>1405/01/18</v>
          </cell>
        </row>
        <row r="111">
          <cell r="B111" t="str">
            <v>ویوینگ</v>
          </cell>
          <cell r="C111" t="str">
            <v>قطعه تعمیری</v>
          </cell>
          <cell r="AC111" t="str">
            <v>1405/01/18</v>
          </cell>
        </row>
        <row r="112">
          <cell r="B112" t="str">
            <v>قالب پخت کلاچ پیکان</v>
          </cell>
          <cell r="C112" t="str">
            <v>قالب تعمیری</v>
          </cell>
          <cell r="AC112" t="str">
            <v>1405/01/18</v>
          </cell>
        </row>
        <row r="113">
          <cell r="B113" t="str">
            <v>دستگاه پشم فلز چینی</v>
          </cell>
          <cell r="C113" t="str">
            <v>قطعه نو</v>
          </cell>
          <cell r="AC113" t="str">
            <v>1405/01/18</v>
          </cell>
        </row>
        <row r="114">
          <cell r="B114" t="str">
            <v>قالب پخت کلاچ پژو 405</v>
          </cell>
          <cell r="C114" t="str">
            <v>قالب تعمیری</v>
          </cell>
          <cell r="AC114" t="str">
            <v>1405/01/18</v>
          </cell>
        </row>
        <row r="115">
          <cell r="B115" t="str">
            <v>ساب سمباده ای</v>
          </cell>
          <cell r="C115" t="str">
            <v>قطعه تعمیری</v>
          </cell>
          <cell r="AC115" t="str">
            <v>1405/01/18</v>
          </cell>
        </row>
        <row r="116">
          <cell r="B116" t="str">
            <v>دستگاه پرس پخت</v>
          </cell>
          <cell r="C116" t="str">
            <v>قطعه نو</v>
          </cell>
          <cell r="AC116" t="str">
            <v>1405/01/18</v>
          </cell>
        </row>
        <row r="117">
          <cell r="B117" t="str">
            <v>ویوینگ</v>
          </cell>
          <cell r="C117" t="str">
            <v>قطعه نو</v>
          </cell>
          <cell r="AC117" t="str">
            <v>1405/01/18</v>
          </cell>
        </row>
        <row r="118">
          <cell r="B118" t="str">
            <v>دستگاه پرس پخت</v>
          </cell>
          <cell r="C118" t="str">
            <v>قطعه نو</v>
          </cell>
          <cell r="AC118" t="str">
            <v>1405/01/18</v>
          </cell>
        </row>
        <row r="119">
          <cell r="B119" t="str">
            <v>دستگاه پرس پخت</v>
          </cell>
          <cell r="C119" t="str">
            <v>قطعه نو</v>
          </cell>
          <cell r="AC119" t="str">
            <v>1405/01/18</v>
          </cell>
        </row>
        <row r="120">
          <cell r="B120" t="str">
            <v>دستگاه پشم فلز چینی</v>
          </cell>
          <cell r="C120" t="str">
            <v>قطعه نو</v>
          </cell>
          <cell r="AC120" t="str">
            <v>1405/01/18</v>
          </cell>
        </row>
        <row r="121">
          <cell r="B121" t="str">
            <v>برش جمعی عقب ریو</v>
          </cell>
          <cell r="C121" t="str">
            <v>قطعه نو</v>
          </cell>
          <cell r="AC121" t="str">
            <v>1405/01/18</v>
          </cell>
        </row>
        <row r="122">
          <cell r="B122" t="str">
            <v>قالب پخت کلاچ پیکان</v>
          </cell>
          <cell r="C122" t="str">
            <v>قالب تعمیری</v>
          </cell>
          <cell r="AC122" t="str">
            <v>1405/01/18</v>
          </cell>
        </row>
        <row r="123">
          <cell r="B123" t="str">
            <v>قالب جلو ریو</v>
          </cell>
          <cell r="C123" t="str">
            <v>قالب تعمیری</v>
          </cell>
          <cell r="AC123" t="str">
            <v>1405/01/18</v>
          </cell>
        </row>
        <row r="124">
          <cell r="B124" t="str">
            <v>دستگاه پشم فلز چینی</v>
          </cell>
          <cell r="C124" t="str">
            <v>قطعه نو</v>
          </cell>
          <cell r="AC124" t="str">
            <v>1405/01/18</v>
          </cell>
        </row>
        <row r="125">
          <cell r="B125" t="str">
            <v>برش جمعی عقب ریو</v>
          </cell>
          <cell r="C125" t="str">
            <v>قطعه نو</v>
          </cell>
          <cell r="AC125" t="str">
            <v>1405/01/18</v>
          </cell>
        </row>
        <row r="126">
          <cell r="B126" t="str">
            <v>قالب پخت کلاچ پیکان</v>
          </cell>
          <cell r="C126" t="str">
            <v>قالب تعمیری</v>
          </cell>
          <cell r="AC126" t="str">
            <v>1405/01/18</v>
          </cell>
        </row>
        <row r="127">
          <cell r="B127" t="str">
            <v>قالب جلو ریو</v>
          </cell>
          <cell r="C127" t="str">
            <v>قالب تعمیری</v>
          </cell>
          <cell r="AC127" t="str">
            <v>1405/01/18</v>
          </cell>
        </row>
        <row r="128">
          <cell r="B128" t="str">
            <v>دستگاه پرس پخت</v>
          </cell>
          <cell r="C128" t="str">
            <v>قطعه نو</v>
          </cell>
          <cell r="AC128" t="str">
            <v>1405/01/18</v>
          </cell>
        </row>
        <row r="129">
          <cell r="B129" t="str">
            <v>ویوینگ</v>
          </cell>
          <cell r="C129" t="str">
            <v>قطعه نو</v>
          </cell>
          <cell r="AC129" t="str">
            <v>1405/01/19</v>
          </cell>
        </row>
        <row r="130">
          <cell r="B130" t="str">
            <v>سری تراش</v>
          </cell>
          <cell r="C130" t="str">
            <v>دستگاه تعمیری</v>
          </cell>
          <cell r="AC130" t="str">
            <v>1405/01/19</v>
          </cell>
        </row>
        <row r="131">
          <cell r="B131" t="str">
            <v>ضایعات جمع کن پشم فلز آلمانی</v>
          </cell>
          <cell r="C131" t="str">
            <v>دستگاه نو</v>
          </cell>
          <cell r="AC131" t="str">
            <v>1405/01/19</v>
          </cell>
        </row>
        <row r="132">
          <cell r="B132" t="str">
            <v>دستگاه پشم فلز چینی</v>
          </cell>
          <cell r="C132" t="str">
            <v>قطعه نو</v>
          </cell>
          <cell r="AC132" t="str">
            <v>1405/01/19</v>
          </cell>
        </row>
        <row r="133">
          <cell r="B133" t="str">
            <v>قالب پخت کلاچ پژو 405</v>
          </cell>
          <cell r="C133" t="str">
            <v>قالب تعمیری</v>
          </cell>
          <cell r="AC133" t="str">
            <v>1405/01/19</v>
          </cell>
        </row>
        <row r="134">
          <cell r="B134" t="str">
            <v>قالب شیم ریو</v>
          </cell>
          <cell r="C134" t="str">
            <v>قالب تعمیری</v>
          </cell>
          <cell r="AC134" t="str">
            <v>1405/01/19</v>
          </cell>
        </row>
        <row r="135">
          <cell r="B135" t="str">
            <v>قالب شیم ریو</v>
          </cell>
          <cell r="C135" t="str">
            <v>قالب تعمیری</v>
          </cell>
          <cell r="AC135" t="str">
            <v>1405/01/19</v>
          </cell>
        </row>
        <row r="136">
          <cell r="B136" t="str">
            <v>قالب 309 سوراخدار</v>
          </cell>
          <cell r="C136" t="str">
            <v>قالب تعمیری</v>
          </cell>
          <cell r="AC136" t="str">
            <v>1405/01/19</v>
          </cell>
        </row>
        <row r="137">
          <cell r="B137" t="str">
            <v>دستگاه پرس پخت کلاچ</v>
          </cell>
          <cell r="C137" t="str">
            <v>قطعه تعمیری</v>
          </cell>
          <cell r="AC137" t="str">
            <v>1405/01/19</v>
          </cell>
        </row>
        <row r="138">
          <cell r="B138" t="str">
            <v>قالب 309 سوراخدار</v>
          </cell>
          <cell r="C138" t="str">
            <v>قالب تعمیری</v>
          </cell>
          <cell r="AC138" t="str">
            <v>1405/01/19</v>
          </cell>
        </row>
        <row r="139">
          <cell r="B139" t="str">
            <v>پخت کلاچ پراید</v>
          </cell>
          <cell r="C139" t="str">
            <v>قالب تعمیری</v>
          </cell>
          <cell r="AC139" t="str">
            <v>1405/01/19</v>
          </cell>
        </row>
        <row r="140">
          <cell r="B140" t="str">
            <v>پخت کلاچ پراید</v>
          </cell>
          <cell r="C140" t="str">
            <v>قالب تعمیری</v>
          </cell>
          <cell r="AC140" t="str">
            <v>1405/01/19</v>
          </cell>
        </row>
        <row r="141">
          <cell r="B141" t="str">
            <v>پخت کلاچ پراید</v>
          </cell>
          <cell r="C141" t="str">
            <v>قالب تعمیری</v>
          </cell>
          <cell r="AC141" t="str">
            <v>1405/01/19</v>
          </cell>
        </row>
        <row r="142">
          <cell r="B142" t="str">
            <v>قالب پخت کلاچ پژو 405</v>
          </cell>
          <cell r="C142" t="str">
            <v>قالب تعمیری</v>
          </cell>
          <cell r="AC142" t="str">
            <v>1405/01/19</v>
          </cell>
        </row>
        <row r="143">
          <cell r="B143" t="str">
            <v>همزن آغشته کاری</v>
          </cell>
          <cell r="C143" t="str">
            <v>قطعه تعمیری</v>
          </cell>
          <cell r="AC143" t="str">
            <v>1405/01/19</v>
          </cell>
        </row>
        <row r="144">
          <cell r="B144" t="str">
            <v>همزن آغشته کاری</v>
          </cell>
          <cell r="C144" t="str">
            <v>قطعه تعمیری</v>
          </cell>
          <cell r="AC144" t="str">
            <v>1405/01/19</v>
          </cell>
        </row>
        <row r="145">
          <cell r="B145" t="str">
            <v>قالب شیم ریو</v>
          </cell>
          <cell r="C145" t="str">
            <v>قالب تعمیری</v>
          </cell>
          <cell r="AC145" t="str">
            <v>1405/01/19</v>
          </cell>
        </row>
        <row r="146">
          <cell r="B146" t="str">
            <v>قالب 309 سوراخدار</v>
          </cell>
          <cell r="C146" t="str">
            <v>قالب تعمیری</v>
          </cell>
          <cell r="AC146" t="str">
            <v>1405/01/19</v>
          </cell>
        </row>
        <row r="147">
          <cell r="B147" t="str">
            <v>پخت کلاچ پراید</v>
          </cell>
          <cell r="C147" t="str">
            <v>قالب تعمیری</v>
          </cell>
          <cell r="AC147" t="str">
            <v>1405/01/19</v>
          </cell>
        </row>
        <row r="148">
          <cell r="B148" t="str">
            <v>دستگاه پشم فلز چینی</v>
          </cell>
          <cell r="C148" t="str">
            <v>قطعه نو</v>
          </cell>
          <cell r="AC148" t="str">
            <v>1405/01/19</v>
          </cell>
        </row>
        <row r="149">
          <cell r="B149" t="str">
            <v>دستگاه پشم فلز چینی</v>
          </cell>
          <cell r="C149" t="str">
            <v>قطعه نو</v>
          </cell>
          <cell r="AC149" t="str">
            <v>1405/01/20</v>
          </cell>
        </row>
        <row r="150">
          <cell r="B150" t="str">
            <v>اصول 5S</v>
          </cell>
          <cell r="C150" t="str">
            <v>نظافت</v>
          </cell>
          <cell r="AC150" t="str">
            <v>1405/01/20</v>
          </cell>
        </row>
        <row r="151">
          <cell r="B151" t="str">
            <v>قالب پخت کلاچ پژو 405</v>
          </cell>
          <cell r="C151" t="str">
            <v>قالب تعمیری</v>
          </cell>
          <cell r="AC151" t="str">
            <v>1405/01/20</v>
          </cell>
        </row>
        <row r="152">
          <cell r="B152" t="str">
            <v>دستگاه پشم فلز آلمانی</v>
          </cell>
          <cell r="C152" t="str">
            <v>قطعه نو</v>
          </cell>
          <cell r="AC152" t="str">
            <v>1405/01/20</v>
          </cell>
        </row>
        <row r="153">
          <cell r="B153" t="str">
            <v>اصول 5S</v>
          </cell>
          <cell r="C153" t="str">
            <v>نظافت</v>
          </cell>
          <cell r="AC153" t="str">
            <v>1405/01/20</v>
          </cell>
        </row>
        <row r="154">
          <cell r="B154" t="str">
            <v>همزن آغشته کاری</v>
          </cell>
          <cell r="C154" t="str">
            <v>قطعه تعمیری</v>
          </cell>
          <cell r="AC154" t="str">
            <v>1405/01/20</v>
          </cell>
        </row>
        <row r="155">
          <cell r="B155" t="str">
            <v>دستگاه پشم فلز آلمانی</v>
          </cell>
          <cell r="C155" t="str">
            <v>قطعه نو</v>
          </cell>
          <cell r="AC155" t="str">
            <v>1405/01/20</v>
          </cell>
        </row>
        <row r="156">
          <cell r="B156" t="str">
            <v>اصول 5S</v>
          </cell>
          <cell r="C156" t="str">
            <v>نظافت</v>
          </cell>
          <cell r="AC156" t="str">
            <v>1405/01/20</v>
          </cell>
        </row>
        <row r="157">
          <cell r="B157" t="str">
            <v>ضایعات جمع کن پشم فلز آلمانی</v>
          </cell>
          <cell r="C157" t="str">
            <v>دستگاه نو</v>
          </cell>
          <cell r="AC157" t="str">
            <v>1405/01/20</v>
          </cell>
        </row>
        <row r="158">
          <cell r="B158" t="str">
            <v>اصول 5S</v>
          </cell>
          <cell r="C158" t="str">
            <v>نظافت</v>
          </cell>
          <cell r="AC158" t="str">
            <v>1405/01/20</v>
          </cell>
        </row>
        <row r="159">
          <cell r="B159" t="str">
            <v>دستگاه پشم فلز چینی</v>
          </cell>
          <cell r="C159" t="str">
            <v>قطعه نو</v>
          </cell>
          <cell r="AC159" t="str">
            <v>1405/01/20</v>
          </cell>
        </row>
        <row r="160">
          <cell r="B160" t="str">
            <v>قالب پخت کلاچ پژو 405</v>
          </cell>
          <cell r="C160" t="str">
            <v>قالب تعمیری</v>
          </cell>
          <cell r="AC160" t="str">
            <v>1405/01/20</v>
          </cell>
        </row>
        <row r="161">
          <cell r="B161" t="str">
            <v>اصول 5S</v>
          </cell>
          <cell r="C161" t="str">
            <v>نظافت</v>
          </cell>
          <cell r="AC161" t="str">
            <v>1405/01/20</v>
          </cell>
        </row>
        <row r="162">
          <cell r="B162" t="str">
            <v>قالب پخت کلاچ پژو 405</v>
          </cell>
          <cell r="C162" t="str">
            <v>قالب تعمیری</v>
          </cell>
          <cell r="AC162" t="str">
            <v>1405/01/20</v>
          </cell>
        </row>
        <row r="163">
          <cell r="B163" t="str">
            <v>قالب برش SAF</v>
          </cell>
          <cell r="C163" t="str">
            <v>قالب تعمیری</v>
          </cell>
          <cell r="AC163" t="str">
            <v>1405/01/20</v>
          </cell>
        </row>
        <row r="164">
          <cell r="B164" t="str">
            <v>قالب پخت کلاچ پژو 405</v>
          </cell>
          <cell r="C164" t="str">
            <v>قالب تعمیری</v>
          </cell>
          <cell r="AC164" t="str">
            <v>1405/01/20</v>
          </cell>
        </row>
        <row r="165">
          <cell r="B165" t="str">
            <v>اصول 5S</v>
          </cell>
          <cell r="C165" t="str">
            <v>نظافت</v>
          </cell>
          <cell r="AC165" t="str">
            <v>1405/01/20</v>
          </cell>
        </row>
        <row r="166">
          <cell r="B166" t="str">
            <v>دستگاه پشم فلز آلمانی</v>
          </cell>
          <cell r="C166" t="str">
            <v>قطعه تعمیری</v>
          </cell>
          <cell r="AC166" t="str">
            <v>1405/01/20</v>
          </cell>
        </row>
        <row r="167">
          <cell r="B167" t="str">
            <v>سری تراش</v>
          </cell>
          <cell r="C167" t="str">
            <v>دستگاه تعمیری</v>
          </cell>
          <cell r="AC167" t="str">
            <v>1405/01/20</v>
          </cell>
        </row>
        <row r="168">
          <cell r="B168" t="str">
            <v>اصول 5S</v>
          </cell>
          <cell r="C168" t="str">
            <v>نظافت</v>
          </cell>
          <cell r="AC168" t="str">
            <v>1405/01/20</v>
          </cell>
        </row>
        <row r="169">
          <cell r="B169" t="str">
            <v>دستگاه پرس پخت کلاچ</v>
          </cell>
          <cell r="C169" t="str">
            <v>قطعه تعمیری</v>
          </cell>
          <cell r="AC169" t="str">
            <v>1405/01/20</v>
          </cell>
        </row>
        <row r="170">
          <cell r="B170" t="str">
            <v>قالب پخت کلاچ پژو 405</v>
          </cell>
          <cell r="C170" t="str">
            <v>قالب تعمیری</v>
          </cell>
          <cell r="AC170" t="str">
            <v>1405/01/20</v>
          </cell>
        </row>
        <row r="171">
          <cell r="B171" t="str">
            <v>همزن آغشته کاری</v>
          </cell>
          <cell r="C171" t="str">
            <v>قطعه تعمیری</v>
          </cell>
          <cell r="AC171" t="str">
            <v>1405/01/20</v>
          </cell>
        </row>
        <row r="172">
          <cell r="B172" t="str">
            <v>دستگاه پشم فلز آلمانی</v>
          </cell>
          <cell r="C172" t="str">
            <v>قطعه تعمیری</v>
          </cell>
          <cell r="AC172" t="str">
            <v>1405/01/20</v>
          </cell>
        </row>
        <row r="173">
          <cell r="B173" t="str">
            <v>اصول 5S</v>
          </cell>
          <cell r="C173" t="str">
            <v>نظافت</v>
          </cell>
          <cell r="AC173" t="str">
            <v>1405/01/20</v>
          </cell>
        </row>
        <row r="174">
          <cell r="B174" t="str">
            <v>برش جمعی عقب ریو</v>
          </cell>
          <cell r="C174" t="str">
            <v>قطعه نو</v>
          </cell>
          <cell r="AC174" t="str">
            <v>1405/01/19</v>
          </cell>
        </row>
        <row r="175">
          <cell r="B175" t="str">
            <v>برش جمعی عقب ریو</v>
          </cell>
          <cell r="C175" t="str">
            <v>قطعه نو</v>
          </cell>
          <cell r="AC175" t="str">
            <v>1405/01/19</v>
          </cell>
        </row>
        <row r="176">
          <cell r="B176" t="str">
            <v>دستگاه پشم فلز چینی</v>
          </cell>
          <cell r="C176" t="str">
            <v>قطعه نو</v>
          </cell>
          <cell r="AC176" t="str">
            <v>1405/01/22</v>
          </cell>
        </row>
        <row r="177">
          <cell r="B177" t="str">
            <v>سری تراش</v>
          </cell>
          <cell r="C177" t="str">
            <v>دستگاه تعمیری</v>
          </cell>
          <cell r="AC177" t="str">
            <v>1405/01/22</v>
          </cell>
        </row>
        <row r="178">
          <cell r="B178" t="str">
            <v>هواکش</v>
          </cell>
          <cell r="C178" t="str">
            <v>قطعه تعمیری</v>
          </cell>
          <cell r="AC178" t="str">
            <v>1405/01/22</v>
          </cell>
        </row>
        <row r="179">
          <cell r="B179" t="str">
            <v>هواکش</v>
          </cell>
          <cell r="C179" t="str">
            <v>قطعه تعمیری</v>
          </cell>
          <cell r="AC179" t="str">
            <v>1405/01/22</v>
          </cell>
        </row>
        <row r="180">
          <cell r="B180" t="str">
            <v>دستگاه پشم فلز آلمانی</v>
          </cell>
          <cell r="C180" t="str">
            <v>قطعه نو</v>
          </cell>
          <cell r="AC180" t="str">
            <v>1405/01/22</v>
          </cell>
        </row>
        <row r="181">
          <cell r="B181" t="str">
            <v>دستگاه پرچ زنی</v>
          </cell>
          <cell r="C181" t="str">
            <v>قطعه تعمیری</v>
          </cell>
          <cell r="AC181" t="str">
            <v>1405/01/22</v>
          </cell>
        </row>
        <row r="182">
          <cell r="B182" t="str">
            <v>دستگاه تسمه کش</v>
          </cell>
          <cell r="C182" t="str">
            <v>قطعه تعمیری</v>
          </cell>
          <cell r="AC182" t="str">
            <v>1405/01/22</v>
          </cell>
        </row>
        <row r="183">
          <cell r="B183" t="str">
            <v>قالب پخت کلاچ پژو 405</v>
          </cell>
          <cell r="C183" t="str">
            <v>قالب تعمیری</v>
          </cell>
          <cell r="AC183" t="str">
            <v>1405/01/22</v>
          </cell>
        </row>
        <row r="184">
          <cell r="B184" t="str">
            <v>قالب پخت کلاچ پژو 405</v>
          </cell>
          <cell r="C184" t="str">
            <v>قالب تعمیری</v>
          </cell>
          <cell r="AC184" t="str">
            <v>1405/01/22</v>
          </cell>
        </row>
        <row r="185">
          <cell r="B185" t="str">
            <v>قالب آرایش کوبه و نک SAF</v>
          </cell>
          <cell r="C185" t="str">
            <v>قالب تعمیری</v>
          </cell>
          <cell r="AC185" t="str">
            <v>1405/01/22</v>
          </cell>
        </row>
        <row r="186">
          <cell r="B186" t="str">
            <v>قالب آرایش جافنری ویچای</v>
          </cell>
          <cell r="C186" t="str">
            <v>قالب تعمیری</v>
          </cell>
          <cell r="AC186" t="str">
            <v>1405/01/22</v>
          </cell>
        </row>
        <row r="187">
          <cell r="B187" t="str">
            <v>پخت کلاچ پراید</v>
          </cell>
          <cell r="C187" t="str">
            <v>قالب تعمیری</v>
          </cell>
          <cell r="AC187" t="str">
            <v>1405/01/22</v>
          </cell>
        </row>
        <row r="188">
          <cell r="B188" t="str">
            <v>دستگاه پرس پخت</v>
          </cell>
          <cell r="C188" t="str">
            <v>قطعه نو</v>
          </cell>
          <cell r="AC188" t="str">
            <v>1405/01/22</v>
          </cell>
        </row>
        <row r="189">
          <cell r="B189" t="str">
            <v>دستگاه پرس پخت</v>
          </cell>
          <cell r="C189" t="str">
            <v>قطعه نو</v>
          </cell>
          <cell r="AC189" t="str">
            <v>1405/01/22</v>
          </cell>
        </row>
        <row r="190">
          <cell r="B190" t="str">
            <v>ضایعات جمع کن پشم فلز آلمانی</v>
          </cell>
          <cell r="C190" t="str">
            <v>دستگاه نو</v>
          </cell>
          <cell r="AC190" t="str">
            <v>1405/01/22</v>
          </cell>
        </row>
        <row r="191">
          <cell r="B191" t="str">
            <v>دستگاه پشم فلز چینی</v>
          </cell>
          <cell r="C191" t="str">
            <v>قطعه نو</v>
          </cell>
          <cell r="AC191" t="str">
            <v>1405/01/22</v>
          </cell>
        </row>
        <row r="192">
          <cell r="B192" t="str">
            <v>قالب برشی پیلسان</v>
          </cell>
          <cell r="C192" t="str">
            <v>قالب تعمیری</v>
          </cell>
          <cell r="AC192" t="str">
            <v>1405/01/22</v>
          </cell>
        </row>
        <row r="193">
          <cell r="B193" t="str">
            <v>قالب 309 سوراخدار</v>
          </cell>
          <cell r="C193" t="str">
            <v>قالب تعمیری</v>
          </cell>
          <cell r="AC193" t="str">
            <v>1405/01/22</v>
          </cell>
        </row>
        <row r="194">
          <cell r="B194" t="str">
            <v>برش جمعی عقب ریو</v>
          </cell>
          <cell r="C194" t="str">
            <v>قطعه نو</v>
          </cell>
          <cell r="AC194" t="str">
            <v>1405/01/22</v>
          </cell>
        </row>
        <row r="195">
          <cell r="B195" t="str">
            <v>برش جمعی عقب ریو</v>
          </cell>
          <cell r="C195" t="str">
            <v>قطعه نو</v>
          </cell>
          <cell r="AC195" t="str">
            <v>1405/01/22</v>
          </cell>
        </row>
        <row r="196">
          <cell r="B196" t="str">
            <v>همزن آغشته کاری</v>
          </cell>
          <cell r="C196" t="str">
            <v>قطعه تعمیری</v>
          </cell>
          <cell r="AC196" t="str">
            <v>1405/01/22</v>
          </cell>
        </row>
        <row r="197">
          <cell r="B197" t="str">
            <v>قلم پین برلیانس</v>
          </cell>
          <cell r="C197" t="str">
            <v>قطعه تعمیری</v>
          </cell>
          <cell r="AC197" t="str">
            <v>1405/01/22</v>
          </cell>
        </row>
        <row r="198">
          <cell r="B198" t="str">
            <v>قالب اصلاح دسته کفشک مترو K</v>
          </cell>
          <cell r="C198" t="str">
            <v>قالب نو</v>
          </cell>
          <cell r="AC198" t="str">
            <v>1405/01/23</v>
          </cell>
        </row>
        <row r="199">
          <cell r="B199" t="str">
            <v>برش توری پگاسوز</v>
          </cell>
          <cell r="C199" t="str">
            <v>قالب نو</v>
          </cell>
          <cell r="AC199" t="str">
            <v>1405/01/23</v>
          </cell>
        </row>
        <row r="200">
          <cell r="B200" t="str">
            <v>برش جمعی عقب ریو</v>
          </cell>
          <cell r="C200" t="str">
            <v>قطعه نو</v>
          </cell>
          <cell r="AC200" t="str">
            <v>1405/01/23</v>
          </cell>
        </row>
        <row r="201">
          <cell r="B201" t="str">
            <v>قالب اصلاح دسته کفشک مترو K</v>
          </cell>
          <cell r="C201" t="str">
            <v>قالب نو</v>
          </cell>
          <cell r="AC201" t="str">
            <v>1405/01/23</v>
          </cell>
        </row>
        <row r="202">
          <cell r="B202" t="str">
            <v>ضایعات جمع کن پشم فلز آلمانی</v>
          </cell>
          <cell r="C202" t="str">
            <v>دستگاه نو</v>
          </cell>
          <cell r="AC202" t="str">
            <v>1405/01/23</v>
          </cell>
        </row>
        <row r="203">
          <cell r="B203" t="str">
            <v>ضایعات جمع کن پشم فلز آلمانی</v>
          </cell>
          <cell r="C203" t="str">
            <v>دستگاه نو</v>
          </cell>
          <cell r="AC203" t="str">
            <v>1405/01/23</v>
          </cell>
        </row>
        <row r="204">
          <cell r="B204" t="str">
            <v>دستگاه ویوینگ</v>
          </cell>
          <cell r="C204" t="str">
            <v>قطعه تعمیری</v>
          </cell>
          <cell r="AC204" t="str">
            <v>1405/01/23</v>
          </cell>
        </row>
        <row r="205">
          <cell r="B205" t="str">
            <v>قالب 309 سوراخدار</v>
          </cell>
          <cell r="C205" t="str">
            <v>قالب تعمیری</v>
          </cell>
          <cell r="AC205" t="str">
            <v>1405/01/23</v>
          </cell>
        </row>
        <row r="206">
          <cell r="B206" t="str">
            <v>CNC 7203</v>
          </cell>
          <cell r="C206" t="str">
            <v>دستگاه تعمیری</v>
          </cell>
          <cell r="AC206" t="str">
            <v>1405/01/23</v>
          </cell>
        </row>
        <row r="207">
          <cell r="B207" t="str">
            <v>دستگاه کشش پشم فلز</v>
          </cell>
          <cell r="C207" t="str">
            <v>قطعه نو</v>
          </cell>
          <cell r="AC207" t="str">
            <v>1405/01/23</v>
          </cell>
        </row>
        <row r="208">
          <cell r="B208" t="str">
            <v>ضایعات جمع کن پشم فلز آلمانی</v>
          </cell>
          <cell r="C208" t="str">
            <v>دستگاه نو</v>
          </cell>
          <cell r="AC208" t="str">
            <v>1405/01/23</v>
          </cell>
        </row>
        <row r="209">
          <cell r="B209" t="str">
            <v>ویوینگ</v>
          </cell>
          <cell r="C209" t="str">
            <v>قطعه نو</v>
          </cell>
          <cell r="AC209" t="str">
            <v>1405/01/23</v>
          </cell>
        </row>
        <row r="210">
          <cell r="B210" t="str">
            <v>سری تراش</v>
          </cell>
          <cell r="C210" t="str">
            <v>دستگاه تعمیری</v>
          </cell>
          <cell r="AC210" t="str">
            <v>1405/01/23</v>
          </cell>
        </row>
        <row r="211">
          <cell r="B211" t="str">
            <v>دستگاه پشم فلز چینی</v>
          </cell>
          <cell r="C211" t="str">
            <v>قطعه نو</v>
          </cell>
          <cell r="AC211" t="str">
            <v>1405/01/23</v>
          </cell>
        </row>
        <row r="212">
          <cell r="B212" t="str">
            <v>ویوینگ</v>
          </cell>
          <cell r="C212" t="str">
            <v>قطعه نو</v>
          </cell>
          <cell r="AC212" t="str">
            <v>1405/01/23</v>
          </cell>
        </row>
        <row r="213">
          <cell r="B213" t="str">
            <v>دستگاه جوش</v>
          </cell>
          <cell r="C213" t="str">
            <v>دستگاه تعمیری</v>
          </cell>
          <cell r="AC213" t="str">
            <v>1405/01/23</v>
          </cell>
        </row>
        <row r="214">
          <cell r="B214" t="str">
            <v>قالب پخت کلاچ پژو 405</v>
          </cell>
          <cell r="C214" t="str">
            <v>قالب تعمیری</v>
          </cell>
          <cell r="AC214" t="str">
            <v>1405/01/23</v>
          </cell>
        </row>
        <row r="215">
          <cell r="B215" t="str">
            <v>قالب پخت کلاچ پژو 405</v>
          </cell>
          <cell r="C215" t="str">
            <v>قالب تعمیری</v>
          </cell>
          <cell r="AC215" t="str">
            <v>1405/01/23</v>
          </cell>
        </row>
        <row r="216">
          <cell r="B216" t="str">
            <v>دستگاه پشم فلز آلمانی</v>
          </cell>
          <cell r="C216" t="str">
            <v>قطعه نو</v>
          </cell>
          <cell r="AC216" t="str">
            <v>1405/01/23</v>
          </cell>
        </row>
        <row r="217">
          <cell r="B217" t="str">
            <v>قالب 309 سوراخدار</v>
          </cell>
          <cell r="C217" t="str">
            <v>قالب تعمیری</v>
          </cell>
          <cell r="AC217" t="str">
            <v>1405/01/22</v>
          </cell>
        </row>
        <row r="218">
          <cell r="B218" t="str">
            <v>دستگاه پشم فلز آلمانی</v>
          </cell>
          <cell r="C218" t="str">
            <v>قطعه تعمیری</v>
          </cell>
          <cell r="AC218" t="str">
            <v>1405/01/22</v>
          </cell>
        </row>
        <row r="219">
          <cell r="B219" t="str">
            <v>ضایعات جمع کن پشم فلز آلمانی</v>
          </cell>
          <cell r="C219" t="str">
            <v>دستگاه نو</v>
          </cell>
          <cell r="AC219" t="str">
            <v>1405/01/22</v>
          </cell>
        </row>
        <row r="220">
          <cell r="B220" t="str">
            <v>دستگاه پشم فلز آلمانی</v>
          </cell>
          <cell r="C220" t="str">
            <v>قطعه تعمیری</v>
          </cell>
          <cell r="AC220" t="str">
            <v>1405/01/23</v>
          </cell>
        </row>
        <row r="221">
          <cell r="B221" t="str">
            <v>ویوینگ</v>
          </cell>
          <cell r="C221" t="str">
            <v>قطعه نو</v>
          </cell>
          <cell r="AC221" t="str">
            <v>1405/01/23</v>
          </cell>
        </row>
        <row r="222">
          <cell r="B222" t="str">
            <v>ضایعات جمع کن پشم فلز آلمانی</v>
          </cell>
          <cell r="C222" t="str">
            <v>دستگاه نو</v>
          </cell>
          <cell r="AC222" t="str">
            <v>1405/01/23</v>
          </cell>
        </row>
        <row r="223">
          <cell r="B223" t="str">
            <v>قالب پراید خاردار</v>
          </cell>
          <cell r="C223" t="str">
            <v>قالب تعمیری</v>
          </cell>
          <cell r="AC223" t="str">
            <v>1405/01/23</v>
          </cell>
        </row>
        <row r="224">
          <cell r="B224" t="str">
            <v>پخت کلاچ پراید</v>
          </cell>
          <cell r="C224" t="str">
            <v>قالب تعمیری</v>
          </cell>
          <cell r="AC224" t="str">
            <v>1405/01/23</v>
          </cell>
        </row>
        <row r="225">
          <cell r="B225" t="str">
            <v>دستگاه پشم فلز آلمانی</v>
          </cell>
          <cell r="C225" t="str">
            <v>قطعه نو</v>
          </cell>
          <cell r="AC225" t="str">
            <v>1405/01/23</v>
          </cell>
        </row>
        <row r="226">
          <cell r="B226" t="str">
            <v>دستگاه کشش پشم فلز</v>
          </cell>
          <cell r="C226" t="str">
            <v>قطعه نو</v>
          </cell>
          <cell r="AC226" t="str">
            <v>1405/01/24</v>
          </cell>
        </row>
        <row r="227">
          <cell r="B227" t="str">
            <v>دستگاه پشم فلز آلمانی</v>
          </cell>
          <cell r="C227" t="str">
            <v>قطعه نو</v>
          </cell>
          <cell r="AC227" t="str">
            <v>1405/01/24</v>
          </cell>
        </row>
        <row r="228">
          <cell r="B228" t="str">
            <v>قالب شیم ریو</v>
          </cell>
          <cell r="C228" t="str">
            <v>قالب تعمیری</v>
          </cell>
          <cell r="AC228" t="str">
            <v>1405/01/24</v>
          </cell>
        </row>
        <row r="229">
          <cell r="B229" t="str">
            <v>ضایعات جمع کن پشم فلز آلمانی</v>
          </cell>
          <cell r="C229" t="str">
            <v>دستگاه نو</v>
          </cell>
          <cell r="AC229" t="str">
            <v>1405/01/24</v>
          </cell>
        </row>
        <row r="230">
          <cell r="B230" t="str">
            <v>ویوینگ</v>
          </cell>
          <cell r="C230" t="str">
            <v>قطعه نو</v>
          </cell>
          <cell r="AC230" t="str">
            <v>1405/01/24</v>
          </cell>
        </row>
        <row r="231">
          <cell r="B231" t="str">
            <v>قالب 309 سوراخدار</v>
          </cell>
          <cell r="C231" t="str">
            <v>قالب تعمیری</v>
          </cell>
          <cell r="AC231" t="str">
            <v>1405/01/24</v>
          </cell>
        </row>
        <row r="232">
          <cell r="B232" t="str">
            <v>ضایعات جمع کن پشم فلز آلمانی</v>
          </cell>
          <cell r="C232" t="str">
            <v>دستگاه نو</v>
          </cell>
          <cell r="AC232" t="str">
            <v>1405/01/25</v>
          </cell>
        </row>
        <row r="233">
          <cell r="B233" t="str">
            <v>قالب پراید خاردار</v>
          </cell>
          <cell r="C233" t="str">
            <v>قالب تعمیری</v>
          </cell>
          <cell r="AC233" t="str">
            <v>1405/01/25</v>
          </cell>
        </row>
        <row r="234">
          <cell r="B234" t="str">
            <v>ساب سمباده ای</v>
          </cell>
          <cell r="C234" t="str">
            <v>قطعه تعمیری</v>
          </cell>
          <cell r="AC234" t="str">
            <v>1405/01/24</v>
          </cell>
        </row>
        <row r="235">
          <cell r="B235" t="str">
            <v>دستگاه پرس 250 تن</v>
          </cell>
          <cell r="C235" t="str">
            <v>قطعه تعمیری</v>
          </cell>
          <cell r="AC235" t="str">
            <v>1405/01/25</v>
          </cell>
        </row>
        <row r="236">
          <cell r="B236" t="str">
            <v>پین برلیانس</v>
          </cell>
          <cell r="C236" t="str">
            <v>قطعه نو</v>
          </cell>
          <cell r="AC236" t="str">
            <v>1405/01/24</v>
          </cell>
        </row>
        <row r="237">
          <cell r="B237" t="str">
            <v>ضایعات جمع کن پشم فلز آلمانی</v>
          </cell>
          <cell r="C237" t="str">
            <v>دستگاه نو</v>
          </cell>
          <cell r="AC237" t="str">
            <v>1405/01/24</v>
          </cell>
        </row>
        <row r="238">
          <cell r="B238" t="str">
            <v>قالب کوبه نک پیلسان</v>
          </cell>
          <cell r="C238" t="str">
            <v>قالب تعمیری</v>
          </cell>
          <cell r="AC238" t="str">
            <v>1405/01/25</v>
          </cell>
        </row>
        <row r="239">
          <cell r="B239" t="str">
            <v>دستگاه پرس پخت کلاچ</v>
          </cell>
          <cell r="C239" t="str">
            <v>قطعه تعمیری</v>
          </cell>
          <cell r="AC239" t="str">
            <v>1405/01/25</v>
          </cell>
        </row>
        <row r="240">
          <cell r="B240" t="str">
            <v>قالب شیم ریو</v>
          </cell>
          <cell r="C240" t="str">
            <v>قالب تعمیری</v>
          </cell>
          <cell r="AC240" t="str">
            <v>1405/01/24</v>
          </cell>
        </row>
        <row r="241">
          <cell r="B241" t="str">
            <v>قالب شیم پژو 405</v>
          </cell>
          <cell r="C241" t="str">
            <v>قالب تعمیری</v>
          </cell>
          <cell r="AC241" t="str">
            <v>1405/01/24</v>
          </cell>
        </row>
        <row r="242">
          <cell r="B242" t="str">
            <v>قالب 309 سوراخدار</v>
          </cell>
          <cell r="C242" t="str">
            <v>قالب تعمیری</v>
          </cell>
          <cell r="AC242" t="str">
            <v>1405/01/24</v>
          </cell>
        </row>
        <row r="243">
          <cell r="B243" t="str">
            <v>قالب پراید خاردار</v>
          </cell>
          <cell r="C243" t="str">
            <v>قالب تعمیری</v>
          </cell>
          <cell r="AC243" t="str">
            <v>1405/01/24</v>
          </cell>
        </row>
        <row r="244">
          <cell r="B244" t="str">
            <v>ضایعات جمع کن پشم فلز آلمانی</v>
          </cell>
          <cell r="C244" t="str">
            <v>دستگاه نو</v>
          </cell>
          <cell r="AC244" t="str">
            <v>1405/01/24</v>
          </cell>
        </row>
        <row r="245">
          <cell r="B245" t="str">
            <v>پین برلیانس</v>
          </cell>
          <cell r="C245" t="str">
            <v>قطعه نو</v>
          </cell>
          <cell r="AC245" t="str">
            <v>1405/01/26</v>
          </cell>
        </row>
        <row r="246">
          <cell r="B246" t="str">
            <v>دستگاه ساب دیسکی چینی</v>
          </cell>
          <cell r="C246" t="str">
            <v>قطعه تعمیری</v>
          </cell>
          <cell r="AC246" t="str">
            <v>1405/01/26</v>
          </cell>
        </row>
        <row r="247">
          <cell r="B247" t="str">
            <v>قالب خشاب زنی</v>
          </cell>
          <cell r="C247" t="str">
            <v>قطعه تعمیری</v>
          </cell>
          <cell r="AC247" t="str">
            <v>1405/01/26</v>
          </cell>
        </row>
        <row r="248">
          <cell r="B248" t="str">
            <v>دستگاه پرس 250 تن</v>
          </cell>
          <cell r="C248" t="str">
            <v>قطعه تعمیری</v>
          </cell>
          <cell r="AC248" t="str">
            <v>1405/01/26</v>
          </cell>
        </row>
        <row r="249">
          <cell r="B249" t="str">
            <v>قالب کوبه نک پیلسان</v>
          </cell>
          <cell r="C249" t="str">
            <v>قالب تعمیری</v>
          </cell>
          <cell r="AC249" t="str">
            <v>1405/01/26</v>
          </cell>
        </row>
        <row r="250">
          <cell r="B250" t="str">
            <v>قالب پخت کلاچ پیکان</v>
          </cell>
          <cell r="C250" t="str">
            <v>قالب تعمیری</v>
          </cell>
          <cell r="AC250" t="str">
            <v>1405/01/26</v>
          </cell>
        </row>
        <row r="251">
          <cell r="B251" t="str">
            <v>دستگاه پشم فلز آلمانی</v>
          </cell>
          <cell r="C251" t="str">
            <v>قطعه نو</v>
          </cell>
          <cell r="AC251" t="str">
            <v>1405/01/26</v>
          </cell>
        </row>
        <row r="252">
          <cell r="B252" t="str">
            <v>قالب آرایش SAF</v>
          </cell>
          <cell r="C252" t="str">
            <v>قالب تعمیری</v>
          </cell>
          <cell r="AC252" t="str">
            <v>1405/01/26</v>
          </cell>
        </row>
        <row r="253">
          <cell r="B253" t="str">
            <v>قالب کوبه نک SAF</v>
          </cell>
          <cell r="C253" t="str">
            <v>قالب تعمیری</v>
          </cell>
          <cell r="AC253" t="str">
            <v>1405/01/26</v>
          </cell>
        </row>
        <row r="254">
          <cell r="B254" t="str">
            <v>قالب پراید خاردار</v>
          </cell>
          <cell r="C254" t="str">
            <v>قالب تعمیری</v>
          </cell>
          <cell r="AC254" t="str">
            <v>1405/01/26</v>
          </cell>
        </row>
        <row r="255">
          <cell r="B255" t="str">
            <v>دستگاه ساب سمباده ای</v>
          </cell>
          <cell r="C255" t="str">
            <v>قطعه نو</v>
          </cell>
          <cell r="AC255" t="str">
            <v>1405/01/26</v>
          </cell>
        </row>
        <row r="256">
          <cell r="B256" t="str">
            <v>قالب خشاب زنی</v>
          </cell>
          <cell r="C256" t="str">
            <v>قطعه تعمیری</v>
          </cell>
          <cell r="AC256" t="str">
            <v>1405/01/26</v>
          </cell>
        </row>
        <row r="257">
          <cell r="B257" t="str">
            <v>دریل سوراخکاری کلاچ</v>
          </cell>
          <cell r="C257" t="str">
            <v>قطعه تعمیری</v>
          </cell>
          <cell r="AC257" t="str">
            <v>1405/01/26</v>
          </cell>
        </row>
        <row r="258">
          <cell r="B258" t="str">
            <v>ضایعات جمع کن پشم فلز آلمانی</v>
          </cell>
          <cell r="C258" t="str">
            <v>دستگاه نو</v>
          </cell>
          <cell r="AC258" t="str">
            <v>1405/01/26</v>
          </cell>
        </row>
        <row r="259">
          <cell r="B259" t="str">
            <v>ضایعات جمع کن پشم فلز آلمانی</v>
          </cell>
          <cell r="C259" t="str">
            <v>دستگاه نو</v>
          </cell>
          <cell r="AC259" t="str">
            <v>1405/01/26</v>
          </cell>
        </row>
        <row r="260">
          <cell r="B260" t="str">
            <v>قالب پراید خاردار</v>
          </cell>
          <cell r="C260" t="str">
            <v>قالب تعمیری</v>
          </cell>
          <cell r="AC260" t="str">
            <v>1405/01/26</v>
          </cell>
        </row>
        <row r="261">
          <cell r="B261" t="str">
            <v>دستگاه سنگ مغناطیسی 7501</v>
          </cell>
          <cell r="C261" t="str">
            <v>دستگاه تعمیری</v>
          </cell>
          <cell r="AC261" t="str">
            <v>1405/01/26</v>
          </cell>
        </row>
        <row r="262">
          <cell r="B262" t="str">
            <v>ضایعات جمع کن پشم فلز آلمانی</v>
          </cell>
          <cell r="C262" t="str">
            <v>دستگاه نو</v>
          </cell>
          <cell r="AC262" t="str">
            <v>1405/01/26</v>
          </cell>
        </row>
        <row r="263">
          <cell r="B263" t="str">
            <v>ضایعات جمع کن پشم فلز آلمانی</v>
          </cell>
          <cell r="C263" t="str">
            <v>دستگاه نو</v>
          </cell>
          <cell r="AC263" t="str">
            <v>1405/01/26</v>
          </cell>
        </row>
        <row r="264">
          <cell r="B264" t="str">
            <v>دستگاه پخت کلاچ</v>
          </cell>
          <cell r="C264" t="str">
            <v>قطعه تعمیری</v>
          </cell>
          <cell r="AC264" t="str">
            <v>1405/01/26</v>
          </cell>
        </row>
        <row r="265">
          <cell r="B265" t="str">
            <v>دستگاه پخت کلاچ</v>
          </cell>
          <cell r="C265" t="str">
            <v>قطعه تعمیری</v>
          </cell>
          <cell r="AC265" t="str">
            <v>1405/01/26</v>
          </cell>
        </row>
        <row r="266">
          <cell r="B266" t="str">
            <v>ضایعات جمع کن پشم فلز آلمانی</v>
          </cell>
          <cell r="C266" t="str">
            <v>دستگاه نو</v>
          </cell>
          <cell r="AC266" t="str">
            <v>1405/01/26</v>
          </cell>
        </row>
        <row r="267">
          <cell r="B267" t="str">
            <v>دستگاه سنگ مغناطیسی 7501</v>
          </cell>
          <cell r="C267" t="str">
            <v>دستگاه تعمیری</v>
          </cell>
          <cell r="AC267" t="str">
            <v>1405/01/26</v>
          </cell>
        </row>
        <row r="268">
          <cell r="B268" t="str">
            <v>دستگاه پرس 250 تن</v>
          </cell>
          <cell r="C268" t="str">
            <v>قطعه تعمیری</v>
          </cell>
          <cell r="AC268" t="str">
            <v>1405/01/27</v>
          </cell>
        </row>
        <row r="269">
          <cell r="B269" t="str">
            <v>قالب پخت کلاچ پژو 405</v>
          </cell>
          <cell r="C269" t="str">
            <v>قالب تعمیری</v>
          </cell>
          <cell r="AC269" t="str">
            <v>1405/01/27</v>
          </cell>
        </row>
        <row r="270">
          <cell r="B270" t="str">
            <v>دستگاه پشم فلز آلمانی</v>
          </cell>
          <cell r="C270" t="str">
            <v>قطعه نو</v>
          </cell>
          <cell r="AC270" t="str">
            <v>1405/01/27</v>
          </cell>
        </row>
        <row r="271">
          <cell r="B271" t="str">
            <v>قالب پراید خاردار</v>
          </cell>
          <cell r="C271" t="str">
            <v>قالب تعمیری</v>
          </cell>
          <cell r="AC271" t="str">
            <v>1405/01/27</v>
          </cell>
        </row>
        <row r="272">
          <cell r="B272" t="str">
            <v>اصول 5S</v>
          </cell>
          <cell r="C272" t="str">
            <v>نظافت</v>
          </cell>
          <cell r="AC272" t="str">
            <v>1405/01/27</v>
          </cell>
        </row>
        <row r="273">
          <cell r="B273" t="str">
            <v>دستگاه پرس 250 تن</v>
          </cell>
          <cell r="C273" t="str">
            <v>قطعه تعمیری</v>
          </cell>
          <cell r="AC273" t="str">
            <v>1405/01/27</v>
          </cell>
        </row>
        <row r="274">
          <cell r="B274" t="str">
            <v>دستگاه پرس 250 تن</v>
          </cell>
          <cell r="C274" t="str">
            <v>قطعه تعمیری</v>
          </cell>
          <cell r="AC274" t="str">
            <v>1405/01/27</v>
          </cell>
        </row>
        <row r="275">
          <cell r="B275" t="str">
            <v>اصول 5S</v>
          </cell>
          <cell r="C275" t="str">
            <v>نظافت</v>
          </cell>
          <cell r="AC275" t="str">
            <v>1405/01/27</v>
          </cell>
        </row>
        <row r="276">
          <cell r="B276" t="str">
            <v>دستگاه پرس 250 تن</v>
          </cell>
          <cell r="C276" t="str">
            <v>قطعه تعمیری</v>
          </cell>
          <cell r="AC276" t="str">
            <v>1405/01/27</v>
          </cell>
        </row>
        <row r="277">
          <cell r="B277" t="str">
            <v>قالب خشاب زنی</v>
          </cell>
          <cell r="C277" t="str">
            <v>قطعه تعمیری</v>
          </cell>
          <cell r="AC277" t="str">
            <v>1405/01/27</v>
          </cell>
        </row>
        <row r="278">
          <cell r="B278" t="str">
            <v>پین برلیانس</v>
          </cell>
          <cell r="C278" t="str">
            <v>قطعه نو</v>
          </cell>
          <cell r="AC278" t="str">
            <v>1405/01/27</v>
          </cell>
        </row>
        <row r="279">
          <cell r="B279" t="str">
            <v>دستگاه آسیاب پرت کلاچ</v>
          </cell>
          <cell r="C279" t="str">
            <v>قطعه تعمیری</v>
          </cell>
          <cell r="AC279" t="str">
            <v>1405/01/27</v>
          </cell>
        </row>
        <row r="280">
          <cell r="B280" t="str">
            <v>دستگاه تسمه کش</v>
          </cell>
          <cell r="C280" t="str">
            <v>قطعه تعمیری</v>
          </cell>
          <cell r="AC280" t="str">
            <v>1405/01/27</v>
          </cell>
        </row>
        <row r="281">
          <cell r="B281" t="str">
            <v>اصول 5S</v>
          </cell>
          <cell r="C281" t="str">
            <v>نظافت</v>
          </cell>
          <cell r="AC281" t="str">
            <v>1405/01/27</v>
          </cell>
        </row>
        <row r="282">
          <cell r="B282" t="str">
            <v>پین برلیانس</v>
          </cell>
          <cell r="C282" t="str">
            <v>قطعه نو</v>
          </cell>
          <cell r="AC282" t="str">
            <v>1405/01/29</v>
          </cell>
        </row>
        <row r="283">
          <cell r="B283" t="str">
            <v>قطعه شرکت چینی</v>
          </cell>
          <cell r="C283" t="str">
            <v>قطعه تعمیری</v>
          </cell>
          <cell r="AC283" t="str">
            <v>1405/01/29</v>
          </cell>
        </row>
        <row r="284">
          <cell r="B284" t="str">
            <v>قالب خشاب زنی</v>
          </cell>
          <cell r="C284" t="str">
            <v>قطعه تعمیری</v>
          </cell>
          <cell r="AC284" t="str">
            <v>1405/01/29</v>
          </cell>
        </row>
        <row r="285">
          <cell r="B285" t="str">
            <v>خط مصرف</v>
          </cell>
          <cell r="C285" t="str">
            <v>قطعه تعمیری</v>
          </cell>
          <cell r="AC285" t="str">
            <v>1405/01/29</v>
          </cell>
        </row>
        <row r="286">
          <cell r="B286" t="str">
            <v>دستگاه ویوینگ</v>
          </cell>
          <cell r="C286" t="str">
            <v>قطعه نو</v>
          </cell>
          <cell r="AC286" t="str">
            <v>1405/01/29</v>
          </cell>
        </row>
        <row r="287">
          <cell r="B287" t="str">
            <v>قالب پخت کلاچ پیکان</v>
          </cell>
          <cell r="C287" t="str">
            <v>قالب تعمیری</v>
          </cell>
          <cell r="AC287" t="str">
            <v>1405/01/29</v>
          </cell>
        </row>
        <row r="288">
          <cell r="B288" t="str">
            <v>قالب پخت کلاچ پژو 405</v>
          </cell>
          <cell r="C288" t="str">
            <v>قالب تعمیری</v>
          </cell>
          <cell r="AC288" t="str">
            <v>1405/01/29</v>
          </cell>
        </row>
        <row r="289">
          <cell r="B289" t="str">
            <v>قالب پخت کلاچ پیکان آرژانتینی</v>
          </cell>
          <cell r="C289" t="str">
            <v>قالب تعمیری</v>
          </cell>
          <cell r="AC289" t="str">
            <v>1405/01/29</v>
          </cell>
        </row>
        <row r="290">
          <cell r="B290" t="str">
            <v>قالب پراید خاردار</v>
          </cell>
          <cell r="C290" t="str">
            <v>قالب تعمیری</v>
          </cell>
          <cell r="AC290" t="str">
            <v>1405/01/29</v>
          </cell>
        </row>
        <row r="291">
          <cell r="B291" t="str">
            <v>دستگاه پشم فلز آلمانی</v>
          </cell>
          <cell r="C291" t="str">
            <v>قطعه نو</v>
          </cell>
          <cell r="AC291" t="str">
            <v>1405/01/29</v>
          </cell>
        </row>
        <row r="292">
          <cell r="B292" t="str">
            <v>قالب پراید خاردار</v>
          </cell>
          <cell r="C292" t="str">
            <v>قالب تعمیری</v>
          </cell>
          <cell r="AC292" t="str">
            <v>1405/01/29</v>
          </cell>
        </row>
        <row r="293">
          <cell r="B293" t="str">
            <v>فیکسچر پژو</v>
          </cell>
          <cell r="C293" t="str">
            <v>قطعه تعمیری</v>
          </cell>
          <cell r="AC293" t="str">
            <v>1405/01/29</v>
          </cell>
        </row>
        <row r="294">
          <cell r="B294" t="str">
            <v>دستگاه پشم فلز آلمانی</v>
          </cell>
          <cell r="C294" t="str">
            <v>قطعه نو</v>
          </cell>
          <cell r="AC294" t="str">
            <v>1405/01/29</v>
          </cell>
        </row>
        <row r="295">
          <cell r="B295" t="str">
            <v>دستگاه پشم فلز چینی</v>
          </cell>
          <cell r="C295" t="str">
            <v>قطعه نو</v>
          </cell>
          <cell r="AC295" t="str">
            <v>1405/01/24</v>
          </cell>
        </row>
        <row r="296">
          <cell r="B296" t="str">
            <v>دستگاه پشم فلز چینی</v>
          </cell>
          <cell r="C296" t="str">
            <v>قطعه نو</v>
          </cell>
          <cell r="AC296" t="str">
            <v>1405/01/24</v>
          </cell>
        </row>
        <row r="297">
          <cell r="B297" t="str">
            <v>قالب اصلاح دسته کفشک مترو K</v>
          </cell>
          <cell r="C297" t="str">
            <v>قالب نو</v>
          </cell>
          <cell r="AC297" t="str">
            <v>1405/01/24</v>
          </cell>
        </row>
        <row r="298">
          <cell r="B298" t="str">
            <v xml:space="preserve">دستگاه مهر زنی </v>
          </cell>
          <cell r="C298" t="str">
            <v>قطعه نو</v>
          </cell>
          <cell r="AC298" t="str">
            <v>1405/01/24</v>
          </cell>
        </row>
        <row r="299">
          <cell r="B299" t="str">
            <v>دستگاه پشم فلز چینی</v>
          </cell>
          <cell r="C299" t="str">
            <v>قطعه نو</v>
          </cell>
          <cell r="AC299" t="str">
            <v>1405/01/29</v>
          </cell>
        </row>
        <row r="300">
          <cell r="B300" t="str">
            <v>دستگاه پشم فلز چینی</v>
          </cell>
          <cell r="C300" t="str">
            <v>قطعه نو</v>
          </cell>
          <cell r="AC300" t="str">
            <v>1405/01/29</v>
          </cell>
        </row>
        <row r="301">
          <cell r="B301" t="str">
            <v>قالب اصلاح دسته کفشک مترو K</v>
          </cell>
          <cell r="C301" t="str">
            <v>قالب نو</v>
          </cell>
          <cell r="AC301" t="str">
            <v>1405/01/29</v>
          </cell>
        </row>
        <row r="302">
          <cell r="B302" t="str">
            <v xml:space="preserve">دستگاه مهر زنی </v>
          </cell>
          <cell r="C302" t="str">
            <v>قطعه نو</v>
          </cell>
          <cell r="AC302" t="str">
            <v>1405/01/29</v>
          </cell>
        </row>
        <row r="303">
          <cell r="B303" t="str">
            <v>قالب پخت کلاچ پیکان</v>
          </cell>
          <cell r="C303" t="str">
            <v>قالب تعمیری</v>
          </cell>
          <cell r="AC303" t="str">
            <v>1405/01/30</v>
          </cell>
        </row>
        <row r="304">
          <cell r="B304" t="str">
            <v>پین برلیانس</v>
          </cell>
          <cell r="C304" t="str">
            <v>قطعه نو</v>
          </cell>
          <cell r="AC304" t="str">
            <v>1405/01/30</v>
          </cell>
        </row>
        <row r="305">
          <cell r="B305" t="str">
            <v>ضایعات جمع کن پشم فلز آلمانی</v>
          </cell>
          <cell r="C305" t="str">
            <v>دستگاه نو</v>
          </cell>
          <cell r="AC305" t="str">
            <v>1405/01/30</v>
          </cell>
        </row>
        <row r="306">
          <cell r="B306" t="str">
            <v>ضایعات جمع کن پشم فلز آلمانی</v>
          </cell>
          <cell r="C306" t="str">
            <v>دستگاه نو</v>
          </cell>
          <cell r="AC306" t="str">
            <v>1405/01/30</v>
          </cell>
        </row>
        <row r="307">
          <cell r="B307" t="str">
            <v>دستگاه پشم فلز آلمانی</v>
          </cell>
          <cell r="C307" t="str">
            <v>قطعه نو</v>
          </cell>
          <cell r="AC307" t="str">
            <v>1405/01/30</v>
          </cell>
        </row>
        <row r="308">
          <cell r="B308" t="str">
            <v>قالب پخت کلاچ پیکان آرژانتینی</v>
          </cell>
          <cell r="C308" t="str">
            <v>قالب تعمیری</v>
          </cell>
          <cell r="AC308" t="str">
            <v>1405/01/30</v>
          </cell>
        </row>
        <row r="309">
          <cell r="B309" t="str">
            <v>قالب شیم پژو 405</v>
          </cell>
          <cell r="C309" t="str">
            <v>قالب تعمیری</v>
          </cell>
          <cell r="AC309" t="str">
            <v>1405/01/30</v>
          </cell>
        </row>
        <row r="310">
          <cell r="B310" t="str">
            <v>ضایعات جمع کن پشم فلز آلمانی</v>
          </cell>
          <cell r="C310" t="str">
            <v>دستگاه نو</v>
          </cell>
          <cell r="AC310" t="str">
            <v>1405/01/30</v>
          </cell>
        </row>
        <row r="311">
          <cell r="B311" t="str">
            <v>قالب شیم ریو</v>
          </cell>
          <cell r="C311" t="str">
            <v>قالب تعمیری</v>
          </cell>
          <cell r="AC311" t="str">
            <v>1405/01/30</v>
          </cell>
        </row>
        <row r="312">
          <cell r="B312" t="str">
            <v>دستگاه چسب زنی</v>
          </cell>
          <cell r="C312" t="str">
            <v>دستگاه تعمیری</v>
          </cell>
          <cell r="AC312" t="str">
            <v>1405/01/30</v>
          </cell>
        </row>
        <row r="313">
          <cell r="B313" t="str">
            <v>قالب پخت کلاچ پیکان آرژانتینی</v>
          </cell>
          <cell r="C313" t="str">
            <v>قالب تعمیری</v>
          </cell>
          <cell r="AC313" t="str">
            <v>1405/01/30</v>
          </cell>
        </row>
        <row r="314">
          <cell r="B314" t="str">
            <v>ضایعات جمع کن پشم فلز آلمانی</v>
          </cell>
          <cell r="C314" t="str">
            <v>دستگاه نو</v>
          </cell>
          <cell r="AC314" t="str">
            <v>1405/01/29</v>
          </cell>
        </row>
        <row r="315">
          <cell r="B315" t="str">
            <v>پخت عقب پژو 405 شمشی پایه کوتاه</v>
          </cell>
          <cell r="C315" t="str">
            <v>قالب نو</v>
          </cell>
          <cell r="AC315" t="str">
            <v>1405/01/29</v>
          </cell>
        </row>
        <row r="316">
          <cell r="B316" t="str">
            <v>قالب شیم ریو</v>
          </cell>
          <cell r="C316" t="str">
            <v>قالب تعمیری</v>
          </cell>
          <cell r="AC316" t="str">
            <v>1405/01/29</v>
          </cell>
        </row>
        <row r="317">
          <cell r="B317" t="str">
            <v>قالب پراید خاردار</v>
          </cell>
          <cell r="C317" t="str">
            <v>قالب تعمیری</v>
          </cell>
          <cell r="AC317" t="str">
            <v>1405/01/29</v>
          </cell>
        </row>
        <row r="318">
          <cell r="B318" t="str">
            <v>پخت عقب پژو 405 شمشی پایه کوتاه</v>
          </cell>
          <cell r="C318" t="str">
            <v>قالب نو</v>
          </cell>
          <cell r="AC318" t="str">
            <v>1405/01/29</v>
          </cell>
        </row>
        <row r="319">
          <cell r="B319" t="str">
            <v>دستگاه پشم فلز آلمانی</v>
          </cell>
          <cell r="C319" t="str">
            <v>قطعه نو</v>
          </cell>
          <cell r="AC319" t="str">
            <v>1405/01/30</v>
          </cell>
        </row>
        <row r="320">
          <cell r="B320" t="str">
            <v>قالب اصلاح دسته کفشک مترو K</v>
          </cell>
          <cell r="C320" t="str">
            <v>قالب نو</v>
          </cell>
          <cell r="AC320" t="str">
            <v>1405/01/30</v>
          </cell>
        </row>
        <row r="321">
          <cell r="B321" t="str">
            <v>ضایعات جمع کن پشم فلز آلمانی</v>
          </cell>
          <cell r="C321" t="str">
            <v>دستگاه نو</v>
          </cell>
          <cell r="AC321" t="str">
            <v>1405/01/30</v>
          </cell>
        </row>
        <row r="322">
          <cell r="B322" t="str">
            <v>دستگاه پشم فلز چینی</v>
          </cell>
          <cell r="C322" t="str">
            <v>قطعه نو</v>
          </cell>
          <cell r="AC322" t="str">
            <v>1405/01/30</v>
          </cell>
        </row>
        <row r="323">
          <cell r="B323" t="str">
            <v>قالب پراید خاردار</v>
          </cell>
          <cell r="C323" t="str">
            <v>قالب تعمیری</v>
          </cell>
          <cell r="AC323" t="str">
            <v>1405/01/30</v>
          </cell>
        </row>
        <row r="324">
          <cell r="B324" t="str">
            <v xml:space="preserve">دستگاه مهر زنی </v>
          </cell>
          <cell r="C324" t="str">
            <v>قطعه نو</v>
          </cell>
          <cell r="AC324" t="str">
            <v>1405/01/30</v>
          </cell>
        </row>
        <row r="325">
          <cell r="B325" t="str">
            <v>دستگاه ساب سمباده ای</v>
          </cell>
          <cell r="C325" t="str">
            <v>قطعه تعمیری</v>
          </cell>
          <cell r="AC325" t="str">
            <v>1405/01/30</v>
          </cell>
        </row>
        <row r="326">
          <cell r="B326" t="str">
            <v>دستگاه ساب جدید</v>
          </cell>
          <cell r="C326" t="str">
            <v>قطعه نو</v>
          </cell>
          <cell r="AC326" t="str">
            <v>1405/01/30</v>
          </cell>
        </row>
        <row r="327">
          <cell r="B327" t="str">
            <v>فیکسچر پژو</v>
          </cell>
          <cell r="C327" t="str">
            <v>قطعه تعمیری</v>
          </cell>
          <cell r="AC327" t="str">
            <v>1405/01/30</v>
          </cell>
        </row>
        <row r="328">
          <cell r="B328" t="str">
            <v>ساب کونیک</v>
          </cell>
          <cell r="C328" t="str">
            <v>قطعه تعمیری</v>
          </cell>
          <cell r="AC328" t="str">
            <v>1405/01/30</v>
          </cell>
        </row>
        <row r="329">
          <cell r="B329" t="str">
            <v>دستگاه پرس 250 تن</v>
          </cell>
          <cell r="C329" t="str">
            <v>قطعه تعمیری</v>
          </cell>
          <cell r="AC329" t="str">
            <v>1405/01/27</v>
          </cell>
        </row>
        <row r="330">
          <cell r="B330" t="str">
            <v>ضایعات جمع کن پشم فلز آلمانی</v>
          </cell>
          <cell r="C330" t="str">
            <v>دستگاه نو</v>
          </cell>
          <cell r="AC330" t="str">
            <v>1405/01/27</v>
          </cell>
        </row>
        <row r="331">
          <cell r="B331" t="str">
            <v>قطعه شرکت چینی</v>
          </cell>
          <cell r="C331" t="str">
            <v>قطعه تعمیری</v>
          </cell>
          <cell r="AC331" t="str">
            <v>1405/01/30</v>
          </cell>
        </row>
        <row r="332">
          <cell r="B332" t="str">
            <v>پخت کلاچ پراید</v>
          </cell>
          <cell r="C332" t="str">
            <v>قالب تعمیری</v>
          </cell>
          <cell r="AC332" t="str">
            <v>1405/01/30</v>
          </cell>
        </row>
        <row r="333">
          <cell r="B333" t="str">
            <v>قالب پخت کلاچ پیکان</v>
          </cell>
          <cell r="C333" t="str">
            <v>قالب تعمیری</v>
          </cell>
          <cell r="AC333" t="str">
            <v>1405/01/31</v>
          </cell>
        </row>
        <row r="334">
          <cell r="B334" t="str">
            <v>دستگاه ساب جدید</v>
          </cell>
          <cell r="C334" t="str">
            <v>قطعه نو</v>
          </cell>
          <cell r="AC334" t="str">
            <v>1405/01/31</v>
          </cell>
        </row>
        <row r="335">
          <cell r="B335" t="str">
            <v>دستگاه ساب جدید</v>
          </cell>
          <cell r="C335" t="str">
            <v>قطعه نو</v>
          </cell>
          <cell r="AC335" t="str">
            <v>1405/01/31</v>
          </cell>
        </row>
        <row r="336">
          <cell r="B336" t="str">
            <v>قالب جلو ریو</v>
          </cell>
          <cell r="C336" t="str">
            <v>قالب تعمیری</v>
          </cell>
          <cell r="AC336" t="str">
            <v>1405/01/31</v>
          </cell>
        </row>
        <row r="337">
          <cell r="B337" t="str">
            <v>دستگاه پرس 600 تن</v>
          </cell>
          <cell r="C337" t="str">
            <v>قطعه نو</v>
          </cell>
          <cell r="AC337" t="str">
            <v>1405/01/31</v>
          </cell>
        </row>
        <row r="338">
          <cell r="B338" t="str">
            <v>دستگاه پرس 600 تن</v>
          </cell>
          <cell r="C338" t="str">
            <v>قطعه تعمیری</v>
          </cell>
          <cell r="AC338" t="str">
            <v>1405/01/31</v>
          </cell>
        </row>
        <row r="339">
          <cell r="B339" t="str">
            <v>دستگاه کمپرسور باد</v>
          </cell>
          <cell r="C339" t="str">
            <v>قطعه تعمیری</v>
          </cell>
          <cell r="AC339" t="str">
            <v>1405/01/31</v>
          </cell>
        </row>
        <row r="340">
          <cell r="B340" t="str">
            <v>ضایعات جمع کن پشم فلز آلمانی</v>
          </cell>
          <cell r="C340" t="str">
            <v>دستگاه نو</v>
          </cell>
          <cell r="AC340" t="str">
            <v>1405/01/31</v>
          </cell>
        </row>
        <row r="341">
          <cell r="B341" t="str">
            <v>دستگاه پرس پخت</v>
          </cell>
          <cell r="C341" t="str">
            <v>قطعه نو</v>
          </cell>
          <cell r="AC341" t="str">
            <v>1405/01/31</v>
          </cell>
        </row>
        <row r="342">
          <cell r="B342" t="str">
            <v>برش جمعی عقب ریو</v>
          </cell>
          <cell r="C342" t="str">
            <v>قطعه نو</v>
          </cell>
          <cell r="AC342" t="str">
            <v>1405/01/31</v>
          </cell>
        </row>
        <row r="343">
          <cell r="B343" t="str">
            <v>دستگاه CNC 7203</v>
          </cell>
          <cell r="C343" t="str">
            <v>دستگاه تعمیری</v>
          </cell>
          <cell r="AC343" t="str">
            <v>1405/01/31</v>
          </cell>
        </row>
        <row r="344">
          <cell r="B344" t="str">
            <v>قالب پخت کلاچ پیکان</v>
          </cell>
          <cell r="C344" t="str">
            <v>قالب تعمیری</v>
          </cell>
          <cell r="AC344" t="str">
            <v>1405/01/31</v>
          </cell>
        </row>
        <row r="345">
          <cell r="B345" t="str">
            <v>دستگاه پشم فلز آلمانی</v>
          </cell>
          <cell r="C345" t="str">
            <v>قطعه نو</v>
          </cell>
          <cell r="AC345" t="str">
            <v>1405/01/31</v>
          </cell>
        </row>
        <row r="346">
          <cell r="B346" t="str">
            <v>قالب پراید خاردار</v>
          </cell>
          <cell r="C346" t="str">
            <v>قالب تعمیری</v>
          </cell>
          <cell r="AC346" t="str">
            <v>1405/01/31</v>
          </cell>
        </row>
        <row r="347">
          <cell r="B347" t="str">
            <v xml:space="preserve">دستگاه مهر زنی </v>
          </cell>
          <cell r="C347" t="str">
            <v>قطعه نو</v>
          </cell>
          <cell r="AC347" t="str">
            <v>1405/01/31</v>
          </cell>
        </row>
        <row r="348">
          <cell r="B348" t="str">
            <v>دستگاه پشم فلز آلمانی</v>
          </cell>
          <cell r="C348" t="str">
            <v>قطعه نو</v>
          </cell>
          <cell r="AC348" t="str">
            <v>1405/01/31</v>
          </cell>
        </row>
        <row r="349">
          <cell r="B349" t="str">
            <v>دستگاه پشم فلز چینی</v>
          </cell>
          <cell r="C349" t="str">
            <v>قطعه نو</v>
          </cell>
          <cell r="AC349" t="str">
            <v>1405/01/31</v>
          </cell>
        </row>
        <row r="350">
          <cell r="B350" t="str">
            <v>ضایعات جمع کن پشم فلز آلمانی</v>
          </cell>
          <cell r="C350" t="str">
            <v>دستگاه نو</v>
          </cell>
          <cell r="AC350" t="str">
            <v>1405/01/31</v>
          </cell>
        </row>
        <row r="351">
          <cell r="B351" t="str">
            <v>دستگاه پشم فلز آلمانی</v>
          </cell>
          <cell r="C351" t="str">
            <v>قطعه تعمیری</v>
          </cell>
          <cell r="AC351" t="str">
            <v>1405/01/31</v>
          </cell>
        </row>
        <row r="352">
          <cell r="B352" t="str">
            <v>پخت کلاچ پراید</v>
          </cell>
          <cell r="C352" t="str">
            <v>قالب تعمیری</v>
          </cell>
          <cell r="AC352" t="str">
            <v>1405/01/31</v>
          </cell>
        </row>
        <row r="353">
          <cell r="B353" t="str">
            <v>قالب پخت کلاچ پژو 405</v>
          </cell>
          <cell r="C353" t="str">
            <v>قالب تعمیری</v>
          </cell>
          <cell r="AC353" t="str">
            <v>1405/01/31</v>
          </cell>
        </row>
        <row r="354">
          <cell r="B354" t="str">
            <v>قالب شیم ریو</v>
          </cell>
          <cell r="C354" t="str">
            <v>قالب تعمیری</v>
          </cell>
          <cell r="AC354" t="str">
            <v>1405/01/31</v>
          </cell>
        </row>
        <row r="355">
          <cell r="B355" t="str">
            <v>قالب شیم پژو 405</v>
          </cell>
          <cell r="C355" t="str">
            <v>قالب تعمیری</v>
          </cell>
          <cell r="AC355" t="str">
            <v>1405/01/31</v>
          </cell>
        </row>
        <row r="356">
          <cell r="B356" t="str">
            <v>دستگاه پشم فلز آلمانی</v>
          </cell>
          <cell r="C356" t="str">
            <v>قطعه نو</v>
          </cell>
          <cell r="AC356" t="str">
            <v>1405/01/31</v>
          </cell>
        </row>
        <row r="357">
          <cell r="B357" t="str">
            <v>قالب پخت کلاچ پیکان آرژانتینی</v>
          </cell>
          <cell r="C357" t="str">
            <v>قالب تعمیری</v>
          </cell>
          <cell r="AC357" t="str">
            <v>1405/01/31</v>
          </cell>
        </row>
        <row r="358">
          <cell r="B358" t="str">
            <v>برش جمعی عقب ریو</v>
          </cell>
          <cell r="C358" t="str">
            <v>قطعه نو</v>
          </cell>
          <cell r="AC358" t="str">
            <v>1405/01/31</v>
          </cell>
        </row>
        <row r="359">
          <cell r="B359" t="str">
            <v>قالب شیم پژو 405</v>
          </cell>
          <cell r="C359" t="str">
            <v>قالب تعمیری</v>
          </cell>
          <cell r="AC359" t="str">
            <v>1405/01/31</v>
          </cell>
        </row>
        <row r="360">
          <cell r="B360" t="str">
            <v>پخت کلاچ پراید</v>
          </cell>
          <cell r="C360" t="str">
            <v>قالب تعمیری</v>
          </cell>
          <cell r="AC360" t="str">
            <v>1405/01/31</v>
          </cell>
        </row>
        <row r="361">
          <cell r="B361" t="str">
            <v>قالب پخت کلاچ پیکان</v>
          </cell>
          <cell r="C361" t="str">
            <v>قالب تعمیری</v>
          </cell>
          <cell r="AC361" t="str">
            <v>1405/01/27</v>
          </cell>
        </row>
        <row r="362">
          <cell r="B362" t="str">
            <v>پخت کلاچ پراید</v>
          </cell>
          <cell r="C362" t="str">
            <v>قالب تعمیری</v>
          </cell>
          <cell r="AC362" t="str">
            <v>1405/01/31</v>
          </cell>
        </row>
        <row r="363">
          <cell r="B363" t="str">
            <v>قالب پخت کلاچ پژو 405</v>
          </cell>
          <cell r="C363" t="str">
            <v>قالب تعمیری</v>
          </cell>
          <cell r="AC363" t="str">
            <v>1405/01/31</v>
          </cell>
        </row>
        <row r="364">
          <cell r="B364" t="str">
            <v>قالب پراید خاردار</v>
          </cell>
          <cell r="C364" t="str">
            <v>قالب تعمیری</v>
          </cell>
          <cell r="AC364" t="str">
            <v>1405/01/31</v>
          </cell>
        </row>
        <row r="365">
          <cell r="B365" t="str">
            <v>قالب شیم پژو 405</v>
          </cell>
          <cell r="C365" t="str">
            <v>قالب تعمیری</v>
          </cell>
          <cell r="AC365" t="str">
            <v>1405/01/31</v>
          </cell>
        </row>
        <row r="366">
          <cell r="B366" t="str">
            <v>قالب شیم ریو</v>
          </cell>
          <cell r="C366" t="str">
            <v>قالب تعمیری</v>
          </cell>
          <cell r="AC366" t="str">
            <v>1405/01/31</v>
          </cell>
        </row>
        <row r="384">
          <cell r="B384"/>
          <cell r="C384"/>
        </row>
        <row r="385">
          <cell r="B385"/>
          <cell r="C385"/>
        </row>
        <row r="388">
          <cell r="B388"/>
          <cell r="C388"/>
        </row>
        <row r="390">
          <cell r="B390"/>
          <cell r="C390"/>
        </row>
        <row r="392">
          <cell r="B392"/>
          <cell r="C392"/>
        </row>
        <row r="408">
          <cell r="B408"/>
          <cell r="C408"/>
        </row>
        <row r="433">
          <cell r="B433"/>
          <cell r="C433"/>
        </row>
        <row r="434">
          <cell r="B434"/>
          <cell r="C434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/>
      <sheetData sheetId="1">
        <row r="4">
          <cell r="B4" t="str">
            <v>قالب خشاب زنی</v>
          </cell>
          <cell r="C4" t="str">
            <v>قطعه تعمیری</v>
          </cell>
          <cell r="N4" t="str">
            <v>تراش</v>
          </cell>
          <cell r="AC4" t="str">
            <v>1405/02/01</v>
          </cell>
        </row>
        <row r="5">
          <cell r="B5" t="str">
            <v>پخت کلاچ پژو 206 TU5</v>
          </cell>
          <cell r="C5" t="str">
            <v>قالب تعمیری</v>
          </cell>
          <cell r="N5" t="str">
            <v>مونتاژ</v>
          </cell>
          <cell r="AC5" t="str">
            <v>1405/02/01</v>
          </cell>
        </row>
        <row r="6">
          <cell r="B6" t="str">
            <v>پخت کلاچ پراید</v>
          </cell>
          <cell r="C6" t="str">
            <v>قالب تعمیری</v>
          </cell>
          <cell r="N6" t="str">
            <v>سنگ زنی</v>
          </cell>
          <cell r="AC6" t="str">
            <v>1405/02/01</v>
          </cell>
        </row>
        <row r="7">
          <cell r="B7" t="str">
            <v>قالب پخت کلاچ پیکان</v>
          </cell>
          <cell r="C7" t="str">
            <v>قالب تعمیری</v>
          </cell>
          <cell r="N7" t="str">
            <v>CNC</v>
          </cell>
          <cell r="AC7" t="str">
            <v>1405/02/01</v>
          </cell>
        </row>
        <row r="8">
          <cell r="B8" t="str">
            <v>دستگاه پشم فلز چینی</v>
          </cell>
          <cell r="C8" t="str">
            <v>قطعه نو</v>
          </cell>
          <cell r="N8" t="str">
            <v>تراش</v>
          </cell>
          <cell r="AC8" t="str">
            <v>1405/02/01</v>
          </cell>
        </row>
        <row r="9">
          <cell r="B9" t="str">
            <v>دستگاه پرس 600 تن</v>
          </cell>
          <cell r="C9" t="str">
            <v>قطعه تعمیری</v>
          </cell>
          <cell r="N9" t="str">
            <v>تراش</v>
          </cell>
          <cell r="AC9" t="str">
            <v>1405/02/01</v>
          </cell>
        </row>
        <row r="10">
          <cell r="B10" t="str">
            <v>دستگاه پشم فلز چینی</v>
          </cell>
          <cell r="C10" t="str">
            <v>قطعه نو</v>
          </cell>
          <cell r="N10" t="str">
            <v>مونتاژ</v>
          </cell>
          <cell r="AC10" t="str">
            <v>1405/02/01</v>
          </cell>
        </row>
        <row r="11">
          <cell r="B11" t="str">
            <v>دستگاه پشم فلز آلمانی</v>
          </cell>
          <cell r="C11" t="str">
            <v>قطعه نو</v>
          </cell>
          <cell r="N11" t="str">
            <v>وایر</v>
          </cell>
          <cell r="AC11" t="str">
            <v>1405/02/01</v>
          </cell>
        </row>
        <row r="12">
          <cell r="B12" t="str">
            <v>قالب پراید خاردار</v>
          </cell>
          <cell r="C12" t="str">
            <v>قالب تعمیری</v>
          </cell>
          <cell r="N12" t="str">
            <v>وایر</v>
          </cell>
          <cell r="AC12" t="str">
            <v>1405/02/01</v>
          </cell>
        </row>
        <row r="13">
          <cell r="B13" t="str">
            <v>دستگاه پشم فلز آلمانی</v>
          </cell>
          <cell r="C13" t="str">
            <v>قطعه نو</v>
          </cell>
          <cell r="N13" t="str">
            <v>وایر</v>
          </cell>
          <cell r="AC13" t="str">
            <v>1405/02/01</v>
          </cell>
        </row>
        <row r="14">
          <cell r="B14" t="str">
            <v>قالب پراید خاردار</v>
          </cell>
          <cell r="C14" t="str">
            <v>قالب تعمیری</v>
          </cell>
          <cell r="N14" t="str">
            <v>وایر</v>
          </cell>
          <cell r="AC14" t="str">
            <v>1405/02/01</v>
          </cell>
        </row>
        <row r="15">
          <cell r="B15" t="str">
            <v>دستگاه پشم فلز چینی</v>
          </cell>
          <cell r="C15" t="str">
            <v>قطعه نو</v>
          </cell>
          <cell r="N15" t="str">
            <v>وایر</v>
          </cell>
          <cell r="AC15" t="str">
            <v>1405/02/01</v>
          </cell>
        </row>
        <row r="16">
          <cell r="B16" t="str">
            <v>دستگاه پشم فلز چینی</v>
          </cell>
          <cell r="C16" t="str">
            <v>قطعه نو</v>
          </cell>
          <cell r="N16" t="str">
            <v>وایر</v>
          </cell>
          <cell r="AC16" t="str">
            <v>1405/02/01</v>
          </cell>
        </row>
        <row r="17">
          <cell r="B17" t="str">
            <v>دستگاه ساب جدید</v>
          </cell>
          <cell r="C17" t="str">
            <v>قطعه نو</v>
          </cell>
          <cell r="N17" t="str">
            <v>تراش</v>
          </cell>
          <cell r="AC17" t="str">
            <v>1405/02/01</v>
          </cell>
        </row>
        <row r="18">
          <cell r="B18" t="str">
            <v>دستگاه ساب جدید</v>
          </cell>
          <cell r="C18" t="str">
            <v>قطعه نو</v>
          </cell>
          <cell r="N18" t="str">
            <v>تراش</v>
          </cell>
          <cell r="AC18" t="str">
            <v>1405/02/01</v>
          </cell>
        </row>
        <row r="19">
          <cell r="B19" t="str">
            <v>دستگاه پشم فلز آلمانی</v>
          </cell>
          <cell r="C19" t="str">
            <v>قطعه نو</v>
          </cell>
          <cell r="N19" t="str">
            <v>دریل رادیال</v>
          </cell>
          <cell r="AC19" t="str">
            <v>1405/02/01</v>
          </cell>
        </row>
        <row r="20">
          <cell r="B20" t="str">
            <v xml:space="preserve">دستگاه مهر زنی </v>
          </cell>
          <cell r="C20" t="str">
            <v>قطعه نو</v>
          </cell>
          <cell r="N20" t="str">
            <v>دریل رادیال</v>
          </cell>
          <cell r="AC20" t="str">
            <v>1405/02/01</v>
          </cell>
        </row>
        <row r="21">
          <cell r="B21" t="str">
            <v>دستگاه پشم فلز آلمانی</v>
          </cell>
          <cell r="C21" t="str">
            <v>قطعه نو</v>
          </cell>
          <cell r="N21" t="str">
            <v>دریل رادیال</v>
          </cell>
          <cell r="AC21" t="str">
            <v>1405/02/01</v>
          </cell>
        </row>
        <row r="22">
          <cell r="B22" t="str">
            <v>قالب پخت کلاچ پیکان آرژانتینی</v>
          </cell>
          <cell r="C22" t="str">
            <v>قالب تعمیری</v>
          </cell>
          <cell r="N22" t="str">
            <v>فرز</v>
          </cell>
          <cell r="AC22" t="str">
            <v>1405/02/01</v>
          </cell>
        </row>
        <row r="23">
          <cell r="B23" t="str">
            <v>قالب پخت کلاچ پیکان</v>
          </cell>
          <cell r="C23" t="str">
            <v>قالب تعمیری</v>
          </cell>
          <cell r="N23" t="str">
            <v>فرز</v>
          </cell>
          <cell r="AC23" t="str">
            <v>1405/02/01</v>
          </cell>
        </row>
        <row r="24">
          <cell r="B24" t="str">
            <v>قالب پخت کلاچ پیکان</v>
          </cell>
          <cell r="C24" t="str">
            <v>قالب تعمیری</v>
          </cell>
          <cell r="N24" t="str">
            <v>فرز</v>
          </cell>
          <cell r="AC24" t="str">
            <v>1405/02/02</v>
          </cell>
        </row>
        <row r="25">
          <cell r="B25" t="str">
            <v>قالب پخت کلاچ پیکان</v>
          </cell>
          <cell r="C25" t="str">
            <v>قالب تعمیری</v>
          </cell>
          <cell r="N25" t="str">
            <v>فرز</v>
          </cell>
          <cell r="AC25" t="str">
            <v>1405/02/02</v>
          </cell>
        </row>
        <row r="26">
          <cell r="B26" t="str">
            <v>قالب خشاب زنی</v>
          </cell>
          <cell r="C26" t="str">
            <v>قطعه تعمیری</v>
          </cell>
          <cell r="N26" t="str">
            <v>تراش</v>
          </cell>
          <cell r="AC26" t="str">
            <v>1405/02/02</v>
          </cell>
        </row>
        <row r="27">
          <cell r="B27" t="str">
            <v>دستگاه پرس پخت</v>
          </cell>
          <cell r="C27" t="str">
            <v>قطعه تعمیری</v>
          </cell>
          <cell r="N27" t="str">
            <v>تراش</v>
          </cell>
          <cell r="AC27" t="str">
            <v>1405/02/02</v>
          </cell>
        </row>
        <row r="28">
          <cell r="B28" t="str">
            <v>پخت کلاچ پراید</v>
          </cell>
          <cell r="C28" t="str">
            <v>قالب تعمیری</v>
          </cell>
          <cell r="N28" t="str">
            <v>سنگ زنی</v>
          </cell>
          <cell r="AC28" t="str">
            <v>1405/02/02</v>
          </cell>
        </row>
        <row r="29">
          <cell r="B29" t="str">
            <v>قالب شیم پژو 405</v>
          </cell>
          <cell r="C29" t="str">
            <v>قالب تعمیری</v>
          </cell>
          <cell r="N29" t="str">
            <v>سنگ زنی</v>
          </cell>
          <cell r="AC29" t="str">
            <v>1405/02/02</v>
          </cell>
        </row>
        <row r="30">
          <cell r="B30" t="str">
            <v>پخت عقب پژو 405 شمشی پایه کوتاه</v>
          </cell>
          <cell r="C30" t="str">
            <v>قالب نو</v>
          </cell>
          <cell r="N30" t="str">
            <v>سنگ زنی</v>
          </cell>
          <cell r="AC30" t="str">
            <v>1405/02/02</v>
          </cell>
        </row>
        <row r="31">
          <cell r="B31" t="str">
            <v>دستگاه پشم فلز آلمانی</v>
          </cell>
          <cell r="C31" t="str">
            <v>قطعه نو</v>
          </cell>
          <cell r="N31" t="str">
            <v>وایر</v>
          </cell>
          <cell r="AC31" t="str">
            <v>1405/02/02</v>
          </cell>
        </row>
        <row r="32">
          <cell r="B32" t="str">
            <v>دستگاه پشم فلز آلمانی</v>
          </cell>
          <cell r="C32" t="str">
            <v>قطعه نو</v>
          </cell>
          <cell r="N32" t="str">
            <v>وایر</v>
          </cell>
          <cell r="AC32" t="str">
            <v>1405/02/02</v>
          </cell>
        </row>
        <row r="33">
          <cell r="B33" t="str">
            <v>قالب پراید خاردار</v>
          </cell>
          <cell r="C33" t="str">
            <v>قالب تعمیری</v>
          </cell>
          <cell r="N33" t="str">
            <v>وایر</v>
          </cell>
          <cell r="AC33" t="str">
            <v>1405/02/02</v>
          </cell>
        </row>
        <row r="34">
          <cell r="B34" t="str">
            <v>دستگاه پشم فلز چینی</v>
          </cell>
          <cell r="C34" t="str">
            <v>قطعه نو</v>
          </cell>
          <cell r="N34" t="str">
            <v>وایر</v>
          </cell>
          <cell r="AC34" t="str">
            <v>1405/02/02</v>
          </cell>
        </row>
        <row r="35">
          <cell r="B35" t="str">
            <v>دستگاه ساب جدید</v>
          </cell>
          <cell r="C35" t="str">
            <v>قطعه نو</v>
          </cell>
          <cell r="N35" t="str">
            <v>تراش</v>
          </cell>
          <cell r="AC35" t="str">
            <v>1405/02/02</v>
          </cell>
        </row>
        <row r="36">
          <cell r="B36" t="str">
            <v>ویوینگ</v>
          </cell>
          <cell r="C36" t="str">
            <v>قطعه نو</v>
          </cell>
          <cell r="N36" t="str">
            <v>تراش</v>
          </cell>
          <cell r="AC36" t="str">
            <v>1405/02/02</v>
          </cell>
        </row>
        <row r="37">
          <cell r="B37" t="str">
            <v>قالب شیم پژو 405</v>
          </cell>
          <cell r="C37" t="str">
            <v>قالب تعمیری</v>
          </cell>
          <cell r="N37" t="str">
            <v>مونتاژ</v>
          </cell>
          <cell r="AC37" t="str">
            <v>1405/02/02</v>
          </cell>
        </row>
        <row r="38">
          <cell r="B38" t="str">
            <v>پخت کلاچ پژو 206 TU5</v>
          </cell>
          <cell r="C38" t="str">
            <v>قالب تعمیری</v>
          </cell>
          <cell r="N38" t="str">
            <v>مونتاژ</v>
          </cell>
          <cell r="AC38" t="str">
            <v>1405/02/02</v>
          </cell>
        </row>
        <row r="39">
          <cell r="B39" t="str">
            <v>ابزار زنی</v>
          </cell>
          <cell r="C39" t="str">
            <v>قطعه نو</v>
          </cell>
          <cell r="N39" t="str">
            <v>تراش</v>
          </cell>
          <cell r="AC39" t="str">
            <v>1405/02/02</v>
          </cell>
        </row>
        <row r="40">
          <cell r="B40" t="str">
            <v>دستگاه ساب سمباده ای</v>
          </cell>
          <cell r="C40" t="str">
            <v>قطعه تعمیری</v>
          </cell>
          <cell r="N40" t="str">
            <v>تراش</v>
          </cell>
          <cell r="AC40" t="str">
            <v>1405/02/02</v>
          </cell>
        </row>
        <row r="41">
          <cell r="B41" t="str">
            <v>دستگاه پرس 600 تن</v>
          </cell>
          <cell r="C41" t="str">
            <v>قطعه نو</v>
          </cell>
          <cell r="N41" t="str">
            <v>تراش</v>
          </cell>
          <cell r="AC41" t="str">
            <v>1405/02/02</v>
          </cell>
        </row>
        <row r="42">
          <cell r="B42" t="str">
            <v>دستگاه سوراخکاری کلاچ</v>
          </cell>
          <cell r="C42" t="str">
            <v>قطعه تعمیری</v>
          </cell>
          <cell r="N42" t="str">
            <v>تراش</v>
          </cell>
          <cell r="AC42" t="str">
            <v>1405/02/02</v>
          </cell>
        </row>
        <row r="43">
          <cell r="B43" t="str">
            <v>قالب پخت کلاچ پیکان</v>
          </cell>
          <cell r="C43" t="str">
            <v>قالب تعمیری</v>
          </cell>
          <cell r="N43" t="str">
            <v>تراش</v>
          </cell>
          <cell r="AC43" t="str">
            <v>1405/02/02</v>
          </cell>
        </row>
        <row r="44">
          <cell r="B44" t="str">
            <v>پخت کلاچ پژو 206 TU5</v>
          </cell>
          <cell r="C44" t="str">
            <v>قالب تعمیری</v>
          </cell>
          <cell r="N44" t="str">
            <v>مونتاژ</v>
          </cell>
          <cell r="AC44" t="str">
            <v>1405/02/02</v>
          </cell>
        </row>
        <row r="45">
          <cell r="B45" t="str">
            <v>دستگاه ساب جدید</v>
          </cell>
          <cell r="C45" t="str">
            <v>قطعه نو</v>
          </cell>
          <cell r="N45" t="str">
            <v>مونتاژ</v>
          </cell>
          <cell r="AC45" t="str">
            <v>1405/02/02</v>
          </cell>
        </row>
        <row r="46">
          <cell r="B46" t="str">
            <v>دستگاه پشم فلز آلمانی</v>
          </cell>
          <cell r="C46" t="str">
            <v>قطعه نو</v>
          </cell>
          <cell r="N46" t="str">
            <v>دریل رادیال</v>
          </cell>
          <cell r="AC46" t="str">
            <v>1405/02/02</v>
          </cell>
        </row>
        <row r="47">
          <cell r="B47" t="str">
            <v>قالب پخت کلاچ پیکان</v>
          </cell>
          <cell r="C47" t="str">
            <v>قالب تعمیری</v>
          </cell>
          <cell r="N47" t="str">
            <v>CNC</v>
          </cell>
          <cell r="AC47" t="str">
            <v>1405/02/03</v>
          </cell>
        </row>
        <row r="48">
          <cell r="B48" t="str">
            <v>قالب پخت کلاچ پژو 405</v>
          </cell>
          <cell r="C48" t="str">
            <v>قالب تعمیری</v>
          </cell>
          <cell r="N48" t="str">
            <v>فرز</v>
          </cell>
          <cell r="AC48" t="str">
            <v>1405/02/03</v>
          </cell>
        </row>
        <row r="49">
          <cell r="B49" t="str">
            <v>قالب پخت کلاچ پیکان</v>
          </cell>
          <cell r="C49" t="str">
            <v>قالب تعمیری</v>
          </cell>
          <cell r="N49" t="str">
            <v>CNC</v>
          </cell>
          <cell r="AC49" t="str">
            <v>1405/02/03</v>
          </cell>
        </row>
        <row r="50">
          <cell r="B50" t="str">
            <v>پخت کلاچ پراید</v>
          </cell>
          <cell r="C50" t="str">
            <v>قالب تعمیری</v>
          </cell>
          <cell r="N50" t="str">
            <v>فرز</v>
          </cell>
          <cell r="AC50" t="str">
            <v>1405/02/03</v>
          </cell>
        </row>
        <row r="51">
          <cell r="B51" t="str">
            <v>همزن مواد</v>
          </cell>
          <cell r="C51" t="str">
            <v>قطعه تعمیری</v>
          </cell>
          <cell r="N51" t="str">
            <v>فرز</v>
          </cell>
          <cell r="AC51" t="str">
            <v>1405/02/03</v>
          </cell>
        </row>
        <row r="52">
          <cell r="B52" t="str">
            <v>پخت عقب پژو 405 شمشی پایه کوتاه</v>
          </cell>
          <cell r="C52" t="str">
            <v>قالب نو</v>
          </cell>
          <cell r="N52" t="str">
            <v>سنگ زنی</v>
          </cell>
          <cell r="AC52" t="str">
            <v>1405/02/03</v>
          </cell>
        </row>
        <row r="53">
          <cell r="B53" t="str">
            <v>پخت کلاچ پراید</v>
          </cell>
          <cell r="C53" t="str">
            <v>قالب تعمیری</v>
          </cell>
          <cell r="N53" t="str">
            <v>سنگ زنی</v>
          </cell>
          <cell r="AC53" t="str">
            <v>1405/02/03</v>
          </cell>
        </row>
        <row r="54">
          <cell r="B54" t="str">
            <v>اصول 5S</v>
          </cell>
          <cell r="C54" t="str">
            <v>نظافت</v>
          </cell>
          <cell r="N54" t="str">
            <v>نظافت</v>
          </cell>
          <cell r="AC54" t="str">
            <v>1405/02/03</v>
          </cell>
        </row>
        <row r="55">
          <cell r="B55" t="str">
            <v>دستگاه شیرینگ</v>
          </cell>
          <cell r="C55" t="str">
            <v>قطعه نو</v>
          </cell>
          <cell r="N55" t="str">
            <v>تراش</v>
          </cell>
          <cell r="AC55" t="str">
            <v>1405/02/03</v>
          </cell>
        </row>
        <row r="56">
          <cell r="B56" t="str">
            <v>ساب کونیک</v>
          </cell>
          <cell r="C56" t="str">
            <v>قطعه نو</v>
          </cell>
          <cell r="N56" t="str">
            <v>تراش</v>
          </cell>
          <cell r="AC56" t="str">
            <v>1405/02/03</v>
          </cell>
        </row>
        <row r="57">
          <cell r="B57" t="str">
            <v>اصول 5S</v>
          </cell>
          <cell r="C57" t="str">
            <v>نظافت</v>
          </cell>
          <cell r="N57" t="str">
            <v>نظافت</v>
          </cell>
          <cell r="AC57" t="str">
            <v>1405/02/03</v>
          </cell>
        </row>
        <row r="58">
          <cell r="B58" t="str">
            <v>ویوینگ</v>
          </cell>
          <cell r="C58" t="str">
            <v>قطعه نو</v>
          </cell>
          <cell r="N58" t="str">
            <v>تراش</v>
          </cell>
          <cell r="AC58" t="str">
            <v>1405/02/03</v>
          </cell>
        </row>
        <row r="59">
          <cell r="B59" t="str">
            <v>دستگاه پشم فلز آلمانی</v>
          </cell>
          <cell r="C59" t="str">
            <v>قطعه نو</v>
          </cell>
          <cell r="N59" t="str">
            <v>وایر</v>
          </cell>
          <cell r="AC59" t="str">
            <v>1405/02/03</v>
          </cell>
        </row>
        <row r="60">
          <cell r="B60" t="str">
            <v>ساب کلاچ</v>
          </cell>
          <cell r="C60" t="str">
            <v>قطعه نو</v>
          </cell>
          <cell r="N60" t="str">
            <v>وایر</v>
          </cell>
          <cell r="AC60" t="str">
            <v>1405/02/03</v>
          </cell>
        </row>
        <row r="61">
          <cell r="B61" t="str">
            <v>ویوینگ</v>
          </cell>
          <cell r="C61" t="str">
            <v>قطعه تعمیری</v>
          </cell>
          <cell r="N61" t="str">
            <v>وایر</v>
          </cell>
          <cell r="AC61" t="str">
            <v>1405/02/03</v>
          </cell>
        </row>
        <row r="62">
          <cell r="B62" t="str">
            <v>قالب پراید خاردار</v>
          </cell>
          <cell r="C62" t="str">
            <v>قالب تعمیری</v>
          </cell>
          <cell r="N62" t="str">
            <v>وایر</v>
          </cell>
          <cell r="AC62" t="str">
            <v>1405/02/03</v>
          </cell>
        </row>
        <row r="63">
          <cell r="B63" t="str">
            <v>دستگاه پشم فلز چینی</v>
          </cell>
          <cell r="C63" t="str">
            <v>قطعه نو</v>
          </cell>
          <cell r="N63" t="str">
            <v>وایر</v>
          </cell>
          <cell r="AC63" t="str">
            <v>1405/02/03</v>
          </cell>
        </row>
        <row r="64">
          <cell r="B64" t="str">
            <v>قالب خشاب زنی</v>
          </cell>
          <cell r="C64" t="str">
            <v>قطعه تعمیری</v>
          </cell>
          <cell r="N64" t="str">
            <v>تراش</v>
          </cell>
          <cell r="AC64" t="str">
            <v>1405/02/03</v>
          </cell>
        </row>
        <row r="65">
          <cell r="B65" t="str">
            <v>ساب کونیک</v>
          </cell>
          <cell r="C65" t="str">
            <v>قطعه نو</v>
          </cell>
          <cell r="N65" t="str">
            <v>تراش</v>
          </cell>
          <cell r="AC65" t="str">
            <v>1405/02/03</v>
          </cell>
        </row>
        <row r="66">
          <cell r="B66" t="str">
            <v>همزن مواد</v>
          </cell>
          <cell r="C66" t="str">
            <v>قطعه تعمیری</v>
          </cell>
          <cell r="N66" t="str">
            <v>تراش</v>
          </cell>
          <cell r="AC66" t="str">
            <v>1405/02/03</v>
          </cell>
        </row>
        <row r="67">
          <cell r="B67" t="str">
            <v>قالب پخت کلاچ پیکان</v>
          </cell>
          <cell r="C67" t="str">
            <v>قالب تعمیری</v>
          </cell>
          <cell r="N67" t="str">
            <v>CNC</v>
          </cell>
          <cell r="AC67" t="str">
            <v>1405/02/02</v>
          </cell>
        </row>
        <row r="68">
          <cell r="B68" t="str">
            <v>قالب 309 سوراخدار</v>
          </cell>
          <cell r="C68" t="str">
            <v>قالب تعمیری</v>
          </cell>
          <cell r="N68" t="str">
            <v>مونتاژ</v>
          </cell>
          <cell r="AC68" t="str">
            <v>1405/02/03</v>
          </cell>
        </row>
        <row r="69">
          <cell r="B69" t="str">
            <v>قالب پخت کلاچ پیکان آرژانتینی</v>
          </cell>
          <cell r="C69" t="str">
            <v>قالب تعمیری</v>
          </cell>
          <cell r="N69" t="str">
            <v>مونتاژ</v>
          </cell>
          <cell r="AC69" t="str">
            <v>1405/02/03</v>
          </cell>
        </row>
        <row r="70">
          <cell r="B70" t="str">
            <v xml:space="preserve">پخت کلاچ پراید سکو </v>
          </cell>
          <cell r="C70" t="str">
            <v>قالب تعمیری</v>
          </cell>
          <cell r="N70" t="str">
            <v>مونتاژ</v>
          </cell>
          <cell r="AC70" t="str">
            <v>1405/02/03</v>
          </cell>
        </row>
        <row r="71">
          <cell r="B71" t="str">
            <v>اصول 5S</v>
          </cell>
          <cell r="C71" t="str">
            <v>نظافت</v>
          </cell>
          <cell r="N71" t="str">
            <v>نظافت</v>
          </cell>
          <cell r="AC71" t="str">
            <v>1405/02/03</v>
          </cell>
        </row>
        <row r="72">
          <cell r="B72" t="str">
            <v>قالب 309 سوراخدار</v>
          </cell>
          <cell r="C72" t="str">
            <v>قالب تعمیری</v>
          </cell>
          <cell r="N72" t="str">
            <v>مونتاژ</v>
          </cell>
          <cell r="AC72" t="str">
            <v>1405/02/03</v>
          </cell>
        </row>
        <row r="73">
          <cell r="B73" t="str">
            <v>قالب پخت کلاچ پیکان آرژانتینی</v>
          </cell>
          <cell r="C73" t="str">
            <v>قالب تعمیری</v>
          </cell>
          <cell r="N73" t="str">
            <v>مونتاژ</v>
          </cell>
          <cell r="AC73" t="str">
            <v>1405/02/03</v>
          </cell>
        </row>
        <row r="74">
          <cell r="B74" t="str">
            <v xml:space="preserve">پخت کلاچ پراید سکو </v>
          </cell>
          <cell r="C74" t="str">
            <v>قالب تعمیری</v>
          </cell>
          <cell r="N74" t="str">
            <v>مونتاژ</v>
          </cell>
          <cell r="AC74" t="str">
            <v>1405/02/03</v>
          </cell>
        </row>
        <row r="75">
          <cell r="B75" t="str">
            <v>اصول 5S</v>
          </cell>
          <cell r="C75" t="str">
            <v>نظافت</v>
          </cell>
          <cell r="N75" t="str">
            <v>نظافت</v>
          </cell>
          <cell r="AC75" t="str">
            <v>1405/02/03</v>
          </cell>
        </row>
        <row r="76">
          <cell r="B76" t="str">
            <v>قالب پخت کلاچ پیکان آرژانتینی</v>
          </cell>
          <cell r="C76" t="str">
            <v>قالب تعمیری</v>
          </cell>
          <cell r="N76" t="str">
            <v>فرز</v>
          </cell>
          <cell r="AC76" t="str">
            <v>1405/02/05</v>
          </cell>
        </row>
        <row r="77">
          <cell r="B77" t="str">
            <v>برش جمعی عقب ریو</v>
          </cell>
          <cell r="C77" t="str">
            <v>قطعه نو</v>
          </cell>
          <cell r="N77" t="str">
            <v>تراش</v>
          </cell>
          <cell r="AC77" t="str">
            <v>1405/02/05</v>
          </cell>
        </row>
        <row r="78">
          <cell r="B78" t="str">
            <v>دستگاه پشم فلز</v>
          </cell>
          <cell r="C78" t="str">
            <v>قطعه تعمیری</v>
          </cell>
          <cell r="N78" t="str">
            <v>فرز</v>
          </cell>
          <cell r="AC78" t="str">
            <v>1405/02/05</v>
          </cell>
        </row>
        <row r="79">
          <cell r="B79" t="str">
            <v>قالب 309 سوراخدار</v>
          </cell>
          <cell r="C79" t="str">
            <v>قالب تعمیری</v>
          </cell>
          <cell r="N79" t="str">
            <v>CNC</v>
          </cell>
          <cell r="AC79" t="str">
            <v>1405/02/05</v>
          </cell>
        </row>
        <row r="80">
          <cell r="B80" t="str">
            <v>پین عقب پژو 405</v>
          </cell>
          <cell r="C80" t="str">
            <v>قطعه نو</v>
          </cell>
          <cell r="N80" t="str">
            <v>سری تراش</v>
          </cell>
          <cell r="AC80" t="str">
            <v>1405/02/05</v>
          </cell>
        </row>
        <row r="81">
          <cell r="B81" t="str">
            <v>قالب پخت کلاچ پیکان</v>
          </cell>
          <cell r="C81" t="str">
            <v>قالب تعمیری</v>
          </cell>
          <cell r="N81" t="str">
            <v>CNC</v>
          </cell>
          <cell r="AC81" t="str">
            <v>1405/02/05</v>
          </cell>
        </row>
        <row r="82">
          <cell r="B82" t="str">
            <v>قالب جلو ریو</v>
          </cell>
          <cell r="C82" t="str">
            <v>قالب تعمیری</v>
          </cell>
          <cell r="N82" t="str">
            <v>CNC</v>
          </cell>
          <cell r="AC82" t="str">
            <v>1405/02/05</v>
          </cell>
        </row>
        <row r="83">
          <cell r="B83" t="str">
            <v>پخت کلاچ پراید</v>
          </cell>
          <cell r="C83" t="str">
            <v>قالب تعمیری</v>
          </cell>
          <cell r="N83" t="str">
            <v>فرز</v>
          </cell>
          <cell r="AC83" t="str">
            <v>1405/02/05</v>
          </cell>
        </row>
        <row r="84">
          <cell r="B84" t="str">
            <v>پخت کلاچ پراید</v>
          </cell>
          <cell r="C84" t="str">
            <v>قالب تعمیری</v>
          </cell>
          <cell r="N84" t="str">
            <v>فرز</v>
          </cell>
          <cell r="AC84" t="str">
            <v>1405/02/05</v>
          </cell>
        </row>
        <row r="85">
          <cell r="B85" t="str">
            <v>پخت کلاچ پراید</v>
          </cell>
          <cell r="C85" t="str">
            <v>قالب تعمیری</v>
          </cell>
          <cell r="N85" t="str">
            <v>سنگ زنی</v>
          </cell>
          <cell r="AC85" t="str">
            <v>1405/02/05</v>
          </cell>
        </row>
        <row r="86">
          <cell r="B86" t="str">
            <v>پخت کلاچ پراید</v>
          </cell>
          <cell r="C86" t="str">
            <v>قالب تعمیری</v>
          </cell>
          <cell r="N86" t="str">
            <v>سنگ زنی</v>
          </cell>
          <cell r="AC86" t="str">
            <v>1405/02/05</v>
          </cell>
        </row>
        <row r="87">
          <cell r="B87" t="str">
            <v>قالب پخت کلاچ پژو 405</v>
          </cell>
          <cell r="C87" t="str">
            <v>قالب تعمیری</v>
          </cell>
          <cell r="N87" t="str">
            <v>سنگ زنی</v>
          </cell>
          <cell r="AC87" t="str">
            <v>1405/02/05</v>
          </cell>
        </row>
        <row r="88">
          <cell r="B88" t="str">
            <v>پخت کلاچ پراید</v>
          </cell>
          <cell r="C88" t="str">
            <v>قالب تعمیری</v>
          </cell>
          <cell r="N88" t="str">
            <v>سنگ زنی</v>
          </cell>
          <cell r="AC88" t="str">
            <v>1405/02/05</v>
          </cell>
        </row>
        <row r="89">
          <cell r="B89" t="str">
            <v>قالب پخت کلاچ پژو 405</v>
          </cell>
          <cell r="C89" t="str">
            <v>قالب تعمیری</v>
          </cell>
          <cell r="N89" t="str">
            <v>سنگ زنی</v>
          </cell>
          <cell r="AC89" t="str">
            <v>1405/02/05</v>
          </cell>
        </row>
        <row r="90">
          <cell r="B90" t="str">
            <v>قالب پخت کلاچ پژو 405</v>
          </cell>
          <cell r="C90" t="str">
            <v>قالب تعمیری</v>
          </cell>
          <cell r="N90" t="str">
            <v>سنگ زنی</v>
          </cell>
          <cell r="AC90" t="str">
            <v>1405/02/05</v>
          </cell>
        </row>
        <row r="91">
          <cell r="B91" t="str">
            <v>قالب شیم پژو 405</v>
          </cell>
          <cell r="C91" t="str">
            <v>قالب تعمیری</v>
          </cell>
          <cell r="N91" t="str">
            <v>سنگ زنی</v>
          </cell>
          <cell r="AC91" t="str">
            <v>1405/02/05</v>
          </cell>
        </row>
        <row r="92">
          <cell r="B92" t="str">
            <v>ساب کونیک</v>
          </cell>
          <cell r="C92" t="str">
            <v>قطعه نو</v>
          </cell>
          <cell r="N92" t="str">
            <v>تراش</v>
          </cell>
          <cell r="AC92" t="str">
            <v>1405/02/05</v>
          </cell>
        </row>
        <row r="93">
          <cell r="B93" t="str">
            <v>پرچ زنی</v>
          </cell>
          <cell r="C93" t="str">
            <v>قطعه تعمیری</v>
          </cell>
          <cell r="N93" t="str">
            <v>تراش</v>
          </cell>
          <cell r="AC93" t="str">
            <v>1405/02/05</v>
          </cell>
        </row>
        <row r="94">
          <cell r="B94" t="str">
            <v>پرس پخت</v>
          </cell>
          <cell r="C94" t="str">
            <v>قطعه تعمیری</v>
          </cell>
          <cell r="N94" t="str">
            <v>تراش</v>
          </cell>
          <cell r="AC94" t="str">
            <v>1405/02/05</v>
          </cell>
        </row>
        <row r="95">
          <cell r="B95" t="str">
            <v>پرس پخت</v>
          </cell>
          <cell r="C95" t="str">
            <v>قطعه تعمیری</v>
          </cell>
          <cell r="N95" t="str">
            <v>تراش</v>
          </cell>
          <cell r="AC95" t="str">
            <v>1405/02/05</v>
          </cell>
        </row>
        <row r="96">
          <cell r="B96" t="str">
            <v>برش جمعی عقب ریو</v>
          </cell>
          <cell r="C96" t="str">
            <v>قطعه نو</v>
          </cell>
          <cell r="N96" t="str">
            <v>اره لنگ</v>
          </cell>
          <cell r="AC96" t="str">
            <v>1405/02/05</v>
          </cell>
        </row>
        <row r="97">
          <cell r="B97" t="str">
            <v>پرس پخت</v>
          </cell>
          <cell r="C97" t="str">
            <v>قطعه تعمیری</v>
          </cell>
          <cell r="N97" t="str">
            <v>مونتاژ</v>
          </cell>
          <cell r="AC97" t="str">
            <v>1405/02/05</v>
          </cell>
        </row>
        <row r="98">
          <cell r="B98" t="str">
            <v>پخت کلاچ پژو 206 TU5</v>
          </cell>
          <cell r="C98" t="str">
            <v>قالب تعمیری</v>
          </cell>
          <cell r="N98" t="str">
            <v>مونتاژ</v>
          </cell>
          <cell r="AC98" t="str">
            <v>1405/02/05</v>
          </cell>
        </row>
        <row r="99">
          <cell r="B99" t="str">
            <v xml:space="preserve">پخت کلاچ پراید سکو </v>
          </cell>
          <cell r="C99" t="str">
            <v>قالب تعمیری</v>
          </cell>
          <cell r="N99" t="str">
            <v>مونتاژ</v>
          </cell>
          <cell r="AC99" t="str">
            <v>1405/02/05</v>
          </cell>
        </row>
        <row r="100">
          <cell r="B100" t="str">
            <v>دستگاه پشم فلز آلمانی</v>
          </cell>
          <cell r="C100" t="str">
            <v>قطعه نو</v>
          </cell>
          <cell r="N100" t="str">
            <v>دریل رادیال</v>
          </cell>
          <cell r="AC100" t="str">
            <v>1405/02/05</v>
          </cell>
        </row>
        <row r="101">
          <cell r="B101" t="str">
            <v>پخت کلاچ پژو 206 TU5</v>
          </cell>
          <cell r="C101" t="str">
            <v>قالب تعمیری</v>
          </cell>
          <cell r="N101" t="str">
            <v>مونتاژ</v>
          </cell>
          <cell r="AC101" t="str">
            <v>1405/02/05</v>
          </cell>
        </row>
        <row r="102">
          <cell r="B102" t="str">
            <v xml:space="preserve">پخت کلاچ پراید سکو </v>
          </cell>
          <cell r="C102" t="str">
            <v>قالب تعمیری</v>
          </cell>
          <cell r="N102" t="str">
            <v>مونتاژ</v>
          </cell>
          <cell r="AC102" t="str">
            <v>1405/02/05</v>
          </cell>
        </row>
        <row r="103">
          <cell r="B103" t="str">
            <v>ساب کلاچ</v>
          </cell>
          <cell r="C103" t="str">
            <v>قطعه نو</v>
          </cell>
          <cell r="N103" t="str">
            <v>وایر</v>
          </cell>
          <cell r="AC103" t="str">
            <v>1405/02/05</v>
          </cell>
        </row>
        <row r="104">
          <cell r="B104" t="str">
            <v>ویوینگ</v>
          </cell>
          <cell r="C104" t="str">
            <v>قطعه تعمیری</v>
          </cell>
          <cell r="N104" t="str">
            <v>وایر</v>
          </cell>
          <cell r="AC104" t="str">
            <v>1405/02/05</v>
          </cell>
        </row>
        <row r="105">
          <cell r="B105" t="str">
            <v>قالب پراید خاردار</v>
          </cell>
          <cell r="C105" t="str">
            <v>قالب تعمیری</v>
          </cell>
          <cell r="N105" t="str">
            <v>وایر</v>
          </cell>
          <cell r="AC105" t="str">
            <v>1405/02/05</v>
          </cell>
        </row>
        <row r="106">
          <cell r="B106" t="str">
            <v>ویوینگ</v>
          </cell>
          <cell r="C106" t="str">
            <v>قطعه تعمیری</v>
          </cell>
          <cell r="N106" t="str">
            <v>وایر</v>
          </cell>
          <cell r="AC106" t="str">
            <v>1405/02/05</v>
          </cell>
        </row>
        <row r="107">
          <cell r="B107" t="str">
            <v>قالب پخت کلاچ پیکان آرژانتینی</v>
          </cell>
          <cell r="C107" t="str">
            <v>قالب تعمیری</v>
          </cell>
          <cell r="N107" t="str">
            <v>وایر</v>
          </cell>
          <cell r="AC107" t="str">
            <v>1405/02/05</v>
          </cell>
        </row>
        <row r="108">
          <cell r="B108" t="str">
            <v>ویوینگ</v>
          </cell>
          <cell r="C108" t="str">
            <v>قطعه نو</v>
          </cell>
          <cell r="N108" t="str">
            <v>وایر</v>
          </cell>
          <cell r="AC108" t="str">
            <v>1405/02/05</v>
          </cell>
        </row>
        <row r="109">
          <cell r="B109" t="str">
            <v>دستگاه پشم فلز چینی</v>
          </cell>
          <cell r="C109" t="str">
            <v>قطعه نو</v>
          </cell>
          <cell r="N109" t="str">
            <v>وایر</v>
          </cell>
          <cell r="AC109" t="str">
            <v>1405/02/05</v>
          </cell>
        </row>
        <row r="110">
          <cell r="B110" t="str">
            <v>پین عقب پژو 405</v>
          </cell>
          <cell r="C110" t="str">
            <v>قطعه نو</v>
          </cell>
          <cell r="N110" t="str">
            <v>سری تراش</v>
          </cell>
          <cell r="AC110" t="str">
            <v>1405/02/06</v>
          </cell>
        </row>
        <row r="111">
          <cell r="B111" t="str">
            <v>قالب پخت کلاچ پیکان</v>
          </cell>
          <cell r="C111" t="str">
            <v>قالب تعمیری</v>
          </cell>
          <cell r="N111" t="str">
            <v>فرز</v>
          </cell>
          <cell r="AC111" t="str">
            <v>1405/02/06</v>
          </cell>
        </row>
        <row r="112">
          <cell r="B112" t="str">
            <v>دستگاه پشم فلز</v>
          </cell>
          <cell r="C112" t="str">
            <v>قطعه تعمیری</v>
          </cell>
          <cell r="N112" t="str">
            <v>فرز</v>
          </cell>
          <cell r="AC112" t="str">
            <v>1405/02/06</v>
          </cell>
        </row>
        <row r="113">
          <cell r="B113" t="str">
            <v>قالب جلو ریو</v>
          </cell>
          <cell r="C113" t="str">
            <v>قالب تعمیری</v>
          </cell>
          <cell r="N113" t="str">
            <v>CNC</v>
          </cell>
          <cell r="AC113" t="str">
            <v>1405/02/06</v>
          </cell>
        </row>
        <row r="114">
          <cell r="B114" t="str">
            <v>قالب 309 سوراخدار</v>
          </cell>
          <cell r="C114" t="str">
            <v>قالب تعمیری</v>
          </cell>
          <cell r="N114" t="str">
            <v>CNC</v>
          </cell>
          <cell r="AC114" t="str">
            <v>1405/02/06</v>
          </cell>
        </row>
        <row r="115">
          <cell r="B115" t="str">
            <v>پخت کلاچ پراید</v>
          </cell>
          <cell r="C115" t="str">
            <v>قالب تعمیری</v>
          </cell>
          <cell r="N115" t="str">
            <v>CNC</v>
          </cell>
          <cell r="AC115" t="str">
            <v>1405/02/06</v>
          </cell>
        </row>
        <row r="116">
          <cell r="B116" t="str">
            <v>پخت کلاچ پراید</v>
          </cell>
          <cell r="C116" t="str">
            <v>قالب تعمیری</v>
          </cell>
          <cell r="N116" t="str">
            <v>فرز</v>
          </cell>
          <cell r="AC116" t="str">
            <v>1405/02/06</v>
          </cell>
        </row>
        <row r="117">
          <cell r="B117" t="str">
            <v>قالب پخت کلاچ پژو 405</v>
          </cell>
          <cell r="C117" t="str">
            <v>قالب تعمیری</v>
          </cell>
          <cell r="N117" t="str">
            <v>فرز</v>
          </cell>
          <cell r="AC117" t="str">
            <v>1405/02/06</v>
          </cell>
        </row>
        <row r="118">
          <cell r="B118" t="str">
            <v>ساب کلاچ</v>
          </cell>
          <cell r="C118" t="str">
            <v>قطعه نو</v>
          </cell>
          <cell r="N118" t="str">
            <v>وایر</v>
          </cell>
          <cell r="AC118" t="str">
            <v>1405/02/06</v>
          </cell>
        </row>
        <row r="119">
          <cell r="B119" t="str">
            <v>Hammer Mill Machine</v>
          </cell>
          <cell r="C119" t="str">
            <v>دستگاه نو</v>
          </cell>
          <cell r="N119" t="str">
            <v>وایر</v>
          </cell>
          <cell r="AC119" t="str">
            <v>1405/02/06</v>
          </cell>
        </row>
        <row r="120">
          <cell r="B120" t="str">
            <v>ساب کونیک</v>
          </cell>
          <cell r="C120" t="str">
            <v>قطعه نو</v>
          </cell>
          <cell r="N120" t="str">
            <v>وایر</v>
          </cell>
          <cell r="AC120" t="str">
            <v>1405/02/06</v>
          </cell>
        </row>
        <row r="121">
          <cell r="B121" t="str">
            <v>دستگاه پشم فلز چینی</v>
          </cell>
          <cell r="C121" t="str">
            <v>قطعه نو</v>
          </cell>
          <cell r="N121" t="str">
            <v>وایر</v>
          </cell>
          <cell r="AC121" t="str">
            <v>1405/02/06</v>
          </cell>
        </row>
        <row r="122">
          <cell r="B122" t="str">
            <v>برش جمعی عقب ریو</v>
          </cell>
          <cell r="C122" t="str">
            <v>قطعه نو</v>
          </cell>
          <cell r="N122" t="str">
            <v>وایر</v>
          </cell>
          <cell r="AC122" t="str">
            <v>1405/02/06</v>
          </cell>
        </row>
        <row r="123">
          <cell r="B123" t="str">
            <v>دستگاه ساب سمباده ای</v>
          </cell>
          <cell r="C123" t="str">
            <v>قطعه تعمیری</v>
          </cell>
          <cell r="N123" t="str">
            <v>تراش</v>
          </cell>
          <cell r="AC123" t="str">
            <v>1405/02/06</v>
          </cell>
        </row>
        <row r="124">
          <cell r="B124" t="str">
            <v>پمپ</v>
          </cell>
          <cell r="C124" t="str">
            <v>قطعه نو</v>
          </cell>
          <cell r="N124" t="str">
            <v>تراش</v>
          </cell>
          <cell r="AC124" t="str">
            <v>1405/02/06</v>
          </cell>
        </row>
        <row r="125">
          <cell r="B125" t="str">
            <v>برش جمعی عقب ریو</v>
          </cell>
          <cell r="C125" t="str">
            <v>قطعه نو</v>
          </cell>
          <cell r="N125" t="str">
            <v>تراش</v>
          </cell>
          <cell r="AC125" t="str">
            <v>1405/02/06</v>
          </cell>
        </row>
        <row r="126">
          <cell r="B126" t="str">
            <v>پخت کلاچ پراید</v>
          </cell>
          <cell r="C126" t="str">
            <v>قالب تعمیری</v>
          </cell>
          <cell r="N126" t="str">
            <v>تراش</v>
          </cell>
          <cell r="AC126" t="str">
            <v>1405/02/06</v>
          </cell>
        </row>
        <row r="127">
          <cell r="B127" t="str">
            <v xml:space="preserve">پخت کلاچ پراید سکو </v>
          </cell>
          <cell r="C127" t="str">
            <v>قالب تعمیری</v>
          </cell>
          <cell r="N127" t="str">
            <v>مونتاژ</v>
          </cell>
          <cell r="AC127" t="str">
            <v>1405/02/06</v>
          </cell>
        </row>
        <row r="128">
          <cell r="B128" t="str">
            <v>قالب پخت کلاچ پیکان آرژانتینی</v>
          </cell>
          <cell r="C128" t="str">
            <v>قالب تعمیری</v>
          </cell>
          <cell r="N128" t="str">
            <v>مونتاژ</v>
          </cell>
          <cell r="AC128" t="str">
            <v>1405/02/06</v>
          </cell>
        </row>
        <row r="129">
          <cell r="B129" t="str">
            <v>قالب 309 سوراخدار</v>
          </cell>
          <cell r="C129" t="str">
            <v>قالب تعمیری</v>
          </cell>
          <cell r="N129" t="str">
            <v>مونتاژ</v>
          </cell>
          <cell r="AC129" t="str">
            <v>1405/02/06</v>
          </cell>
        </row>
        <row r="130">
          <cell r="B130" t="str">
            <v>قالب شیم پژو 405</v>
          </cell>
          <cell r="C130" t="str">
            <v>قالب تعمیری</v>
          </cell>
          <cell r="N130" t="str">
            <v>مونتاژ</v>
          </cell>
          <cell r="AC130" t="str">
            <v>1405/02/06</v>
          </cell>
        </row>
        <row r="131">
          <cell r="B131" t="str">
            <v>قالب پژو 405 دیسکی</v>
          </cell>
          <cell r="C131" t="str">
            <v>قالب تعمیری</v>
          </cell>
          <cell r="N131" t="str">
            <v>مونتاژ</v>
          </cell>
          <cell r="AC131" t="str">
            <v>1405/02/06</v>
          </cell>
        </row>
        <row r="132">
          <cell r="B132" t="str">
            <v>دریل سوراخکاری</v>
          </cell>
          <cell r="C132" t="str">
            <v>قطعه نو</v>
          </cell>
          <cell r="N132" t="str">
            <v>تراش</v>
          </cell>
          <cell r="AC132" t="str">
            <v>1405/02/06</v>
          </cell>
        </row>
        <row r="133">
          <cell r="B133" t="str">
            <v>دریل سوراخکاری</v>
          </cell>
          <cell r="C133" t="str">
            <v>قطعه تعمیری</v>
          </cell>
          <cell r="N133" t="str">
            <v>تراش</v>
          </cell>
          <cell r="AC133" t="str">
            <v>1405/02/06</v>
          </cell>
        </row>
        <row r="134">
          <cell r="B134" t="str">
            <v>دریل سوراخکاری</v>
          </cell>
          <cell r="C134" t="str">
            <v>قطعه تعمیری</v>
          </cell>
          <cell r="N134" t="str">
            <v>تراش</v>
          </cell>
          <cell r="AC134" t="str">
            <v>1405/02/06</v>
          </cell>
        </row>
        <row r="135">
          <cell r="B135" t="str">
            <v>فرز 7103</v>
          </cell>
          <cell r="C135" t="str">
            <v>قطعه نو</v>
          </cell>
          <cell r="N135" t="str">
            <v>تراش</v>
          </cell>
          <cell r="AC135" t="str">
            <v>1405/02/06</v>
          </cell>
        </row>
        <row r="136">
          <cell r="B136" t="str">
            <v xml:space="preserve">پخت کلاچ پراید سکو </v>
          </cell>
          <cell r="C136" t="str">
            <v>قالب تعمیری</v>
          </cell>
          <cell r="N136" t="str">
            <v>مونتاژ</v>
          </cell>
          <cell r="AC136" t="str">
            <v>1405/02/06</v>
          </cell>
        </row>
        <row r="137">
          <cell r="B137" t="str">
            <v>قالب پخت کلاچ پیکان آرژانتینی</v>
          </cell>
          <cell r="C137" t="str">
            <v>قالب تعمیری</v>
          </cell>
          <cell r="N137" t="str">
            <v>مونتاژ</v>
          </cell>
          <cell r="AC137" t="str">
            <v>1405/02/06</v>
          </cell>
        </row>
        <row r="138">
          <cell r="B138" t="str">
            <v>قالب 309 سوراخدار</v>
          </cell>
          <cell r="C138" t="str">
            <v>قالب تعمیری</v>
          </cell>
          <cell r="N138" t="str">
            <v>مونتاژ</v>
          </cell>
          <cell r="AC138" t="str">
            <v>1405/02/06</v>
          </cell>
        </row>
        <row r="139">
          <cell r="B139" t="str">
            <v>قالب پژو 405 دیسکی</v>
          </cell>
          <cell r="C139" t="str">
            <v>قالب تعمیری</v>
          </cell>
          <cell r="N139" t="str">
            <v>مونتاژ</v>
          </cell>
          <cell r="AC139" t="str">
            <v>1405/02/06</v>
          </cell>
        </row>
        <row r="140">
          <cell r="B140" t="str">
            <v>قالب جلو ریو</v>
          </cell>
          <cell r="C140" t="str">
            <v>قالب تعمیری</v>
          </cell>
          <cell r="N140" t="str">
            <v>سنگ زنی</v>
          </cell>
          <cell r="AC140" t="str">
            <v>1405/02/06</v>
          </cell>
        </row>
        <row r="141">
          <cell r="B141" t="str">
            <v>قالب پخت کلاچ پیکان آرژانتینی</v>
          </cell>
          <cell r="C141" t="str">
            <v>قالب تعمیری</v>
          </cell>
          <cell r="N141" t="str">
            <v>سنگ زنی</v>
          </cell>
          <cell r="AC141" t="str">
            <v>1405/02/06</v>
          </cell>
        </row>
        <row r="142">
          <cell r="B142" t="str">
            <v>پخت عقب پژو 405 شمشی پایه کوتاه</v>
          </cell>
          <cell r="C142" t="str">
            <v>قالب نو</v>
          </cell>
          <cell r="N142" t="str">
            <v>سنگ زنی</v>
          </cell>
          <cell r="AC142" t="str">
            <v>1405/02/06</v>
          </cell>
        </row>
        <row r="143">
          <cell r="B143" t="str">
            <v>پخت عقب پژو 405 شمشی پایه کوتاه</v>
          </cell>
          <cell r="C143" t="str">
            <v>قالب نو</v>
          </cell>
          <cell r="N143" t="str">
            <v>سنگ زنی</v>
          </cell>
          <cell r="AC143" t="str">
            <v>1405/02/07</v>
          </cell>
        </row>
        <row r="144">
          <cell r="B144" t="str">
            <v>قالب شیم پژو 405</v>
          </cell>
          <cell r="C144" t="str">
            <v>قالب تعمیری</v>
          </cell>
          <cell r="N144" t="str">
            <v>سنگ زنی</v>
          </cell>
          <cell r="AC144" t="str">
            <v>1405/02/07</v>
          </cell>
        </row>
        <row r="145">
          <cell r="B145" t="str">
            <v>دستگاه پشم فلز چینی</v>
          </cell>
          <cell r="C145" t="str">
            <v>قطعه نو</v>
          </cell>
          <cell r="N145" t="str">
            <v>سنگ زنی</v>
          </cell>
          <cell r="AC145" t="str">
            <v>1405/02/07</v>
          </cell>
        </row>
        <row r="146">
          <cell r="B146" t="str">
            <v>پخت کلاچ پراید</v>
          </cell>
          <cell r="C146" t="str">
            <v>قالب تعمیری</v>
          </cell>
          <cell r="N146" t="str">
            <v>CNC</v>
          </cell>
          <cell r="AC146" t="str">
            <v>1405/02/07</v>
          </cell>
        </row>
        <row r="147">
          <cell r="B147" t="str">
            <v>قالب پخت کلاچ پیکان</v>
          </cell>
          <cell r="C147" t="str">
            <v>قالب تعمیری</v>
          </cell>
          <cell r="N147" t="str">
            <v>CNC</v>
          </cell>
          <cell r="AC147" t="str">
            <v>1405/02/07</v>
          </cell>
        </row>
        <row r="148">
          <cell r="B148" t="str">
            <v>قالب پخت کلاچ پیکان</v>
          </cell>
          <cell r="C148" t="str">
            <v>قالب تعمیری</v>
          </cell>
          <cell r="N148" t="str">
            <v>CNC</v>
          </cell>
          <cell r="AC148" t="str">
            <v>1405/02/07</v>
          </cell>
        </row>
        <row r="149">
          <cell r="B149" t="str">
            <v>پین عقب پژو 405</v>
          </cell>
          <cell r="C149" t="str">
            <v>قطعه نو</v>
          </cell>
          <cell r="N149" t="str">
            <v>سری تراش</v>
          </cell>
          <cell r="AC149" t="str">
            <v>1405/02/07</v>
          </cell>
        </row>
        <row r="150">
          <cell r="B150" t="str">
            <v>ساب کلاچ</v>
          </cell>
          <cell r="C150" t="str">
            <v>قطعه تعمیری</v>
          </cell>
          <cell r="N150" t="str">
            <v>تراش</v>
          </cell>
          <cell r="AC150" t="str">
            <v>1405/02/07</v>
          </cell>
        </row>
        <row r="151">
          <cell r="B151" t="str">
            <v>قالب پخت کلاچ پژو 405</v>
          </cell>
          <cell r="C151" t="str">
            <v>قالب تعمیری</v>
          </cell>
          <cell r="N151" t="str">
            <v>سنگ زنی</v>
          </cell>
          <cell r="AC151" t="str">
            <v>1405/02/07</v>
          </cell>
        </row>
        <row r="152">
          <cell r="B152" t="str">
            <v>قالب پخت کلاچ پژو 405</v>
          </cell>
          <cell r="C152" t="str">
            <v>قالب تعمیری</v>
          </cell>
          <cell r="N152" t="str">
            <v>سنگ زنی</v>
          </cell>
          <cell r="AC152" t="str">
            <v>1405/02/07</v>
          </cell>
        </row>
        <row r="153">
          <cell r="B153" t="str">
            <v>دستگاه پشم فلز</v>
          </cell>
          <cell r="C153" t="str">
            <v>قطعه تعمیری</v>
          </cell>
          <cell r="N153" t="str">
            <v>فرز</v>
          </cell>
          <cell r="AC153" t="str">
            <v>1405/02/07</v>
          </cell>
        </row>
        <row r="154">
          <cell r="B154" t="str">
            <v>پخت عقب پژو 405 شمشی پایه کوتاه</v>
          </cell>
          <cell r="C154" t="str">
            <v>قالب نو</v>
          </cell>
          <cell r="N154" t="str">
            <v>فرز</v>
          </cell>
          <cell r="AC154" t="str">
            <v>1405/02/07</v>
          </cell>
        </row>
        <row r="155">
          <cell r="B155" t="str">
            <v>پخت کلاچ پراید</v>
          </cell>
          <cell r="C155" t="str">
            <v>قالب تعمیری</v>
          </cell>
          <cell r="N155" t="str">
            <v>تراش</v>
          </cell>
          <cell r="AC155" t="str">
            <v>1405/02/07</v>
          </cell>
        </row>
        <row r="156">
          <cell r="B156" t="str">
            <v>ویوینگ</v>
          </cell>
          <cell r="C156" t="str">
            <v>قطعه نو</v>
          </cell>
          <cell r="N156" t="str">
            <v>تراش</v>
          </cell>
          <cell r="AC156" t="str">
            <v>1405/02/07</v>
          </cell>
        </row>
        <row r="157">
          <cell r="B157" t="str">
            <v>Hammer Mill Machine</v>
          </cell>
          <cell r="C157" t="str">
            <v>دستگاه نو</v>
          </cell>
          <cell r="N157" t="str">
            <v>تراش</v>
          </cell>
          <cell r="AC157" t="str">
            <v>1405/02/07</v>
          </cell>
        </row>
        <row r="158">
          <cell r="B158" t="str">
            <v>Hammer Mill Machine</v>
          </cell>
          <cell r="C158" t="str">
            <v>دستگاه نو</v>
          </cell>
          <cell r="N158" t="str">
            <v>وایر</v>
          </cell>
          <cell r="AC158" t="str">
            <v>1405/02/07</v>
          </cell>
        </row>
        <row r="159">
          <cell r="B159" t="str">
            <v>Hammer Mill Machine</v>
          </cell>
          <cell r="C159" t="str">
            <v>دستگاه نو</v>
          </cell>
          <cell r="N159" t="str">
            <v>وایر</v>
          </cell>
          <cell r="AC159" t="str">
            <v>1405/02/07</v>
          </cell>
        </row>
        <row r="160">
          <cell r="B160" t="str">
            <v>Hammer Mill Machine</v>
          </cell>
          <cell r="C160" t="str">
            <v>دستگاه نو</v>
          </cell>
          <cell r="N160" t="str">
            <v>وایر</v>
          </cell>
          <cell r="AC160" t="str">
            <v>1405/02/07</v>
          </cell>
        </row>
        <row r="161">
          <cell r="B161" t="str">
            <v>دستگاه پشم فلز چینی</v>
          </cell>
          <cell r="C161" t="str">
            <v>قطعه نو</v>
          </cell>
          <cell r="N161" t="str">
            <v>وایر</v>
          </cell>
          <cell r="AC161" t="str">
            <v>1405/02/07</v>
          </cell>
        </row>
        <row r="162">
          <cell r="B162" t="str">
            <v>برش جمعی عقب ریو</v>
          </cell>
          <cell r="C162" t="str">
            <v>قطعه نو</v>
          </cell>
          <cell r="N162" t="str">
            <v>وایر</v>
          </cell>
          <cell r="AC162" t="str">
            <v>1405/02/07</v>
          </cell>
        </row>
        <row r="163">
          <cell r="B163" t="str">
            <v>قالب جلو ریو</v>
          </cell>
          <cell r="C163" t="str">
            <v>قالب تعمیری</v>
          </cell>
          <cell r="N163" t="str">
            <v>دریل رادیال</v>
          </cell>
          <cell r="AC163" t="str">
            <v>1405/02/07</v>
          </cell>
        </row>
        <row r="164">
          <cell r="B164" t="str">
            <v>دستگاه پشم فلز</v>
          </cell>
          <cell r="C164" t="str">
            <v>قطعه تعمیری</v>
          </cell>
          <cell r="N164" t="str">
            <v>مونتاژ</v>
          </cell>
          <cell r="AC164" t="str">
            <v>1405/02/07</v>
          </cell>
        </row>
        <row r="165">
          <cell r="B165" t="str">
            <v>قالب شیم پژو 405</v>
          </cell>
          <cell r="C165" t="str">
            <v>قالب نو</v>
          </cell>
          <cell r="N165" t="str">
            <v>مونتاژ</v>
          </cell>
          <cell r="AC165" t="str">
            <v>1405/02/07</v>
          </cell>
        </row>
        <row r="166">
          <cell r="B166" t="str">
            <v>لیفتراک</v>
          </cell>
          <cell r="C166" t="str">
            <v>قطعه تعمیری</v>
          </cell>
          <cell r="N166" t="str">
            <v>تراش</v>
          </cell>
          <cell r="AC166" t="str">
            <v>1405/02/07</v>
          </cell>
        </row>
        <row r="167">
          <cell r="B167" t="str">
            <v>لیفتراک</v>
          </cell>
          <cell r="C167" t="str">
            <v>قطعه تعمیری</v>
          </cell>
          <cell r="N167" t="str">
            <v>تراش</v>
          </cell>
          <cell r="AC167" t="str">
            <v>1405/02/07</v>
          </cell>
        </row>
        <row r="168">
          <cell r="B168" t="str">
            <v>قالب پخت کلاچ پیکان آرژانتینی</v>
          </cell>
          <cell r="C168" t="str">
            <v>قالب تعمیری</v>
          </cell>
          <cell r="N168" t="str">
            <v>تراش</v>
          </cell>
          <cell r="AC168" t="str">
            <v>1405/02/07</v>
          </cell>
        </row>
        <row r="169">
          <cell r="B169" t="str">
            <v>ویوینگ</v>
          </cell>
          <cell r="C169" t="str">
            <v>قطعه تعمیری</v>
          </cell>
          <cell r="N169" t="str">
            <v>دریل رادیال</v>
          </cell>
          <cell r="AC169" t="str">
            <v>1405/02/07</v>
          </cell>
        </row>
        <row r="170">
          <cell r="B170" t="str">
            <v>لیفتراک</v>
          </cell>
          <cell r="C170" t="str">
            <v>قطعه تعمیری</v>
          </cell>
          <cell r="N170" t="str">
            <v>مونتاژ</v>
          </cell>
          <cell r="AC170" t="str">
            <v>1405/02/07</v>
          </cell>
        </row>
        <row r="171">
          <cell r="B171" t="str">
            <v>قالب پژو 405 دیسکی</v>
          </cell>
          <cell r="C171" t="str">
            <v>قالب تعمیری</v>
          </cell>
          <cell r="N171" t="str">
            <v>مونتاژ</v>
          </cell>
          <cell r="AC171" t="str">
            <v>1405/02/07</v>
          </cell>
        </row>
        <row r="172">
          <cell r="B172" t="str">
            <v>قالب پژو 405 دیسکی</v>
          </cell>
          <cell r="C172" t="str">
            <v>قالب تعمیری</v>
          </cell>
          <cell r="N172" t="str">
            <v>دریل رادیال</v>
          </cell>
          <cell r="AC172" t="str">
            <v>1405/02/07</v>
          </cell>
        </row>
        <row r="173">
          <cell r="B173" t="str">
            <v>قالب پخت کلاچ پیکان</v>
          </cell>
          <cell r="C173" t="str">
            <v>قالب تعمیری</v>
          </cell>
          <cell r="N173" t="str">
            <v>مونتاژ</v>
          </cell>
          <cell r="AC173" t="str">
            <v>1405/02/07</v>
          </cell>
        </row>
        <row r="174">
          <cell r="B174" t="str">
            <v>پخت کلاچ پراید</v>
          </cell>
          <cell r="C174" t="str">
            <v>قالب تعمیری</v>
          </cell>
          <cell r="N174" t="str">
            <v>فرز</v>
          </cell>
          <cell r="AC174" t="str">
            <v>1405/02/07</v>
          </cell>
        </row>
        <row r="175">
          <cell r="B175" t="str">
            <v>پخت کلاچ پراید</v>
          </cell>
          <cell r="C175" t="str">
            <v>قالب تعمیری</v>
          </cell>
          <cell r="N175" t="str">
            <v>فرز</v>
          </cell>
          <cell r="AC175" t="str">
            <v>1405/02/08</v>
          </cell>
        </row>
        <row r="176">
          <cell r="B176" t="str">
            <v>پین عقب پژو 405</v>
          </cell>
          <cell r="C176" t="str">
            <v>قطعه نو</v>
          </cell>
          <cell r="N176" t="str">
            <v>سری تراش</v>
          </cell>
          <cell r="AC176" t="str">
            <v>1405/02/08</v>
          </cell>
        </row>
        <row r="177">
          <cell r="B177" t="str">
            <v>پخت عقب پژو 405 شمشی پایه کوتاه</v>
          </cell>
          <cell r="C177" t="str">
            <v>قالب نو</v>
          </cell>
          <cell r="N177" t="str">
            <v>فرز</v>
          </cell>
          <cell r="AC177" t="str">
            <v>1405/02/08</v>
          </cell>
        </row>
        <row r="178">
          <cell r="B178" t="str">
            <v>قالب عقب F12</v>
          </cell>
          <cell r="C178" t="str">
            <v>قالب تعمیری</v>
          </cell>
          <cell r="N178" t="str">
            <v xml:space="preserve">فرز </v>
          </cell>
          <cell r="AC178" t="str">
            <v>1405/02/08</v>
          </cell>
        </row>
        <row r="179">
          <cell r="B179" t="str">
            <v>Hammer Mill Machine</v>
          </cell>
          <cell r="C179" t="str">
            <v>دستگاه نو</v>
          </cell>
          <cell r="N179" t="str">
            <v>تراش</v>
          </cell>
          <cell r="AC179" t="str">
            <v>1405/02/08</v>
          </cell>
        </row>
        <row r="180">
          <cell r="B180" t="str">
            <v>پخت کلاچ پراید</v>
          </cell>
          <cell r="C180" t="str">
            <v>قالب تعمیری</v>
          </cell>
          <cell r="N180" t="str">
            <v>CNC</v>
          </cell>
          <cell r="AC180" t="str">
            <v>1405/02/08</v>
          </cell>
        </row>
        <row r="181">
          <cell r="B181" t="str">
            <v>قالب 309 سوراخدار</v>
          </cell>
          <cell r="C181" t="str">
            <v>قالب تعمیری</v>
          </cell>
          <cell r="N181" t="str">
            <v>CNC</v>
          </cell>
          <cell r="AC181" t="str">
            <v>1405/02/08</v>
          </cell>
        </row>
        <row r="182">
          <cell r="B182" t="str">
            <v>قالب پخت کلاچ پژو 405</v>
          </cell>
          <cell r="C182" t="str">
            <v>قالب تعمیری</v>
          </cell>
          <cell r="N182" t="str">
            <v>CNC</v>
          </cell>
          <cell r="AC182" t="str">
            <v>1405/02/08</v>
          </cell>
        </row>
        <row r="183">
          <cell r="B183" t="str">
            <v>قالب پخت کلاچ پیکان</v>
          </cell>
          <cell r="C183" t="str">
            <v>قالب تعمیری</v>
          </cell>
          <cell r="N183" t="str">
            <v>CNC</v>
          </cell>
          <cell r="AC183" t="str">
            <v>1405/02/08</v>
          </cell>
        </row>
        <row r="184">
          <cell r="B184" t="str">
            <v>پخت کلاچ پراید</v>
          </cell>
          <cell r="C184" t="str">
            <v>قالب تعمیری</v>
          </cell>
          <cell r="N184" t="str">
            <v>CNC</v>
          </cell>
          <cell r="AC184" t="str">
            <v>1405/02/08</v>
          </cell>
        </row>
        <row r="185">
          <cell r="B185" t="str">
            <v>Hammer Mill Machine</v>
          </cell>
          <cell r="C185" t="str">
            <v>دستگاه نو</v>
          </cell>
          <cell r="N185" t="str">
            <v>وایر</v>
          </cell>
          <cell r="AC185" t="str">
            <v>1405/02/08</v>
          </cell>
        </row>
        <row r="186">
          <cell r="B186" t="str">
            <v>Hammer Mill Machine</v>
          </cell>
          <cell r="C186" t="str">
            <v>دستگاه نو</v>
          </cell>
          <cell r="N186" t="str">
            <v>وایر</v>
          </cell>
          <cell r="AC186" t="str">
            <v>1405/02/08</v>
          </cell>
        </row>
        <row r="187">
          <cell r="B187" t="str">
            <v>Hammer Mill Machine</v>
          </cell>
          <cell r="C187" t="str">
            <v>دستگاه نو</v>
          </cell>
          <cell r="N187" t="str">
            <v>وایر</v>
          </cell>
          <cell r="AC187" t="str">
            <v>1405/02/08</v>
          </cell>
        </row>
        <row r="188">
          <cell r="B188" t="str">
            <v>دستگاه پشم فلز چینی</v>
          </cell>
          <cell r="C188" t="str">
            <v>قطعه نو</v>
          </cell>
          <cell r="N188" t="str">
            <v>وایر</v>
          </cell>
          <cell r="AC188" t="str">
            <v>1405/02/08</v>
          </cell>
        </row>
        <row r="189">
          <cell r="B189" t="str">
            <v>قالب پژو 405 دیسکی</v>
          </cell>
          <cell r="C189" t="str">
            <v>قالب تعمیری</v>
          </cell>
          <cell r="N189" t="str">
            <v>وایر</v>
          </cell>
          <cell r="AC189" t="str">
            <v>1405/02/08</v>
          </cell>
        </row>
        <row r="190">
          <cell r="B190" t="str">
            <v>قالب پخت کلاچ پژو 405</v>
          </cell>
          <cell r="C190" t="str">
            <v>قالب تعمیری</v>
          </cell>
          <cell r="N190" t="str">
            <v>وایر</v>
          </cell>
          <cell r="AC190" t="str">
            <v>1405/02/08</v>
          </cell>
        </row>
        <row r="191">
          <cell r="B191" t="str">
            <v>قالب شیم پژو 405</v>
          </cell>
          <cell r="C191" t="str">
            <v>قالب تعمیری</v>
          </cell>
          <cell r="N191" t="str">
            <v>سنگ زنی</v>
          </cell>
          <cell r="AC191" t="str">
            <v>1405/02/08</v>
          </cell>
        </row>
        <row r="192">
          <cell r="B192" t="str">
            <v>قالب جلو ریو</v>
          </cell>
          <cell r="C192" t="str">
            <v>قالب تعمیری</v>
          </cell>
          <cell r="N192" t="str">
            <v>سنگ زنی</v>
          </cell>
          <cell r="AC192" t="str">
            <v>1405/02/08</v>
          </cell>
        </row>
        <row r="193">
          <cell r="B193" t="str">
            <v>قالب پراید خاردار</v>
          </cell>
          <cell r="C193" t="str">
            <v>قالب تعمیری</v>
          </cell>
          <cell r="N193" t="str">
            <v>مونتاژ</v>
          </cell>
          <cell r="AC193" t="str">
            <v>1405/02/08</v>
          </cell>
        </row>
        <row r="194">
          <cell r="B194" t="str">
            <v>قالب شیم پژو 405</v>
          </cell>
          <cell r="C194" t="str">
            <v>قالب تعمیری</v>
          </cell>
          <cell r="N194" t="str">
            <v>مونتاژ</v>
          </cell>
          <cell r="AC194" t="str">
            <v>1405/02/08</v>
          </cell>
        </row>
        <row r="195">
          <cell r="B195" t="str">
            <v>قالب جلو ریو</v>
          </cell>
          <cell r="C195" t="str">
            <v>قالب تعمیری</v>
          </cell>
          <cell r="N195" t="str">
            <v>مونتاژ</v>
          </cell>
          <cell r="AC195" t="str">
            <v>1405/02/08</v>
          </cell>
        </row>
        <row r="196">
          <cell r="B196" t="str">
            <v>قالب پخت کلاچ پیکان</v>
          </cell>
          <cell r="C196" t="str">
            <v>قالب تعمیری</v>
          </cell>
          <cell r="N196" t="str">
            <v>مونتاژ</v>
          </cell>
          <cell r="AC196" t="str">
            <v>1405/02/08</v>
          </cell>
        </row>
        <row r="197">
          <cell r="B197" t="str">
            <v>قالب 309 سوراخدار</v>
          </cell>
          <cell r="C197" t="str">
            <v>قالب تعمیری</v>
          </cell>
          <cell r="N197" t="str">
            <v>مونتاژ</v>
          </cell>
          <cell r="AC197" t="str">
            <v>1405/02/08</v>
          </cell>
        </row>
        <row r="198">
          <cell r="B198" t="str">
            <v>قالب جلو ریو</v>
          </cell>
          <cell r="C198" t="str">
            <v>قالب تعمیری</v>
          </cell>
          <cell r="N198" t="str">
            <v>مونتاژ</v>
          </cell>
          <cell r="AC198" t="str">
            <v>1405/02/08</v>
          </cell>
        </row>
        <row r="199">
          <cell r="B199" t="str">
            <v>قالب پخت کلاچ پیکان</v>
          </cell>
          <cell r="C199" t="str">
            <v>قالب تعمیری</v>
          </cell>
          <cell r="N199" t="str">
            <v>مونتاژ</v>
          </cell>
          <cell r="AC199" t="str">
            <v>1405/02/08</v>
          </cell>
        </row>
        <row r="200">
          <cell r="B200" t="str">
            <v>قالب 309 سوراخدار</v>
          </cell>
          <cell r="C200" t="str">
            <v>قالب تعمیری</v>
          </cell>
          <cell r="N200" t="str">
            <v>مونتاژ</v>
          </cell>
          <cell r="AC200" t="str">
            <v>1405/02/08</v>
          </cell>
        </row>
        <row r="201">
          <cell r="B201" t="str">
            <v>قالب جلو ریو</v>
          </cell>
          <cell r="C201" t="str">
            <v>قالب تعمیری</v>
          </cell>
          <cell r="N201" t="str">
            <v>دریل رادیال</v>
          </cell>
          <cell r="AC201" t="str">
            <v>1405/02/08</v>
          </cell>
        </row>
        <row r="202">
          <cell r="B202" t="str">
            <v>پخت کلاچ پراید</v>
          </cell>
          <cell r="C202" t="str">
            <v>قالب تعمیری</v>
          </cell>
          <cell r="N202" t="str">
            <v>CNC</v>
          </cell>
          <cell r="AC202" t="str">
            <v>1405/02/09</v>
          </cell>
        </row>
        <row r="203">
          <cell r="B203" t="str">
            <v>قالب پخت کلاچ پژو 405</v>
          </cell>
          <cell r="C203" t="str">
            <v>قالب تعمیری</v>
          </cell>
          <cell r="N203" t="str">
            <v>CNC</v>
          </cell>
          <cell r="AC203" t="str">
            <v>1405/02/09</v>
          </cell>
        </row>
        <row r="204">
          <cell r="B204" t="str">
            <v>قالب عقب F12</v>
          </cell>
          <cell r="C204" t="str">
            <v>قالب تعمیری</v>
          </cell>
          <cell r="N204" t="str">
            <v xml:space="preserve">فرز </v>
          </cell>
          <cell r="AC204" t="str">
            <v>1405/02/09</v>
          </cell>
        </row>
        <row r="205">
          <cell r="B205" t="str">
            <v>قالب عقب F12</v>
          </cell>
          <cell r="C205" t="str">
            <v>قالب تعمیری</v>
          </cell>
          <cell r="N205" t="str">
            <v xml:space="preserve">فرز </v>
          </cell>
          <cell r="AC205" t="str">
            <v>1405/02/09</v>
          </cell>
        </row>
        <row r="206">
          <cell r="B206" t="str">
            <v>پخت کلاچ پراید</v>
          </cell>
          <cell r="C206" t="str">
            <v>قالب تعمیری</v>
          </cell>
          <cell r="N206" t="str">
            <v>فرز</v>
          </cell>
          <cell r="AC206" t="str">
            <v>1405/02/09</v>
          </cell>
        </row>
        <row r="207">
          <cell r="B207" t="str">
            <v>قالب جلو ریو</v>
          </cell>
          <cell r="C207" t="str">
            <v>قالب تعمیری</v>
          </cell>
          <cell r="N207" t="str">
            <v>سنگ زنی</v>
          </cell>
          <cell r="AC207" t="str">
            <v>1405/02/09</v>
          </cell>
        </row>
        <row r="208">
          <cell r="B208" t="str">
            <v>قالب پخت کلاچ پیکان</v>
          </cell>
          <cell r="C208" t="str">
            <v>قالب تعمیری</v>
          </cell>
          <cell r="N208" t="str">
            <v>سنگ زنی</v>
          </cell>
          <cell r="AC208" t="str">
            <v>1405/02/09</v>
          </cell>
        </row>
        <row r="209">
          <cell r="B209" t="str">
            <v>قالب پخت کلاچ پژو 405</v>
          </cell>
          <cell r="C209" t="str">
            <v>قالب تعمیری</v>
          </cell>
          <cell r="N209" t="str">
            <v>سنگ زنی</v>
          </cell>
          <cell r="AC209" t="str">
            <v>1405/02/09</v>
          </cell>
        </row>
        <row r="210">
          <cell r="B210" t="str">
            <v>پین عقب پژو 405</v>
          </cell>
          <cell r="C210" t="str">
            <v>قطعه نو</v>
          </cell>
          <cell r="N210" t="str">
            <v>سری تراش</v>
          </cell>
          <cell r="AC210" t="str">
            <v>1405/02/09</v>
          </cell>
        </row>
        <row r="211">
          <cell r="B211" t="str">
            <v>Hammer Mill Machine</v>
          </cell>
          <cell r="C211" t="str">
            <v>دستگاه نو</v>
          </cell>
          <cell r="N211" t="str">
            <v>تراش</v>
          </cell>
          <cell r="AC211" t="str">
            <v>1405/02/09</v>
          </cell>
        </row>
        <row r="212">
          <cell r="B212" t="str">
            <v>Hammer Mill Machine</v>
          </cell>
          <cell r="C212" t="str">
            <v>دستگاه نو</v>
          </cell>
          <cell r="N212" t="str">
            <v>تراش</v>
          </cell>
          <cell r="AC212" t="str">
            <v>1405/02/09</v>
          </cell>
        </row>
        <row r="213">
          <cell r="B213" t="str">
            <v>لیفتراک</v>
          </cell>
          <cell r="C213" t="str">
            <v>قطعه تعمیری</v>
          </cell>
          <cell r="N213" t="str">
            <v>تراش</v>
          </cell>
          <cell r="AC213" t="str">
            <v>1405/02/09</v>
          </cell>
        </row>
        <row r="214">
          <cell r="B214" t="str">
            <v>قالب 309 سوراخدار</v>
          </cell>
          <cell r="C214" t="str">
            <v>قالب تعمیری</v>
          </cell>
          <cell r="N214" t="str">
            <v>مونتاژ</v>
          </cell>
          <cell r="AC214" t="str">
            <v>1405/02/09</v>
          </cell>
        </row>
        <row r="215">
          <cell r="B215" t="str">
            <v>پخت عقب پژو 405 شمشی پایه کوتاه</v>
          </cell>
          <cell r="C215" t="str">
            <v>قالب نو</v>
          </cell>
          <cell r="N215" t="str">
            <v>مونتاژ</v>
          </cell>
          <cell r="AC215" t="str">
            <v>1405/02/09</v>
          </cell>
        </row>
        <row r="216">
          <cell r="B216" t="str">
            <v>قالب پخت کلاچ پژو 405</v>
          </cell>
          <cell r="C216" t="str">
            <v>قالب تعمیری</v>
          </cell>
          <cell r="N216" t="str">
            <v>مونتاژ</v>
          </cell>
          <cell r="AC216" t="str">
            <v>1405/02/09</v>
          </cell>
        </row>
        <row r="217">
          <cell r="B217" t="str">
            <v>Hammer Mill Machine</v>
          </cell>
          <cell r="C217" t="str">
            <v>دستگاه نو</v>
          </cell>
          <cell r="N217" t="str">
            <v>وایر</v>
          </cell>
          <cell r="AC217" t="str">
            <v>1405/02/09</v>
          </cell>
        </row>
        <row r="218">
          <cell r="B218" t="str">
            <v>Hammer Mill Machine</v>
          </cell>
          <cell r="C218" t="str">
            <v>دستگاه نو</v>
          </cell>
          <cell r="N218" t="str">
            <v>وایر</v>
          </cell>
          <cell r="AC218" t="str">
            <v>1405/02/09</v>
          </cell>
        </row>
        <row r="219">
          <cell r="B219" t="str">
            <v>Hammer Mill Machine</v>
          </cell>
          <cell r="C219" t="str">
            <v>دستگاه نو</v>
          </cell>
          <cell r="N219" t="str">
            <v>وایر</v>
          </cell>
          <cell r="AC219" t="str">
            <v>1405/02/09</v>
          </cell>
        </row>
        <row r="220">
          <cell r="B220" t="str">
            <v>قالب پژو 405 دیسکی</v>
          </cell>
          <cell r="C220" t="str">
            <v>قالب تعمیری</v>
          </cell>
          <cell r="N220" t="str">
            <v>وایر</v>
          </cell>
          <cell r="AC220" t="str">
            <v>1405/02/09</v>
          </cell>
        </row>
        <row r="221">
          <cell r="B221" t="str">
            <v>قالب 309 سوراخدار</v>
          </cell>
          <cell r="C221" t="str">
            <v>قالب تعمیری</v>
          </cell>
          <cell r="N221" t="str">
            <v>مونتاژ</v>
          </cell>
          <cell r="AC221" t="str">
            <v>1405/02/09</v>
          </cell>
        </row>
        <row r="222">
          <cell r="B222" t="str">
            <v>پخت عقب پژو 405 شمشی پایه کوتاه</v>
          </cell>
          <cell r="C222" t="str">
            <v>قالب نو</v>
          </cell>
          <cell r="N222" t="str">
            <v>مونتاژ</v>
          </cell>
          <cell r="AC222" t="str">
            <v>1405/02/09</v>
          </cell>
        </row>
        <row r="223">
          <cell r="B223" t="str">
            <v>قالب شیم پژو 405</v>
          </cell>
          <cell r="C223" t="str">
            <v>قالب تعمیری</v>
          </cell>
          <cell r="N223" t="str">
            <v>مونتاژ</v>
          </cell>
          <cell r="AC223" t="str">
            <v>1405/02/09</v>
          </cell>
        </row>
        <row r="224">
          <cell r="B224" t="str">
            <v>قالب پخت کلاچ پیکان</v>
          </cell>
          <cell r="C224" t="str">
            <v>قالب تعمیری</v>
          </cell>
          <cell r="N224" t="str">
            <v>مونتاژ</v>
          </cell>
          <cell r="AC224" t="str">
            <v>1405/02/09</v>
          </cell>
        </row>
        <row r="225">
          <cell r="B225" t="str">
            <v>Hammer Mill Machine</v>
          </cell>
          <cell r="C225" t="str">
            <v>دستگاه نو</v>
          </cell>
          <cell r="N225" t="str">
            <v>تراش</v>
          </cell>
          <cell r="AC225" t="str">
            <v>1405/02/09</v>
          </cell>
        </row>
        <row r="226">
          <cell r="B226" t="str">
            <v>پخت عقب پژو 405 شمشی پایه کوتاه</v>
          </cell>
          <cell r="C226" t="str">
            <v>قالب نو</v>
          </cell>
          <cell r="N226" t="str">
            <v>فرز</v>
          </cell>
          <cell r="AC226" t="str">
            <v>1405/02/09</v>
          </cell>
        </row>
        <row r="227">
          <cell r="B227" t="str">
            <v>قالب شیم ریو</v>
          </cell>
          <cell r="C227" t="str">
            <v>قالب تعمیری</v>
          </cell>
          <cell r="N227" t="str">
            <v>فرز</v>
          </cell>
          <cell r="AC227" t="str">
            <v>1405/02/09</v>
          </cell>
        </row>
        <row r="228">
          <cell r="B228" t="str">
            <v>Hammer Mill Machine</v>
          </cell>
          <cell r="C228" t="str">
            <v>دستگاه نو</v>
          </cell>
          <cell r="N228" t="str">
            <v>تراش</v>
          </cell>
          <cell r="AC228" t="str">
            <v>1405/02/10</v>
          </cell>
        </row>
        <row r="229">
          <cell r="B229" t="str">
            <v>اصول 5S</v>
          </cell>
          <cell r="C229" t="str">
            <v>نظافت</v>
          </cell>
          <cell r="N229" t="str">
            <v>نظافت</v>
          </cell>
          <cell r="AC229" t="str">
            <v>1405/02/10</v>
          </cell>
        </row>
        <row r="230">
          <cell r="B230" t="str">
            <v>پخت کلاچ پراید</v>
          </cell>
          <cell r="C230" t="str">
            <v>قالب تعمیری</v>
          </cell>
          <cell r="N230" t="str">
            <v>CNC</v>
          </cell>
          <cell r="AC230" t="str">
            <v>1405/02/10</v>
          </cell>
        </row>
        <row r="231">
          <cell r="B231" t="str">
            <v>پین عقب پژو 405</v>
          </cell>
          <cell r="C231" t="str">
            <v>قطعه نو</v>
          </cell>
          <cell r="N231" t="str">
            <v>سری تراش</v>
          </cell>
          <cell r="AC231" t="str">
            <v>1405/02/10</v>
          </cell>
        </row>
        <row r="232">
          <cell r="B232" t="str">
            <v>قالب پخت کلاچ پیکان</v>
          </cell>
          <cell r="C232" t="str">
            <v>قالب تعمیری</v>
          </cell>
          <cell r="N232" t="str">
            <v>CNC</v>
          </cell>
          <cell r="AC232" t="str">
            <v>1405/02/10</v>
          </cell>
        </row>
        <row r="233">
          <cell r="B233" t="str">
            <v>قالب پخت کلاچ پیکان</v>
          </cell>
          <cell r="C233" t="str">
            <v>قالب تعمیری</v>
          </cell>
          <cell r="N233" t="str">
            <v>CNC</v>
          </cell>
          <cell r="AC233" t="str">
            <v>1405/02/10</v>
          </cell>
        </row>
        <row r="234">
          <cell r="B234" t="str">
            <v>قالب پخت کلاچ پژو 405</v>
          </cell>
          <cell r="C234" t="str">
            <v>قالب تعمیری</v>
          </cell>
          <cell r="N234" t="str">
            <v>فرز</v>
          </cell>
          <cell r="AC234" t="str">
            <v>1405/02/10</v>
          </cell>
        </row>
        <row r="235">
          <cell r="B235" t="str">
            <v>اصول 5S</v>
          </cell>
          <cell r="C235" t="str">
            <v>نظافت</v>
          </cell>
          <cell r="N235" t="str">
            <v>نظافت</v>
          </cell>
          <cell r="AC235" t="str">
            <v>1405/02/10</v>
          </cell>
        </row>
        <row r="236">
          <cell r="B236" t="str">
            <v>قالب عقب F12</v>
          </cell>
          <cell r="C236" t="str">
            <v>قالب تعمیری</v>
          </cell>
          <cell r="N236" t="str">
            <v xml:space="preserve">فرز </v>
          </cell>
          <cell r="AC236" t="str">
            <v>1405/02/10</v>
          </cell>
        </row>
        <row r="237">
          <cell r="B237" t="str">
            <v>ویوینگ</v>
          </cell>
          <cell r="C237" t="str">
            <v>قطعه تعمیری</v>
          </cell>
          <cell r="N237" t="str">
            <v>فرز</v>
          </cell>
          <cell r="AC237" t="str">
            <v>1405/02/10</v>
          </cell>
        </row>
        <row r="238">
          <cell r="B238" t="str">
            <v>اصول 5S</v>
          </cell>
          <cell r="C238" t="str">
            <v>نظافت</v>
          </cell>
          <cell r="N238" t="str">
            <v>نظافت</v>
          </cell>
          <cell r="AC238" t="str">
            <v>1405/02/10</v>
          </cell>
        </row>
        <row r="239">
          <cell r="B239" t="str">
            <v>ویوینگ</v>
          </cell>
          <cell r="C239" t="str">
            <v>قطعه تعمیری</v>
          </cell>
          <cell r="N239" t="str">
            <v>تراش</v>
          </cell>
          <cell r="AC239" t="str">
            <v>1405/02/10</v>
          </cell>
        </row>
        <row r="240">
          <cell r="B240" t="str">
            <v>قالب جلو ریو</v>
          </cell>
          <cell r="C240" t="str">
            <v>قالب تعمیری</v>
          </cell>
          <cell r="N240" t="str">
            <v>تراش</v>
          </cell>
          <cell r="AC240" t="str">
            <v>1405/02/10</v>
          </cell>
        </row>
        <row r="241">
          <cell r="B241" t="str">
            <v>Hammer Mill Machine</v>
          </cell>
          <cell r="C241" t="str">
            <v>دستگاه نو</v>
          </cell>
          <cell r="N241" t="str">
            <v>تراش</v>
          </cell>
          <cell r="AC241" t="str">
            <v>1405/02/10</v>
          </cell>
        </row>
        <row r="242">
          <cell r="B242" t="str">
            <v>اصول 5S</v>
          </cell>
          <cell r="C242" t="str">
            <v>نظافت</v>
          </cell>
          <cell r="N242" t="str">
            <v>نظافت</v>
          </cell>
          <cell r="AC242" t="str">
            <v>1405/02/10</v>
          </cell>
        </row>
        <row r="243">
          <cell r="B243" t="str">
            <v>قالب جلو ریو</v>
          </cell>
          <cell r="C243" t="str">
            <v>قالب تعمیری</v>
          </cell>
          <cell r="N243" t="str">
            <v>مونتاژ</v>
          </cell>
          <cell r="AC243" t="str">
            <v>1405/02/10</v>
          </cell>
        </row>
        <row r="244">
          <cell r="B244" t="str">
            <v>قالب پژو 405 دیسکی</v>
          </cell>
          <cell r="C244" t="str">
            <v>قالب تعمیری</v>
          </cell>
          <cell r="N244" t="str">
            <v>دریل رادیال</v>
          </cell>
          <cell r="AC244" t="str">
            <v>1405/02/10</v>
          </cell>
        </row>
        <row r="245">
          <cell r="B245" t="str">
            <v>قالب پژو 405 دیسکی</v>
          </cell>
          <cell r="C245" t="str">
            <v>قالب تعمیری</v>
          </cell>
          <cell r="N245" t="str">
            <v>مونتاژ</v>
          </cell>
          <cell r="AC245" t="str">
            <v>1405/02/10</v>
          </cell>
        </row>
        <row r="246">
          <cell r="B246" t="str">
            <v>اصول 5S</v>
          </cell>
          <cell r="C246" t="str">
            <v>نظافت</v>
          </cell>
          <cell r="N246" t="str">
            <v>نظافت</v>
          </cell>
          <cell r="AC246" t="str">
            <v>1405/02/10</v>
          </cell>
        </row>
        <row r="247">
          <cell r="B247" t="str">
            <v>Hammer Mill Machine</v>
          </cell>
          <cell r="C247" t="str">
            <v>دستگاه نو</v>
          </cell>
          <cell r="N247" t="str">
            <v>وایر</v>
          </cell>
          <cell r="AC247" t="str">
            <v>1405/02/10</v>
          </cell>
        </row>
        <row r="248">
          <cell r="B248" t="str">
            <v>Hammer Mill Machine</v>
          </cell>
          <cell r="C248" t="str">
            <v>دستگاه نو</v>
          </cell>
          <cell r="N248" t="str">
            <v>وایر</v>
          </cell>
          <cell r="AC248" t="str">
            <v>1405/02/10</v>
          </cell>
        </row>
        <row r="249">
          <cell r="B249" t="str">
            <v>Hammer Mill Machine</v>
          </cell>
          <cell r="C249" t="str">
            <v>دستگاه نو</v>
          </cell>
          <cell r="N249" t="str">
            <v>وایر</v>
          </cell>
          <cell r="AC249" t="str">
            <v>1405/02/10</v>
          </cell>
        </row>
        <row r="250">
          <cell r="B250" t="str">
            <v>قالب پژو 405 دیسکی</v>
          </cell>
          <cell r="C250" t="str">
            <v>قالب تعمیری</v>
          </cell>
          <cell r="N250" t="str">
            <v>وایر</v>
          </cell>
          <cell r="AC250" t="str">
            <v>1405/02/10</v>
          </cell>
        </row>
        <row r="251">
          <cell r="B251" t="str">
            <v>دستگاه چسب زنی</v>
          </cell>
          <cell r="C251" t="str">
            <v>قطعه نو</v>
          </cell>
          <cell r="N251" t="str">
            <v>وایر</v>
          </cell>
          <cell r="AC251" t="str">
            <v>1405/02/10</v>
          </cell>
        </row>
        <row r="252">
          <cell r="B252" t="str">
            <v>قالب شیم پژو 405</v>
          </cell>
          <cell r="C252" t="str">
            <v>قالب تعمیری</v>
          </cell>
          <cell r="N252" t="str">
            <v>مونتاژ</v>
          </cell>
          <cell r="AC252" t="str">
            <v>1405/02/10</v>
          </cell>
        </row>
        <row r="253">
          <cell r="B253" t="str">
            <v>قالب جلو ریو</v>
          </cell>
          <cell r="C253" t="str">
            <v>قالب تعمیری</v>
          </cell>
          <cell r="N253" t="str">
            <v>اره لنگ</v>
          </cell>
          <cell r="AC253" t="str">
            <v>1405/02/10</v>
          </cell>
        </row>
        <row r="254">
          <cell r="B254" t="str">
            <v>قالب پخت کلاچ پژو 405</v>
          </cell>
          <cell r="C254" t="str">
            <v>قالب تعمیری</v>
          </cell>
          <cell r="N254" t="str">
            <v>مونتاژ</v>
          </cell>
          <cell r="AC254" t="str">
            <v>1405/02/10</v>
          </cell>
        </row>
        <row r="255">
          <cell r="B255" t="str">
            <v>اصول 5S</v>
          </cell>
          <cell r="C255" t="str">
            <v>نظافت</v>
          </cell>
          <cell r="N255" t="str">
            <v>نظافت</v>
          </cell>
          <cell r="AC255" t="str">
            <v>1405/02/10</v>
          </cell>
        </row>
        <row r="256">
          <cell r="B256" t="str">
            <v>قالب پخت کلاچ پژو 405</v>
          </cell>
          <cell r="C256" t="str">
            <v>قالب تعمیری</v>
          </cell>
          <cell r="N256" t="str">
            <v>سنگ زنی</v>
          </cell>
          <cell r="AC256" t="str">
            <v>1405/02/10</v>
          </cell>
        </row>
        <row r="257">
          <cell r="B257" t="str">
            <v>قالب شیم پژو 405</v>
          </cell>
          <cell r="C257" t="str">
            <v>قالب تعمیری</v>
          </cell>
          <cell r="N257" t="str">
            <v>سنگ زنی</v>
          </cell>
          <cell r="AC257" t="str">
            <v>1405/02/10</v>
          </cell>
        </row>
        <row r="258">
          <cell r="B258" t="str">
            <v>اصول 5S</v>
          </cell>
          <cell r="C258" t="str">
            <v>نظافت</v>
          </cell>
          <cell r="N258" t="str">
            <v>نظافت</v>
          </cell>
          <cell r="AC258" t="str">
            <v>1405/02/10</v>
          </cell>
        </row>
        <row r="259">
          <cell r="B259" t="str">
            <v>پین عقب پژو 405</v>
          </cell>
          <cell r="C259" t="str">
            <v>قطعه نو</v>
          </cell>
          <cell r="N259" t="str">
            <v>سری تراش</v>
          </cell>
          <cell r="AC259" t="str">
            <v>1405/02/12</v>
          </cell>
        </row>
        <row r="260">
          <cell r="B260" t="str">
            <v>پخت عقب پژو 405 شمشی پایه کوتاه</v>
          </cell>
          <cell r="C260" t="str">
            <v>قالب نو</v>
          </cell>
          <cell r="N260" t="str">
            <v>فرز</v>
          </cell>
          <cell r="AC260" t="str">
            <v>1405/02/12</v>
          </cell>
        </row>
        <row r="261">
          <cell r="B261" t="str">
            <v>قالب پخت کلاچ پژو 405</v>
          </cell>
          <cell r="C261" t="str">
            <v>قالب تعمیری</v>
          </cell>
          <cell r="N261" t="str">
            <v>فرز</v>
          </cell>
          <cell r="AC261" t="str">
            <v>1405/02/12</v>
          </cell>
        </row>
        <row r="262">
          <cell r="B262" t="str">
            <v>قالب پخت کلاچ پیکان</v>
          </cell>
          <cell r="C262" t="str">
            <v>قالب تعمیری</v>
          </cell>
          <cell r="N262" t="str">
            <v>CNC</v>
          </cell>
          <cell r="AC262" t="str">
            <v>1405/02/12</v>
          </cell>
        </row>
        <row r="263">
          <cell r="B263" t="str">
            <v>قالب پخت کلاچ پژو 405</v>
          </cell>
          <cell r="C263" t="str">
            <v>قالب تعمیری</v>
          </cell>
          <cell r="N263" t="str">
            <v>سنگ زنی</v>
          </cell>
          <cell r="AC263" t="str">
            <v>1405/02/12</v>
          </cell>
        </row>
        <row r="264">
          <cell r="B264" t="str">
            <v>پخت کلاچ پراید</v>
          </cell>
          <cell r="C264" t="str">
            <v>قالب تعمیری</v>
          </cell>
          <cell r="N264" t="str">
            <v>سنگ زنی</v>
          </cell>
          <cell r="AC264" t="str">
            <v>1405/02/12</v>
          </cell>
        </row>
        <row r="265">
          <cell r="B265" t="str">
            <v>قالب شیم پژو 405</v>
          </cell>
          <cell r="C265" t="str">
            <v>قالب تعمیری</v>
          </cell>
          <cell r="N265" t="str">
            <v>سنگ زنی</v>
          </cell>
          <cell r="AC265" t="str">
            <v>1405/02/12</v>
          </cell>
        </row>
        <row r="266">
          <cell r="B266" t="str">
            <v>قالب عقب F12</v>
          </cell>
          <cell r="C266" t="str">
            <v>قالب تعمیری</v>
          </cell>
          <cell r="N266" t="str">
            <v xml:space="preserve">فرز </v>
          </cell>
          <cell r="AC266" t="str">
            <v>1405/02/12</v>
          </cell>
        </row>
        <row r="267">
          <cell r="B267" t="str">
            <v>دستگاه پشم فلز آلمانی</v>
          </cell>
          <cell r="C267" t="str">
            <v>قطعه نو</v>
          </cell>
          <cell r="N267" t="str">
            <v>فرز</v>
          </cell>
          <cell r="AC267" t="str">
            <v>1405/02/12</v>
          </cell>
        </row>
        <row r="268">
          <cell r="B268" t="str">
            <v>قالب پخت کلاچ پیکان</v>
          </cell>
          <cell r="C268" t="str">
            <v>قالب تعمیری</v>
          </cell>
          <cell r="N268" t="str">
            <v>فرز</v>
          </cell>
          <cell r="AC268" t="str">
            <v>1405/02/12</v>
          </cell>
        </row>
        <row r="269">
          <cell r="B269" t="str">
            <v>Hammer Mill Machine</v>
          </cell>
          <cell r="C269" t="str">
            <v>دستگاه نو</v>
          </cell>
          <cell r="N269" t="str">
            <v>تراش</v>
          </cell>
          <cell r="AC269" t="str">
            <v>1405/02/12</v>
          </cell>
        </row>
        <row r="270">
          <cell r="B270" t="str">
            <v>میکس چینی</v>
          </cell>
          <cell r="C270" t="str">
            <v>قطعه نو</v>
          </cell>
          <cell r="N270" t="str">
            <v>تراش</v>
          </cell>
          <cell r="AC270" t="str">
            <v>1405/02/12</v>
          </cell>
        </row>
        <row r="271">
          <cell r="B271" t="str">
            <v xml:space="preserve">دستگاه سنگ پشم فلز آلمانی </v>
          </cell>
          <cell r="C271" t="str">
            <v>قطعه تعمیری</v>
          </cell>
          <cell r="N271" t="str">
            <v>تراش</v>
          </cell>
          <cell r="AC271" t="str">
            <v>1405/02/12</v>
          </cell>
        </row>
        <row r="272">
          <cell r="B272" t="str">
            <v>قالب پژو 405 دیسکی</v>
          </cell>
          <cell r="C272" t="str">
            <v>قالب تعمیری</v>
          </cell>
          <cell r="N272" t="str">
            <v>مونتاژ</v>
          </cell>
          <cell r="AC272" t="str">
            <v>1405/02/12</v>
          </cell>
        </row>
        <row r="273">
          <cell r="B273" t="str">
            <v>پخت کلاچ پراید</v>
          </cell>
          <cell r="C273" t="str">
            <v>قالب تعمیری</v>
          </cell>
          <cell r="N273" t="str">
            <v>مونتاژ</v>
          </cell>
          <cell r="AC273" t="str">
            <v>1405/02/12</v>
          </cell>
        </row>
        <row r="274">
          <cell r="B274" t="str">
            <v>قالب پخت کلاچ پژو 405</v>
          </cell>
          <cell r="C274" t="str">
            <v>قالب تعمیری</v>
          </cell>
          <cell r="N274" t="str">
            <v>مونتاژ</v>
          </cell>
          <cell r="AC274" t="str">
            <v>1405/02/12</v>
          </cell>
        </row>
        <row r="275">
          <cell r="B275" t="str">
            <v>پخت عقب پژو 405 شمشی پایه کوتاه</v>
          </cell>
          <cell r="C275" t="str">
            <v>قالب نو</v>
          </cell>
          <cell r="N275" t="str">
            <v>مونتاژ</v>
          </cell>
          <cell r="AC275" t="str">
            <v>1405/02/12</v>
          </cell>
        </row>
        <row r="276">
          <cell r="B276" t="str">
            <v>قالب جلو ریو</v>
          </cell>
          <cell r="C276" t="str">
            <v>قالب تعمیری</v>
          </cell>
          <cell r="N276" t="str">
            <v>مونتاژ</v>
          </cell>
          <cell r="AC276" t="str">
            <v>1405/02/12</v>
          </cell>
        </row>
        <row r="277">
          <cell r="B277" t="str">
            <v>قالب جلو ریو</v>
          </cell>
          <cell r="C277" t="str">
            <v>قالب تعمیری</v>
          </cell>
          <cell r="N277" t="str">
            <v>مونتاژ</v>
          </cell>
          <cell r="AC277" t="str">
            <v>1405/02/12</v>
          </cell>
        </row>
        <row r="278">
          <cell r="B278" t="str">
            <v>قالب شمشی عقب ریو</v>
          </cell>
          <cell r="C278" t="str">
            <v>قالب نو</v>
          </cell>
          <cell r="N278" t="str">
            <v>مونتاژ</v>
          </cell>
          <cell r="AC278" t="str">
            <v>1405/02/12</v>
          </cell>
        </row>
        <row r="279">
          <cell r="B279" t="str">
            <v>قالب پژو 405 دیسکی</v>
          </cell>
          <cell r="C279" t="str">
            <v>قالب تعمیری</v>
          </cell>
          <cell r="N279" t="str">
            <v>مونتاژ</v>
          </cell>
          <cell r="AC279" t="str">
            <v>1405/02/12</v>
          </cell>
        </row>
        <row r="280">
          <cell r="B280" t="str">
            <v>قالب 309 بدون سوراخ</v>
          </cell>
          <cell r="C280" t="str">
            <v>قالب تعمیری</v>
          </cell>
          <cell r="N280" t="str">
            <v>مونتاژ</v>
          </cell>
          <cell r="AC280" t="str">
            <v>1405/02/12</v>
          </cell>
        </row>
        <row r="281">
          <cell r="B281" t="str">
            <v>قالب پخت کلاچ پیکان</v>
          </cell>
          <cell r="C281" t="str">
            <v>قالب تعمیری</v>
          </cell>
          <cell r="N281" t="str">
            <v>CNC</v>
          </cell>
          <cell r="AC281" t="str">
            <v>1405/02/12</v>
          </cell>
        </row>
        <row r="282">
          <cell r="B282" t="str">
            <v>قالب پخت کلاچ پیکان</v>
          </cell>
          <cell r="C282" t="str">
            <v>قالب تعمیری</v>
          </cell>
          <cell r="N282" t="str">
            <v>CNC</v>
          </cell>
          <cell r="AC282" t="str">
            <v>1405/02/13</v>
          </cell>
        </row>
        <row r="283">
          <cell r="B283" t="str">
            <v>قالب پخت کلاچ پیکان آرژانتینی</v>
          </cell>
          <cell r="C283" t="str">
            <v>قالب تعمیری</v>
          </cell>
          <cell r="N283" t="str">
            <v>CNC</v>
          </cell>
          <cell r="AC283" t="str">
            <v>1405/02/13</v>
          </cell>
        </row>
        <row r="284">
          <cell r="B284" t="str">
            <v>قالب پخت کلاچ پیکان</v>
          </cell>
          <cell r="C284" t="str">
            <v>قالب تعمیری</v>
          </cell>
          <cell r="N284" t="str">
            <v>CNC</v>
          </cell>
          <cell r="AC284" t="str">
            <v>1405/02/13</v>
          </cell>
        </row>
        <row r="285">
          <cell r="B285" t="str">
            <v>پخت عقب پژو 405 شمشی پایه کوتاه</v>
          </cell>
          <cell r="C285" t="str">
            <v>قالب نو</v>
          </cell>
          <cell r="N285" t="str">
            <v>فرز</v>
          </cell>
          <cell r="AC285" t="str">
            <v>1405/02/13</v>
          </cell>
        </row>
        <row r="286">
          <cell r="B286" t="str">
            <v>پخت عقب پژو 405 شمشی پایه کوتاه</v>
          </cell>
          <cell r="C286" t="str">
            <v>قالب نو</v>
          </cell>
          <cell r="N286" t="str">
            <v>فرز</v>
          </cell>
          <cell r="AC286" t="str">
            <v>1405/02/14</v>
          </cell>
        </row>
        <row r="287">
          <cell r="B287" t="str">
            <v>Hammer Mill Machine</v>
          </cell>
          <cell r="C287" t="str">
            <v>دستگاه نو</v>
          </cell>
          <cell r="N287" t="str">
            <v>وایر</v>
          </cell>
          <cell r="AC287" t="str">
            <v>1405/02/12</v>
          </cell>
        </row>
        <row r="288">
          <cell r="B288" t="str">
            <v>Hammer Mill Machine</v>
          </cell>
          <cell r="C288" t="str">
            <v>دستگاه نو</v>
          </cell>
          <cell r="N288" t="str">
            <v>وایر</v>
          </cell>
          <cell r="AC288" t="str">
            <v>1405/02/12</v>
          </cell>
        </row>
        <row r="289">
          <cell r="B289" t="str">
            <v>Hammer Mill Machine</v>
          </cell>
          <cell r="C289" t="str">
            <v>دستگاه نو</v>
          </cell>
          <cell r="N289" t="str">
            <v>وایر</v>
          </cell>
          <cell r="AC289" t="str">
            <v>1405/02/12</v>
          </cell>
        </row>
        <row r="290">
          <cell r="B290" t="str">
            <v>قالب پژو 405 دیسکی</v>
          </cell>
          <cell r="C290" t="str">
            <v>قالب تعمیری</v>
          </cell>
          <cell r="N290" t="str">
            <v>وایر</v>
          </cell>
          <cell r="AC290" t="str">
            <v>1405/02/12</v>
          </cell>
        </row>
        <row r="291">
          <cell r="B291" t="str">
            <v>ساب کلاچ</v>
          </cell>
          <cell r="C291" t="str">
            <v>قطعه نو</v>
          </cell>
          <cell r="N291" t="str">
            <v>وایر</v>
          </cell>
          <cell r="AC291" t="str">
            <v>1405/02/12</v>
          </cell>
        </row>
        <row r="292">
          <cell r="B292" t="str">
            <v>قالب پژو 405 دیسکی</v>
          </cell>
          <cell r="C292" t="str">
            <v>قالب تعمیری</v>
          </cell>
          <cell r="N292" t="str">
            <v>وایر</v>
          </cell>
          <cell r="AC292" t="str">
            <v>1405/02/12</v>
          </cell>
        </row>
        <row r="293">
          <cell r="B293" t="str">
            <v>قالب پخت کلاچ پژو 405</v>
          </cell>
          <cell r="C293" t="str">
            <v>قالب تعمیری</v>
          </cell>
          <cell r="N293" t="str">
            <v>فرز</v>
          </cell>
          <cell r="AC293" t="str">
            <v>1405/02/13</v>
          </cell>
        </row>
        <row r="294">
          <cell r="B294" t="str">
            <v>قالب پخت کلاچ پیکان</v>
          </cell>
          <cell r="C294" t="str">
            <v>قالب تعمیری</v>
          </cell>
          <cell r="N294" t="str">
            <v>فرز</v>
          </cell>
          <cell r="AC294" t="str">
            <v>1405/02/14</v>
          </cell>
        </row>
        <row r="295">
          <cell r="B295" t="str">
            <v>Hammer Mill Machine</v>
          </cell>
          <cell r="C295" t="str">
            <v>دستگاه نو</v>
          </cell>
          <cell r="N295" t="str">
            <v>وایر</v>
          </cell>
          <cell r="AC295" t="str">
            <v>1405/02/14</v>
          </cell>
        </row>
        <row r="296">
          <cell r="B296" t="str">
            <v>Hammer Mill Machine</v>
          </cell>
          <cell r="C296" t="str">
            <v>دستگاه نو</v>
          </cell>
          <cell r="N296" t="str">
            <v>وایر</v>
          </cell>
          <cell r="AC296" t="str">
            <v>1405/02/14</v>
          </cell>
        </row>
        <row r="297">
          <cell r="B297" t="str">
            <v>قالب جلو ریو</v>
          </cell>
          <cell r="C297" t="str">
            <v>قالب تعمیری</v>
          </cell>
          <cell r="N297" t="str">
            <v>وایر</v>
          </cell>
          <cell r="AC297" t="str">
            <v>1405/02/14</v>
          </cell>
        </row>
        <row r="298">
          <cell r="B298" t="str">
            <v>لنت دنیای مس</v>
          </cell>
          <cell r="C298" t="str">
            <v>قطعه نو</v>
          </cell>
          <cell r="N298" t="str">
            <v>وایر</v>
          </cell>
          <cell r="AC298" t="str">
            <v>1405/02/14</v>
          </cell>
        </row>
        <row r="299">
          <cell r="B299" t="str">
            <v>Hammer Mill Machine</v>
          </cell>
          <cell r="C299" t="str">
            <v>دستگاه نو</v>
          </cell>
          <cell r="N299" t="str">
            <v>وایر</v>
          </cell>
          <cell r="AC299" t="str">
            <v>1405/02/16</v>
          </cell>
        </row>
        <row r="300">
          <cell r="B300" t="str">
            <v>Hammer Mill Machine</v>
          </cell>
          <cell r="C300" t="str">
            <v>دستگاه نو</v>
          </cell>
          <cell r="N300" t="str">
            <v>وایر</v>
          </cell>
          <cell r="AC300" t="str">
            <v>1405/02/16</v>
          </cell>
        </row>
        <row r="301">
          <cell r="B301" t="str">
            <v>قالب جلو ریو</v>
          </cell>
          <cell r="C301" t="str">
            <v>قالب تعمیری</v>
          </cell>
          <cell r="N301" t="str">
            <v>وایر</v>
          </cell>
          <cell r="AC301" t="str">
            <v>1405/02/16</v>
          </cell>
        </row>
        <row r="302">
          <cell r="B302" t="str">
            <v>لنت دنیای مس</v>
          </cell>
          <cell r="C302" t="str">
            <v>قطعه نو</v>
          </cell>
          <cell r="N302" t="str">
            <v>وایر</v>
          </cell>
          <cell r="AC302" t="str">
            <v>1405/02/16</v>
          </cell>
        </row>
        <row r="303">
          <cell r="B303" t="str">
            <v>ویوینگ</v>
          </cell>
          <cell r="C303" t="str">
            <v>قطعه تعمیری</v>
          </cell>
          <cell r="N303" t="str">
            <v>تراش</v>
          </cell>
          <cell r="AC303" t="str">
            <v>1405/02/13</v>
          </cell>
        </row>
        <row r="304">
          <cell r="B304" t="str">
            <v xml:space="preserve">دستگاه سنگ پشم فلز آلمانی </v>
          </cell>
          <cell r="C304" t="str">
            <v>قطعه نو</v>
          </cell>
          <cell r="N304" t="str">
            <v>تراش</v>
          </cell>
          <cell r="AC304" t="str">
            <v>1405/02/13</v>
          </cell>
        </row>
        <row r="305">
          <cell r="B305" t="str">
            <v>دستگاه پشم فلز آلمانی</v>
          </cell>
          <cell r="C305" t="str">
            <v>قطعه نو</v>
          </cell>
          <cell r="N305" t="str">
            <v>تراش</v>
          </cell>
          <cell r="AC305" t="str">
            <v>1405/02/13</v>
          </cell>
        </row>
        <row r="306">
          <cell r="B306" t="str">
            <v>قالب جلو ریو</v>
          </cell>
          <cell r="C306" t="str">
            <v>قالب تعمیری</v>
          </cell>
          <cell r="N306" t="str">
            <v>تراش</v>
          </cell>
          <cell r="AC306" t="str">
            <v>1405/02/13</v>
          </cell>
        </row>
        <row r="307">
          <cell r="B307" t="str">
            <v>ساب</v>
          </cell>
          <cell r="C307" t="str">
            <v>قطعه نو</v>
          </cell>
          <cell r="N307" t="str">
            <v>تراش</v>
          </cell>
          <cell r="AC307" t="str">
            <v>1405/02/14</v>
          </cell>
        </row>
        <row r="308">
          <cell r="B308" t="str">
            <v>دریل سوراخکاری</v>
          </cell>
          <cell r="C308" t="str">
            <v>قطعه تعمیری</v>
          </cell>
          <cell r="N308" t="str">
            <v>تراش</v>
          </cell>
          <cell r="AC308" t="str">
            <v>1405/02/14</v>
          </cell>
        </row>
        <row r="309">
          <cell r="B309" t="str">
            <v>برش جمعی عقب</v>
          </cell>
          <cell r="C309" t="str">
            <v>قطعه تعمیری</v>
          </cell>
          <cell r="N309" t="str">
            <v>تراش</v>
          </cell>
          <cell r="AC309" t="str">
            <v>1405/02/14</v>
          </cell>
        </row>
        <row r="310">
          <cell r="B310" t="str">
            <v>سری نقطه جوش</v>
          </cell>
          <cell r="C310" t="str">
            <v>قطعه تعمیری</v>
          </cell>
          <cell r="N310" t="str">
            <v>تراش</v>
          </cell>
          <cell r="AC310" t="str">
            <v>1405/02/14</v>
          </cell>
        </row>
        <row r="311">
          <cell r="B311" t="str">
            <v>ویوینگ</v>
          </cell>
          <cell r="C311" t="str">
            <v>قطعه تعمیری</v>
          </cell>
          <cell r="N311" t="str">
            <v>تراش</v>
          </cell>
          <cell r="AC311" t="str">
            <v>1405/02/14</v>
          </cell>
        </row>
        <row r="312">
          <cell r="B312" t="str">
            <v>قالب پخت کلاچ پژو 405</v>
          </cell>
          <cell r="C312" t="str">
            <v>قالب تعمیری</v>
          </cell>
          <cell r="N312" t="str">
            <v>سنگ زنی</v>
          </cell>
          <cell r="AC312" t="str">
            <v>1405/02/13</v>
          </cell>
        </row>
        <row r="313">
          <cell r="B313" t="str">
            <v>قالب پخت کلاچ پیکان</v>
          </cell>
          <cell r="C313" t="str">
            <v>قالب تعمیری</v>
          </cell>
          <cell r="N313" t="str">
            <v>سنگ زنی</v>
          </cell>
          <cell r="AC313" t="str">
            <v>1405/02/13</v>
          </cell>
        </row>
        <row r="314">
          <cell r="B314" t="str">
            <v>قالب شیم ریو</v>
          </cell>
          <cell r="C314" t="str">
            <v>قالب تعمیری</v>
          </cell>
          <cell r="N314" t="str">
            <v>سنگ زنی</v>
          </cell>
          <cell r="AC314" t="str">
            <v>1405/02/13</v>
          </cell>
        </row>
        <row r="315">
          <cell r="B315" t="str">
            <v>قالب پخت کلاچ پیکان</v>
          </cell>
          <cell r="C315" t="str">
            <v>قالب تعمیری</v>
          </cell>
          <cell r="N315" t="str">
            <v>سنگ زنی</v>
          </cell>
          <cell r="AC315" t="str">
            <v>1405/02/13</v>
          </cell>
        </row>
        <row r="316">
          <cell r="B316" t="str">
            <v>قالب شیم پژو 405</v>
          </cell>
          <cell r="C316" t="str">
            <v>قالب تعمیری</v>
          </cell>
          <cell r="N316" t="str">
            <v>مونتاژ</v>
          </cell>
          <cell r="AC316" t="str">
            <v>1405/02/13</v>
          </cell>
        </row>
        <row r="317">
          <cell r="B317" t="str">
            <v>قالب شیم پژو 405</v>
          </cell>
          <cell r="C317" t="str">
            <v>قالب تعمیری</v>
          </cell>
          <cell r="N317" t="str">
            <v>مونتاژ</v>
          </cell>
          <cell r="AC317" t="str">
            <v>1405/02/13</v>
          </cell>
        </row>
        <row r="318">
          <cell r="B318" t="str">
            <v>قالب جلو ریو</v>
          </cell>
          <cell r="C318" t="str">
            <v>قالب تعمیری</v>
          </cell>
          <cell r="N318" t="str">
            <v>مونتاژ</v>
          </cell>
          <cell r="AC318" t="str">
            <v>1405/02/13</v>
          </cell>
        </row>
        <row r="319">
          <cell r="B319" t="str">
            <v>قالب جلو ریو</v>
          </cell>
          <cell r="C319" t="str">
            <v>قالب تعمیری</v>
          </cell>
          <cell r="N319" t="str">
            <v>مونتاژ</v>
          </cell>
          <cell r="AC319" t="str">
            <v>1405/02/13</v>
          </cell>
        </row>
        <row r="320">
          <cell r="B320" t="str">
            <v>قالب پخت کلاچ پژو 405</v>
          </cell>
          <cell r="C320" t="str">
            <v>قالب تعمیری</v>
          </cell>
          <cell r="N320" t="str">
            <v>فرز</v>
          </cell>
          <cell r="AC320" t="str">
            <v>1405/02/13</v>
          </cell>
        </row>
        <row r="321">
          <cell r="B321" t="str">
            <v>قالب پخت کلاچ پژو 405</v>
          </cell>
          <cell r="C321" t="str">
            <v>قالب تعمیری</v>
          </cell>
          <cell r="N321" t="str">
            <v>فرز</v>
          </cell>
          <cell r="AC321" t="str">
            <v>1405/02/13</v>
          </cell>
        </row>
        <row r="322">
          <cell r="B322" t="str">
            <v>قالب پخت کلاچ پژو 405</v>
          </cell>
          <cell r="C322" t="str">
            <v>قالب تعمیری</v>
          </cell>
          <cell r="N322" t="str">
            <v>فرز</v>
          </cell>
          <cell r="AC322" t="str">
            <v>1405/02/13</v>
          </cell>
        </row>
        <row r="323">
          <cell r="B323" t="str">
            <v>قالب پخت کلاچ پیکان</v>
          </cell>
          <cell r="C323" t="str">
            <v>قالب تعمیری</v>
          </cell>
          <cell r="N323" t="str">
            <v>CNC</v>
          </cell>
          <cell r="AC323" t="str">
            <v>1405/02/14</v>
          </cell>
        </row>
        <row r="324">
          <cell r="B324" t="str">
            <v>قالب پخت کلاچ پیکان آرژانتینی</v>
          </cell>
          <cell r="C324" t="str">
            <v>قالب تعمیری</v>
          </cell>
          <cell r="N324" t="str">
            <v>CNC</v>
          </cell>
          <cell r="AC324" t="str">
            <v>1405/02/14</v>
          </cell>
        </row>
        <row r="325">
          <cell r="B325" t="str">
            <v>قالب پخت کلاچ پیکان آرژانتینی</v>
          </cell>
          <cell r="C325" t="str">
            <v>قالب تعمیری</v>
          </cell>
          <cell r="N325" t="str">
            <v>CNC</v>
          </cell>
          <cell r="AC325" t="str">
            <v>1405/02/15</v>
          </cell>
        </row>
        <row r="326">
          <cell r="B326" t="str">
            <v>پخت کلاچ پراید</v>
          </cell>
          <cell r="C326" t="str">
            <v>قالب تعمیری</v>
          </cell>
          <cell r="N326" t="str">
            <v>CNC</v>
          </cell>
          <cell r="AC326" t="str">
            <v>1405/02/15</v>
          </cell>
        </row>
        <row r="327">
          <cell r="B327" t="str">
            <v xml:space="preserve">دستگاه مهر زنی </v>
          </cell>
          <cell r="C327" t="str">
            <v>قطعه نو</v>
          </cell>
          <cell r="N327" t="str">
            <v>دریل رادیال</v>
          </cell>
          <cell r="AC327" t="str">
            <v>1405/02/15</v>
          </cell>
        </row>
        <row r="328">
          <cell r="B328" t="str">
            <v xml:space="preserve">دستگاه سنگ پشم فلز آلمانی </v>
          </cell>
          <cell r="C328" t="str">
            <v>قطعه نو</v>
          </cell>
          <cell r="N328" t="str">
            <v>دریل رادیال</v>
          </cell>
          <cell r="AC328" t="str">
            <v>1405/02/15</v>
          </cell>
        </row>
        <row r="329">
          <cell r="B329" t="str">
            <v>قالب شمشی عقب ریو</v>
          </cell>
          <cell r="C329" t="str">
            <v>قالب نو</v>
          </cell>
          <cell r="N329" t="str">
            <v>مونتاژ</v>
          </cell>
          <cell r="AC329" t="str">
            <v>1405/02/15</v>
          </cell>
        </row>
        <row r="330">
          <cell r="B330" t="str">
            <v>قالب پخت کلاچ پژو 405</v>
          </cell>
          <cell r="C330" t="str">
            <v>قالب تعمیری</v>
          </cell>
          <cell r="N330" t="str">
            <v>CNC</v>
          </cell>
          <cell r="AC330" t="str">
            <v>1405/02/15</v>
          </cell>
        </row>
        <row r="331">
          <cell r="B331" t="str">
            <v>قالب پخت کلاچ پیکان</v>
          </cell>
          <cell r="C331" t="str">
            <v>قالب تعمیری</v>
          </cell>
          <cell r="N331" t="str">
            <v>مونتاژ</v>
          </cell>
          <cell r="AC331" t="str">
            <v>1405/02/14</v>
          </cell>
        </row>
        <row r="332">
          <cell r="B332" t="str">
            <v>قالب پخت کلاچ پژو 405</v>
          </cell>
          <cell r="C332" t="str">
            <v>قالب تعمیری</v>
          </cell>
          <cell r="N332" t="str">
            <v>مونتاژ</v>
          </cell>
          <cell r="AC332" t="str">
            <v>1405/02/14</v>
          </cell>
        </row>
        <row r="333">
          <cell r="B333" t="str">
            <v>قالب شمشی عقب ریو</v>
          </cell>
          <cell r="C333" t="str">
            <v>قالب نو</v>
          </cell>
          <cell r="N333" t="str">
            <v>مونتاژ</v>
          </cell>
          <cell r="AC333" t="str">
            <v>1405/02/14</v>
          </cell>
        </row>
        <row r="334">
          <cell r="B334" t="str">
            <v>قالب پخت کلاچ پیکان آرژانتینی</v>
          </cell>
          <cell r="C334" t="str">
            <v>قالب تعمیری</v>
          </cell>
          <cell r="N334" t="str">
            <v>مونتاژ</v>
          </cell>
          <cell r="AC334" t="str">
            <v>1405/02/14</v>
          </cell>
        </row>
        <row r="335">
          <cell r="B335" t="str">
            <v>پخت کلاچ پراید</v>
          </cell>
          <cell r="C335" t="str">
            <v>قالب تعمیری</v>
          </cell>
          <cell r="N335" t="str">
            <v>مونتاژ</v>
          </cell>
          <cell r="AC335" t="str">
            <v>1405/02/14</v>
          </cell>
        </row>
        <row r="336">
          <cell r="B336" t="str">
            <v>قالب پخت کلاچ پیکان آرژانتینی</v>
          </cell>
          <cell r="C336" t="str">
            <v>قالب تعمیری</v>
          </cell>
          <cell r="N336" t="str">
            <v>مونتاژ</v>
          </cell>
          <cell r="AC336" t="str">
            <v>1405/02/14</v>
          </cell>
        </row>
        <row r="337">
          <cell r="B337" t="str">
            <v>قالب پخت کلاچ پژو 405</v>
          </cell>
          <cell r="C337" t="str">
            <v>قالب تعمیری</v>
          </cell>
          <cell r="N337" t="str">
            <v>فرز</v>
          </cell>
          <cell r="AC337" t="str">
            <v>1405/02/14</v>
          </cell>
        </row>
        <row r="338">
          <cell r="B338" t="str">
            <v>قالب پخت کلاچ پیکان آرژانتینی</v>
          </cell>
          <cell r="C338" t="str">
            <v>قالب تعمیری</v>
          </cell>
          <cell r="N338" t="str">
            <v>فرز</v>
          </cell>
          <cell r="AC338" t="str">
            <v>1405/02/15</v>
          </cell>
        </row>
        <row r="339">
          <cell r="B339" t="str">
            <v>قالب پخت کلاچ پیکان آرژانتینی</v>
          </cell>
          <cell r="C339" t="str">
            <v>قالب تعمیری</v>
          </cell>
          <cell r="N339" t="str">
            <v>فرز</v>
          </cell>
          <cell r="AC339" t="str">
            <v>1405/02/16</v>
          </cell>
        </row>
        <row r="340">
          <cell r="B340" t="str">
            <v>قالب عقب F12</v>
          </cell>
          <cell r="C340" t="str">
            <v>قالب تعمیری</v>
          </cell>
          <cell r="N340" t="str">
            <v xml:space="preserve">فرز </v>
          </cell>
          <cell r="AC340" t="str">
            <v>1405/02/16</v>
          </cell>
        </row>
        <row r="341">
          <cell r="B341" t="str">
            <v>پخت عقب پژو 405 شمشی پایه کوتاه</v>
          </cell>
          <cell r="C341" t="str">
            <v>قالب نو</v>
          </cell>
          <cell r="N341" t="str">
            <v>فرز</v>
          </cell>
          <cell r="AC341" t="str">
            <v>1405/02/15</v>
          </cell>
        </row>
        <row r="342">
          <cell r="B342" t="str">
            <v>قالب پخت کلاچ پیکان</v>
          </cell>
          <cell r="C342" t="str">
            <v>قالب تعمیری</v>
          </cell>
          <cell r="N342" t="str">
            <v>فرز</v>
          </cell>
          <cell r="AC342" t="str">
            <v>1405/02/15</v>
          </cell>
        </row>
        <row r="343">
          <cell r="B343" t="str">
            <v>قالب پخت کلاچ پیکان</v>
          </cell>
          <cell r="C343" t="str">
            <v>قالب تعمیری</v>
          </cell>
          <cell r="N343" t="str">
            <v>مونتاژ</v>
          </cell>
          <cell r="AC343" t="str">
            <v>1405/02/15</v>
          </cell>
        </row>
        <row r="344">
          <cell r="B344" t="str">
            <v>قالب پخت کلاچ پژو 405</v>
          </cell>
          <cell r="C344" t="str">
            <v>قالب تعمیری</v>
          </cell>
          <cell r="N344" t="str">
            <v>مونتاژ</v>
          </cell>
          <cell r="AC344" t="str">
            <v>1405/02/15</v>
          </cell>
        </row>
        <row r="345">
          <cell r="B345" t="str">
            <v>قالب شمشی عقب ریو</v>
          </cell>
          <cell r="C345" t="str">
            <v>قالب نو</v>
          </cell>
          <cell r="N345" t="str">
            <v>مونتاژ</v>
          </cell>
          <cell r="AC345" t="str">
            <v>1405/02/15</v>
          </cell>
        </row>
        <row r="346">
          <cell r="B346" t="str">
            <v>پخت کلاچ پراید</v>
          </cell>
          <cell r="C346" t="str">
            <v>قالب تعمیری</v>
          </cell>
          <cell r="N346" t="str">
            <v>مونتاژ</v>
          </cell>
          <cell r="AC346" t="str">
            <v>1405/02/15</v>
          </cell>
        </row>
        <row r="347">
          <cell r="B347" t="str">
            <v>قالب پخت کلاچ پیکان</v>
          </cell>
          <cell r="C347" t="str">
            <v>قالب تعمیری</v>
          </cell>
          <cell r="N347" t="str">
            <v>مونتاژ</v>
          </cell>
          <cell r="AC347" t="str">
            <v>1405/02/15</v>
          </cell>
        </row>
        <row r="348">
          <cell r="B348" t="str">
            <v>قالب پخت کلاچ پژو 405</v>
          </cell>
          <cell r="C348" t="str">
            <v>قالب تعمیری</v>
          </cell>
          <cell r="N348" t="str">
            <v>فرز</v>
          </cell>
          <cell r="AC348" t="str">
            <v>1405/02/15</v>
          </cell>
        </row>
        <row r="349">
          <cell r="B349" t="str">
            <v>قالب پخت کلاچ پیکان</v>
          </cell>
          <cell r="C349" t="str">
            <v>قالب تعمیری</v>
          </cell>
          <cell r="N349" t="str">
            <v>فرز</v>
          </cell>
          <cell r="AC349" t="str">
            <v>1405/02/15</v>
          </cell>
        </row>
        <row r="350">
          <cell r="B350" t="str">
            <v>قالب پخت کلاچ پیکان</v>
          </cell>
          <cell r="C350" t="str">
            <v>قالب تعمیری</v>
          </cell>
          <cell r="N350" t="str">
            <v>فرز</v>
          </cell>
          <cell r="AC350" t="str">
            <v>1405/02/15</v>
          </cell>
        </row>
        <row r="351">
          <cell r="B351" t="str">
            <v>قالب پخت کلاچ پژو 405</v>
          </cell>
          <cell r="C351" t="str">
            <v>قالب تعمیری</v>
          </cell>
          <cell r="N351" t="str">
            <v>سنگ زنی</v>
          </cell>
          <cell r="AC351" t="str">
            <v>1405/02/15</v>
          </cell>
        </row>
        <row r="352">
          <cell r="B352" t="str">
            <v>قالب پخت کلاچ پیکان آرژانتینی</v>
          </cell>
          <cell r="C352" t="str">
            <v>قالب تعمیری</v>
          </cell>
          <cell r="N352" t="str">
            <v>سنگ زنی</v>
          </cell>
          <cell r="AC352" t="str">
            <v>1405/02/15</v>
          </cell>
        </row>
        <row r="353">
          <cell r="B353" t="str">
            <v>برش جمعی جدید</v>
          </cell>
          <cell r="C353" t="str">
            <v>قطعه نو</v>
          </cell>
          <cell r="N353" t="str">
            <v>تراش</v>
          </cell>
          <cell r="AC353" t="str">
            <v>1405/02/15</v>
          </cell>
        </row>
        <row r="354">
          <cell r="B354" t="str">
            <v>پین عقب پژو 405</v>
          </cell>
          <cell r="C354" t="str">
            <v>قطعه نو</v>
          </cell>
          <cell r="N354" t="str">
            <v>سری تراش</v>
          </cell>
          <cell r="AC354" t="str">
            <v>1405/02/15</v>
          </cell>
        </row>
        <row r="355">
          <cell r="B355" t="str">
            <v>آغشته کاری</v>
          </cell>
          <cell r="C355" t="str">
            <v>قطعه تعمیری</v>
          </cell>
          <cell r="N355" t="str">
            <v>تراش</v>
          </cell>
          <cell r="AC355" t="str">
            <v>1405/02/15</v>
          </cell>
        </row>
        <row r="356">
          <cell r="B356" t="str">
            <v>ویوینگ</v>
          </cell>
          <cell r="C356" t="str">
            <v>قطعه تعمیری</v>
          </cell>
          <cell r="N356" t="str">
            <v>تراش</v>
          </cell>
          <cell r="AC356" t="str">
            <v>1405/02/15</v>
          </cell>
        </row>
        <row r="357">
          <cell r="B357" t="str">
            <v>ابزار زنی</v>
          </cell>
          <cell r="C357" t="str">
            <v>قطعه تعمیری</v>
          </cell>
          <cell r="N357" t="str">
            <v>تراش</v>
          </cell>
          <cell r="AC357" t="str">
            <v>1405/02/15</v>
          </cell>
        </row>
        <row r="358">
          <cell r="B358" t="str">
            <v>آغشته کاری</v>
          </cell>
          <cell r="C358" t="str">
            <v>قطعه تعمیری</v>
          </cell>
          <cell r="N358" t="str">
            <v>تراش</v>
          </cell>
          <cell r="AC358" t="str">
            <v>1405/02/15</v>
          </cell>
        </row>
        <row r="359">
          <cell r="B359" t="str">
            <v>سری نقطه جوش</v>
          </cell>
          <cell r="C359" t="str">
            <v>قطعه تعمیری</v>
          </cell>
          <cell r="N359" t="str">
            <v>تراش</v>
          </cell>
          <cell r="AC359" t="str">
            <v>1405/02/15</v>
          </cell>
        </row>
        <row r="360">
          <cell r="B360" t="str">
            <v>قالب پخت کلاچ پژو 405</v>
          </cell>
          <cell r="C360" t="str">
            <v>قالب تعمیری</v>
          </cell>
          <cell r="N360" t="str">
            <v>CNC</v>
          </cell>
          <cell r="AC360" t="str">
            <v>1405/02/16</v>
          </cell>
        </row>
        <row r="361">
          <cell r="B361" t="str">
            <v>قالب پخت کلاچ پژو 405</v>
          </cell>
          <cell r="C361" t="str">
            <v>قالب تعمیری</v>
          </cell>
          <cell r="N361" t="str">
            <v>CNC</v>
          </cell>
          <cell r="AC361" t="str">
            <v>1405/02/16</v>
          </cell>
        </row>
        <row r="362">
          <cell r="B362" t="str">
            <v>پین عقب پژو 405</v>
          </cell>
          <cell r="C362" t="str">
            <v>قطعه نو</v>
          </cell>
          <cell r="N362" t="str">
            <v>سری تراش</v>
          </cell>
          <cell r="AC362" t="str">
            <v>1405/02/16</v>
          </cell>
        </row>
        <row r="363">
          <cell r="B363" t="str">
            <v>پین عقب پژو 405</v>
          </cell>
          <cell r="C363" t="str">
            <v>قطعه نو</v>
          </cell>
          <cell r="N363" t="str">
            <v>سری تراش</v>
          </cell>
          <cell r="AC363" t="str">
            <v>1405/02/17</v>
          </cell>
        </row>
        <row r="364">
          <cell r="B364" t="str">
            <v>قالب پخت کلاچ پیکان</v>
          </cell>
          <cell r="C364" t="str">
            <v>قالب تعمیری</v>
          </cell>
          <cell r="N364" t="str">
            <v>فرز</v>
          </cell>
          <cell r="AC364" t="str">
            <v>1405/02/16</v>
          </cell>
        </row>
        <row r="365">
          <cell r="B365" t="str">
            <v>قالب عقب F12</v>
          </cell>
          <cell r="C365" t="str">
            <v>قالب تعمیری</v>
          </cell>
          <cell r="N365" t="str">
            <v xml:space="preserve">فرز </v>
          </cell>
          <cell r="AC365" t="str">
            <v>1405/02/16</v>
          </cell>
        </row>
        <row r="366">
          <cell r="B366" t="str">
            <v>قالب پخت کلاچ پژو 405</v>
          </cell>
          <cell r="C366" t="str">
            <v>قالب تعمیری</v>
          </cell>
          <cell r="N366" t="str">
            <v>تراش</v>
          </cell>
          <cell r="AC366" t="str">
            <v>1405/02/16</v>
          </cell>
        </row>
        <row r="367">
          <cell r="B367" t="str">
            <v>قالب پخت کلاچ پیکان آرژانتینی</v>
          </cell>
          <cell r="C367" t="str">
            <v>قالب تعمیری</v>
          </cell>
          <cell r="N367" t="str">
            <v>تراش</v>
          </cell>
          <cell r="AC367" t="str">
            <v>1405/02/16</v>
          </cell>
        </row>
        <row r="368">
          <cell r="B368" t="str">
            <v>پخت کلاچ پراید</v>
          </cell>
          <cell r="C368" t="str">
            <v>قالب تعمیری</v>
          </cell>
          <cell r="N368" t="str">
            <v>تراش</v>
          </cell>
          <cell r="AC368" t="str">
            <v>1405/02/17</v>
          </cell>
        </row>
        <row r="369">
          <cell r="B369" t="str">
            <v>اصول 5S</v>
          </cell>
          <cell r="C369" t="str">
            <v>نظافت</v>
          </cell>
          <cell r="N369" t="str">
            <v>نظافت</v>
          </cell>
          <cell r="AC369" t="str">
            <v>1405/02/17</v>
          </cell>
        </row>
        <row r="370">
          <cell r="B370" t="str">
            <v>اصول 5S</v>
          </cell>
          <cell r="C370" t="str">
            <v>نظافت</v>
          </cell>
          <cell r="N370" t="str">
            <v>نظافت</v>
          </cell>
          <cell r="AC370" t="str">
            <v>1405/02/16</v>
          </cell>
        </row>
        <row r="371">
          <cell r="B371" t="str">
            <v>دستگاه پخ زنی</v>
          </cell>
          <cell r="C371" t="str">
            <v>دستگاه تعمیری</v>
          </cell>
          <cell r="N371" t="str">
            <v>مونتاژ</v>
          </cell>
          <cell r="AC371" t="str">
            <v>1405/02/16</v>
          </cell>
        </row>
        <row r="372">
          <cell r="B372" t="str">
            <v>قالب پژو 405 دیسکی</v>
          </cell>
          <cell r="C372" t="str">
            <v>قالب تعمیری</v>
          </cell>
          <cell r="N372" t="str">
            <v>مونتاژ</v>
          </cell>
          <cell r="AC372" t="str">
            <v>1405/02/16</v>
          </cell>
        </row>
        <row r="373">
          <cell r="B373" t="str">
            <v>پخت کلاچ پراید</v>
          </cell>
          <cell r="C373" t="str">
            <v>قالب تعمیری</v>
          </cell>
          <cell r="N373" t="str">
            <v>CNC</v>
          </cell>
          <cell r="AC373" t="str">
            <v>1405/02/16</v>
          </cell>
        </row>
        <row r="374">
          <cell r="B374" t="str">
            <v>پخت کلاچ پراید</v>
          </cell>
          <cell r="C374" t="str">
            <v>قالب تعمیری</v>
          </cell>
          <cell r="N374" t="str">
            <v>CNC</v>
          </cell>
          <cell r="AC374" t="str">
            <v>1405/02/17</v>
          </cell>
        </row>
        <row r="375">
          <cell r="B375" t="str">
            <v>پخت کلاچ پراید</v>
          </cell>
          <cell r="C375" t="str">
            <v>قالب تعمیری</v>
          </cell>
          <cell r="N375" t="str">
            <v>فرز</v>
          </cell>
          <cell r="AC375" t="str">
            <v>1405/02/16</v>
          </cell>
        </row>
        <row r="376">
          <cell r="B376" t="str">
            <v>آسیاب پشم فلز</v>
          </cell>
          <cell r="C376" t="str">
            <v>قطعه تعمیری</v>
          </cell>
          <cell r="N376" t="str">
            <v>فرز</v>
          </cell>
          <cell r="AC376" t="str">
            <v>1405/02/16</v>
          </cell>
        </row>
        <row r="377">
          <cell r="B377" t="str">
            <v>قالب پخت کلاچ پژو 405</v>
          </cell>
          <cell r="C377" t="str">
            <v>قالب تعمیری</v>
          </cell>
          <cell r="N377" t="str">
            <v>فرز</v>
          </cell>
          <cell r="AC377" t="str">
            <v>1405/02/16</v>
          </cell>
        </row>
        <row r="378">
          <cell r="B378" t="str">
            <v>پخت کلاچ پراید</v>
          </cell>
          <cell r="C378" t="str">
            <v>قالب تعمیری</v>
          </cell>
          <cell r="N378" t="str">
            <v>فرز</v>
          </cell>
          <cell r="AC378" t="str">
            <v>1405/02/17</v>
          </cell>
        </row>
        <row r="379">
          <cell r="B379" t="str">
            <v>پخت کلاچ پراید</v>
          </cell>
          <cell r="C379" t="str">
            <v>قالب تعمیری</v>
          </cell>
          <cell r="N379" t="str">
            <v>فرز</v>
          </cell>
          <cell r="AC379" t="str">
            <v>1405/02/17</v>
          </cell>
        </row>
        <row r="380">
          <cell r="B380" t="str">
            <v>اصول 5S</v>
          </cell>
          <cell r="C380" t="str">
            <v>نظافت</v>
          </cell>
          <cell r="N380" t="str">
            <v>نظافت</v>
          </cell>
          <cell r="AC380" t="str">
            <v>1405/02/17</v>
          </cell>
        </row>
        <row r="381">
          <cell r="B381" t="str">
            <v>قالب پخت کلاچ پژو 405</v>
          </cell>
          <cell r="C381" t="str">
            <v>قالب تعمیری</v>
          </cell>
          <cell r="N381" t="str">
            <v>مونتاژ</v>
          </cell>
          <cell r="AC381" t="str">
            <v>1405/02/16</v>
          </cell>
        </row>
        <row r="382">
          <cell r="B382" t="str">
            <v>پخت مترو K</v>
          </cell>
          <cell r="C382" t="str">
            <v>قالب تعمیری</v>
          </cell>
          <cell r="N382" t="str">
            <v>مونتاژ</v>
          </cell>
          <cell r="AC382" t="str">
            <v>1405/02/16</v>
          </cell>
        </row>
        <row r="383">
          <cell r="B383" t="str">
            <v>پخت مترو K</v>
          </cell>
          <cell r="C383" t="str">
            <v>قالب تعمیری</v>
          </cell>
          <cell r="N383" t="str">
            <v>دریل رادیال</v>
          </cell>
          <cell r="AC383" t="str">
            <v>1405/02/16</v>
          </cell>
        </row>
        <row r="384">
          <cell r="B384" t="str">
            <v>پخت مترو K</v>
          </cell>
          <cell r="C384" t="str">
            <v>قالب تعمیری</v>
          </cell>
          <cell r="N384" t="str">
            <v>مونتاژ</v>
          </cell>
          <cell r="AC384" t="str">
            <v>1405/02/16</v>
          </cell>
        </row>
        <row r="385">
          <cell r="B385" t="str">
            <v>اصول 5S</v>
          </cell>
          <cell r="C385" t="str">
            <v>نظافت</v>
          </cell>
          <cell r="N385" t="str">
            <v>نظافت</v>
          </cell>
          <cell r="AC385" t="str">
            <v>1405/02/16</v>
          </cell>
        </row>
        <row r="386">
          <cell r="B386" t="str">
            <v>عقب بنز 74</v>
          </cell>
          <cell r="C386" t="str">
            <v>قالب تعمیری</v>
          </cell>
          <cell r="N386" t="str">
            <v>مونتاژ</v>
          </cell>
          <cell r="AC386" t="str">
            <v>1405/02/16</v>
          </cell>
        </row>
        <row r="387">
          <cell r="B387" t="str">
            <v>عقب بنز 74</v>
          </cell>
          <cell r="C387" t="str">
            <v>قالب تعمیری</v>
          </cell>
          <cell r="N387" t="str">
            <v>دریل رادیال</v>
          </cell>
          <cell r="AC387" t="str">
            <v>1405/02/17</v>
          </cell>
        </row>
        <row r="388">
          <cell r="B388" t="str">
            <v>عقب بنز 74</v>
          </cell>
          <cell r="C388" t="str">
            <v>قالب تعمیری</v>
          </cell>
          <cell r="N388" t="str">
            <v>مونتاژ</v>
          </cell>
          <cell r="AC388" t="str">
            <v>1405/02/17</v>
          </cell>
        </row>
        <row r="389">
          <cell r="B389" t="str">
            <v>قالب شیم پژو 405</v>
          </cell>
          <cell r="C389" t="str">
            <v>قالب تعمیری</v>
          </cell>
          <cell r="N389" t="str">
            <v>مونتاژ</v>
          </cell>
          <cell r="AC389" t="str">
            <v>1405/02/17</v>
          </cell>
        </row>
        <row r="390">
          <cell r="B390" t="str">
            <v>اصول 5S</v>
          </cell>
          <cell r="C390" t="str">
            <v>نظافت</v>
          </cell>
          <cell r="N390" t="str">
            <v>نظافت</v>
          </cell>
          <cell r="AC390" t="str">
            <v>1405/02/17</v>
          </cell>
        </row>
        <row r="391">
          <cell r="B391" t="str">
            <v>قالب پخت کلاچ پیکان آرژانتینی</v>
          </cell>
          <cell r="C391" t="str">
            <v>قالب تعمیری</v>
          </cell>
          <cell r="N391" t="str">
            <v>سنگ زنی</v>
          </cell>
          <cell r="AC391" t="str">
            <v>1405/02/16</v>
          </cell>
        </row>
        <row r="392">
          <cell r="B392" t="str">
            <v>قالب شیم پژو 405</v>
          </cell>
          <cell r="C392" t="str">
            <v>قالب تعمیری</v>
          </cell>
          <cell r="N392" t="str">
            <v>سنگ زنی</v>
          </cell>
          <cell r="AC392" t="str">
            <v>1405/02/16</v>
          </cell>
        </row>
        <row r="393">
          <cell r="B393" t="str">
            <v>قالب پخت کلاچ پژو 405</v>
          </cell>
          <cell r="C393" t="str">
            <v>قالب تعمیری</v>
          </cell>
          <cell r="N393" t="str">
            <v>سنگ زنی</v>
          </cell>
          <cell r="AC393" t="str">
            <v>1405/02/16</v>
          </cell>
        </row>
        <row r="394">
          <cell r="B394" t="str">
            <v>قالب پخت کلاچ پیکان آرژانتینی</v>
          </cell>
          <cell r="C394" t="str">
            <v>قالب تعمیری</v>
          </cell>
          <cell r="N394" t="str">
            <v>سنگ زنی</v>
          </cell>
          <cell r="AC394" t="str">
            <v>1405/02/17</v>
          </cell>
        </row>
        <row r="395">
          <cell r="B395" t="str">
            <v>قالب پخت کلاچ پژو 405</v>
          </cell>
          <cell r="C395" t="str">
            <v>قالب تعمیری</v>
          </cell>
          <cell r="N395" t="str">
            <v>سنگ زنی</v>
          </cell>
          <cell r="AC395" t="str">
            <v>1405/02/17</v>
          </cell>
        </row>
        <row r="396">
          <cell r="B396" t="str">
            <v>اصول 5S</v>
          </cell>
          <cell r="C396" t="str">
            <v>نظافت</v>
          </cell>
          <cell r="N396" t="str">
            <v>نظافت</v>
          </cell>
          <cell r="AC396" t="str">
            <v>1405/02/17</v>
          </cell>
        </row>
        <row r="397">
          <cell r="B397" t="str">
            <v>ویوینگ</v>
          </cell>
          <cell r="C397" t="str">
            <v>قطعه تعمیری</v>
          </cell>
          <cell r="N397" t="str">
            <v>تراش</v>
          </cell>
          <cell r="AC397" t="str">
            <v>1405/02/16</v>
          </cell>
        </row>
        <row r="398">
          <cell r="B398" t="str">
            <v>پخت مترو K</v>
          </cell>
          <cell r="C398" t="str">
            <v>قالب تعمیری</v>
          </cell>
          <cell r="N398" t="str">
            <v>تراش</v>
          </cell>
          <cell r="AC398" t="str">
            <v>1405/02/16</v>
          </cell>
        </row>
        <row r="399">
          <cell r="B399" t="str">
            <v>دستگاه پشم فلز</v>
          </cell>
          <cell r="C399" t="str">
            <v>قطعه تعمیری</v>
          </cell>
          <cell r="N399" t="str">
            <v>تراش</v>
          </cell>
          <cell r="AC399" t="str">
            <v>1405/02/16</v>
          </cell>
        </row>
        <row r="400">
          <cell r="B400" t="str">
            <v>ابزار زنی</v>
          </cell>
          <cell r="C400" t="str">
            <v>قطعه تعمیری</v>
          </cell>
          <cell r="N400" t="str">
            <v>تراش</v>
          </cell>
          <cell r="AC400" t="str">
            <v>1405/02/16</v>
          </cell>
        </row>
        <row r="401">
          <cell r="B401" t="str">
            <v>Hammer Mill Machine</v>
          </cell>
          <cell r="C401" t="str">
            <v>دستگاه نو</v>
          </cell>
          <cell r="N401" t="str">
            <v>تراش</v>
          </cell>
          <cell r="AC401" t="str">
            <v>1405/02/16</v>
          </cell>
        </row>
        <row r="402">
          <cell r="B402" t="str">
            <v>Hammer Mill Machine</v>
          </cell>
          <cell r="C402" t="str">
            <v>دستگاه نو</v>
          </cell>
          <cell r="N402" t="str">
            <v>تراش</v>
          </cell>
          <cell r="AC402" t="str">
            <v>1405/02/17</v>
          </cell>
        </row>
        <row r="403">
          <cell r="B403" t="str">
            <v>اصول 5S</v>
          </cell>
          <cell r="C403" t="str">
            <v>نظافت</v>
          </cell>
          <cell r="N403" t="str">
            <v>نظافت</v>
          </cell>
          <cell r="AC403" t="str">
            <v>1405/02/17</v>
          </cell>
        </row>
        <row r="404">
          <cell r="B404" t="str">
            <v>قالب عقب F12</v>
          </cell>
          <cell r="C404" t="str">
            <v>قالب تعمیری</v>
          </cell>
          <cell r="N404" t="str">
            <v xml:space="preserve">فرز </v>
          </cell>
          <cell r="AC404" t="str">
            <v>1405/02/17</v>
          </cell>
        </row>
        <row r="405">
          <cell r="B405" t="str">
            <v>Hammer Mill Machine</v>
          </cell>
          <cell r="C405" t="str">
            <v>دستگاه نو</v>
          </cell>
          <cell r="N405" t="str">
            <v>وایر</v>
          </cell>
          <cell r="AC405" t="str">
            <v>1405/02/17</v>
          </cell>
        </row>
        <row r="406">
          <cell r="B406" t="str">
            <v>Hammer Mill Machine</v>
          </cell>
          <cell r="C406" t="str">
            <v>دستگاه نو</v>
          </cell>
          <cell r="N406" t="str">
            <v>وایر</v>
          </cell>
          <cell r="AC406" t="str">
            <v>1405/02/17</v>
          </cell>
        </row>
        <row r="407">
          <cell r="B407" t="str">
            <v>تسمه تست کششی</v>
          </cell>
          <cell r="C407" t="str">
            <v>قطعه نو</v>
          </cell>
          <cell r="N407" t="str">
            <v>وایر</v>
          </cell>
          <cell r="AC407" t="str">
            <v>1405/02/17</v>
          </cell>
        </row>
        <row r="408">
          <cell r="B408" t="str">
            <v>لنت دنیای مس</v>
          </cell>
          <cell r="C408" t="str">
            <v>قطعه نو</v>
          </cell>
          <cell r="N408" t="str">
            <v>وایر</v>
          </cell>
          <cell r="AC408" t="str">
            <v>1405/02/17</v>
          </cell>
        </row>
        <row r="409">
          <cell r="B409" t="str">
            <v>پین عقب پژو 405</v>
          </cell>
          <cell r="C409" t="str">
            <v>قطعه نو</v>
          </cell>
          <cell r="N409" t="str">
            <v>سری تراش</v>
          </cell>
          <cell r="AC409" t="str">
            <v>1405/02/19</v>
          </cell>
        </row>
        <row r="410">
          <cell r="B410" t="str">
            <v>قالب پخت کلاچ پژو 405</v>
          </cell>
          <cell r="C410" t="str">
            <v>قالب تعمیری</v>
          </cell>
          <cell r="N410" t="str">
            <v>فرز</v>
          </cell>
          <cell r="AC410" t="str">
            <v>1405/02/19</v>
          </cell>
        </row>
        <row r="411">
          <cell r="B411" t="str">
            <v>دستگاه ساب کلاچ</v>
          </cell>
          <cell r="C411" t="str">
            <v>قطعه تعمیری</v>
          </cell>
          <cell r="N411" t="str">
            <v>فرز</v>
          </cell>
          <cell r="AC411" t="str">
            <v>1405/02/19</v>
          </cell>
        </row>
        <row r="412">
          <cell r="B412" t="str">
            <v>قالب عقب F12</v>
          </cell>
          <cell r="C412" t="str">
            <v>قالب تعمیری</v>
          </cell>
          <cell r="N412" t="str">
            <v xml:space="preserve">فرز </v>
          </cell>
          <cell r="AC412" t="str">
            <v>1405/02/19</v>
          </cell>
        </row>
        <row r="413">
          <cell r="B413" t="str">
            <v>آسیاب پشم فلز</v>
          </cell>
          <cell r="C413" t="str">
            <v>قطعه تعمیری</v>
          </cell>
          <cell r="N413" t="str">
            <v xml:space="preserve">فرز </v>
          </cell>
          <cell r="AC413" t="str">
            <v>1405/02/19</v>
          </cell>
        </row>
        <row r="414">
          <cell r="B414" t="str">
            <v>قالب پخت کلاچ پژو 405</v>
          </cell>
          <cell r="C414" t="str">
            <v>قالب تعمیری</v>
          </cell>
          <cell r="N414" t="str">
            <v>فرز</v>
          </cell>
          <cell r="AC414" t="str">
            <v>1405/02/19</v>
          </cell>
        </row>
        <row r="415">
          <cell r="B415" t="str">
            <v>قالب عقب F12</v>
          </cell>
          <cell r="C415" t="str">
            <v>قالب تعمیری</v>
          </cell>
          <cell r="N415" t="str">
            <v>فرز</v>
          </cell>
          <cell r="AC415" t="str">
            <v>1405/02/19</v>
          </cell>
        </row>
        <row r="416">
          <cell r="B416" t="str">
            <v>قالب شیم پژو 405</v>
          </cell>
          <cell r="C416" t="str">
            <v>قالب تعمیری</v>
          </cell>
          <cell r="N416" t="str">
            <v>فرز</v>
          </cell>
          <cell r="AC416" t="str">
            <v>1405/02/19</v>
          </cell>
        </row>
        <row r="417">
          <cell r="B417" t="str">
            <v>قالب پخت کلاچ پیکان آرژانتینی</v>
          </cell>
          <cell r="C417" t="str">
            <v>قالب تعمیری</v>
          </cell>
          <cell r="N417" t="str">
            <v>تراش</v>
          </cell>
          <cell r="AC417" t="str">
            <v>1405/02/19</v>
          </cell>
        </row>
        <row r="418">
          <cell r="B418" t="str">
            <v>قالب پخت کلاچ پژو 405</v>
          </cell>
          <cell r="C418" t="str">
            <v>قالب تعمیری</v>
          </cell>
          <cell r="N418" t="str">
            <v>تراش</v>
          </cell>
          <cell r="AC418" t="str">
            <v>1405/02/19</v>
          </cell>
        </row>
        <row r="419">
          <cell r="B419" t="str">
            <v>سری نقطه جوش</v>
          </cell>
          <cell r="C419" t="str">
            <v>قطعه تعمیری</v>
          </cell>
          <cell r="N419" t="str">
            <v>تراش</v>
          </cell>
          <cell r="AC419" t="str">
            <v>1405/02/19</v>
          </cell>
        </row>
        <row r="420">
          <cell r="B420" t="str">
            <v>پخت کلاچ پراید</v>
          </cell>
          <cell r="C420" t="str">
            <v>قالب تعمیری</v>
          </cell>
          <cell r="N420" t="str">
            <v>CNC</v>
          </cell>
          <cell r="AC420" t="str">
            <v>1405/02/19</v>
          </cell>
        </row>
        <row r="421">
          <cell r="B421" t="str">
            <v>قالب پخت کلاچ پیکان</v>
          </cell>
          <cell r="C421" t="str">
            <v>قالب تعمیری</v>
          </cell>
          <cell r="N421" t="str">
            <v>CNC</v>
          </cell>
          <cell r="AC421" t="str">
            <v>1405/02/19</v>
          </cell>
        </row>
        <row r="422">
          <cell r="B422" t="str">
            <v>قالب پخت کلاچ پژو 405</v>
          </cell>
          <cell r="C422" t="str">
            <v>قالب تعمیری</v>
          </cell>
          <cell r="N422" t="str">
            <v>سنگ زنی</v>
          </cell>
          <cell r="AC422" t="str">
            <v>1405/02/19</v>
          </cell>
        </row>
        <row r="423">
          <cell r="B423" t="str">
            <v>گیوتین 50 تن</v>
          </cell>
          <cell r="C423" t="str">
            <v>دستگاه تعمیری</v>
          </cell>
          <cell r="N423" t="str">
            <v>سنگ زنی</v>
          </cell>
          <cell r="AC423" t="str">
            <v>1405/02/19</v>
          </cell>
        </row>
        <row r="424">
          <cell r="B424" t="str">
            <v>قالب پخت کلاچ پیکان</v>
          </cell>
          <cell r="C424" t="str">
            <v>قالب تعمیری</v>
          </cell>
          <cell r="N424" t="str">
            <v>سنگ زنی</v>
          </cell>
          <cell r="AC424" t="str">
            <v>1405/02/19</v>
          </cell>
        </row>
        <row r="425">
          <cell r="B425" t="str">
            <v>قالب شمشی عقب ریو</v>
          </cell>
          <cell r="C425" t="str">
            <v>قالب نو</v>
          </cell>
          <cell r="N425" t="str">
            <v>مونتاژ</v>
          </cell>
          <cell r="AC425" t="str">
            <v>1405/02/19</v>
          </cell>
        </row>
        <row r="426">
          <cell r="B426" t="str">
            <v>پخت عقب پژو 405 شمشی پایه کوتاه</v>
          </cell>
          <cell r="C426" t="str">
            <v>قالب نو</v>
          </cell>
          <cell r="N426" t="str">
            <v>مونتاژ</v>
          </cell>
          <cell r="AC426" t="str">
            <v>1405/02/19</v>
          </cell>
        </row>
        <row r="427">
          <cell r="B427" t="str">
            <v>پخت کلاچ پژو 206 TU5</v>
          </cell>
          <cell r="C427" t="str">
            <v>قالب تعمیری</v>
          </cell>
          <cell r="N427" t="str">
            <v>مونتاژ</v>
          </cell>
          <cell r="AC427" t="str">
            <v>1405/02/19</v>
          </cell>
        </row>
        <row r="428">
          <cell r="B428" t="str">
            <v>دستگاه پشم فلز</v>
          </cell>
          <cell r="C428" t="str">
            <v>قطعه نو</v>
          </cell>
          <cell r="N428" t="str">
            <v>تراش</v>
          </cell>
          <cell r="AC428" t="str">
            <v>1405/02/19</v>
          </cell>
        </row>
        <row r="429">
          <cell r="B429" t="str">
            <v>دستگاه پشم فلز</v>
          </cell>
          <cell r="C429" t="str">
            <v>قطعه نو</v>
          </cell>
          <cell r="N429" t="str">
            <v>تراش</v>
          </cell>
          <cell r="AC429" t="str">
            <v>1405/02/19</v>
          </cell>
        </row>
        <row r="430">
          <cell r="B430" t="str">
            <v>دستگاه پشم فلز</v>
          </cell>
          <cell r="C430" t="str">
            <v>قطعه نو</v>
          </cell>
          <cell r="N430" t="str">
            <v>تراش</v>
          </cell>
          <cell r="AC430" t="str">
            <v>1405/02/19</v>
          </cell>
        </row>
        <row r="431">
          <cell r="B431" t="str">
            <v>عقب بنز 74</v>
          </cell>
          <cell r="C431" t="str">
            <v>قالب تعمیری</v>
          </cell>
          <cell r="N431" t="str">
            <v>تراش</v>
          </cell>
          <cell r="AC431" t="str">
            <v>1405/02/19</v>
          </cell>
        </row>
        <row r="432">
          <cell r="B432" t="str">
            <v>عقب بنز 74</v>
          </cell>
          <cell r="C432" t="str">
            <v>قالب تعمیری</v>
          </cell>
          <cell r="N432" t="str">
            <v>دریل رادیال</v>
          </cell>
          <cell r="AC432" t="str">
            <v>1405/02/19</v>
          </cell>
        </row>
        <row r="433">
          <cell r="B433" t="str">
            <v>پخت کلاچ پژو 206 TU5</v>
          </cell>
          <cell r="C433" t="str">
            <v>قالب تعمیری</v>
          </cell>
          <cell r="N433" t="str">
            <v>مونتاژ</v>
          </cell>
          <cell r="AC433" t="str">
            <v>1405/02/19</v>
          </cell>
        </row>
        <row r="434">
          <cell r="B434" t="str">
            <v>پخت کلاچ پژو 206 TU5</v>
          </cell>
          <cell r="C434" t="str">
            <v>قالب تعمیری</v>
          </cell>
          <cell r="N434" t="str">
            <v>مونتاژ</v>
          </cell>
          <cell r="AC434" t="str">
            <v>1405/02/19</v>
          </cell>
        </row>
        <row r="435">
          <cell r="B435" t="str">
            <v>دستگاه پشم فلز</v>
          </cell>
          <cell r="C435" t="str">
            <v>قطعه نو</v>
          </cell>
          <cell r="N435" t="str">
            <v>دریل رادیال</v>
          </cell>
          <cell r="AC435" t="str">
            <v>1405/02/19</v>
          </cell>
        </row>
        <row r="436">
          <cell r="B436" t="str">
            <v>دستگاه پشم فلز</v>
          </cell>
          <cell r="C436" t="str">
            <v>قطعه نو</v>
          </cell>
          <cell r="N436" t="str">
            <v>دریل رادیال</v>
          </cell>
          <cell r="AC436" t="str">
            <v>1405/02/19</v>
          </cell>
        </row>
        <row r="437">
          <cell r="B437" t="str">
            <v>قالب شمشی عقب ریو</v>
          </cell>
          <cell r="C437" t="str">
            <v>قالب نو</v>
          </cell>
          <cell r="N437" t="str">
            <v>مونتاژ</v>
          </cell>
          <cell r="AC437" t="str">
            <v>1405/02/19</v>
          </cell>
        </row>
        <row r="438">
          <cell r="B438" t="str">
            <v>Hammer Mill Machine</v>
          </cell>
          <cell r="C438" t="str">
            <v>دستگاه نو</v>
          </cell>
          <cell r="N438" t="str">
            <v>وایر</v>
          </cell>
          <cell r="AC438" t="str">
            <v>1405/02/19</v>
          </cell>
        </row>
        <row r="439">
          <cell r="B439" t="str">
            <v>Hammer Mill Machine</v>
          </cell>
          <cell r="C439" t="str">
            <v>دستگاه نو</v>
          </cell>
          <cell r="N439" t="str">
            <v>وایر</v>
          </cell>
          <cell r="AC439" t="str">
            <v>1405/02/19</v>
          </cell>
        </row>
        <row r="440">
          <cell r="B440" t="str">
            <v>لنت دنیای مس</v>
          </cell>
          <cell r="C440" t="str">
            <v>قطعه نو</v>
          </cell>
          <cell r="N440" t="str">
            <v>وایر</v>
          </cell>
          <cell r="AC440" t="str">
            <v>1405/02/19</v>
          </cell>
        </row>
        <row r="441">
          <cell r="B441" t="str">
            <v>قلم پین پژو 405</v>
          </cell>
          <cell r="C441" t="str">
            <v>قطعه تعمیری</v>
          </cell>
          <cell r="N441" t="str">
            <v>وایر</v>
          </cell>
          <cell r="AC441" t="str">
            <v>1405/02/19</v>
          </cell>
        </row>
        <row r="442">
          <cell r="B442" t="str">
            <v>قلم پین L90</v>
          </cell>
          <cell r="C442" t="str">
            <v>قطعه تعمیری</v>
          </cell>
          <cell r="N442" t="str">
            <v>وایر</v>
          </cell>
          <cell r="AC442" t="str">
            <v>1405/02/19</v>
          </cell>
        </row>
        <row r="443">
          <cell r="B443" t="str">
            <v xml:space="preserve">دستگاه مهر زنی </v>
          </cell>
          <cell r="C443" t="str">
            <v>قطعه نو</v>
          </cell>
          <cell r="N443" t="str">
            <v>وایر</v>
          </cell>
          <cell r="AC443" t="str">
            <v>1405/02/19</v>
          </cell>
        </row>
        <row r="444">
          <cell r="B444" t="str">
            <v>دستگاه پشم فلز</v>
          </cell>
          <cell r="C444" t="str">
            <v>قطعه نو</v>
          </cell>
          <cell r="N444" t="str">
            <v>وایر</v>
          </cell>
          <cell r="AC444" t="str">
            <v>1405/02/19</v>
          </cell>
        </row>
        <row r="445">
          <cell r="B445" t="str">
            <v>قالب پخت کلاچ پیکان</v>
          </cell>
          <cell r="C445" t="str">
            <v>قالب تعمیری</v>
          </cell>
          <cell r="N445" t="str">
            <v>CNC</v>
          </cell>
          <cell r="AC445" t="str">
            <v>1405/02/20</v>
          </cell>
        </row>
        <row r="446">
          <cell r="B446" t="str">
            <v>قالب عقب F12</v>
          </cell>
          <cell r="C446" t="str">
            <v>قالب تعمیری</v>
          </cell>
          <cell r="N446" t="str">
            <v>فرز</v>
          </cell>
          <cell r="AC446" t="str">
            <v>1405/02/20</v>
          </cell>
        </row>
        <row r="447">
          <cell r="B447" t="str">
            <v>قالب پخت کلاچ پژو 405</v>
          </cell>
          <cell r="C447" t="str">
            <v>قالب تعمیری</v>
          </cell>
          <cell r="N447" t="str">
            <v>سنگ زنی</v>
          </cell>
          <cell r="AC447" t="str">
            <v>1405/02/20</v>
          </cell>
        </row>
        <row r="448">
          <cell r="B448" t="str">
            <v>قالب شیم پژو 405</v>
          </cell>
          <cell r="C448" t="str">
            <v>قالب تعمیری</v>
          </cell>
          <cell r="N448" t="str">
            <v>فرز</v>
          </cell>
          <cell r="AC448" t="str">
            <v>1405/02/20</v>
          </cell>
        </row>
        <row r="449">
          <cell r="B449" t="str">
            <v>قالب شیم ریو</v>
          </cell>
          <cell r="C449" t="str">
            <v>قالب تعمیری</v>
          </cell>
          <cell r="N449" t="str">
            <v>فرز</v>
          </cell>
          <cell r="AC449" t="str">
            <v>1405/02/20</v>
          </cell>
        </row>
        <row r="450">
          <cell r="B450" t="str">
            <v>Hammer Mill Machine</v>
          </cell>
          <cell r="C450" t="str">
            <v>دستگاه نو</v>
          </cell>
          <cell r="N450" t="str">
            <v>تراش</v>
          </cell>
          <cell r="AC450" t="str">
            <v>1405/02/20</v>
          </cell>
        </row>
        <row r="451">
          <cell r="B451" t="str">
            <v>ویوینگ</v>
          </cell>
          <cell r="C451" t="str">
            <v>قطعه تعمیری</v>
          </cell>
          <cell r="N451" t="str">
            <v>تراش</v>
          </cell>
          <cell r="AC451" t="str">
            <v>1405/02/20</v>
          </cell>
        </row>
        <row r="452">
          <cell r="B452" t="str">
            <v>قالب پخت کلاچ پژو 405</v>
          </cell>
          <cell r="C452" t="str">
            <v>قالب تعمیری</v>
          </cell>
          <cell r="N452" t="str">
            <v>CNC</v>
          </cell>
          <cell r="AC452" t="str">
            <v>1405/02/19</v>
          </cell>
        </row>
        <row r="453">
          <cell r="B453" t="str">
            <v>قالب پخت کلاچ پژو 405</v>
          </cell>
          <cell r="C453" t="str">
            <v>قالب تعمیری</v>
          </cell>
          <cell r="N453" t="str">
            <v>CNC</v>
          </cell>
          <cell r="AC453" t="str">
            <v>1405/02/20</v>
          </cell>
        </row>
        <row r="454">
          <cell r="B454" t="str">
            <v>CNC 7203</v>
          </cell>
          <cell r="C454" t="str">
            <v>دستگاه تعمیری</v>
          </cell>
          <cell r="N454" t="str">
            <v>CNC</v>
          </cell>
          <cell r="AC454" t="str">
            <v>1405/02/20</v>
          </cell>
        </row>
        <row r="455">
          <cell r="B455" t="str">
            <v>CNC 7204</v>
          </cell>
          <cell r="C455" t="str">
            <v>دستگاه تعمیری</v>
          </cell>
          <cell r="N455" t="str">
            <v>CNC</v>
          </cell>
          <cell r="AC455" t="str">
            <v>1405/02/20</v>
          </cell>
        </row>
        <row r="456">
          <cell r="B456" t="str">
            <v>ساب کونیک</v>
          </cell>
          <cell r="C456" t="str">
            <v>قطعه نو</v>
          </cell>
          <cell r="N456" t="str">
            <v>تراش</v>
          </cell>
          <cell r="AC456" t="str">
            <v>1405/02/19</v>
          </cell>
        </row>
        <row r="457">
          <cell r="B457" t="str">
            <v>پین عقب پژو 405</v>
          </cell>
          <cell r="C457" t="str">
            <v>قطعه نو</v>
          </cell>
          <cell r="N457" t="str">
            <v>سری تراش</v>
          </cell>
          <cell r="AC457" t="str">
            <v>1405/02/19</v>
          </cell>
        </row>
        <row r="458">
          <cell r="B458" t="str">
            <v>ساب کونیک</v>
          </cell>
          <cell r="C458" t="str">
            <v>قطعه نو</v>
          </cell>
          <cell r="N458" t="str">
            <v>تراش</v>
          </cell>
          <cell r="AC458" t="str">
            <v>1405/02/20</v>
          </cell>
        </row>
        <row r="459">
          <cell r="B459" t="str">
            <v>پین عقب پژو 405</v>
          </cell>
          <cell r="C459" t="str">
            <v>قطعه نو</v>
          </cell>
          <cell r="N459" t="str">
            <v>سری تراش</v>
          </cell>
          <cell r="AC459" t="str">
            <v>1405/02/20</v>
          </cell>
        </row>
        <row r="460">
          <cell r="B460" t="str">
            <v>برش جمعی عقب</v>
          </cell>
          <cell r="C460" t="str">
            <v>قطعه تعمیری</v>
          </cell>
          <cell r="N460" t="str">
            <v>تراش</v>
          </cell>
          <cell r="AC460" t="str">
            <v>1405/02/20</v>
          </cell>
        </row>
        <row r="461">
          <cell r="B461" t="str">
            <v>ابزار زنی</v>
          </cell>
          <cell r="C461" t="str">
            <v>قطعه تعمیری</v>
          </cell>
          <cell r="N461" t="str">
            <v>تراش</v>
          </cell>
          <cell r="AC461" t="str">
            <v>1405/02/20</v>
          </cell>
        </row>
        <row r="462">
          <cell r="B462" t="str">
            <v>ویوینگ</v>
          </cell>
          <cell r="C462" t="str">
            <v>قطعه نو</v>
          </cell>
          <cell r="N462" t="str">
            <v>تراش</v>
          </cell>
          <cell r="AC462" t="str">
            <v>1405/02/20</v>
          </cell>
        </row>
        <row r="463">
          <cell r="B463" t="str">
            <v>ویوینگ</v>
          </cell>
          <cell r="C463" t="str">
            <v>قطعه نو</v>
          </cell>
          <cell r="N463" t="str">
            <v>تراش</v>
          </cell>
          <cell r="AC463" t="str">
            <v>1405/02/20</v>
          </cell>
        </row>
        <row r="464">
          <cell r="B464" t="str">
            <v>ویوینگ</v>
          </cell>
          <cell r="C464" t="str">
            <v>قطعه نو</v>
          </cell>
          <cell r="N464" t="str">
            <v>تراش</v>
          </cell>
          <cell r="AC464" t="str">
            <v>1405/02/20</v>
          </cell>
        </row>
        <row r="465">
          <cell r="B465" t="str">
            <v xml:space="preserve">دستگاه سنگ پشم فلز آلمانی </v>
          </cell>
          <cell r="C465" t="str">
            <v>قطعه نو</v>
          </cell>
          <cell r="N465" t="str">
            <v>تراش</v>
          </cell>
          <cell r="AC465" t="str">
            <v>1405/02/20</v>
          </cell>
        </row>
        <row r="466">
          <cell r="B466" t="str">
            <v>قالب پخت کلاچ پژو 405</v>
          </cell>
          <cell r="C466" t="str">
            <v>قالب تعمیری</v>
          </cell>
          <cell r="N466" t="str">
            <v>مونتاژ</v>
          </cell>
          <cell r="AC466" t="str">
            <v>1405/02/20</v>
          </cell>
        </row>
        <row r="467">
          <cell r="B467" t="str">
            <v>عقب بنز 74</v>
          </cell>
          <cell r="C467" t="str">
            <v>قالب تعمیری</v>
          </cell>
          <cell r="N467" t="str">
            <v>مونتاژ</v>
          </cell>
          <cell r="AC467" t="str">
            <v>1405/02/20</v>
          </cell>
        </row>
        <row r="468">
          <cell r="B468" t="str">
            <v>پخت عقب پژو 405 شمشی پایه کوتاه</v>
          </cell>
          <cell r="C468" t="str">
            <v>قالب نو</v>
          </cell>
          <cell r="N468" t="str">
            <v>مونتاژ</v>
          </cell>
          <cell r="AC468" t="str">
            <v>1405/02/20</v>
          </cell>
        </row>
        <row r="469">
          <cell r="B469" t="str">
            <v>قالب پخت کلاچ پژو 405</v>
          </cell>
          <cell r="C469" t="str">
            <v>قالب تعمیری</v>
          </cell>
          <cell r="N469" t="str">
            <v>سنگ زنی</v>
          </cell>
          <cell r="AC469" t="str">
            <v>1405/02/20</v>
          </cell>
        </row>
        <row r="470">
          <cell r="B470" t="str">
            <v>قالب جلو ریو</v>
          </cell>
          <cell r="C470" t="str">
            <v>قالب تعمیری</v>
          </cell>
          <cell r="N470" t="str">
            <v>مونتاژ</v>
          </cell>
          <cell r="AC470" t="str">
            <v>1405/02/20</v>
          </cell>
        </row>
        <row r="471">
          <cell r="B471" t="str">
            <v>عقب بنز 74</v>
          </cell>
          <cell r="C471" t="str">
            <v>قالب تعمیری</v>
          </cell>
          <cell r="N471" t="str">
            <v>مونتاژ</v>
          </cell>
          <cell r="AC471" t="str">
            <v>1405/02/20</v>
          </cell>
        </row>
        <row r="472">
          <cell r="B472" t="str">
            <v>عقب بنز 74</v>
          </cell>
          <cell r="C472" t="str">
            <v>قالب تعمیری</v>
          </cell>
          <cell r="N472" t="str">
            <v>مونتاژ</v>
          </cell>
          <cell r="AC472" t="str">
            <v>1405/02/20</v>
          </cell>
        </row>
        <row r="473">
          <cell r="B473" t="str">
            <v>ویوینگ</v>
          </cell>
          <cell r="C473" t="str">
            <v>قطعه نو</v>
          </cell>
          <cell r="N473" t="str">
            <v>دریل رادیال</v>
          </cell>
          <cell r="AC473" t="str">
            <v>1405/02/20</v>
          </cell>
        </row>
        <row r="474">
          <cell r="B474" t="str">
            <v>ویوینگ</v>
          </cell>
          <cell r="C474" t="str">
            <v>قطعه نو</v>
          </cell>
          <cell r="N474" t="str">
            <v>دریل رادیال</v>
          </cell>
          <cell r="AC474" t="str">
            <v>1405/02/20</v>
          </cell>
        </row>
        <row r="475">
          <cell r="B475" t="str">
            <v>قالب پخت کلاچ پژو 405</v>
          </cell>
          <cell r="C475" t="str">
            <v>قالب تعمیری</v>
          </cell>
          <cell r="N475" t="str">
            <v>مونتاژ</v>
          </cell>
          <cell r="AC475" t="str">
            <v>1405/02/20</v>
          </cell>
        </row>
        <row r="476">
          <cell r="B476" t="str">
            <v>قالب پخت کلاچ پژو 405</v>
          </cell>
          <cell r="C476" t="str">
            <v>قالب تعمیری</v>
          </cell>
          <cell r="N476" t="str">
            <v>دریل رادیال</v>
          </cell>
          <cell r="AC476" t="str">
            <v>1405/02/20</v>
          </cell>
        </row>
        <row r="477">
          <cell r="B477" t="str">
            <v>Hammer Mill Machine</v>
          </cell>
          <cell r="C477" t="str">
            <v>دستگاه نو</v>
          </cell>
          <cell r="N477" t="str">
            <v>وایر</v>
          </cell>
          <cell r="AC477" t="str">
            <v>1405/02/20</v>
          </cell>
        </row>
        <row r="478">
          <cell r="B478" t="str">
            <v>Hammer Mill Machine</v>
          </cell>
          <cell r="C478" t="str">
            <v>دستگاه نو</v>
          </cell>
          <cell r="N478" t="str">
            <v>وایر</v>
          </cell>
          <cell r="AC478" t="str">
            <v>1405/02/20</v>
          </cell>
        </row>
        <row r="479">
          <cell r="B479" t="str">
            <v>برش توری BPW تاجدار</v>
          </cell>
          <cell r="C479" t="str">
            <v>قالب تعمیری</v>
          </cell>
          <cell r="N479" t="str">
            <v>وایر</v>
          </cell>
          <cell r="AC479" t="str">
            <v>1405/02/20</v>
          </cell>
        </row>
        <row r="480">
          <cell r="B480" t="str">
            <v>برش توری BPW تاجدار</v>
          </cell>
          <cell r="C480" t="str">
            <v>قالب تعمیری</v>
          </cell>
          <cell r="N480" t="str">
            <v>وایر</v>
          </cell>
          <cell r="AC480" t="str">
            <v>1405/02/20</v>
          </cell>
        </row>
        <row r="481">
          <cell r="B481" t="str">
            <v>قالب شمشی عقب ریو</v>
          </cell>
          <cell r="C481" t="str">
            <v>قالب نو</v>
          </cell>
          <cell r="N481" t="str">
            <v>وایر</v>
          </cell>
          <cell r="AC481" t="str">
            <v>1405/02/20</v>
          </cell>
        </row>
        <row r="482">
          <cell r="B482" t="str">
            <v>قالب پخت کلاچ پژو 405</v>
          </cell>
          <cell r="C482" t="str">
            <v>قالب تعمیری</v>
          </cell>
          <cell r="N482" t="str">
            <v>تراش</v>
          </cell>
          <cell r="AC482" t="str">
            <v>1405/02/21</v>
          </cell>
        </row>
        <row r="483">
          <cell r="B483" t="str">
            <v>پخت کلاچ پراید</v>
          </cell>
          <cell r="C483" t="str">
            <v>قالب تعمیری</v>
          </cell>
          <cell r="N483" t="str">
            <v>تراش</v>
          </cell>
          <cell r="AC483" t="str">
            <v>1405/02/21</v>
          </cell>
        </row>
        <row r="484">
          <cell r="B484" t="str">
            <v>پخت کلاچ پراید</v>
          </cell>
          <cell r="C484" t="str">
            <v>قالب تعمیری</v>
          </cell>
          <cell r="N484" t="str">
            <v>تراش</v>
          </cell>
          <cell r="AC484" t="str">
            <v>1405/02/21</v>
          </cell>
        </row>
        <row r="485">
          <cell r="B485" t="str">
            <v>قالب پخت کلاچ پیکان</v>
          </cell>
          <cell r="C485" t="str">
            <v>قالب تعمیری</v>
          </cell>
          <cell r="N485" t="str">
            <v>CNC</v>
          </cell>
          <cell r="AC485" t="str">
            <v>1405/02/21</v>
          </cell>
        </row>
        <row r="486">
          <cell r="B486" t="str">
            <v>قالب عقب F12</v>
          </cell>
          <cell r="C486" t="str">
            <v>قالب تعمیری</v>
          </cell>
          <cell r="N486" t="str">
            <v>CNC</v>
          </cell>
          <cell r="AC486" t="str">
            <v>1405/02/21</v>
          </cell>
        </row>
        <row r="487">
          <cell r="B487" t="str">
            <v>قالب پخت کلاچ پژو 405</v>
          </cell>
          <cell r="C487" t="str">
            <v>قالب تعمیری</v>
          </cell>
          <cell r="N487" t="str">
            <v>CNC</v>
          </cell>
          <cell r="AC487" t="str">
            <v>1405/02/21</v>
          </cell>
        </row>
        <row r="488">
          <cell r="B488" t="str">
            <v>پخت عقب پژو 405 شمشی پایه کوتاه</v>
          </cell>
          <cell r="C488" t="str">
            <v>قالب نو</v>
          </cell>
          <cell r="N488" t="str">
            <v>CNC</v>
          </cell>
          <cell r="AC488" t="str">
            <v>1405/02/21</v>
          </cell>
        </row>
        <row r="489">
          <cell r="B489" t="str">
            <v>قالب پخت کلاچ پیکان</v>
          </cell>
          <cell r="C489" t="str">
            <v>قالب تعمیری</v>
          </cell>
          <cell r="N489" t="str">
            <v>فرز</v>
          </cell>
          <cell r="AC489" t="str">
            <v>1405/02/21</v>
          </cell>
        </row>
        <row r="490">
          <cell r="B490" t="str">
            <v>پخت کلاچ پراید</v>
          </cell>
          <cell r="C490" t="str">
            <v>قالب تعمیری</v>
          </cell>
          <cell r="N490" t="str">
            <v>فرز</v>
          </cell>
          <cell r="AC490" t="str">
            <v>1405/02/21</v>
          </cell>
        </row>
        <row r="491">
          <cell r="B491" t="str">
            <v>قالب شیم ریو</v>
          </cell>
          <cell r="C491" t="str">
            <v>قالب تعمیری</v>
          </cell>
          <cell r="N491" t="str">
            <v>فرز</v>
          </cell>
          <cell r="AC491" t="str">
            <v>1405/02/21</v>
          </cell>
        </row>
        <row r="492">
          <cell r="B492" t="str">
            <v>دستگاه پشم فلز آلمانی</v>
          </cell>
          <cell r="C492" t="str">
            <v>قطعه نو</v>
          </cell>
          <cell r="N492" t="str">
            <v>فرز</v>
          </cell>
          <cell r="AC492" t="str">
            <v>1405/02/21</v>
          </cell>
        </row>
        <row r="493">
          <cell r="B493" t="str">
            <v>قالب شمشی عقب ریو</v>
          </cell>
          <cell r="C493" t="str">
            <v>قالب نو</v>
          </cell>
          <cell r="N493" t="str">
            <v>فرز</v>
          </cell>
          <cell r="AC493" t="str">
            <v>1405/02/21</v>
          </cell>
        </row>
        <row r="494">
          <cell r="B494" t="str">
            <v>دستگاه پشم فلز</v>
          </cell>
          <cell r="C494" t="str">
            <v>قطعه نو</v>
          </cell>
          <cell r="N494" t="str">
            <v>تراش</v>
          </cell>
          <cell r="AC494" t="str">
            <v>1405/02/21</v>
          </cell>
        </row>
        <row r="495">
          <cell r="B495" t="str">
            <v>Hammer Mill Machine</v>
          </cell>
          <cell r="C495" t="str">
            <v>دستگاه نو</v>
          </cell>
          <cell r="N495" t="str">
            <v>تراش</v>
          </cell>
          <cell r="AC495" t="str">
            <v>1405/02/21</v>
          </cell>
        </row>
        <row r="496">
          <cell r="B496" t="str">
            <v>قالب پخت کلاچ پژو 405</v>
          </cell>
          <cell r="C496" t="str">
            <v>قالب تعمیری</v>
          </cell>
          <cell r="N496" t="str">
            <v>فرز</v>
          </cell>
          <cell r="AC496" t="str">
            <v>1405/02/21</v>
          </cell>
        </row>
        <row r="497">
          <cell r="B497" t="str">
            <v>قالب پخت کلاچ پژو 405</v>
          </cell>
          <cell r="C497" t="str">
            <v>قالب تعمیری</v>
          </cell>
          <cell r="N497" t="str">
            <v>فرز</v>
          </cell>
          <cell r="AC497" t="str">
            <v>1405/02/21</v>
          </cell>
        </row>
        <row r="498">
          <cell r="B498" t="str">
            <v>قالب شمشی عقب ریو</v>
          </cell>
          <cell r="C498" t="str">
            <v>قالب نو</v>
          </cell>
          <cell r="N498" t="str">
            <v>مونتاژ</v>
          </cell>
          <cell r="AC498" t="str">
            <v>1405/02/21</v>
          </cell>
        </row>
        <row r="499">
          <cell r="B499" t="str">
            <v>دستگاه پرس پخت</v>
          </cell>
          <cell r="C499" t="str">
            <v>قطعه تعمیری</v>
          </cell>
          <cell r="N499" t="str">
            <v>دریل رادیال</v>
          </cell>
          <cell r="AC499" t="str">
            <v>1405/02/21</v>
          </cell>
        </row>
        <row r="500">
          <cell r="B500" t="str">
            <v>دستگاه پرس پخت</v>
          </cell>
          <cell r="C500" t="str">
            <v>قطعه تعمیری</v>
          </cell>
          <cell r="N500" t="str">
            <v>مونتاژ</v>
          </cell>
          <cell r="AC500" t="str">
            <v>1405/02/21</v>
          </cell>
        </row>
        <row r="501">
          <cell r="B501" t="str">
            <v>قالب پخت کلاچ پژو 405</v>
          </cell>
          <cell r="C501" t="str">
            <v>قالب تعمیری</v>
          </cell>
          <cell r="N501" t="str">
            <v>سنگ زنی</v>
          </cell>
          <cell r="AC501" t="str">
            <v>1405/02/21</v>
          </cell>
        </row>
        <row r="502">
          <cell r="B502" t="str">
            <v>لنت دنیای مس</v>
          </cell>
          <cell r="C502" t="str">
            <v>قطعه نو</v>
          </cell>
          <cell r="N502" t="str">
            <v>سنگ زنی</v>
          </cell>
          <cell r="AC502" t="str">
            <v>1405/02/21</v>
          </cell>
        </row>
        <row r="503">
          <cell r="B503" t="str">
            <v>قالب برشی SAF</v>
          </cell>
          <cell r="C503" t="str">
            <v>قالب تعمیری</v>
          </cell>
          <cell r="N503" t="str">
            <v>سنگ زنی</v>
          </cell>
          <cell r="AC503" t="str">
            <v>1405/02/21</v>
          </cell>
        </row>
        <row r="504">
          <cell r="B504" t="str">
            <v>قالب برشی SAF</v>
          </cell>
          <cell r="C504" t="str">
            <v>قالب تعمیری</v>
          </cell>
          <cell r="N504" t="str">
            <v>سنگ زنی</v>
          </cell>
          <cell r="AC504" t="str">
            <v>1405/02/21</v>
          </cell>
        </row>
        <row r="505">
          <cell r="B505" t="str">
            <v>پخت کلاچ پراید</v>
          </cell>
          <cell r="C505" t="str">
            <v>قالب تعمیری</v>
          </cell>
          <cell r="N505" t="str">
            <v>سنگ زنی</v>
          </cell>
          <cell r="AC505" t="str">
            <v>1405/02/21</v>
          </cell>
        </row>
        <row r="506">
          <cell r="B506" t="str">
            <v>قالب شمشی عقب ریو</v>
          </cell>
          <cell r="C506" t="str">
            <v>قالب نو</v>
          </cell>
          <cell r="N506" t="str">
            <v>مونتاژ</v>
          </cell>
          <cell r="AC506" t="str">
            <v>1405/02/21</v>
          </cell>
        </row>
        <row r="507">
          <cell r="B507" t="str">
            <v>قالب برشی SAF</v>
          </cell>
          <cell r="C507" t="str">
            <v>قالب تعمیری</v>
          </cell>
          <cell r="N507" t="str">
            <v>مونتاژ</v>
          </cell>
          <cell r="AC507" t="str">
            <v>1405/02/21</v>
          </cell>
        </row>
        <row r="508">
          <cell r="B508" t="str">
            <v>قالب پژو 405 دیسکی</v>
          </cell>
          <cell r="C508" t="str">
            <v>قالب تعمیری</v>
          </cell>
          <cell r="N508" t="str">
            <v>مونتاژ</v>
          </cell>
          <cell r="AC508" t="str">
            <v>1405/02/21</v>
          </cell>
        </row>
        <row r="509">
          <cell r="B509" t="str">
            <v>دستگاه پرس پخت</v>
          </cell>
          <cell r="C509" t="str">
            <v>قطعه تعمیری</v>
          </cell>
          <cell r="N509" t="str">
            <v>دریل رادیال</v>
          </cell>
          <cell r="AC509" t="str">
            <v>1405/02/21</v>
          </cell>
        </row>
        <row r="510">
          <cell r="B510" t="str">
            <v>برش توری BPW تاجدار</v>
          </cell>
          <cell r="C510" t="str">
            <v>قالب تعمیری</v>
          </cell>
          <cell r="N510" t="str">
            <v>وایر</v>
          </cell>
          <cell r="AC510" t="str">
            <v>1405/02/21</v>
          </cell>
        </row>
        <row r="511">
          <cell r="B511" t="str">
            <v>Hammer Mill Machine</v>
          </cell>
          <cell r="C511" t="str">
            <v>دستگاه نو</v>
          </cell>
          <cell r="N511" t="str">
            <v>وایر</v>
          </cell>
          <cell r="AC511" t="str">
            <v>1405/02/21</v>
          </cell>
        </row>
        <row r="512">
          <cell r="B512" t="str">
            <v>Hammer Mill Machine</v>
          </cell>
          <cell r="C512" t="str">
            <v>دستگاه نو</v>
          </cell>
          <cell r="N512" t="str">
            <v>وایر</v>
          </cell>
          <cell r="AC512" t="str">
            <v>1405/02/21</v>
          </cell>
        </row>
        <row r="513">
          <cell r="B513" t="str">
            <v>تیغ فرز</v>
          </cell>
          <cell r="C513" t="str">
            <v>قطعه تعمیری</v>
          </cell>
          <cell r="N513" t="str">
            <v>وایر</v>
          </cell>
          <cell r="AC513" t="str">
            <v>1405/02/21</v>
          </cell>
        </row>
        <row r="514">
          <cell r="B514" t="str">
            <v>قالب پژو 405 دیسکی</v>
          </cell>
          <cell r="C514" t="str">
            <v>قالب تعمیری</v>
          </cell>
          <cell r="N514" t="str">
            <v>وایر</v>
          </cell>
          <cell r="AC514" t="str">
            <v>1405/02/21</v>
          </cell>
        </row>
        <row r="515">
          <cell r="B515" t="str">
            <v>ویوینگ</v>
          </cell>
          <cell r="C515" t="str">
            <v>قطعه تعمیری</v>
          </cell>
          <cell r="N515" t="str">
            <v>وایر</v>
          </cell>
          <cell r="AC515" t="str">
            <v>1405/02/21</v>
          </cell>
        </row>
        <row r="516">
          <cell r="B516" t="str">
            <v>ویوینگ</v>
          </cell>
          <cell r="C516" t="str">
            <v>قطعه نو</v>
          </cell>
          <cell r="N516" t="str">
            <v>وایر</v>
          </cell>
          <cell r="AC516" t="str">
            <v>1405/02/21</v>
          </cell>
        </row>
        <row r="517">
          <cell r="B517" t="str">
            <v>ویوینگ</v>
          </cell>
          <cell r="C517" t="str">
            <v>قطعه تعمیری</v>
          </cell>
          <cell r="N517" t="str">
            <v>تراش</v>
          </cell>
          <cell r="AC517" t="str">
            <v>1405/02/21</v>
          </cell>
        </row>
        <row r="518">
          <cell r="B518" t="str">
            <v>لنت فولاد خراسان</v>
          </cell>
          <cell r="C518" t="str">
            <v>قطعه تعمیری</v>
          </cell>
          <cell r="N518" t="str">
            <v>تراش</v>
          </cell>
          <cell r="AC518" t="str">
            <v>1405/02/22</v>
          </cell>
        </row>
        <row r="519">
          <cell r="B519" t="str">
            <v>قالب پخت کلاچ پژو 405</v>
          </cell>
          <cell r="C519" t="str">
            <v>قالب تعمیری</v>
          </cell>
          <cell r="N519" t="str">
            <v>تراش</v>
          </cell>
          <cell r="AC519" t="str">
            <v>1405/02/22</v>
          </cell>
        </row>
        <row r="520">
          <cell r="B520" t="str">
            <v>قالب پخت کلاچ پژو 405</v>
          </cell>
          <cell r="C520" t="str">
            <v>قالب تعمیری</v>
          </cell>
          <cell r="N520" t="str">
            <v>تراش</v>
          </cell>
          <cell r="AC520" t="str">
            <v>1405/02/22</v>
          </cell>
        </row>
        <row r="521">
          <cell r="B521" t="str">
            <v>قالب پخت کلاچ پژو 405</v>
          </cell>
          <cell r="C521" t="str">
            <v>قالب تعمیری</v>
          </cell>
          <cell r="N521" t="str">
            <v>تراش</v>
          </cell>
          <cell r="AC521" t="str">
            <v>1405/02/22</v>
          </cell>
        </row>
        <row r="522">
          <cell r="B522" t="str">
            <v>پخت کلاچ پراید</v>
          </cell>
          <cell r="C522" t="str">
            <v>قالب تعمیری</v>
          </cell>
          <cell r="N522" t="str">
            <v>تراش</v>
          </cell>
          <cell r="AC522" t="str">
            <v>1405/02/22</v>
          </cell>
        </row>
        <row r="523">
          <cell r="B523" t="str">
            <v>دستگاه پشم فلز آلمانی</v>
          </cell>
          <cell r="C523" t="str">
            <v>قطعه نو</v>
          </cell>
          <cell r="N523" t="str">
            <v>فرز</v>
          </cell>
          <cell r="AC523" t="str">
            <v>1405/02/22</v>
          </cell>
        </row>
        <row r="524">
          <cell r="B524" t="str">
            <v>قالب شمشی عقب ریو</v>
          </cell>
          <cell r="C524" t="str">
            <v>قالب نو</v>
          </cell>
          <cell r="N524" t="str">
            <v>فرز</v>
          </cell>
          <cell r="AC524" t="str">
            <v>1405/02/22</v>
          </cell>
        </row>
        <row r="525">
          <cell r="B525" t="str">
            <v>دستگاه پشم فلز آلمانی</v>
          </cell>
          <cell r="C525" t="str">
            <v>قطعه نو</v>
          </cell>
          <cell r="N525" t="str">
            <v>فرز</v>
          </cell>
          <cell r="AC525" t="str">
            <v>1405/02/22</v>
          </cell>
        </row>
        <row r="526">
          <cell r="B526" t="str">
            <v>پخت کلاچ پراید</v>
          </cell>
          <cell r="C526" t="str">
            <v>قالب تعمیری</v>
          </cell>
          <cell r="N526" t="str">
            <v>سنگ زنی</v>
          </cell>
          <cell r="AC526" t="str">
            <v>1405/02/22</v>
          </cell>
        </row>
        <row r="527">
          <cell r="B527" t="str">
            <v>صفحه قالب 50*50</v>
          </cell>
          <cell r="C527" t="str">
            <v>قالب تعمیری</v>
          </cell>
          <cell r="N527" t="str">
            <v>سنگ زنی</v>
          </cell>
          <cell r="AC527" t="str">
            <v>1405/02/22</v>
          </cell>
        </row>
        <row r="528">
          <cell r="B528" t="str">
            <v>قالب پخت کلاچ پژو 405</v>
          </cell>
          <cell r="C528" t="str">
            <v>قالب تعمیری</v>
          </cell>
          <cell r="N528" t="str">
            <v>فرز</v>
          </cell>
          <cell r="AC528" t="str">
            <v>1405/02/22</v>
          </cell>
        </row>
        <row r="529">
          <cell r="B529" t="str">
            <v>قالب پخت کلاچ پیکان آرژانتینی</v>
          </cell>
          <cell r="C529" t="str">
            <v>قالب تعمیری</v>
          </cell>
          <cell r="N529" t="str">
            <v>فرز</v>
          </cell>
          <cell r="AC529" t="str">
            <v>1405/02/22</v>
          </cell>
        </row>
        <row r="530">
          <cell r="B530" t="str">
            <v>قالب پخت کلاچ پیکان</v>
          </cell>
          <cell r="C530" t="str">
            <v>قالب تعمیری</v>
          </cell>
          <cell r="N530" t="str">
            <v>فرز</v>
          </cell>
          <cell r="AC530" t="str">
            <v>1405/02/22</v>
          </cell>
        </row>
        <row r="531">
          <cell r="B531" t="str">
            <v>ویوینگ</v>
          </cell>
          <cell r="C531" t="str">
            <v>قطعه نو</v>
          </cell>
          <cell r="N531" t="str">
            <v>تراش</v>
          </cell>
          <cell r="AC531" t="str">
            <v>1405/02/22</v>
          </cell>
        </row>
        <row r="532">
          <cell r="B532" t="str">
            <v>کولر</v>
          </cell>
          <cell r="C532" t="str">
            <v>قطعه تعمیری</v>
          </cell>
          <cell r="N532" t="str">
            <v>تراش</v>
          </cell>
          <cell r="AC532" t="str">
            <v>1405/02/22</v>
          </cell>
        </row>
        <row r="533">
          <cell r="B533" t="str">
            <v>پرس پخت</v>
          </cell>
          <cell r="C533" t="str">
            <v>قطعه نو</v>
          </cell>
          <cell r="N533" t="str">
            <v>تراش</v>
          </cell>
          <cell r="AC533" t="str">
            <v>1405/02/22</v>
          </cell>
        </row>
        <row r="534">
          <cell r="B534" t="str">
            <v>Hammer Mill Machine</v>
          </cell>
          <cell r="C534" t="str">
            <v>دستگاه نو</v>
          </cell>
          <cell r="N534" t="str">
            <v>وایر</v>
          </cell>
          <cell r="AC534" t="str">
            <v>1405/02/22</v>
          </cell>
        </row>
        <row r="535">
          <cell r="B535" t="str">
            <v>Hammer Mill Machine</v>
          </cell>
          <cell r="C535" t="str">
            <v>دستگاه نو</v>
          </cell>
          <cell r="N535" t="str">
            <v>وایر</v>
          </cell>
          <cell r="AC535" t="str">
            <v>1405/02/22</v>
          </cell>
        </row>
        <row r="536">
          <cell r="B536" t="str">
            <v>قالب جلو ریو</v>
          </cell>
          <cell r="C536" t="str">
            <v>قالب تعمیری</v>
          </cell>
          <cell r="N536" t="str">
            <v>وایر</v>
          </cell>
          <cell r="AC536" t="str">
            <v>1405/02/22</v>
          </cell>
        </row>
        <row r="537">
          <cell r="B537" t="str">
            <v>لنت دنیای مس</v>
          </cell>
          <cell r="C537" t="str">
            <v>قطعه نو</v>
          </cell>
          <cell r="N537" t="str">
            <v>وایر</v>
          </cell>
          <cell r="AC537" t="str">
            <v>1405/02/22</v>
          </cell>
        </row>
        <row r="538">
          <cell r="B538" t="str">
            <v>قالب پخت کلاچ پژو 405</v>
          </cell>
          <cell r="C538" t="str">
            <v>قالب تعمیری</v>
          </cell>
          <cell r="N538" t="str">
            <v>سوپر دریل</v>
          </cell>
          <cell r="AC538" t="str">
            <v>1405/02/20</v>
          </cell>
        </row>
        <row r="539">
          <cell r="B539" t="str">
            <v>قالب پخت کلاچ پیکان آرژانتینی</v>
          </cell>
          <cell r="C539" t="str">
            <v>قالب تعمیری</v>
          </cell>
          <cell r="N539" t="str">
            <v>سوپر دریل</v>
          </cell>
          <cell r="AC539" t="str">
            <v>1405/02/21</v>
          </cell>
        </row>
        <row r="540">
          <cell r="B540" t="str">
            <v>قالب پخت کلاچ پیکان</v>
          </cell>
          <cell r="C540" t="str">
            <v>قالب تعمیری</v>
          </cell>
          <cell r="N540" t="str">
            <v>سوپر دریل</v>
          </cell>
          <cell r="AC540" t="str">
            <v>1405/02/22</v>
          </cell>
        </row>
        <row r="541">
          <cell r="B541" t="str">
            <v>قالب شمشی عقب ریو</v>
          </cell>
          <cell r="C541" t="str">
            <v>قالب نو</v>
          </cell>
          <cell r="N541" t="str">
            <v>مونتاژ</v>
          </cell>
          <cell r="AC541" t="str">
            <v>1405/02/22</v>
          </cell>
        </row>
        <row r="542">
          <cell r="B542" t="str">
            <v>کولر</v>
          </cell>
          <cell r="C542" t="str">
            <v>دستگاه تعمیری</v>
          </cell>
          <cell r="N542" t="str">
            <v>مونتاژ</v>
          </cell>
          <cell r="AC542" t="str">
            <v>1405/02/22</v>
          </cell>
        </row>
        <row r="543">
          <cell r="B543" t="str">
            <v>کولر</v>
          </cell>
          <cell r="C543" t="str">
            <v>دستگاه تعمیری</v>
          </cell>
          <cell r="N543" t="str">
            <v>مونتاژ</v>
          </cell>
          <cell r="AC543" t="str">
            <v>1405/02/22</v>
          </cell>
        </row>
        <row r="544">
          <cell r="B544" t="str">
            <v>کولر</v>
          </cell>
          <cell r="C544" t="str">
            <v>قطعه تعمیری</v>
          </cell>
          <cell r="N544" t="str">
            <v>دریل رادیال</v>
          </cell>
          <cell r="AC544" t="str">
            <v>1405/02/22</v>
          </cell>
        </row>
        <row r="545">
          <cell r="B545" t="str">
            <v>شمش پراید</v>
          </cell>
          <cell r="C545" t="str">
            <v>قالب نو</v>
          </cell>
          <cell r="N545" t="str">
            <v>مونتاژ</v>
          </cell>
          <cell r="AC545" t="str">
            <v>1405/02/22</v>
          </cell>
        </row>
        <row r="546">
          <cell r="B546" t="str">
            <v>قالب شمشی عقب ریو</v>
          </cell>
          <cell r="C546" t="str">
            <v>قالب نو</v>
          </cell>
          <cell r="N546" t="str">
            <v>مونتاژ</v>
          </cell>
          <cell r="AC546" t="str">
            <v>1405/02/22</v>
          </cell>
        </row>
        <row r="547">
          <cell r="B547" t="str">
            <v>ویوینگ</v>
          </cell>
          <cell r="C547" t="str">
            <v>قطعه نو</v>
          </cell>
          <cell r="N547" t="str">
            <v>دریل رادیال</v>
          </cell>
          <cell r="AC547" t="str">
            <v>1405/02/22</v>
          </cell>
        </row>
        <row r="548">
          <cell r="B548" t="str">
            <v>پخت عقب پژو 405 شمشی پایه کوتاه</v>
          </cell>
          <cell r="C548" t="str">
            <v>قالب نو</v>
          </cell>
          <cell r="N548" t="str">
            <v>CNC</v>
          </cell>
          <cell r="AC548" t="str">
            <v>1405/02/22</v>
          </cell>
        </row>
        <row r="549">
          <cell r="B549" t="str">
            <v>پخت عقب پژو 405 شمشی پایه کوتاه</v>
          </cell>
          <cell r="C549" t="str">
            <v>قالب نو</v>
          </cell>
          <cell r="N549" t="str">
            <v>CNC</v>
          </cell>
          <cell r="AC549" t="str">
            <v>1405/02/23</v>
          </cell>
        </row>
        <row r="550">
          <cell r="B550" t="str">
            <v>دستگاه پشم فلز آلمانی</v>
          </cell>
          <cell r="C550" t="str">
            <v>قطعه نو</v>
          </cell>
          <cell r="N550" t="str">
            <v>فرز</v>
          </cell>
          <cell r="AC550" t="str">
            <v>1405/02/23</v>
          </cell>
        </row>
        <row r="551">
          <cell r="B551" t="str">
            <v>دستگاه پشم فلز آلمانی</v>
          </cell>
          <cell r="C551" t="str">
            <v>قطعه نو</v>
          </cell>
          <cell r="N551" t="str">
            <v>فرز</v>
          </cell>
          <cell r="AC551" t="str">
            <v>1405/02/23</v>
          </cell>
        </row>
        <row r="552">
          <cell r="B552" t="str">
            <v>قالب عقب F12</v>
          </cell>
          <cell r="C552" t="str">
            <v>قالب نو</v>
          </cell>
          <cell r="N552" t="str">
            <v>فرز</v>
          </cell>
          <cell r="AC552" t="str">
            <v>1405/02/23</v>
          </cell>
        </row>
        <row r="553">
          <cell r="B553" t="str">
            <v>قالب عقب F12</v>
          </cell>
          <cell r="C553" t="str">
            <v>قالب نو</v>
          </cell>
          <cell r="N553" t="str">
            <v>فرز</v>
          </cell>
          <cell r="AC553" t="str">
            <v>1405/02/23</v>
          </cell>
        </row>
        <row r="554">
          <cell r="B554" t="str">
            <v>قالب عقب F12</v>
          </cell>
          <cell r="C554" t="str">
            <v>قالب نو</v>
          </cell>
          <cell r="N554" t="str">
            <v>فرز</v>
          </cell>
          <cell r="AC554" t="str">
            <v>1405/02/23</v>
          </cell>
        </row>
        <row r="555">
          <cell r="B555" t="str">
            <v>قالب پخت کلاچ پیکان</v>
          </cell>
          <cell r="C555" t="str">
            <v>قالب تعمیری</v>
          </cell>
          <cell r="N555" t="str">
            <v>فرز</v>
          </cell>
          <cell r="AC555" t="str">
            <v>1405/02/23</v>
          </cell>
        </row>
        <row r="556">
          <cell r="B556" t="str">
            <v>قالب پخت کلاچ پیکان</v>
          </cell>
          <cell r="C556" t="str">
            <v>قالب تعمیری</v>
          </cell>
          <cell r="N556" t="str">
            <v>فرز</v>
          </cell>
          <cell r="AC556" t="str">
            <v>1405/02/23</v>
          </cell>
        </row>
        <row r="557">
          <cell r="B557" t="str">
            <v>صفحه قالب 50*50</v>
          </cell>
          <cell r="C557" t="str">
            <v>قالب تعمیری</v>
          </cell>
          <cell r="N557" t="str">
            <v>سنگ زنی</v>
          </cell>
          <cell r="AC557" t="str">
            <v>1405/02/23</v>
          </cell>
        </row>
        <row r="558">
          <cell r="B558" t="str">
            <v>قالب پراید خاردار</v>
          </cell>
          <cell r="C558" t="str">
            <v>قالب تعمیری</v>
          </cell>
          <cell r="N558" t="str">
            <v>سنگ زنی</v>
          </cell>
          <cell r="AC558" t="str">
            <v>1405/02/23</v>
          </cell>
        </row>
        <row r="559">
          <cell r="B559" t="str">
            <v>قالب جلو ریو</v>
          </cell>
          <cell r="C559" t="str">
            <v>قالب تعمیری</v>
          </cell>
          <cell r="N559" t="str">
            <v>سنگ زنی</v>
          </cell>
          <cell r="AC559" t="str">
            <v>1405/02/23</v>
          </cell>
        </row>
        <row r="560">
          <cell r="B560" t="str">
            <v>برش جمعی عقب</v>
          </cell>
          <cell r="C560" t="str">
            <v>قطعه تعمیری</v>
          </cell>
          <cell r="N560" t="str">
            <v>تراش</v>
          </cell>
          <cell r="AC560" t="str">
            <v>1405/02/23</v>
          </cell>
        </row>
        <row r="561">
          <cell r="B561" t="str">
            <v>سری نقطه جوش</v>
          </cell>
          <cell r="C561" t="str">
            <v>قطعه تعمیری</v>
          </cell>
          <cell r="N561" t="str">
            <v>تراش</v>
          </cell>
          <cell r="AC561" t="str">
            <v>1405/02/23</v>
          </cell>
        </row>
        <row r="562">
          <cell r="B562" t="str">
            <v>پخت کلاچ پراید</v>
          </cell>
          <cell r="C562" t="str">
            <v>قالب تعمیری</v>
          </cell>
          <cell r="N562" t="str">
            <v>تراش</v>
          </cell>
          <cell r="AC562" t="str">
            <v>1405/02/23</v>
          </cell>
        </row>
        <row r="563">
          <cell r="B563" t="str">
            <v>قالب پخت کلاچ پیکان</v>
          </cell>
          <cell r="C563" t="str">
            <v>قالب تعمیری</v>
          </cell>
          <cell r="N563" t="str">
            <v>تراش</v>
          </cell>
          <cell r="AC563" t="str">
            <v>1405/02/23</v>
          </cell>
        </row>
        <row r="564">
          <cell r="B564" t="str">
            <v>Hammer Mill Machine</v>
          </cell>
          <cell r="C564" t="str">
            <v>دستگاه نو</v>
          </cell>
          <cell r="N564" t="str">
            <v>وایر</v>
          </cell>
          <cell r="AC564" t="str">
            <v>1405/02/23</v>
          </cell>
        </row>
        <row r="565">
          <cell r="B565" t="str">
            <v>Hammer Mill Machine</v>
          </cell>
          <cell r="C565" t="str">
            <v>دستگاه نو</v>
          </cell>
          <cell r="N565" t="str">
            <v>وایر</v>
          </cell>
          <cell r="AC565" t="str">
            <v>1405/02/23</v>
          </cell>
        </row>
        <row r="566">
          <cell r="B566" t="str">
            <v>قالب پژو 405 دیسکی</v>
          </cell>
          <cell r="C566" t="str">
            <v>قالب تعمیری</v>
          </cell>
          <cell r="N566" t="str">
            <v>وایر</v>
          </cell>
          <cell r="AC566" t="str">
            <v>1405/02/23</v>
          </cell>
        </row>
        <row r="567">
          <cell r="B567" t="str">
            <v>آغشته کاری</v>
          </cell>
          <cell r="C567" t="str">
            <v>قطعه تعمیری</v>
          </cell>
          <cell r="N567" t="str">
            <v>وایر</v>
          </cell>
          <cell r="AC567" t="str">
            <v>1405/02/23</v>
          </cell>
        </row>
        <row r="568">
          <cell r="B568" t="str">
            <v>برش جمعی عقب</v>
          </cell>
          <cell r="C568" t="str">
            <v>قطعه تعمیری</v>
          </cell>
          <cell r="N568" t="str">
            <v>وایر</v>
          </cell>
          <cell r="AC568" t="str">
            <v>1405/02/23</v>
          </cell>
        </row>
        <row r="569">
          <cell r="B569" t="str">
            <v>کولر</v>
          </cell>
          <cell r="C569" t="str">
            <v>قطعه تعمیری</v>
          </cell>
          <cell r="N569" t="str">
            <v>وایر</v>
          </cell>
          <cell r="AC569" t="str">
            <v>1405/02/23</v>
          </cell>
        </row>
        <row r="570">
          <cell r="B570" t="str">
            <v>لنت دنیای مس</v>
          </cell>
          <cell r="C570" t="str">
            <v>قطعه نو</v>
          </cell>
          <cell r="N570" t="str">
            <v>وایر</v>
          </cell>
          <cell r="AC570" t="str">
            <v>1405/02/23</v>
          </cell>
        </row>
        <row r="571">
          <cell r="B571" t="str">
            <v>قالب پخت کلاچ پیکان آرژانتینی</v>
          </cell>
          <cell r="C571" t="str">
            <v>قالب تعمیری</v>
          </cell>
          <cell r="N571" t="str">
            <v>سوپر دریل</v>
          </cell>
          <cell r="AC571" t="str">
            <v>1405/02/23</v>
          </cell>
        </row>
        <row r="572">
          <cell r="B572" t="str">
            <v>پرس پخت</v>
          </cell>
          <cell r="C572" t="str">
            <v>قطعه نو</v>
          </cell>
          <cell r="N572" t="str">
            <v>تراش</v>
          </cell>
          <cell r="AC572" t="str">
            <v>1405/02/23</v>
          </cell>
        </row>
        <row r="573">
          <cell r="B573" t="str">
            <v>پرس پخت</v>
          </cell>
          <cell r="C573" t="str">
            <v>قطعه نو</v>
          </cell>
          <cell r="N573" t="str">
            <v>تراش</v>
          </cell>
          <cell r="AC573" t="str">
            <v>1405/02/23</v>
          </cell>
        </row>
        <row r="574">
          <cell r="B574" t="str">
            <v>پرس پخت</v>
          </cell>
          <cell r="C574" t="str">
            <v>قطعه نو</v>
          </cell>
          <cell r="N574" t="str">
            <v>مونتاژ</v>
          </cell>
          <cell r="AC574" t="str">
            <v>1405/02/23</v>
          </cell>
        </row>
        <row r="575">
          <cell r="B575" t="str">
            <v>ویوینگ</v>
          </cell>
          <cell r="C575" t="str">
            <v>قطعه تعمیری</v>
          </cell>
          <cell r="N575" t="str">
            <v>تراش</v>
          </cell>
          <cell r="AC575" t="str">
            <v>1405/02/23</v>
          </cell>
        </row>
        <row r="576">
          <cell r="B576" t="str">
            <v>آغشته کاری</v>
          </cell>
          <cell r="C576" t="str">
            <v>قطعه تعمیری</v>
          </cell>
          <cell r="N576" t="str">
            <v>تراش</v>
          </cell>
          <cell r="AC576" t="str">
            <v>1405/02/23</v>
          </cell>
        </row>
        <row r="577">
          <cell r="B577" t="str">
            <v>قالب پخت کلاچ پیکان آرژانتینی</v>
          </cell>
          <cell r="C577" t="str">
            <v>قالب تعمیری</v>
          </cell>
          <cell r="N577" t="str">
            <v>تراش</v>
          </cell>
          <cell r="AC577" t="str">
            <v>1405/02/23</v>
          </cell>
        </row>
        <row r="578">
          <cell r="B578" t="str">
            <v>قالب پخت کلاچ پیکان</v>
          </cell>
          <cell r="C578" t="str">
            <v>قالب تعمیری</v>
          </cell>
          <cell r="N578" t="str">
            <v>مونتاژ</v>
          </cell>
          <cell r="AC578" t="str">
            <v>1405/02/23</v>
          </cell>
        </row>
        <row r="579">
          <cell r="B579" t="str">
            <v>قالب پخت کلاچ پیکان</v>
          </cell>
          <cell r="C579" t="str">
            <v>قالب تعمیری</v>
          </cell>
          <cell r="N579" t="str">
            <v>مونتاژ</v>
          </cell>
          <cell r="AC579" t="str">
            <v>1405/02/23</v>
          </cell>
        </row>
        <row r="580">
          <cell r="B580" t="str">
            <v>قالب پخت کلاچ پیکان</v>
          </cell>
          <cell r="C580" t="str">
            <v>قالب تعمیری</v>
          </cell>
          <cell r="N580" t="str">
            <v>دریل رادیال</v>
          </cell>
          <cell r="AC580" t="str">
            <v>1405/02/23</v>
          </cell>
        </row>
        <row r="581">
          <cell r="B581" t="str">
            <v>قالب عقب F12</v>
          </cell>
          <cell r="C581" t="str">
            <v>قالب نو</v>
          </cell>
          <cell r="N581" t="str">
            <v>دریل رادیال</v>
          </cell>
          <cell r="AC581" t="str">
            <v>1405/02/23</v>
          </cell>
        </row>
        <row r="582">
          <cell r="B582" t="str">
            <v>قالب پخت کلاچ پیکان</v>
          </cell>
          <cell r="C582" t="str">
            <v>قالب تعمیری</v>
          </cell>
          <cell r="N582" t="str">
            <v>مونتاژ</v>
          </cell>
          <cell r="AC582" t="str">
            <v>1405/02/23</v>
          </cell>
        </row>
        <row r="583">
          <cell r="B583" t="str">
            <v>قالب پخت کلاچ پیکان</v>
          </cell>
          <cell r="C583" t="str">
            <v>قالب تعمیری</v>
          </cell>
          <cell r="N583" t="str">
            <v>مونتاژ</v>
          </cell>
          <cell r="AC583" t="str">
            <v>1405/02/23</v>
          </cell>
        </row>
        <row r="584">
          <cell r="B584" t="str">
            <v>قالب پخت کلاچ پیکان</v>
          </cell>
          <cell r="C584" t="str">
            <v>قالب تعمیری</v>
          </cell>
          <cell r="N584" t="str">
            <v>دریل رادیال</v>
          </cell>
          <cell r="AC584" t="str">
            <v>1405/02/23</v>
          </cell>
        </row>
        <row r="585">
          <cell r="B585" t="str">
            <v>قالب عقب F12</v>
          </cell>
          <cell r="C585" t="str">
            <v>قالب نو</v>
          </cell>
          <cell r="N585" t="str">
            <v>دریل رادیال</v>
          </cell>
          <cell r="AC585" t="str">
            <v>1405/02/23</v>
          </cell>
        </row>
        <row r="586">
          <cell r="B586" t="str">
            <v>پرس 160 تن</v>
          </cell>
          <cell r="C586" t="str">
            <v>دستگاه تعمیری</v>
          </cell>
          <cell r="N586" t="str">
            <v>تراش</v>
          </cell>
          <cell r="AC586" t="str">
            <v>1405/02/23</v>
          </cell>
        </row>
        <row r="587">
          <cell r="B587" t="str">
            <v>قالب اکسپرس</v>
          </cell>
          <cell r="C587" t="str">
            <v>قالب تعمیری</v>
          </cell>
          <cell r="N587" t="str">
            <v>CNC</v>
          </cell>
          <cell r="AC587" t="str">
            <v>1405/02/23</v>
          </cell>
        </row>
        <row r="588">
          <cell r="B588" t="str">
            <v>قالب پخت کلاچ پژو 405</v>
          </cell>
          <cell r="C588" t="str">
            <v>قالب تعمیری</v>
          </cell>
          <cell r="N588" t="str">
            <v>CNC</v>
          </cell>
          <cell r="AC588" t="str">
            <v>1405/02/23</v>
          </cell>
        </row>
        <row r="589">
          <cell r="B589" t="str">
            <v>دستگاه پشم فلز آلمانی</v>
          </cell>
          <cell r="C589" t="str">
            <v>قطعه نو</v>
          </cell>
          <cell r="N589" t="str">
            <v>فرز</v>
          </cell>
          <cell r="AC589" t="str">
            <v>1405/02/24</v>
          </cell>
        </row>
        <row r="590">
          <cell r="B590" t="str">
            <v>اصول 5S</v>
          </cell>
          <cell r="C590" t="str">
            <v>نظافت</v>
          </cell>
          <cell r="N590" t="str">
            <v>نظافت</v>
          </cell>
          <cell r="AC590" t="str">
            <v>1405/02/24</v>
          </cell>
        </row>
        <row r="591">
          <cell r="B591" t="str">
            <v>دستگاه ساب کلاچ</v>
          </cell>
          <cell r="C591" t="str">
            <v>قطعه تعمیری</v>
          </cell>
          <cell r="N591" t="str">
            <v>فرز</v>
          </cell>
          <cell r="AC591" t="str">
            <v>1405/02/24</v>
          </cell>
        </row>
        <row r="592">
          <cell r="B592" t="str">
            <v>اصول 5S</v>
          </cell>
          <cell r="C592" t="str">
            <v>نظافت</v>
          </cell>
          <cell r="N592" t="str">
            <v>نظافت</v>
          </cell>
          <cell r="AC592" t="str">
            <v>1405/02/24</v>
          </cell>
        </row>
        <row r="593">
          <cell r="B593" t="str">
            <v>قالب پخت کلاچ پیکان</v>
          </cell>
          <cell r="C593" t="str">
            <v>قالب تعمیری</v>
          </cell>
          <cell r="N593" t="str">
            <v>تراش</v>
          </cell>
          <cell r="AC593" t="str">
            <v>1405/02/24</v>
          </cell>
        </row>
        <row r="594">
          <cell r="B594" t="str">
            <v>قالب پخت کلاچ پیکان</v>
          </cell>
          <cell r="C594" t="str">
            <v>قالب تعمیری</v>
          </cell>
          <cell r="N594" t="str">
            <v>تراش</v>
          </cell>
          <cell r="AC594" t="str">
            <v>1405/02/24</v>
          </cell>
        </row>
        <row r="595">
          <cell r="B595" t="str">
            <v>اصول 5S</v>
          </cell>
          <cell r="C595" t="str">
            <v>نظافت</v>
          </cell>
          <cell r="N595" t="str">
            <v>نظافت</v>
          </cell>
          <cell r="AC595" t="str">
            <v>1405/02/24</v>
          </cell>
        </row>
        <row r="596">
          <cell r="B596" t="str">
            <v>قالب جلو ریو</v>
          </cell>
          <cell r="C596" t="str">
            <v>قالب تعمیری</v>
          </cell>
          <cell r="N596" t="str">
            <v>سنگ زنی</v>
          </cell>
          <cell r="AC596" t="str">
            <v>1405/02/24</v>
          </cell>
        </row>
        <row r="597">
          <cell r="B597" t="str">
            <v>قالب پخت کلاچ پیکان</v>
          </cell>
          <cell r="C597" t="str">
            <v>قالب تعمیری</v>
          </cell>
          <cell r="N597" t="str">
            <v>سنگ زنی</v>
          </cell>
          <cell r="AC597" t="str">
            <v>1405/02/24</v>
          </cell>
        </row>
        <row r="598">
          <cell r="B598" t="str">
            <v>اصول 5S</v>
          </cell>
          <cell r="C598" t="str">
            <v>نظافت</v>
          </cell>
          <cell r="N598" t="str">
            <v>نظافت</v>
          </cell>
          <cell r="AC598" t="str">
            <v>1405/02/24</v>
          </cell>
        </row>
        <row r="599">
          <cell r="B599" t="str">
            <v>قالب پخت کلاچ پیکان آرژانتینی</v>
          </cell>
          <cell r="C599" t="str">
            <v>قالب تعمیری</v>
          </cell>
          <cell r="N599" t="str">
            <v>تراش</v>
          </cell>
          <cell r="AC599" t="str">
            <v>1405/02/24</v>
          </cell>
        </row>
        <row r="600">
          <cell r="B600" t="str">
            <v>ابزار زنی</v>
          </cell>
          <cell r="C600" t="str">
            <v>قطعه نو</v>
          </cell>
          <cell r="N600" t="str">
            <v>تراش</v>
          </cell>
          <cell r="AC600" t="str">
            <v>1405/02/24</v>
          </cell>
        </row>
        <row r="601">
          <cell r="B601" t="str">
            <v>اصول 5S</v>
          </cell>
          <cell r="C601" t="str">
            <v>نظافت</v>
          </cell>
          <cell r="N601" t="str">
            <v>نظافت</v>
          </cell>
          <cell r="AC601" t="str">
            <v>1405/02/24</v>
          </cell>
        </row>
        <row r="602">
          <cell r="B602" t="str">
            <v>قالب پخت کلاچ پیکان</v>
          </cell>
          <cell r="C602" t="str">
            <v>قالب تعمیری</v>
          </cell>
          <cell r="N602" t="str">
            <v>مونتاژ</v>
          </cell>
          <cell r="AC602" t="str">
            <v>1405/02/24</v>
          </cell>
        </row>
        <row r="603">
          <cell r="B603" t="str">
            <v>قالب عقب F12</v>
          </cell>
          <cell r="C603" t="str">
            <v>قالب نو</v>
          </cell>
          <cell r="N603" t="str">
            <v>مونتاژ</v>
          </cell>
          <cell r="AC603" t="str">
            <v>1405/02/24</v>
          </cell>
        </row>
        <row r="604">
          <cell r="B604" t="str">
            <v>اصول 5S</v>
          </cell>
          <cell r="C604" t="str">
            <v>نظافت</v>
          </cell>
          <cell r="N604" t="str">
            <v>نظافت</v>
          </cell>
          <cell r="AC604" t="str">
            <v>1405/02/24</v>
          </cell>
        </row>
        <row r="605">
          <cell r="B605" t="str">
            <v>قالب پژو 405 دیسکی</v>
          </cell>
          <cell r="C605" t="str">
            <v>قالب تعمیری</v>
          </cell>
          <cell r="N605" t="str">
            <v>دریل رادیال</v>
          </cell>
          <cell r="AC605" t="str">
            <v>1405/02/25</v>
          </cell>
        </row>
        <row r="606">
          <cell r="B606" t="str">
            <v>قالب پراید خاردار</v>
          </cell>
          <cell r="C606" t="str">
            <v>قالب تعمیری</v>
          </cell>
          <cell r="N606" t="str">
            <v>دریل رادیال</v>
          </cell>
          <cell r="AC606" t="str">
            <v>1405/02/25</v>
          </cell>
        </row>
        <row r="607">
          <cell r="B607" t="str">
            <v>قالب پراید خاردار</v>
          </cell>
          <cell r="C607" t="str">
            <v>قالب تعمیری</v>
          </cell>
          <cell r="N607" t="str">
            <v>مونتاژ</v>
          </cell>
          <cell r="AC607" t="str">
            <v>1405/02/25</v>
          </cell>
        </row>
        <row r="608">
          <cell r="B608" t="str">
            <v>پخت عقب پژو 405 شمشی پایه کوتاه</v>
          </cell>
          <cell r="C608" t="str">
            <v>قالب نو</v>
          </cell>
          <cell r="N608" t="str">
            <v>مونتاژ</v>
          </cell>
          <cell r="AC608" t="str">
            <v>1405/02/24</v>
          </cell>
        </row>
        <row r="609">
          <cell r="B609" t="str">
            <v>قالب پخت کلاچ پیکان</v>
          </cell>
          <cell r="C609" t="str">
            <v>قالب تعمیری</v>
          </cell>
          <cell r="N609" t="str">
            <v>اره لنگ</v>
          </cell>
          <cell r="AC609" t="str">
            <v>1405/02/24</v>
          </cell>
        </row>
        <row r="610">
          <cell r="B610" t="str">
            <v>قالب پخت کلاچ پیکان</v>
          </cell>
          <cell r="C610" t="str">
            <v>قالب تعمیری</v>
          </cell>
          <cell r="N610" t="str">
            <v>مونتاژ</v>
          </cell>
          <cell r="AC610" t="str">
            <v>1405/02/24</v>
          </cell>
        </row>
        <row r="611">
          <cell r="B611" t="str">
            <v>اصول 5S</v>
          </cell>
          <cell r="C611" t="str">
            <v>نظافت</v>
          </cell>
          <cell r="N611" t="str">
            <v>نظافت</v>
          </cell>
          <cell r="AC611" t="str">
            <v>1405/02/24</v>
          </cell>
        </row>
        <row r="612">
          <cell r="B612" t="str">
            <v>قالب پخت کلاچ پیکان</v>
          </cell>
          <cell r="C612" t="str">
            <v>قالب تعمیری</v>
          </cell>
          <cell r="N612" t="str">
            <v>مونتاژ</v>
          </cell>
          <cell r="AC612" t="str">
            <v>1405/02/25</v>
          </cell>
        </row>
        <row r="613">
          <cell r="B613" t="str">
            <v>قالب پراید خاردار</v>
          </cell>
          <cell r="C613" t="str">
            <v>قالب تعمیری</v>
          </cell>
          <cell r="N613" t="str">
            <v>مونتاژ</v>
          </cell>
          <cell r="AC613" t="str">
            <v>1405/02/25</v>
          </cell>
        </row>
        <row r="614">
          <cell r="B614" t="str">
            <v>قالب پژو 405 دیسکی</v>
          </cell>
          <cell r="C614" t="str">
            <v>قالب تعمیری</v>
          </cell>
          <cell r="N614" t="str">
            <v>مونتاژ</v>
          </cell>
          <cell r="AC614" t="str">
            <v>1405/02/25</v>
          </cell>
        </row>
        <row r="615">
          <cell r="B615" t="str">
            <v>قالب پراید خاردار</v>
          </cell>
          <cell r="C615" t="str">
            <v>قالب تعمیری</v>
          </cell>
          <cell r="N615" t="str">
            <v>تراش</v>
          </cell>
          <cell r="AC615" t="str">
            <v>1405/02/25</v>
          </cell>
        </row>
        <row r="616">
          <cell r="B616" t="str">
            <v>ابزار زنی</v>
          </cell>
          <cell r="C616" t="str">
            <v>قطعه نو</v>
          </cell>
          <cell r="N616" t="str">
            <v>تراش</v>
          </cell>
          <cell r="AC616" t="str">
            <v>1405/02/25</v>
          </cell>
        </row>
        <row r="617">
          <cell r="B617" t="str">
            <v>قالب اکسپرس</v>
          </cell>
          <cell r="C617" t="str">
            <v>قالب تعمیری</v>
          </cell>
          <cell r="N617" t="str">
            <v>CNC</v>
          </cell>
          <cell r="AC617" t="str">
            <v>1405/02/26</v>
          </cell>
        </row>
        <row r="618">
          <cell r="B618" t="str">
            <v>قالب پخت کلاچ پیکان</v>
          </cell>
          <cell r="C618" t="str">
            <v>قالب تعمیری</v>
          </cell>
          <cell r="N618" t="str">
            <v>تراش</v>
          </cell>
          <cell r="AC618" t="str">
            <v>1405/02/26</v>
          </cell>
        </row>
        <row r="619">
          <cell r="B619" t="str">
            <v>قالب پخت کلاچ پژو 405</v>
          </cell>
          <cell r="C619" t="str">
            <v>قالب تعمیری</v>
          </cell>
          <cell r="N619" t="str">
            <v>CNC</v>
          </cell>
          <cell r="AC619" t="str">
            <v>1405/02/26</v>
          </cell>
        </row>
        <row r="620">
          <cell r="B620" t="str">
            <v>قالب پژو 405 دیسکی</v>
          </cell>
          <cell r="C620" t="str">
            <v>قالب تعمیری</v>
          </cell>
          <cell r="N620" t="str">
            <v>سنگ زنی</v>
          </cell>
          <cell r="AC620" t="str">
            <v>1405/02/26</v>
          </cell>
        </row>
        <row r="621">
          <cell r="B621" t="str">
            <v>قالب پخت کلاچ پژو 405</v>
          </cell>
          <cell r="C621" t="str">
            <v>قالب تعمیری</v>
          </cell>
          <cell r="N621" t="str">
            <v>سنگ زنی</v>
          </cell>
          <cell r="AC621" t="str">
            <v>1405/02/26</v>
          </cell>
        </row>
        <row r="622">
          <cell r="B622" t="str">
            <v>لنت دنیای مس</v>
          </cell>
          <cell r="C622" t="str">
            <v>قطعه نو</v>
          </cell>
          <cell r="N622" t="str">
            <v>فرز</v>
          </cell>
          <cell r="AC622" t="str">
            <v>1405/02/26</v>
          </cell>
        </row>
        <row r="623">
          <cell r="B623" t="str">
            <v>دستگاه پشم فلز آلمانی</v>
          </cell>
          <cell r="C623" t="str">
            <v>قطعه نو</v>
          </cell>
          <cell r="N623" t="str">
            <v>فرز</v>
          </cell>
          <cell r="AC623" t="str">
            <v>1405/02/26</v>
          </cell>
        </row>
        <row r="624">
          <cell r="B624" t="str">
            <v>پرس 160 تن</v>
          </cell>
          <cell r="C624" t="str">
            <v>دستگاه تعمیری</v>
          </cell>
          <cell r="N624" t="str">
            <v>تراش</v>
          </cell>
          <cell r="AC624" t="str">
            <v>1405/02/26</v>
          </cell>
        </row>
        <row r="625">
          <cell r="B625" t="str">
            <v>دستگاه پشم فلز چینی</v>
          </cell>
          <cell r="C625" t="str">
            <v>قطعه نو</v>
          </cell>
          <cell r="N625" t="str">
            <v>تراش</v>
          </cell>
          <cell r="AC625" t="str">
            <v>1405/02/26</v>
          </cell>
        </row>
        <row r="626">
          <cell r="B626" t="str">
            <v>پین عقب پژو 405</v>
          </cell>
          <cell r="C626" t="str">
            <v>قطعه نو</v>
          </cell>
          <cell r="N626" t="str">
            <v>سری تراش</v>
          </cell>
          <cell r="AC626" t="str">
            <v>1405/02/26</v>
          </cell>
        </row>
        <row r="627">
          <cell r="B627" t="str">
            <v>قالب عقب F12</v>
          </cell>
          <cell r="C627" t="str">
            <v>قالب نو</v>
          </cell>
          <cell r="N627" t="str">
            <v>فرز</v>
          </cell>
          <cell r="AC627" t="str">
            <v>1405/02/26</v>
          </cell>
        </row>
        <row r="628">
          <cell r="B628" t="str">
            <v xml:space="preserve">کنترل شعاع عقب </v>
          </cell>
          <cell r="C628" t="str">
            <v>قطعه نو</v>
          </cell>
          <cell r="N628" t="str">
            <v>فرز</v>
          </cell>
          <cell r="AC628" t="str">
            <v>1405/02/26</v>
          </cell>
        </row>
        <row r="629">
          <cell r="B629" t="str">
            <v>ویوینگ</v>
          </cell>
          <cell r="C629" t="str">
            <v>قطعه تعمیری</v>
          </cell>
          <cell r="N629" t="str">
            <v>فرز</v>
          </cell>
          <cell r="AC629" t="str">
            <v>1405/02/26</v>
          </cell>
        </row>
        <row r="630">
          <cell r="B630" t="str">
            <v>دستگاه پشم فلز آلمانی</v>
          </cell>
          <cell r="C630" t="str">
            <v>قطعه نو</v>
          </cell>
          <cell r="N630" t="str">
            <v>فرز</v>
          </cell>
          <cell r="AC630" t="str">
            <v>1405/02/26</v>
          </cell>
        </row>
        <row r="631">
          <cell r="B631" t="str">
            <v>پخت کلاچ پراید</v>
          </cell>
          <cell r="C631" t="str">
            <v>قالب تعمیری</v>
          </cell>
          <cell r="N631" t="str">
            <v>مونتاژ</v>
          </cell>
          <cell r="AC631" t="str">
            <v>1405/02/26</v>
          </cell>
        </row>
        <row r="632">
          <cell r="B632" t="str">
            <v>قالب پخت کلاچ پژو 405</v>
          </cell>
          <cell r="C632" t="str">
            <v>قالب تعمیری</v>
          </cell>
          <cell r="N632" t="str">
            <v>مونتاژ</v>
          </cell>
          <cell r="AC632" t="str">
            <v>1405/02/26</v>
          </cell>
        </row>
        <row r="633">
          <cell r="B633" t="str">
            <v>پخت کلاچ پراید</v>
          </cell>
          <cell r="C633" t="str">
            <v>قالب تعمیری</v>
          </cell>
          <cell r="N633" t="str">
            <v>اره لنگ</v>
          </cell>
          <cell r="AC633" t="str">
            <v>1405/02/26</v>
          </cell>
        </row>
        <row r="634">
          <cell r="B634" t="str">
            <v>قالب پخت کلاچ پژو 405</v>
          </cell>
          <cell r="C634" t="str">
            <v>قالب تعمیری</v>
          </cell>
          <cell r="N634" t="str">
            <v>اره لنگ</v>
          </cell>
          <cell r="AC634" t="str">
            <v>1405/02/26</v>
          </cell>
        </row>
        <row r="635">
          <cell r="B635" t="str">
            <v>قالب پژو 405 دیسکی</v>
          </cell>
          <cell r="C635" t="str">
            <v>قالب تعمیری</v>
          </cell>
          <cell r="N635" t="str">
            <v>مونتاژ</v>
          </cell>
          <cell r="AC635" t="str">
            <v>1405/02/26</v>
          </cell>
        </row>
        <row r="636">
          <cell r="B636" t="str">
            <v>قالب پژو 405 دیسکی</v>
          </cell>
          <cell r="C636" t="str">
            <v>قالب تعمیری</v>
          </cell>
          <cell r="N636" t="str">
            <v>مونتاژ</v>
          </cell>
          <cell r="AC636" t="str">
            <v>1405/02/26</v>
          </cell>
        </row>
        <row r="637">
          <cell r="B637" t="str">
            <v>قالب پخت کلاچ پیکان</v>
          </cell>
          <cell r="C637" t="str">
            <v>قالب تعمیری</v>
          </cell>
          <cell r="N637" t="str">
            <v>تراش</v>
          </cell>
          <cell r="AC637" t="str">
            <v>1405/02/26</v>
          </cell>
        </row>
        <row r="638">
          <cell r="B638" t="str">
            <v>Hammer Mill Machine</v>
          </cell>
          <cell r="C638" t="str">
            <v>دستگاه نو</v>
          </cell>
          <cell r="N638" t="str">
            <v>وایر</v>
          </cell>
          <cell r="AC638" t="str">
            <v>1405/02/25</v>
          </cell>
        </row>
        <row r="639">
          <cell r="B639" t="str">
            <v>Hammer Mill Machine</v>
          </cell>
          <cell r="C639" t="str">
            <v>دستگاه نو</v>
          </cell>
          <cell r="N639" t="str">
            <v>وایر</v>
          </cell>
          <cell r="AC639" t="str">
            <v>1405/02/25</v>
          </cell>
        </row>
        <row r="640">
          <cell r="B640" t="str">
            <v>قالب پخت کلاچ پیکان</v>
          </cell>
          <cell r="C640" t="str">
            <v>قالب تعمیری</v>
          </cell>
          <cell r="N640" t="str">
            <v>وایر</v>
          </cell>
          <cell r="AC640" t="str">
            <v>1405/02/25</v>
          </cell>
        </row>
        <row r="641">
          <cell r="B641" t="str">
            <v>لنت دنیای مس</v>
          </cell>
          <cell r="C641" t="str">
            <v>قطعه نو</v>
          </cell>
          <cell r="N641" t="str">
            <v>وایر</v>
          </cell>
          <cell r="AC641" t="str">
            <v>1405/02/25</v>
          </cell>
        </row>
        <row r="642">
          <cell r="B642" t="str">
            <v>ساب کلاچ</v>
          </cell>
          <cell r="C642" t="str">
            <v>قطعه نو</v>
          </cell>
          <cell r="N642" t="str">
            <v>وایر</v>
          </cell>
          <cell r="AC642" t="str">
            <v>1405/02/25</v>
          </cell>
        </row>
        <row r="643">
          <cell r="B643" t="str">
            <v>قالب پخت کلاچ پیکان آرژانتینی</v>
          </cell>
          <cell r="C643" t="str">
            <v>قالب تعمیری</v>
          </cell>
          <cell r="N643" t="str">
            <v>سوپر دریل</v>
          </cell>
          <cell r="AC643" t="str">
            <v>1405/02/25</v>
          </cell>
        </row>
        <row r="644">
          <cell r="B644" t="str">
            <v>Hammer Mill Machine</v>
          </cell>
          <cell r="C644" t="str">
            <v>دستگاه نو</v>
          </cell>
          <cell r="N644" t="str">
            <v>وایر</v>
          </cell>
          <cell r="AC644" t="str">
            <v>1405/02/24</v>
          </cell>
        </row>
        <row r="645">
          <cell r="B645" t="str">
            <v>Hammer Mill Machine</v>
          </cell>
          <cell r="C645" t="str">
            <v>دستگاه نو</v>
          </cell>
          <cell r="N645" t="str">
            <v>وایر</v>
          </cell>
          <cell r="AC645" t="str">
            <v>1405/02/24</v>
          </cell>
        </row>
        <row r="646">
          <cell r="B646" t="str">
            <v>قالب پخت کلاچ پیکان</v>
          </cell>
          <cell r="C646" t="str">
            <v>قالب تعمیری</v>
          </cell>
          <cell r="N646" t="str">
            <v>وایر</v>
          </cell>
          <cell r="AC646" t="str">
            <v>1405/02/24</v>
          </cell>
        </row>
        <row r="647">
          <cell r="B647" t="str">
            <v>قالب پخت کلاچ پیکان آرژانتینی</v>
          </cell>
          <cell r="C647" t="str">
            <v>قالب تعمیری</v>
          </cell>
          <cell r="N647" t="str">
            <v>وایر</v>
          </cell>
          <cell r="AC647" t="str">
            <v>1405/02/24</v>
          </cell>
        </row>
        <row r="648">
          <cell r="B648" t="str">
            <v>دستگاه ساب</v>
          </cell>
          <cell r="C648" t="str">
            <v>قطعه نو</v>
          </cell>
          <cell r="N648" t="str">
            <v>وایر</v>
          </cell>
          <cell r="AC648" t="str">
            <v>1405/02/24</v>
          </cell>
        </row>
        <row r="649">
          <cell r="B649" t="str">
            <v>دستگاه پشم فلز آلمانی</v>
          </cell>
          <cell r="C649" t="str">
            <v>قطعه نو</v>
          </cell>
          <cell r="N649" t="str">
            <v>فرز</v>
          </cell>
          <cell r="AC649" t="str">
            <v>1405/02/27</v>
          </cell>
        </row>
        <row r="650">
          <cell r="B650" t="str">
            <v>دستگاه پشم فلز آلمانی</v>
          </cell>
          <cell r="C650" t="str">
            <v>قطعه نو</v>
          </cell>
          <cell r="N650" t="str">
            <v>فرز</v>
          </cell>
          <cell r="AC650" t="str">
            <v>1405/02/27</v>
          </cell>
        </row>
        <row r="651">
          <cell r="B651" t="str">
            <v>قالب عقب F12</v>
          </cell>
          <cell r="C651" t="str">
            <v>قالب نو</v>
          </cell>
          <cell r="N651" t="str">
            <v>فرز</v>
          </cell>
          <cell r="AC651" t="str">
            <v>1405/02/27</v>
          </cell>
        </row>
        <row r="652">
          <cell r="B652" t="str">
            <v>دستگاه ساب کلاچ</v>
          </cell>
          <cell r="C652" t="str">
            <v>قطعه تعمیری</v>
          </cell>
          <cell r="N652" t="str">
            <v>فرز</v>
          </cell>
          <cell r="AC652" t="str">
            <v>1405/02/26</v>
          </cell>
        </row>
        <row r="653">
          <cell r="B653" t="str">
            <v>قالب عقب F12</v>
          </cell>
          <cell r="C653" t="str">
            <v>قالب نو</v>
          </cell>
          <cell r="N653" t="str">
            <v>فرز</v>
          </cell>
          <cell r="AC653" t="str">
            <v>1405/02/26</v>
          </cell>
        </row>
        <row r="654">
          <cell r="B654" t="str">
            <v>قالب عقب F12</v>
          </cell>
          <cell r="C654" t="str">
            <v>قالب نو</v>
          </cell>
          <cell r="N654" t="str">
            <v>مونتاژ</v>
          </cell>
          <cell r="AC654" t="str">
            <v>1405/02/26</v>
          </cell>
        </row>
        <row r="655">
          <cell r="B655" t="str">
            <v>قالب پژو 405 دیسکی</v>
          </cell>
          <cell r="C655" t="str">
            <v>قالب تعمیری</v>
          </cell>
          <cell r="N655" t="str">
            <v>مونتاژ</v>
          </cell>
          <cell r="AC655" t="str">
            <v>1405/02/26</v>
          </cell>
        </row>
        <row r="656">
          <cell r="B656" t="str">
            <v>قالب پژو 405 دیسکی</v>
          </cell>
          <cell r="C656" t="str">
            <v>قالب تعمیری</v>
          </cell>
          <cell r="N656" t="str">
            <v>دریل رادیال</v>
          </cell>
          <cell r="AC656" t="str">
            <v>1405/02/26</v>
          </cell>
        </row>
        <row r="657">
          <cell r="B657" t="str">
            <v>قالب پژو 405 دیسکی</v>
          </cell>
          <cell r="C657" t="str">
            <v>قالب تعمیری</v>
          </cell>
          <cell r="N657" t="str">
            <v>مونتاژ</v>
          </cell>
          <cell r="AC657" t="str">
            <v>1405/02/26</v>
          </cell>
        </row>
        <row r="658">
          <cell r="B658" t="str">
            <v>قالب اکسپرس</v>
          </cell>
          <cell r="C658" t="str">
            <v>قالب تعمیری</v>
          </cell>
          <cell r="N658" t="str">
            <v>دریل رادیال</v>
          </cell>
          <cell r="AC658" t="str">
            <v>1405/02/26</v>
          </cell>
        </row>
        <row r="659">
          <cell r="B659" t="str">
            <v>قالب اکسپرس</v>
          </cell>
          <cell r="C659" t="str">
            <v>قالب تعمیری</v>
          </cell>
          <cell r="N659" t="str">
            <v>مونتاژ</v>
          </cell>
          <cell r="AC659" t="str">
            <v>1405/02/26</v>
          </cell>
        </row>
        <row r="660">
          <cell r="B660" t="str">
            <v>قالب پخت کلاچ پژو 405</v>
          </cell>
          <cell r="C660" t="str">
            <v>قالب تعمیری</v>
          </cell>
          <cell r="N660" t="str">
            <v>CNC</v>
          </cell>
          <cell r="AC660" t="str">
            <v>1405/02/27</v>
          </cell>
        </row>
        <row r="661">
          <cell r="B661" t="str">
            <v>قالب پخت کلاچ پژو 405</v>
          </cell>
          <cell r="C661" t="str">
            <v>قالب تعمیری</v>
          </cell>
          <cell r="N661" t="str">
            <v>CNC</v>
          </cell>
          <cell r="AC661" t="str">
            <v>1405/02/27</v>
          </cell>
        </row>
        <row r="662">
          <cell r="B662" t="str">
            <v>CNC 7203</v>
          </cell>
          <cell r="C662" t="str">
            <v>دستگاه تعمیری</v>
          </cell>
          <cell r="N662" t="str">
            <v>CNC</v>
          </cell>
          <cell r="AC662" t="str">
            <v>1405/02/27</v>
          </cell>
        </row>
        <row r="663">
          <cell r="B663" t="str">
            <v>قالب اکسپرس</v>
          </cell>
          <cell r="C663" t="str">
            <v>قالب تعمیری</v>
          </cell>
          <cell r="N663" t="str">
            <v>CNC</v>
          </cell>
          <cell r="AC663" t="str">
            <v>1405/02/27</v>
          </cell>
        </row>
        <row r="664">
          <cell r="B664" t="str">
            <v>Hammer Mill Machine</v>
          </cell>
          <cell r="C664" t="str">
            <v>دستگاه نو</v>
          </cell>
          <cell r="N664" t="str">
            <v>CNC</v>
          </cell>
          <cell r="AC664" t="str">
            <v>1405/02/27</v>
          </cell>
        </row>
        <row r="665">
          <cell r="B665" t="str">
            <v>پرس 160 تن</v>
          </cell>
          <cell r="C665" t="str">
            <v>دستگاه تعمیری</v>
          </cell>
          <cell r="N665" t="str">
            <v>تراش</v>
          </cell>
          <cell r="AC665" t="str">
            <v>1405/02/27</v>
          </cell>
        </row>
        <row r="666">
          <cell r="B666" t="str">
            <v>دستگاه پشم فلز چینی</v>
          </cell>
          <cell r="C666" t="str">
            <v>قطعه نو</v>
          </cell>
          <cell r="N666" t="str">
            <v>مونتاژ</v>
          </cell>
          <cell r="AC666" t="str">
            <v>1405/02/27</v>
          </cell>
        </row>
        <row r="667">
          <cell r="B667" t="str">
            <v>پین عقب پژو 405</v>
          </cell>
          <cell r="C667" t="str">
            <v>قطعه نو</v>
          </cell>
          <cell r="N667" t="str">
            <v>سری تراش</v>
          </cell>
          <cell r="AC667" t="str">
            <v>1405/02/27</v>
          </cell>
        </row>
        <row r="668">
          <cell r="B668" t="str">
            <v>پخت کلاچ پراید</v>
          </cell>
          <cell r="C668" t="str">
            <v>قالب تعمیری</v>
          </cell>
          <cell r="N668" t="str">
            <v>تراش</v>
          </cell>
          <cell r="AC668" t="str">
            <v>1405/02/27</v>
          </cell>
        </row>
        <row r="669">
          <cell r="B669" t="str">
            <v>ابزار زنی</v>
          </cell>
          <cell r="C669" t="str">
            <v>قطعه نو</v>
          </cell>
          <cell r="N669" t="str">
            <v>تراش</v>
          </cell>
          <cell r="AC669" t="str">
            <v>1405/02/27</v>
          </cell>
        </row>
        <row r="670">
          <cell r="B670" t="str">
            <v>پخت کلاچ پراید</v>
          </cell>
          <cell r="C670" t="str">
            <v>قالب تعمیری</v>
          </cell>
          <cell r="N670" t="str">
            <v>تراش</v>
          </cell>
          <cell r="AC670" t="str">
            <v>1405/02/27</v>
          </cell>
        </row>
        <row r="671">
          <cell r="B671" t="str">
            <v xml:space="preserve">کنترل شعاع عقب </v>
          </cell>
          <cell r="C671" t="str">
            <v>قطعه نو</v>
          </cell>
          <cell r="N671" t="str">
            <v>تراش</v>
          </cell>
          <cell r="AC671" t="str">
            <v>1405/02/27</v>
          </cell>
        </row>
        <row r="672">
          <cell r="B672" t="str">
            <v>صفحه قالب 50*50</v>
          </cell>
          <cell r="C672" t="str">
            <v>قالب تعمیری</v>
          </cell>
          <cell r="N672" t="str">
            <v>سنگ زنی</v>
          </cell>
          <cell r="AC672" t="str">
            <v>1405/02/27</v>
          </cell>
        </row>
        <row r="673">
          <cell r="B673" t="str">
            <v>سنگ 7502</v>
          </cell>
          <cell r="C673" t="str">
            <v>دستگاه تعمیری</v>
          </cell>
          <cell r="N673" t="str">
            <v>مونتاژ</v>
          </cell>
          <cell r="AC673" t="str">
            <v>1405/02/27</v>
          </cell>
        </row>
        <row r="674">
          <cell r="B674" t="str">
            <v>قالب پژو 405 دیسکی</v>
          </cell>
          <cell r="C674" t="str">
            <v>قالب تعمیری</v>
          </cell>
          <cell r="N674" t="str">
            <v>مونتاژ</v>
          </cell>
          <cell r="AC674" t="str">
            <v>1405/02/27</v>
          </cell>
        </row>
        <row r="675">
          <cell r="B675" t="str">
            <v>Hammer Mill Machine</v>
          </cell>
          <cell r="C675" t="str">
            <v>دستگاه نو</v>
          </cell>
          <cell r="N675" t="str">
            <v>وایر</v>
          </cell>
          <cell r="AC675" t="str">
            <v>1405/02/27</v>
          </cell>
        </row>
        <row r="676">
          <cell r="B676" t="str">
            <v>ویوینگ</v>
          </cell>
          <cell r="C676" t="str">
            <v>قطعه تعمیری</v>
          </cell>
          <cell r="N676" t="str">
            <v>وایر</v>
          </cell>
          <cell r="AC676" t="str">
            <v>1405/02/27</v>
          </cell>
        </row>
        <row r="677">
          <cell r="B677" t="str">
            <v>برش جمعی عقب ریو</v>
          </cell>
          <cell r="C677" t="str">
            <v>قطعه نو</v>
          </cell>
          <cell r="N677" t="str">
            <v>وایر</v>
          </cell>
          <cell r="AC677" t="str">
            <v>1405/02/27</v>
          </cell>
        </row>
        <row r="678">
          <cell r="B678" t="str">
            <v>قالب پخت کلاچ پیکان</v>
          </cell>
          <cell r="C678" t="str">
            <v>قالب تعمیری</v>
          </cell>
          <cell r="N678" t="str">
            <v>وایر</v>
          </cell>
          <cell r="AC678" t="str">
            <v>1405/02/27</v>
          </cell>
        </row>
        <row r="679">
          <cell r="B679" t="str">
            <v>قالب پخت کلاچ پیکان</v>
          </cell>
          <cell r="C679" t="str">
            <v>قالب تعمیری</v>
          </cell>
          <cell r="N679" t="str">
            <v>تراش</v>
          </cell>
          <cell r="AC679" t="str">
            <v>1405/02/27</v>
          </cell>
        </row>
        <row r="680">
          <cell r="B680" t="str">
            <v>قالب پخت کلاچ پیکان</v>
          </cell>
          <cell r="C680" t="str">
            <v>قالب تعمیری</v>
          </cell>
          <cell r="N680" t="str">
            <v>تراش</v>
          </cell>
          <cell r="AC680" t="str">
            <v>1405/02/27</v>
          </cell>
        </row>
        <row r="681">
          <cell r="B681" t="str">
            <v>ویوینگ</v>
          </cell>
          <cell r="C681" t="str">
            <v>قطعه تعمیری</v>
          </cell>
          <cell r="N681" t="str">
            <v>تراش</v>
          </cell>
          <cell r="AC681" t="str">
            <v>1405/02/27</v>
          </cell>
        </row>
        <row r="682">
          <cell r="B682" t="str">
            <v>قالب پژو 405 دیسکی</v>
          </cell>
          <cell r="C682" t="str">
            <v>قالب تعمیری</v>
          </cell>
          <cell r="N682" t="str">
            <v>مونتاژ</v>
          </cell>
          <cell r="AC682" t="str">
            <v>1405/02/27</v>
          </cell>
        </row>
        <row r="683">
          <cell r="B683" t="str">
            <v>قالب پخت کلاچ پیکان آرژانتینی</v>
          </cell>
          <cell r="C683" t="str">
            <v>قالب تعمیری</v>
          </cell>
          <cell r="N683" t="str">
            <v>مونتاژ</v>
          </cell>
          <cell r="AC683" t="str">
            <v>1405/02/27</v>
          </cell>
        </row>
        <row r="684">
          <cell r="B684" t="str">
            <v>پخت کلاچ پراید</v>
          </cell>
          <cell r="C684" t="str">
            <v>قالب تعمیری</v>
          </cell>
          <cell r="N684" t="str">
            <v>مونتاژ</v>
          </cell>
          <cell r="AC684" t="str">
            <v>1405/02/27</v>
          </cell>
        </row>
        <row r="685">
          <cell r="B685" t="str">
            <v>قالب پخت کلاچ پیکان آرژانتینی</v>
          </cell>
          <cell r="C685" t="str">
            <v>قالب تعمیری</v>
          </cell>
          <cell r="N685" t="str">
            <v>مونتاژ</v>
          </cell>
          <cell r="AC685" t="str">
            <v>1405/02/27</v>
          </cell>
        </row>
        <row r="686">
          <cell r="B686" t="str">
            <v>قالب پژو 405 دیسکی</v>
          </cell>
          <cell r="C686" t="str">
            <v>قالب تعمیری</v>
          </cell>
          <cell r="N686" t="str">
            <v>مونتاژ</v>
          </cell>
          <cell r="AC686" t="str">
            <v>1405/02/27</v>
          </cell>
        </row>
        <row r="687">
          <cell r="B687" t="str">
            <v>قالب پخت کلاچ پیکان آرژانتینی</v>
          </cell>
          <cell r="C687" t="str">
            <v>قالب تعمیری</v>
          </cell>
          <cell r="N687" t="str">
            <v>مونتاژ</v>
          </cell>
          <cell r="AC687" t="str">
            <v>1405/02/27</v>
          </cell>
        </row>
        <row r="688">
          <cell r="B688" t="str">
            <v>پخت کلاچ پراید</v>
          </cell>
          <cell r="C688" t="str">
            <v>قالب تعمیری</v>
          </cell>
          <cell r="N688" t="str">
            <v>مونتاژ</v>
          </cell>
          <cell r="AC688" t="str">
            <v>1405/02/27</v>
          </cell>
        </row>
        <row r="689">
          <cell r="B689" t="str">
            <v>قالب پخت کلاچ پیکان آرژانتینی</v>
          </cell>
          <cell r="C689" t="str">
            <v>قالب تعمیری</v>
          </cell>
          <cell r="N689" t="str">
            <v>مونتاژ</v>
          </cell>
          <cell r="AC689" t="str">
            <v>1405/02/27</v>
          </cell>
        </row>
        <row r="690">
          <cell r="B690" t="str">
            <v>دستگاه پشم فلز آلمانی</v>
          </cell>
          <cell r="C690" t="str">
            <v>قطعه نو</v>
          </cell>
          <cell r="N690" t="str">
            <v>CNC</v>
          </cell>
          <cell r="AC690" t="str">
            <v>1405/02/28</v>
          </cell>
        </row>
        <row r="691">
          <cell r="B691" t="str">
            <v>دستگاه پشم فلز آلمانی</v>
          </cell>
          <cell r="C691" t="str">
            <v>قطعه نو</v>
          </cell>
          <cell r="N691" t="str">
            <v>فرز</v>
          </cell>
          <cell r="AC691" t="str">
            <v>1405/02/28</v>
          </cell>
        </row>
        <row r="692">
          <cell r="B692" t="str">
            <v>دستگاه پشم فلز آلمانی</v>
          </cell>
          <cell r="C692" t="str">
            <v>قطعه نو</v>
          </cell>
          <cell r="N692" t="str">
            <v>فرز</v>
          </cell>
          <cell r="AC692" t="str">
            <v>1405/02/28</v>
          </cell>
        </row>
        <row r="693">
          <cell r="B693" t="str">
            <v>قالب عقب F12</v>
          </cell>
          <cell r="C693" t="str">
            <v>قالب نو</v>
          </cell>
          <cell r="N693" t="str">
            <v>فرز</v>
          </cell>
          <cell r="AC693" t="str">
            <v>1405/02/28</v>
          </cell>
        </row>
        <row r="694">
          <cell r="B694" t="str">
            <v>قالب عقب F12</v>
          </cell>
          <cell r="C694" t="str">
            <v>قالب نو</v>
          </cell>
          <cell r="N694" t="str">
            <v>فرز</v>
          </cell>
          <cell r="AC694" t="str">
            <v>1405/02/28</v>
          </cell>
        </row>
        <row r="695">
          <cell r="B695" t="str">
            <v>سنگ 7502</v>
          </cell>
          <cell r="C695" t="str">
            <v>دستگاه تعمیری</v>
          </cell>
          <cell r="N695" t="str">
            <v>مونتاژ</v>
          </cell>
          <cell r="AC695" t="str">
            <v>1405/02/28</v>
          </cell>
        </row>
        <row r="696">
          <cell r="B696" t="str">
            <v>قالب پخت کلاچ پژو 405</v>
          </cell>
          <cell r="C696" t="str">
            <v>قالب تعمیری</v>
          </cell>
          <cell r="N696" t="str">
            <v>سنگ زنی</v>
          </cell>
          <cell r="AC696" t="str">
            <v>1405/02/28</v>
          </cell>
        </row>
        <row r="697">
          <cell r="B697" t="str">
            <v>دستگاه پشم فلز چینی</v>
          </cell>
          <cell r="C697" t="str">
            <v>قطعه نو</v>
          </cell>
          <cell r="N697" t="str">
            <v>مونتاژ</v>
          </cell>
          <cell r="AC697" t="str">
            <v>1405/02/28</v>
          </cell>
        </row>
        <row r="698">
          <cell r="B698" t="str">
            <v>تراش 7303</v>
          </cell>
          <cell r="C698" t="str">
            <v>دستگاه تعمیری</v>
          </cell>
          <cell r="N698" t="str">
            <v>مونتاژ</v>
          </cell>
          <cell r="AC698" t="str">
            <v>1405/02/28</v>
          </cell>
        </row>
        <row r="699">
          <cell r="B699" t="str">
            <v>پین عقب پژو 405</v>
          </cell>
          <cell r="C699" t="str">
            <v>قطعه نو</v>
          </cell>
          <cell r="N699" t="str">
            <v>سری تراش</v>
          </cell>
          <cell r="AC699" t="str">
            <v>1405/02/28</v>
          </cell>
        </row>
        <row r="700">
          <cell r="B700" t="str">
            <v>ابزار زنی</v>
          </cell>
          <cell r="C700" t="str">
            <v>قطعه نو</v>
          </cell>
          <cell r="N700" t="str">
            <v>تراش</v>
          </cell>
          <cell r="AC700" t="str">
            <v>1405/02/28</v>
          </cell>
        </row>
        <row r="701">
          <cell r="B701" t="str">
            <v>برش جمعی عقب ریو</v>
          </cell>
          <cell r="C701" t="str">
            <v>قطعه نو</v>
          </cell>
          <cell r="N701" t="str">
            <v>تراش</v>
          </cell>
          <cell r="AC701" t="str">
            <v>1405/02/28</v>
          </cell>
        </row>
        <row r="702">
          <cell r="B702" t="str">
            <v>قالب پخت کلاچ پژو 405</v>
          </cell>
          <cell r="C702" t="str">
            <v>قالب تعمیری</v>
          </cell>
          <cell r="N702" t="str">
            <v>تراش</v>
          </cell>
          <cell r="AC702" t="str">
            <v>1405/02/28</v>
          </cell>
        </row>
        <row r="703">
          <cell r="B703" t="str">
            <v>کولر</v>
          </cell>
          <cell r="C703" t="str">
            <v>دستگاه تعمیری</v>
          </cell>
          <cell r="N703" t="str">
            <v>مونتاژ</v>
          </cell>
          <cell r="AC703" t="str">
            <v>1405/02/28</v>
          </cell>
        </row>
        <row r="704">
          <cell r="B704" t="str">
            <v>دستگاه پخ زنی</v>
          </cell>
          <cell r="C704" t="str">
            <v>دستگاه تعمیری</v>
          </cell>
          <cell r="N704" t="str">
            <v>مونتاژ</v>
          </cell>
          <cell r="AC704" t="str">
            <v>1405/02/28</v>
          </cell>
        </row>
        <row r="705">
          <cell r="B705" t="str">
            <v>ساب کونیک</v>
          </cell>
          <cell r="C705" t="str">
            <v>قطعه تعمیری</v>
          </cell>
          <cell r="N705" t="str">
            <v>تراش</v>
          </cell>
          <cell r="AC705" t="str">
            <v>1405/02/28</v>
          </cell>
        </row>
        <row r="706">
          <cell r="B706" t="str">
            <v>ساب الماسه</v>
          </cell>
          <cell r="C706" t="str">
            <v>قطعه تعمیری</v>
          </cell>
          <cell r="N706" t="str">
            <v>تراش</v>
          </cell>
          <cell r="AC706" t="str">
            <v>1405/02/28</v>
          </cell>
        </row>
        <row r="707">
          <cell r="B707" t="str">
            <v xml:space="preserve">کنترل شعاع عقب </v>
          </cell>
          <cell r="C707" t="str">
            <v>قطعه نو</v>
          </cell>
          <cell r="N707" t="str">
            <v>تراش</v>
          </cell>
          <cell r="AC707" t="str">
            <v>1405/02/28</v>
          </cell>
        </row>
        <row r="708">
          <cell r="B708" t="str">
            <v>کولر</v>
          </cell>
          <cell r="C708" t="str">
            <v>دستگاه تعمیری</v>
          </cell>
          <cell r="N708" t="str">
            <v>مونتاژ</v>
          </cell>
          <cell r="AC708" t="str">
            <v>1405/02/28</v>
          </cell>
        </row>
        <row r="709">
          <cell r="B709" t="str">
            <v>دریل ابزار زنی</v>
          </cell>
          <cell r="C709" t="str">
            <v>قطعه نو</v>
          </cell>
          <cell r="N709" t="str">
            <v>تراش</v>
          </cell>
          <cell r="AC709" t="str">
            <v>1405/02/28</v>
          </cell>
        </row>
        <row r="710">
          <cell r="B710" t="str">
            <v>قالب پخت کلاچ پژو 405</v>
          </cell>
          <cell r="C710" t="str">
            <v>قالب تعمیری</v>
          </cell>
          <cell r="N710" t="str">
            <v>CNC</v>
          </cell>
          <cell r="AC710" t="str">
            <v>1405/02/28</v>
          </cell>
        </row>
        <row r="711">
          <cell r="B711" t="str">
            <v>پخت کلاچ پراید</v>
          </cell>
          <cell r="C711" t="str">
            <v>قالب تعمیری</v>
          </cell>
          <cell r="N711" t="str">
            <v>CNC</v>
          </cell>
          <cell r="AC711" t="str">
            <v>1405/02/28</v>
          </cell>
        </row>
        <row r="712">
          <cell r="B712" t="str">
            <v>Hammer Mill Machine</v>
          </cell>
          <cell r="C712" t="str">
            <v>دستگاه نو</v>
          </cell>
          <cell r="N712" t="str">
            <v>CNC</v>
          </cell>
          <cell r="AC712" t="str">
            <v>1405/02/28</v>
          </cell>
        </row>
        <row r="713">
          <cell r="B713" t="str">
            <v>Hammer Mill Machine</v>
          </cell>
          <cell r="C713" t="str">
            <v>دستگاه نو</v>
          </cell>
          <cell r="N713" t="str">
            <v>وایر</v>
          </cell>
          <cell r="AC713" t="str">
            <v>1405/02/28</v>
          </cell>
        </row>
        <row r="714">
          <cell r="B714" t="str">
            <v>Hammer Mill Machine</v>
          </cell>
          <cell r="C714" t="str">
            <v>دستگاه نو</v>
          </cell>
          <cell r="N714" t="str">
            <v>وایر</v>
          </cell>
          <cell r="AC714" t="str">
            <v>1405/02/28</v>
          </cell>
        </row>
        <row r="715">
          <cell r="B715" t="str">
            <v>برش جمعی عقب ریو</v>
          </cell>
          <cell r="C715" t="str">
            <v>قطعه نو</v>
          </cell>
          <cell r="N715" t="str">
            <v>وایر</v>
          </cell>
          <cell r="AC715" t="str">
            <v>1405/02/28</v>
          </cell>
        </row>
        <row r="716">
          <cell r="B716" t="str">
            <v>لنت دنیای مس</v>
          </cell>
          <cell r="C716" t="str">
            <v>قطعه نو</v>
          </cell>
          <cell r="N716" t="str">
            <v>وایر</v>
          </cell>
          <cell r="AC716" t="str">
            <v>1405/02/28</v>
          </cell>
        </row>
        <row r="717">
          <cell r="B717" t="str">
            <v>قالب پخت کلاچ پیکان</v>
          </cell>
          <cell r="C717" t="str">
            <v>قالب تعمیری</v>
          </cell>
          <cell r="N717" t="str">
            <v>وایر</v>
          </cell>
          <cell r="AC717" t="str">
            <v>1405/02/28</v>
          </cell>
        </row>
        <row r="718">
          <cell r="B718" t="str">
            <v>دستگاه پشم فلز آلمانی</v>
          </cell>
          <cell r="C718" t="str">
            <v>قطعه نو</v>
          </cell>
          <cell r="N718" t="str">
            <v>فرز</v>
          </cell>
          <cell r="AC718" t="str">
            <v>1405/02/29</v>
          </cell>
        </row>
        <row r="719">
          <cell r="B719" t="str">
            <v>Hammer Mill Machine</v>
          </cell>
          <cell r="C719" t="str">
            <v>دستگاه نو</v>
          </cell>
          <cell r="N719" t="str">
            <v>CNC</v>
          </cell>
          <cell r="AC719" t="str">
            <v>1405/02/29</v>
          </cell>
        </row>
        <row r="720">
          <cell r="B720" t="str">
            <v>قالب پخت کلاچ پیکان</v>
          </cell>
          <cell r="C720" t="str">
            <v>قالب تعمیری</v>
          </cell>
          <cell r="N720" t="str">
            <v>تراش</v>
          </cell>
          <cell r="AC720" t="str">
            <v>1405/02/29</v>
          </cell>
        </row>
        <row r="721">
          <cell r="B721" t="str">
            <v>پخت کلاچ پراید</v>
          </cell>
          <cell r="C721" t="str">
            <v>قالب تعمیری</v>
          </cell>
          <cell r="N721" t="str">
            <v>تراش</v>
          </cell>
          <cell r="AC721" t="str">
            <v>1405/02/29</v>
          </cell>
        </row>
        <row r="722">
          <cell r="B722" t="str">
            <v>پخت کلاچ پراید</v>
          </cell>
          <cell r="C722" t="str">
            <v>قالب تعمیری</v>
          </cell>
          <cell r="N722" t="str">
            <v>CNC</v>
          </cell>
          <cell r="AC722" t="str">
            <v>1405/02/29</v>
          </cell>
        </row>
        <row r="723">
          <cell r="B723" t="str">
            <v>Hammer Mill Machine</v>
          </cell>
          <cell r="C723" t="str">
            <v>دستگاه نو</v>
          </cell>
          <cell r="N723" t="str">
            <v>CNC</v>
          </cell>
          <cell r="AC723" t="str">
            <v>1405/02/29</v>
          </cell>
        </row>
        <row r="724">
          <cell r="B724" t="str">
            <v>قالب عقب F12</v>
          </cell>
          <cell r="C724" t="str">
            <v>قالب نو</v>
          </cell>
          <cell r="N724" t="str">
            <v>فرز</v>
          </cell>
          <cell r="AC724" t="str">
            <v>1405/02/29</v>
          </cell>
        </row>
        <row r="725">
          <cell r="B725" t="str">
            <v>بمبوری</v>
          </cell>
          <cell r="C725" t="str">
            <v>قطعه تعمیری</v>
          </cell>
          <cell r="N725" t="str">
            <v>فرز</v>
          </cell>
          <cell r="AC725" t="str">
            <v>1405/02/29</v>
          </cell>
        </row>
        <row r="726">
          <cell r="B726" t="str">
            <v>دستگاه پشم فلز آلمانی</v>
          </cell>
          <cell r="C726" t="str">
            <v>قطعه نو</v>
          </cell>
          <cell r="N726" t="str">
            <v>فرز</v>
          </cell>
          <cell r="AC726" t="str">
            <v>1405/02/29</v>
          </cell>
        </row>
        <row r="727">
          <cell r="B727" t="str">
            <v>ابزار زنی</v>
          </cell>
          <cell r="C727" t="str">
            <v>قطعه نو</v>
          </cell>
          <cell r="N727" t="str">
            <v>فرز</v>
          </cell>
          <cell r="AC727" t="str">
            <v>1405/02/29</v>
          </cell>
        </row>
        <row r="728">
          <cell r="B728" t="str">
            <v>برش جمعی عقب ریو</v>
          </cell>
          <cell r="C728" t="str">
            <v>قطعه نو</v>
          </cell>
          <cell r="N728" t="str">
            <v>فرز</v>
          </cell>
          <cell r="AC728" t="str">
            <v>1405/02/29</v>
          </cell>
        </row>
        <row r="729">
          <cell r="B729" t="str">
            <v>قالب پخت کلاچ پژو 405</v>
          </cell>
          <cell r="C729" t="str">
            <v>قالب تعمیری</v>
          </cell>
          <cell r="N729" t="str">
            <v>سنگ زنی</v>
          </cell>
          <cell r="AC729" t="str">
            <v>1405/02/29</v>
          </cell>
        </row>
        <row r="730">
          <cell r="B730" t="str">
            <v>قالب پراید خاردار</v>
          </cell>
          <cell r="C730" t="str">
            <v>قالب تعمیری</v>
          </cell>
          <cell r="N730" t="str">
            <v>سنگ زنی</v>
          </cell>
          <cell r="AC730" t="str">
            <v>1405/02/29</v>
          </cell>
        </row>
        <row r="731">
          <cell r="B731" t="str">
            <v>Hammer Mill Machine</v>
          </cell>
          <cell r="C731" t="str">
            <v>دستگاه نو</v>
          </cell>
          <cell r="N731" t="str">
            <v>سنگ زنی</v>
          </cell>
          <cell r="AC731" t="str">
            <v>1405/02/29</v>
          </cell>
        </row>
        <row r="732">
          <cell r="B732" t="str">
            <v>قالب نیسان آریا</v>
          </cell>
          <cell r="C732" t="str">
            <v>قالب تعمیری</v>
          </cell>
          <cell r="N732" t="str">
            <v>مونتاژ</v>
          </cell>
          <cell r="AC732" t="str">
            <v>1405/02/29</v>
          </cell>
        </row>
        <row r="733">
          <cell r="B733" t="str">
            <v>پین عقب پژو 405</v>
          </cell>
          <cell r="C733" t="str">
            <v>قطعه نو</v>
          </cell>
          <cell r="N733" t="str">
            <v>سری تراش</v>
          </cell>
          <cell r="AC733" t="str">
            <v>1405/02/29</v>
          </cell>
        </row>
        <row r="734">
          <cell r="B734" t="str">
            <v>دستگاه پشم فلز چینی</v>
          </cell>
          <cell r="C734" t="str">
            <v>قطعه نو</v>
          </cell>
          <cell r="N734" t="str">
            <v>مونتاژ</v>
          </cell>
          <cell r="AC734" t="str">
            <v>1405/02/29</v>
          </cell>
        </row>
        <row r="735">
          <cell r="B735" t="str">
            <v>Hammer Mill Machine</v>
          </cell>
          <cell r="C735" t="str">
            <v>دستگاه نو</v>
          </cell>
          <cell r="N735" t="str">
            <v>اره لنگ</v>
          </cell>
          <cell r="AC735" t="str">
            <v>1405/02/29</v>
          </cell>
        </row>
        <row r="736">
          <cell r="B736" t="str">
            <v>پرس پخت</v>
          </cell>
          <cell r="C736" t="str">
            <v>قطعه نو</v>
          </cell>
          <cell r="N736" t="str">
            <v>اره لنگ</v>
          </cell>
          <cell r="AC736" t="str">
            <v>1405/02/29</v>
          </cell>
        </row>
        <row r="737">
          <cell r="B737" t="str">
            <v>پرس پخت</v>
          </cell>
          <cell r="C737" t="str">
            <v>قطعه نو</v>
          </cell>
          <cell r="N737" t="str">
            <v>مونتاژ</v>
          </cell>
          <cell r="AC737" t="str">
            <v>1405/02/29</v>
          </cell>
        </row>
        <row r="738">
          <cell r="B738" t="str">
            <v>ابزار زنی</v>
          </cell>
          <cell r="C738" t="str">
            <v>قطعه نو</v>
          </cell>
          <cell r="N738" t="str">
            <v>اره لنگ</v>
          </cell>
          <cell r="AC738" t="str">
            <v>1405/02/29</v>
          </cell>
        </row>
        <row r="739">
          <cell r="B739" t="str">
            <v>برش جمعی عقب ریو</v>
          </cell>
          <cell r="C739" t="str">
            <v>قطعه نو</v>
          </cell>
          <cell r="N739" t="str">
            <v>مونتاژ</v>
          </cell>
          <cell r="AC739" t="str">
            <v>1405/02/29</v>
          </cell>
        </row>
        <row r="740">
          <cell r="B740" t="str">
            <v>پرس پخت</v>
          </cell>
          <cell r="C740" t="str">
            <v>قطعه نو</v>
          </cell>
          <cell r="N740" t="str">
            <v>تراش</v>
          </cell>
          <cell r="AC740" t="str">
            <v>1405/02/29</v>
          </cell>
        </row>
        <row r="741">
          <cell r="B741" t="str">
            <v>آغشته کاری</v>
          </cell>
          <cell r="C741" t="str">
            <v>قطعه تعمیری</v>
          </cell>
          <cell r="N741" t="str">
            <v>تراش</v>
          </cell>
          <cell r="AC741" t="str">
            <v>1405/02/29</v>
          </cell>
        </row>
        <row r="742">
          <cell r="B742" t="str">
            <v xml:space="preserve">کنترل شعاع عقب </v>
          </cell>
          <cell r="C742" t="str">
            <v>قطعه نو</v>
          </cell>
          <cell r="N742" t="str">
            <v>تراش</v>
          </cell>
          <cell r="AC742" t="str">
            <v>1405/02/29</v>
          </cell>
        </row>
        <row r="743">
          <cell r="B743" t="str">
            <v>ویوینگ</v>
          </cell>
          <cell r="C743" t="str">
            <v>قطعه تعمیری</v>
          </cell>
          <cell r="N743" t="str">
            <v>تراش</v>
          </cell>
          <cell r="AC743" t="str">
            <v>1405/02/29</v>
          </cell>
        </row>
        <row r="744">
          <cell r="B744" t="str">
            <v>ویوینگ</v>
          </cell>
          <cell r="C744" t="str">
            <v>قطعه تعمیری</v>
          </cell>
          <cell r="N744" t="str">
            <v>تراش</v>
          </cell>
          <cell r="AC744" t="str">
            <v>1405/02/29</v>
          </cell>
        </row>
        <row r="745">
          <cell r="B745" t="str">
            <v>Hammer Mill Machine</v>
          </cell>
          <cell r="C745" t="str">
            <v>دستگاه نو</v>
          </cell>
          <cell r="N745" t="str">
            <v>وایر</v>
          </cell>
          <cell r="AC745" t="str">
            <v>1405/02/29</v>
          </cell>
        </row>
        <row r="746">
          <cell r="B746" t="str">
            <v>Hammer Mill Machine</v>
          </cell>
          <cell r="C746" t="str">
            <v>دستگاه نو</v>
          </cell>
          <cell r="N746" t="str">
            <v>وایر</v>
          </cell>
          <cell r="AC746" t="str">
            <v>1405/02/29</v>
          </cell>
        </row>
        <row r="747">
          <cell r="B747" t="str">
            <v>قالب پخت کلاچ پیکان</v>
          </cell>
          <cell r="C747" t="str">
            <v>قالب تعمیری</v>
          </cell>
          <cell r="N747" t="str">
            <v>وایر</v>
          </cell>
          <cell r="AC747" t="str">
            <v>1405/02/29</v>
          </cell>
        </row>
        <row r="748">
          <cell r="B748" t="str">
            <v>ویوینگ</v>
          </cell>
          <cell r="C748" t="str">
            <v>قطعه تعمیری</v>
          </cell>
          <cell r="N748" t="str">
            <v>وایر</v>
          </cell>
          <cell r="AC748" t="str">
            <v>1405/02/29</v>
          </cell>
        </row>
        <row r="749">
          <cell r="B749" t="str">
            <v>ساب کونیک</v>
          </cell>
          <cell r="C749" t="str">
            <v>قطعه تعمیری</v>
          </cell>
          <cell r="N749" t="str">
            <v>وایر</v>
          </cell>
          <cell r="AC749" t="str">
            <v>1405/02/29</v>
          </cell>
        </row>
        <row r="750">
          <cell r="B750" t="str">
            <v>Hammer Mill Machine</v>
          </cell>
          <cell r="C750" t="str">
            <v>دستگاه نو</v>
          </cell>
          <cell r="N750" t="str">
            <v>سنگ زنی</v>
          </cell>
          <cell r="AC750" t="str">
            <v>1405/02/30</v>
          </cell>
        </row>
        <row r="751">
          <cell r="B751" t="str">
            <v>دستگاه پشم فلز آلمانی</v>
          </cell>
          <cell r="C751" t="str">
            <v>قطعه نو</v>
          </cell>
          <cell r="N751" t="str">
            <v>فرز</v>
          </cell>
          <cell r="AC751" t="str">
            <v>1405/02/30</v>
          </cell>
        </row>
        <row r="752">
          <cell r="B752" t="str">
            <v>بمبوری</v>
          </cell>
          <cell r="C752" t="str">
            <v>قطعه تعمیری</v>
          </cell>
          <cell r="N752" t="str">
            <v>فرز</v>
          </cell>
          <cell r="AC752" t="str">
            <v>1405/02/30</v>
          </cell>
        </row>
        <row r="753">
          <cell r="B753" t="str">
            <v>قالب پخت کلاچ پیکان</v>
          </cell>
          <cell r="C753" t="str">
            <v>قالب تعمیری</v>
          </cell>
          <cell r="N753" t="str">
            <v>CNC</v>
          </cell>
          <cell r="AC753" t="str">
            <v>1405/02/30</v>
          </cell>
        </row>
        <row r="754">
          <cell r="B754" t="str">
            <v>پخت کلاچ پراید</v>
          </cell>
          <cell r="C754" t="str">
            <v>قالب تعمیری</v>
          </cell>
          <cell r="N754" t="str">
            <v>CNC</v>
          </cell>
          <cell r="AC754" t="str">
            <v>1405/02/30</v>
          </cell>
        </row>
        <row r="755">
          <cell r="B755" t="str">
            <v>قالب پخت کلاچ پژو 405</v>
          </cell>
          <cell r="C755" t="str">
            <v>قالب تعمیری</v>
          </cell>
          <cell r="N755" t="str">
            <v>CNC</v>
          </cell>
          <cell r="AC755" t="str">
            <v>1405/02/30</v>
          </cell>
        </row>
        <row r="756">
          <cell r="B756" t="str">
            <v>پخت کلاچ پراید</v>
          </cell>
          <cell r="C756" t="str">
            <v>قالب تعمیری</v>
          </cell>
          <cell r="N756" t="str">
            <v>تراش</v>
          </cell>
          <cell r="AC756" t="str">
            <v>1405/02/30</v>
          </cell>
        </row>
        <row r="757">
          <cell r="B757" t="str">
            <v>Hammer Mill Machine</v>
          </cell>
          <cell r="C757" t="str">
            <v>دستگاه نو</v>
          </cell>
          <cell r="N757" t="str">
            <v>وایر</v>
          </cell>
          <cell r="AC757" t="str">
            <v>1405/02/30</v>
          </cell>
        </row>
        <row r="758">
          <cell r="B758" t="str">
            <v>Hammer Mill Machine</v>
          </cell>
          <cell r="C758" t="str">
            <v>دستگاه نو</v>
          </cell>
          <cell r="N758" t="str">
            <v>وایر</v>
          </cell>
          <cell r="AC758" t="str">
            <v>1405/02/30</v>
          </cell>
        </row>
        <row r="759">
          <cell r="B759" t="str">
            <v>دستگاه ساب</v>
          </cell>
          <cell r="C759" t="str">
            <v>قطعه تعمیری</v>
          </cell>
          <cell r="N759" t="str">
            <v>وایر</v>
          </cell>
          <cell r="AC759" t="str">
            <v>1405/02/30</v>
          </cell>
        </row>
        <row r="760">
          <cell r="B760" t="str">
            <v>پخت کلاچ پراید</v>
          </cell>
          <cell r="C760" t="str">
            <v>قالب تعمیری</v>
          </cell>
          <cell r="N760" t="str">
            <v>وایر</v>
          </cell>
          <cell r="AC760" t="str">
            <v>1405/02/30</v>
          </cell>
        </row>
        <row r="761">
          <cell r="B761" t="str">
            <v>پخت کلاچ پراید</v>
          </cell>
          <cell r="C761" t="str">
            <v>قالب تعمیری</v>
          </cell>
          <cell r="N761" t="str">
            <v>تراش</v>
          </cell>
          <cell r="AC761" t="str">
            <v>1405/02/30</v>
          </cell>
        </row>
        <row r="762">
          <cell r="B762" t="str">
            <v>سینی نهار خوری</v>
          </cell>
          <cell r="C762" t="str">
            <v>قطعه نو</v>
          </cell>
          <cell r="N762" t="str">
            <v>تراش</v>
          </cell>
          <cell r="AC762" t="str">
            <v>1405/02/30</v>
          </cell>
        </row>
        <row r="763">
          <cell r="B763" t="str">
            <v>برش جمعی عقب ریو</v>
          </cell>
          <cell r="C763" t="str">
            <v>قطعه نو</v>
          </cell>
          <cell r="N763" t="str">
            <v>مونتاژ</v>
          </cell>
          <cell r="AC763" t="str">
            <v>1405/02/30</v>
          </cell>
        </row>
        <row r="764">
          <cell r="B764" t="str">
            <v>قالب پراید خاردار</v>
          </cell>
          <cell r="C764" t="str">
            <v>قالب تعمیری</v>
          </cell>
          <cell r="N764" t="str">
            <v>مونتاژ</v>
          </cell>
          <cell r="AC764" t="str">
            <v>1405/02/30</v>
          </cell>
        </row>
        <row r="765">
          <cell r="B765" t="str">
            <v>دستگاه پشم فلز چینی</v>
          </cell>
          <cell r="C765" t="str">
            <v>قطعه نو</v>
          </cell>
          <cell r="N765" t="str">
            <v>اره لنگ</v>
          </cell>
          <cell r="AC765" t="str">
            <v>1405/02/30</v>
          </cell>
        </row>
        <row r="766">
          <cell r="B766" t="str">
            <v>پخت کلاچ پراید</v>
          </cell>
          <cell r="C766" t="str">
            <v>قالب تعمیری</v>
          </cell>
          <cell r="N766" t="str">
            <v>اره لنگ</v>
          </cell>
          <cell r="AC766" t="str">
            <v>1405/02/30</v>
          </cell>
        </row>
        <row r="767">
          <cell r="B767" t="str">
            <v>پخت کلاچ پراید</v>
          </cell>
          <cell r="C767" t="str">
            <v>قالب تعمیری</v>
          </cell>
          <cell r="N767" t="str">
            <v>مونتاژ</v>
          </cell>
          <cell r="AC767" t="str">
            <v>1405/02/30</v>
          </cell>
        </row>
        <row r="768">
          <cell r="B768" t="str">
            <v>دستگاه پشم فلز چینی</v>
          </cell>
          <cell r="C768" t="str">
            <v>قطعه نو</v>
          </cell>
          <cell r="N768" t="str">
            <v>تراش</v>
          </cell>
          <cell r="AC768" t="str">
            <v>1405/02/30</v>
          </cell>
        </row>
        <row r="769">
          <cell r="B769" t="str">
            <v>دستگاه پشم فلز چینی</v>
          </cell>
          <cell r="C769" t="str">
            <v>قطعه نو</v>
          </cell>
          <cell r="N769" t="str">
            <v>تراش</v>
          </cell>
          <cell r="AC769" t="str">
            <v>1405/02/30</v>
          </cell>
        </row>
        <row r="770">
          <cell r="B770" t="str">
            <v>بمبوری</v>
          </cell>
          <cell r="C770" t="str">
            <v>قطعه تعمیری</v>
          </cell>
          <cell r="N770" t="str">
            <v>فرز</v>
          </cell>
          <cell r="AC770" t="str">
            <v>1405/02/31</v>
          </cell>
        </row>
        <row r="771">
          <cell r="B771" t="str">
            <v>Hammer Mill Machine</v>
          </cell>
          <cell r="C771" t="str">
            <v>دستگاه نو</v>
          </cell>
          <cell r="N771" t="str">
            <v>فرز</v>
          </cell>
          <cell r="AC771" t="str">
            <v>1405/02/31</v>
          </cell>
        </row>
        <row r="772">
          <cell r="B772" t="str">
            <v>پخت کلاچ پراید</v>
          </cell>
          <cell r="C772" t="str">
            <v>قالب تعمیری</v>
          </cell>
          <cell r="N772" t="str">
            <v>وایر</v>
          </cell>
          <cell r="AC772" t="str">
            <v>1405/02/31</v>
          </cell>
        </row>
        <row r="773">
          <cell r="B773" t="str">
            <v>برش قطاری</v>
          </cell>
          <cell r="C773" t="str">
            <v>قالب تعمیری</v>
          </cell>
          <cell r="N773" t="str">
            <v>وایر</v>
          </cell>
          <cell r="AC773" t="str">
            <v>1405/02/31</v>
          </cell>
        </row>
        <row r="774">
          <cell r="B774" t="str">
            <v>قالب پخت کلاچ پیکان آرژانتینی</v>
          </cell>
          <cell r="C774" t="str">
            <v>قالب تعمیری</v>
          </cell>
          <cell r="N774" t="str">
            <v>وایر</v>
          </cell>
          <cell r="AC774" t="str">
            <v>1405/02/31</v>
          </cell>
        </row>
        <row r="775">
          <cell r="B775" t="str">
            <v>پخت کلاچ پراید</v>
          </cell>
          <cell r="C775" t="str">
            <v>قالب تعمیری</v>
          </cell>
          <cell r="N775" t="str">
            <v>وایر</v>
          </cell>
          <cell r="AC775" t="str">
            <v>1405/02/31</v>
          </cell>
        </row>
        <row r="776">
          <cell r="B776" t="str">
            <v>Hammer Mill Machine</v>
          </cell>
          <cell r="C776" t="str">
            <v>دستگاه نو</v>
          </cell>
          <cell r="N776" t="str">
            <v>وایر</v>
          </cell>
          <cell r="AC776" t="str">
            <v>1405/02/31</v>
          </cell>
        </row>
        <row r="777">
          <cell r="B777" t="str">
            <v>دستگاه ساب</v>
          </cell>
          <cell r="C777" t="str">
            <v>قطعه تعمیری</v>
          </cell>
          <cell r="N777" t="str">
            <v>وایر</v>
          </cell>
          <cell r="AC777" t="str">
            <v>1405/02/31</v>
          </cell>
        </row>
        <row r="778">
          <cell r="B778" t="str">
            <v>ویوینگ</v>
          </cell>
          <cell r="C778" t="str">
            <v>قطعه تعمیری</v>
          </cell>
          <cell r="N778" t="str">
            <v>وایر</v>
          </cell>
          <cell r="AC778" t="str">
            <v>1405/02/31</v>
          </cell>
        </row>
        <row r="779">
          <cell r="B779" t="str">
            <v>قالب پخت کلاچ پیکان</v>
          </cell>
          <cell r="C779" t="str">
            <v>قالب تعمیری</v>
          </cell>
          <cell r="N779" t="str">
            <v>تراش</v>
          </cell>
          <cell r="AC779" t="str">
            <v>1405/02/31</v>
          </cell>
        </row>
        <row r="780">
          <cell r="B780" t="str">
            <v>اصول 5S</v>
          </cell>
          <cell r="C780" t="str">
            <v>نظافت</v>
          </cell>
          <cell r="N780" t="str">
            <v>نظافت</v>
          </cell>
          <cell r="AC780" t="str">
            <v>1405/02/31</v>
          </cell>
        </row>
        <row r="781">
          <cell r="B781" t="str">
            <v>Hammer Mill Machine</v>
          </cell>
          <cell r="C781" t="str">
            <v>دستگاه نو</v>
          </cell>
          <cell r="N781" t="str">
            <v>سنگ زنی</v>
          </cell>
          <cell r="AC781" t="str">
            <v>1405/02/31</v>
          </cell>
        </row>
        <row r="782">
          <cell r="B782" t="str">
            <v>اصول 5S</v>
          </cell>
          <cell r="C782" t="str">
            <v>نظافت</v>
          </cell>
          <cell r="N782" t="str">
            <v>نظافت</v>
          </cell>
          <cell r="AC782" t="str">
            <v>1405/02/31</v>
          </cell>
        </row>
        <row r="783">
          <cell r="B783" t="str">
            <v xml:space="preserve">عقب پژو 405 </v>
          </cell>
          <cell r="C783" t="str">
            <v>قالب تعمیری</v>
          </cell>
          <cell r="N783" t="str">
            <v>مونتاژ</v>
          </cell>
          <cell r="AC783" t="str">
            <v>1405/02/31</v>
          </cell>
        </row>
        <row r="784">
          <cell r="B784" t="str">
            <v>قالب پراید خاردار</v>
          </cell>
          <cell r="C784" t="str">
            <v>قالب تعمیری</v>
          </cell>
          <cell r="N784" t="str">
            <v>مونتاژ</v>
          </cell>
          <cell r="AC784" t="str">
            <v>1405/02/31</v>
          </cell>
        </row>
        <row r="785">
          <cell r="B785" t="str">
            <v>اصول 5S</v>
          </cell>
          <cell r="C785" t="str">
            <v>نظافت</v>
          </cell>
          <cell r="N785" t="str">
            <v>نظافت</v>
          </cell>
          <cell r="AC785" t="str">
            <v>1405/02/31</v>
          </cell>
        </row>
        <row r="786">
          <cell r="B786" t="str">
            <v>قالب عقب F12</v>
          </cell>
          <cell r="C786" t="str">
            <v>قالب نو</v>
          </cell>
          <cell r="N786" t="str">
            <v>فرز</v>
          </cell>
          <cell r="AC786" t="str">
            <v>1405/02/31</v>
          </cell>
        </row>
        <row r="787">
          <cell r="B787" t="str">
            <v>اصول 5S</v>
          </cell>
          <cell r="C787" t="str">
            <v>نظافت</v>
          </cell>
          <cell r="N787" t="str">
            <v>نظافت</v>
          </cell>
          <cell r="AC787" t="str">
            <v>1405/02/31</v>
          </cell>
        </row>
        <row r="788">
          <cell r="B788" t="str">
            <v>ویوینگ</v>
          </cell>
          <cell r="C788" t="str">
            <v>قطعه نو</v>
          </cell>
          <cell r="N788" t="str">
            <v>تراش</v>
          </cell>
          <cell r="AC788" t="str">
            <v>1405/02/31</v>
          </cell>
        </row>
        <row r="789">
          <cell r="B789" t="str">
            <v>ساب کونیک</v>
          </cell>
          <cell r="C789" t="str">
            <v>قطعه نو</v>
          </cell>
          <cell r="N789" t="str">
            <v>تراش</v>
          </cell>
          <cell r="AC789" t="str">
            <v>1405/02/31</v>
          </cell>
        </row>
        <row r="790">
          <cell r="B790" t="str">
            <v>پخت کلاچ پراید</v>
          </cell>
          <cell r="C790" t="str">
            <v>قالب تعمیری</v>
          </cell>
          <cell r="N790" t="str">
            <v>تراش</v>
          </cell>
          <cell r="AC790" t="str">
            <v>1405/02/31</v>
          </cell>
        </row>
        <row r="791">
          <cell r="B791" t="str">
            <v>قالب پخت کلاچ پیکان</v>
          </cell>
          <cell r="C791" t="str">
            <v>قالب تعمیری</v>
          </cell>
          <cell r="N791" t="str">
            <v>CNC</v>
          </cell>
          <cell r="AC791" t="str">
            <v>1405/02/31</v>
          </cell>
        </row>
        <row r="792">
          <cell r="B792" t="str">
            <v>قالب پخت کلاچ پژو 405</v>
          </cell>
          <cell r="C792" t="str">
            <v>قالب تعمیری</v>
          </cell>
          <cell r="N792" t="str">
            <v>CNC</v>
          </cell>
          <cell r="AC792" t="str">
            <v>1405/02/31</v>
          </cell>
        </row>
        <row r="793">
          <cell r="B793" t="str">
            <v>Hammer Mill Machine</v>
          </cell>
          <cell r="C793" t="str">
            <v>دستگاه نو</v>
          </cell>
          <cell r="N793" t="str">
            <v>CNC</v>
          </cell>
          <cell r="AC793" t="str">
            <v>1405/02/31</v>
          </cell>
        </row>
        <row r="794">
          <cell r="B794" t="str">
            <v>آغشته کاری</v>
          </cell>
          <cell r="C794" t="str">
            <v>قطعه تعمیری</v>
          </cell>
          <cell r="N794" t="str">
            <v>دریل رادیال</v>
          </cell>
          <cell r="AC794" t="str">
            <v>1405/02/29</v>
          </cell>
        </row>
        <row r="795">
          <cell r="B795" t="str">
            <v>قالب پراید خاردار</v>
          </cell>
          <cell r="C795" t="str">
            <v>قالب تعمیری</v>
          </cell>
          <cell r="N795" t="str">
            <v>مونتاژ</v>
          </cell>
          <cell r="AC795" t="str">
            <v>1405/02/29</v>
          </cell>
        </row>
        <row r="796">
          <cell r="B796" t="str">
            <v>اصول 5S</v>
          </cell>
          <cell r="C796" t="str">
            <v>نظافت</v>
          </cell>
          <cell r="N796" t="str">
            <v>نظافت</v>
          </cell>
          <cell r="AC796" t="str">
            <v>1405/02/31</v>
          </cell>
        </row>
        <row r="797">
          <cell r="B797" t="str">
            <v>لودری 29935</v>
          </cell>
          <cell r="C797" t="str">
            <v>قالب تعمیری</v>
          </cell>
          <cell r="N797" t="str">
            <v>مونتاژ</v>
          </cell>
          <cell r="AC797" t="str">
            <v>1405/02/29</v>
          </cell>
        </row>
        <row r="798">
          <cell r="B798" t="str">
            <v>قالب پراید خاردار</v>
          </cell>
          <cell r="C798" t="str">
            <v>قالب تعمیری</v>
          </cell>
          <cell r="N798" t="str">
            <v>مونتاژ</v>
          </cell>
          <cell r="AC798" t="str">
            <v>1405/02/31</v>
          </cell>
        </row>
        <row r="799">
          <cell r="B799" t="str">
            <v>قالب پژو 405 دیسکی</v>
          </cell>
          <cell r="C799" t="str">
            <v>قالب تعمیری</v>
          </cell>
          <cell r="N799" t="str">
            <v>مونتاژ</v>
          </cell>
          <cell r="AC799" t="str">
            <v>1405/02/31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/>
      <sheetData sheetId="1"/>
      <sheetData sheetId="2">
        <row r="4">
          <cell r="B4" t="str">
            <v>شابلون پژو 405 دیسکی</v>
          </cell>
          <cell r="C4" t="str">
            <v>قطعه تعمیری</v>
          </cell>
          <cell r="N4" t="str">
            <v>تراش</v>
          </cell>
          <cell r="AC4" t="str">
            <v>1405/03/02</v>
          </cell>
        </row>
        <row r="5">
          <cell r="B5" t="str">
            <v>برش جمعی عقب ریو</v>
          </cell>
          <cell r="C5" t="str">
            <v>قطعه نو</v>
          </cell>
          <cell r="N5" t="str">
            <v>تراش</v>
          </cell>
          <cell r="AC5" t="str">
            <v>1405/03/02</v>
          </cell>
        </row>
        <row r="6">
          <cell r="B6" t="str">
            <v>دستگاه پرس 600 تن</v>
          </cell>
          <cell r="C6" t="str">
            <v>قطعه تعمیری</v>
          </cell>
          <cell r="N6" t="str">
            <v>تراش</v>
          </cell>
          <cell r="AC6" t="str">
            <v>1405/03/02</v>
          </cell>
        </row>
        <row r="7">
          <cell r="B7" t="str">
            <v>Hammer Mill Machine</v>
          </cell>
          <cell r="C7" t="str">
            <v>دستگاه نو</v>
          </cell>
          <cell r="N7" t="str">
            <v>فرز</v>
          </cell>
          <cell r="AC7" t="str">
            <v>1405/03/01</v>
          </cell>
        </row>
        <row r="8">
          <cell r="B8" t="str">
            <v>Hammer Mill Machine</v>
          </cell>
          <cell r="C8" t="str">
            <v>دستگاه نو</v>
          </cell>
          <cell r="N8" t="str">
            <v>فرز</v>
          </cell>
          <cell r="AC8" t="str">
            <v>1405/03/02</v>
          </cell>
        </row>
        <row r="9">
          <cell r="B9" t="str">
            <v>برش جمعی عقب ریو</v>
          </cell>
          <cell r="C9" t="str">
            <v>قطعه نو</v>
          </cell>
          <cell r="N9" t="str">
            <v>فرز</v>
          </cell>
          <cell r="AC9" t="str">
            <v>1405/03/02</v>
          </cell>
        </row>
        <row r="10">
          <cell r="B10" t="str">
            <v>بمبوری</v>
          </cell>
          <cell r="C10" t="str">
            <v>قطعه تعمیری</v>
          </cell>
          <cell r="N10" t="str">
            <v>فرز</v>
          </cell>
          <cell r="AC10" t="str">
            <v>1405/03/02</v>
          </cell>
        </row>
        <row r="11">
          <cell r="B11" t="str">
            <v>Hammer Mill Machine</v>
          </cell>
          <cell r="C11" t="str">
            <v>دستگاه نو</v>
          </cell>
          <cell r="N11" t="str">
            <v>وایر</v>
          </cell>
          <cell r="AC11" t="str">
            <v>1405/03/01</v>
          </cell>
        </row>
        <row r="12">
          <cell r="B12" t="str">
            <v>Hammer Mill Machine</v>
          </cell>
          <cell r="C12" t="str">
            <v>دستگاه نو</v>
          </cell>
          <cell r="N12" t="str">
            <v>وایر</v>
          </cell>
          <cell r="AC12" t="str">
            <v>1405/03/01</v>
          </cell>
        </row>
        <row r="13">
          <cell r="B13" t="str">
            <v>قالب پژو 405 دیسکی</v>
          </cell>
          <cell r="C13" t="str">
            <v>قالب تعمیری</v>
          </cell>
          <cell r="N13" t="str">
            <v>وایر</v>
          </cell>
          <cell r="AC13" t="str">
            <v>1405/03/01</v>
          </cell>
        </row>
        <row r="14">
          <cell r="B14" t="str">
            <v>Hammer Mill Machine</v>
          </cell>
          <cell r="C14" t="str">
            <v>دستگاه نو</v>
          </cell>
          <cell r="N14" t="str">
            <v>وایر</v>
          </cell>
          <cell r="AC14" t="str">
            <v>1405/03/01</v>
          </cell>
        </row>
        <row r="15">
          <cell r="B15" t="str">
            <v>قالب پخت کلاچ پیکان آرژانتینی</v>
          </cell>
          <cell r="C15" t="str">
            <v>قالب تعمیری</v>
          </cell>
          <cell r="N15" t="str">
            <v>وایر</v>
          </cell>
          <cell r="AC15" t="str">
            <v>1405/03/01</v>
          </cell>
        </row>
        <row r="16">
          <cell r="B16" t="str">
            <v>Hammer Mill Machine</v>
          </cell>
          <cell r="C16" t="str">
            <v>دستگاه نو</v>
          </cell>
          <cell r="N16" t="str">
            <v>وایر</v>
          </cell>
          <cell r="AC16" t="str">
            <v>1405/03/02</v>
          </cell>
        </row>
        <row r="17">
          <cell r="B17" t="str">
            <v>قالب پخت کلاچ پیکان آرژانتینی</v>
          </cell>
          <cell r="C17" t="str">
            <v>قالب تعمیری</v>
          </cell>
          <cell r="N17" t="str">
            <v>وایر</v>
          </cell>
          <cell r="AC17" t="str">
            <v>1405/03/02</v>
          </cell>
        </row>
        <row r="18">
          <cell r="B18" t="str">
            <v>قالب پژو 405 دیسکی</v>
          </cell>
          <cell r="C18" t="str">
            <v>قالب تعمیری</v>
          </cell>
          <cell r="N18" t="str">
            <v>وایر</v>
          </cell>
          <cell r="AC18" t="str">
            <v>1405/03/02</v>
          </cell>
        </row>
        <row r="19">
          <cell r="B19" t="str">
            <v>Hammer Mill Machine</v>
          </cell>
          <cell r="C19" t="str">
            <v>دستگاه نو</v>
          </cell>
          <cell r="N19" t="str">
            <v>وایر</v>
          </cell>
          <cell r="AC19" t="str">
            <v>1405/03/02</v>
          </cell>
        </row>
        <row r="20">
          <cell r="B20" t="str">
            <v>قالب پژو 405 دیسکی</v>
          </cell>
          <cell r="C20" t="str">
            <v>قالب تعمیری</v>
          </cell>
          <cell r="N20" t="str">
            <v>وایر</v>
          </cell>
          <cell r="AC20" t="str">
            <v>1405/03/02</v>
          </cell>
        </row>
        <row r="21">
          <cell r="B21" t="str">
            <v>لیفتراک</v>
          </cell>
          <cell r="C21" t="str">
            <v>قطعه تعمیری</v>
          </cell>
          <cell r="N21" t="str">
            <v>تراش</v>
          </cell>
          <cell r="AC21" t="str">
            <v>1405/03/02</v>
          </cell>
        </row>
        <row r="22">
          <cell r="B22" t="str">
            <v>برش جمعی عقب ریو</v>
          </cell>
          <cell r="C22" t="str">
            <v>قطعه نو</v>
          </cell>
          <cell r="N22" t="str">
            <v>تراش</v>
          </cell>
          <cell r="AC22" t="str">
            <v>1405/03/02</v>
          </cell>
        </row>
        <row r="23">
          <cell r="B23" t="str">
            <v>قالب پخت کلاچ پیکان آرژانتینی</v>
          </cell>
          <cell r="C23" t="str">
            <v>قالب تعمیری</v>
          </cell>
          <cell r="N23" t="str">
            <v>تراش</v>
          </cell>
          <cell r="AC23" t="str">
            <v>1405/03/02</v>
          </cell>
        </row>
        <row r="24">
          <cell r="B24" t="str">
            <v>Hammer Mill Machine</v>
          </cell>
          <cell r="C24" t="str">
            <v>دستگاه نو</v>
          </cell>
          <cell r="N24" t="str">
            <v>سنگ زنی</v>
          </cell>
          <cell r="AC24" t="str">
            <v>1405/03/01</v>
          </cell>
        </row>
        <row r="25">
          <cell r="B25" t="str">
            <v>پخت کلاچ پراید</v>
          </cell>
          <cell r="C25" t="str">
            <v>قالب تعمیری</v>
          </cell>
          <cell r="N25" t="str">
            <v>سنگ زنی</v>
          </cell>
          <cell r="AC25" t="str">
            <v>1405/03/02</v>
          </cell>
        </row>
        <row r="26">
          <cell r="B26" t="str">
            <v>قالب لودری 70028</v>
          </cell>
          <cell r="C26" t="str">
            <v>قالب تعمیری</v>
          </cell>
          <cell r="N26" t="str">
            <v>سنگ زنی</v>
          </cell>
          <cell r="AC26" t="str">
            <v>1405/03/02</v>
          </cell>
        </row>
        <row r="27">
          <cell r="B27" t="str">
            <v>قالب پخت کلاچ پیکان آرژانتینی</v>
          </cell>
          <cell r="C27" t="str">
            <v>قالب تعمیری</v>
          </cell>
          <cell r="N27" t="str">
            <v>مونتاژ</v>
          </cell>
          <cell r="AC27" t="str">
            <v>1405/03/01</v>
          </cell>
        </row>
        <row r="28">
          <cell r="B28" t="str">
            <v>قالب شمشی عقب ریو</v>
          </cell>
          <cell r="C28" t="str">
            <v>قالب نو</v>
          </cell>
          <cell r="N28" t="str">
            <v>مونتاژ</v>
          </cell>
          <cell r="AC28" t="str">
            <v>1405/03/02</v>
          </cell>
        </row>
        <row r="29">
          <cell r="B29" t="str">
            <v>قالب پراید خاردار</v>
          </cell>
          <cell r="C29" t="str">
            <v>قالب تعمیری</v>
          </cell>
          <cell r="N29" t="str">
            <v>مونتاژ</v>
          </cell>
          <cell r="AC29" t="str">
            <v>1405/03/02</v>
          </cell>
        </row>
        <row r="30">
          <cell r="B30" t="str">
            <v>قالب عقب F12</v>
          </cell>
          <cell r="C30" t="str">
            <v>قالب نو</v>
          </cell>
          <cell r="N30" t="str">
            <v>فرز</v>
          </cell>
          <cell r="AC30" t="str">
            <v>1405/03/02</v>
          </cell>
        </row>
        <row r="31">
          <cell r="B31" t="str">
            <v>ساب کونیک</v>
          </cell>
          <cell r="C31" t="str">
            <v>قطعه نو</v>
          </cell>
          <cell r="N31" t="str">
            <v>مونتاژ</v>
          </cell>
          <cell r="AC31" t="str">
            <v>1405/03/01</v>
          </cell>
        </row>
        <row r="32">
          <cell r="B32" t="str">
            <v>ساب کونیک</v>
          </cell>
          <cell r="C32" t="str">
            <v>قطعه نو</v>
          </cell>
          <cell r="N32" t="str">
            <v>مونتاژ</v>
          </cell>
          <cell r="AC32" t="str">
            <v>1405/03/02</v>
          </cell>
        </row>
        <row r="33">
          <cell r="B33" t="str">
            <v>برش جمعی عقب ریو</v>
          </cell>
          <cell r="C33" t="str">
            <v>قطعه نو</v>
          </cell>
          <cell r="N33" t="str">
            <v>تراش</v>
          </cell>
          <cell r="AC33" t="str">
            <v>1405/03/01</v>
          </cell>
        </row>
        <row r="34">
          <cell r="B34" t="str">
            <v>بمبوری</v>
          </cell>
          <cell r="C34" t="str">
            <v>قطعه تعمیری</v>
          </cell>
          <cell r="N34" t="str">
            <v>تراش</v>
          </cell>
          <cell r="AC34" t="str">
            <v>1405/03/01</v>
          </cell>
        </row>
        <row r="35">
          <cell r="B35" t="str">
            <v>بمبوری</v>
          </cell>
          <cell r="C35" t="str">
            <v>قطعه تعمیری</v>
          </cell>
          <cell r="N35" t="str">
            <v>تراش</v>
          </cell>
          <cell r="AC35" t="str">
            <v>1405/03/02</v>
          </cell>
        </row>
        <row r="36">
          <cell r="B36" t="str">
            <v>ساب سمباده ای</v>
          </cell>
          <cell r="C36" t="str">
            <v>قطعه تعمیری</v>
          </cell>
          <cell r="N36" t="str">
            <v>تراش</v>
          </cell>
          <cell r="AC36" t="str">
            <v>1405/03/02</v>
          </cell>
        </row>
        <row r="37">
          <cell r="B37" t="str">
            <v>ساب سمباده ای</v>
          </cell>
          <cell r="C37" t="str">
            <v>قطعه تعمیری</v>
          </cell>
          <cell r="N37" t="str">
            <v>تراش</v>
          </cell>
          <cell r="AC37" t="str">
            <v>1405/03/02</v>
          </cell>
        </row>
        <row r="38">
          <cell r="B38" t="str">
            <v>برش جمعی عقب ریو</v>
          </cell>
          <cell r="C38" t="str">
            <v>قطعه نو</v>
          </cell>
          <cell r="N38" t="str">
            <v>مونتاژ</v>
          </cell>
          <cell r="AC38" t="str">
            <v>1405/03/02</v>
          </cell>
        </row>
        <row r="39">
          <cell r="B39" t="str">
            <v>قالب پخت کلاچ پژو 405</v>
          </cell>
          <cell r="C39" t="str">
            <v>قالب تعمیری</v>
          </cell>
          <cell r="N39" t="str">
            <v>CNC</v>
          </cell>
          <cell r="AC39" t="str">
            <v>1405/03/02</v>
          </cell>
        </row>
        <row r="40">
          <cell r="B40" t="str">
            <v>قالب پخت کلاچ پژو 405</v>
          </cell>
          <cell r="C40" t="str">
            <v>قالب تعمیری</v>
          </cell>
          <cell r="N40" t="str">
            <v>CNC</v>
          </cell>
          <cell r="AC40" t="str">
            <v>1405/03/01</v>
          </cell>
        </row>
        <row r="41">
          <cell r="B41" t="str">
            <v>قالب پخت کلاچ پژو 405</v>
          </cell>
          <cell r="C41" t="str">
            <v>قالب تعمیری</v>
          </cell>
          <cell r="N41" t="str">
            <v>CNC</v>
          </cell>
          <cell r="AC41" t="str">
            <v>1405/03/02</v>
          </cell>
        </row>
        <row r="42">
          <cell r="B42" t="str">
            <v>Hammer Mill Machine</v>
          </cell>
          <cell r="C42" t="str">
            <v>دستگاه نو</v>
          </cell>
          <cell r="N42" t="str">
            <v>CNC</v>
          </cell>
          <cell r="AC42" t="str">
            <v>1405/03/01</v>
          </cell>
        </row>
        <row r="43">
          <cell r="B43" t="str">
            <v>Hammer Mill Machine</v>
          </cell>
          <cell r="C43" t="str">
            <v>دستگاه نو</v>
          </cell>
          <cell r="N43" t="str">
            <v>CNC</v>
          </cell>
          <cell r="AC43" t="str">
            <v>1405/03/02</v>
          </cell>
        </row>
        <row r="44">
          <cell r="B44" t="str">
            <v>ساب کونیک</v>
          </cell>
          <cell r="C44" t="str">
            <v>قطعه نو</v>
          </cell>
          <cell r="N44" t="str">
            <v>دریل رادیال</v>
          </cell>
          <cell r="AC44" t="str">
            <v>1405/03/01</v>
          </cell>
        </row>
        <row r="45">
          <cell r="B45" t="str">
            <v>قالب پخت کلاچ پیکان آرژانتینی</v>
          </cell>
          <cell r="C45" t="str">
            <v>قالب تعمیری</v>
          </cell>
          <cell r="N45" t="str">
            <v>مونتاژ</v>
          </cell>
          <cell r="AC45" t="str">
            <v>1405/03/01</v>
          </cell>
        </row>
        <row r="46">
          <cell r="B46" t="str">
            <v>قالب شمشی عقب ریو</v>
          </cell>
          <cell r="C46" t="str">
            <v>قالب نو</v>
          </cell>
          <cell r="N46" t="str">
            <v>مونتاژ</v>
          </cell>
          <cell r="AC46" t="str">
            <v>1405/03/02</v>
          </cell>
        </row>
        <row r="47">
          <cell r="B47" t="str">
            <v>قالب پراید خاردار</v>
          </cell>
          <cell r="C47" t="str">
            <v>قالب تعمیری</v>
          </cell>
          <cell r="N47" t="str">
            <v>مونتاژ</v>
          </cell>
          <cell r="AC47" t="str">
            <v>1405/03/02</v>
          </cell>
        </row>
        <row r="48">
          <cell r="B48" t="str">
            <v>دستگاه پشم فلز چینی</v>
          </cell>
          <cell r="C48" t="str">
            <v>قطعه نو</v>
          </cell>
          <cell r="N48" t="str">
            <v>تراش</v>
          </cell>
          <cell r="AC48" t="str">
            <v>1405/03/03</v>
          </cell>
        </row>
        <row r="49">
          <cell r="B49" t="str">
            <v>قالب عقب F12</v>
          </cell>
          <cell r="C49" t="str">
            <v>قالب نو</v>
          </cell>
          <cell r="N49" t="str">
            <v>فرز</v>
          </cell>
          <cell r="AC49" t="str">
            <v>1405/03/03</v>
          </cell>
        </row>
        <row r="50">
          <cell r="B50" t="str">
            <v>دستگاه پرس 600 تن</v>
          </cell>
          <cell r="C50" t="str">
            <v>قطعه تعمیری</v>
          </cell>
          <cell r="N50" t="str">
            <v>تراش</v>
          </cell>
          <cell r="AC50" t="str">
            <v>1405/03/03</v>
          </cell>
        </row>
        <row r="51">
          <cell r="B51" t="str">
            <v>قالب لودری 70028</v>
          </cell>
          <cell r="C51" t="str">
            <v>قالب تعمیری</v>
          </cell>
          <cell r="N51" t="str">
            <v>سنگ زنی</v>
          </cell>
          <cell r="AC51" t="str">
            <v>1405/03/03</v>
          </cell>
        </row>
        <row r="52">
          <cell r="B52" t="str">
            <v>قالب پخت کلاچ پژو 405</v>
          </cell>
          <cell r="C52" t="str">
            <v>قالب تعمیری</v>
          </cell>
          <cell r="N52" t="str">
            <v>سنگ زنی</v>
          </cell>
          <cell r="AC52" t="str">
            <v>1405/03/03</v>
          </cell>
        </row>
        <row r="53">
          <cell r="B53" t="str">
            <v>Hammer Mill Machine</v>
          </cell>
          <cell r="C53" t="str">
            <v>دستگاه نو</v>
          </cell>
          <cell r="N53" t="str">
            <v>تراش</v>
          </cell>
          <cell r="AC53" t="str">
            <v>1405/03/03</v>
          </cell>
        </row>
        <row r="54">
          <cell r="B54" t="str">
            <v>قالب شمشی عقب ریو</v>
          </cell>
          <cell r="C54" t="str">
            <v>قالب نو</v>
          </cell>
          <cell r="N54" t="str">
            <v>CNC</v>
          </cell>
          <cell r="AC54" t="str">
            <v>1405/03/03</v>
          </cell>
        </row>
        <row r="55">
          <cell r="B55" t="str">
            <v>Hammer Mill Machine</v>
          </cell>
          <cell r="C55" t="str">
            <v>دستگاه نو</v>
          </cell>
          <cell r="N55" t="str">
            <v>CNC</v>
          </cell>
          <cell r="AC55" t="str">
            <v>1405/03/03</v>
          </cell>
        </row>
        <row r="56">
          <cell r="B56" t="str">
            <v>ویوینگ</v>
          </cell>
          <cell r="C56" t="str">
            <v>قطعه تعمیری</v>
          </cell>
          <cell r="N56" t="str">
            <v>تراش</v>
          </cell>
          <cell r="AC56" t="str">
            <v>1405/03/03</v>
          </cell>
        </row>
        <row r="57">
          <cell r="B57" t="str">
            <v>سری نقطه جوش</v>
          </cell>
          <cell r="C57" t="str">
            <v>قطعه تعمیری</v>
          </cell>
          <cell r="N57" t="str">
            <v>تراش</v>
          </cell>
          <cell r="AC57" t="str">
            <v>1405/03/03</v>
          </cell>
        </row>
        <row r="58">
          <cell r="B58" t="str">
            <v>پخت کلاچ 911 دور بزرگ</v>
          </cell>
          <cell r="C58" t="str">
            <v>قالب تعمیری</v>
          </cell>
          <cell r="N58" t="str">
            <v>تراش</v>
          </cell>
          <cell r="AC58" t="str">
            <v>1405/03/03</v>
          </cell>
        </row>
        <row r="59">
          <cell r="B59" t="str">
            <v>بمبوری</v>
          </cell>
          <cell r="C59" t="str">
            <v>قطعه تعمیری</v>
          </cell>
          <cell r="N59" t="str">
            <v>تراش</v>
          </cell>
          <cell r="AC59" t="str">
            <v>1405/03/03</v>
          </cell>
        </row>
        <row r="60">
          <cell r="B60" t="str">
            <v>قالب پراید خاردار</v>
          </cell>
          <cell r="C60" t="str">
            <v>قالب تعمیری</v>
          </cell>
          <cell r="N60" t="str">
            <v>تراش</v>
          </cell>
          <cell r="AC60" t="str">
            <v>1405/03/03</v>
          </cell>
        </row>
        <row r="61">
          <cell r="B61" t="str">
            <v>قالب پخت کلاچ پژو 405</v>
          </cell>
          <cell r="C61" t="str">
            <v>قالب تعمیری</v>
          </cell>
          <cell r="N61" t="str">
            <v>تراش</v>
          </cell>
          <cell r="AC61" t="str">
            <v>1405/03/03</v>
          </cell>
        </row>
        <row r="62">
          <cell r="B62" t="str">
            <v>ویوینگ</v>
          </cell>
          <cell r="C62" t="str">
            <v>قطعه تعمیری</v>
          </cell>
          <cell r="N62" t="str">
            <v>وایر</v>
          </cell>
          <cell r="AC62" t="str">
            <v>1405/03/03</v>
          </cell>
        </row>
        <row r="63">
          <cell r="B63" t="str">
            <v>قالب پراید خاردار</v>
          </cell>
          <cell r="C63" t="str">
            <v>قالب تعمیری</v>
          </cell>
          <cell r="N63" t="str">
            <v>وایر</v>
          </cell>
          <cell r="AC63" t="str">
            <v>1405/03/03</v>
          </cell>
        </row>
        <row r="64">
          <cell r="B64" t="str">
            <v>Hammer Mill Machine</v>
          </cell>
          <cell r="C64" t="str">
            <v>دستگاه نو</v>
          </cell>
          <cell r="N64" t="str">
            <v>وایر</v>
          </cell>
          <cell r="AC64" t="str">
            <v>1405/03/03</v>
          </cell>
        </row>
        <row r="65">
          <cell r="B65" t="str">
            <v>قالب پژو 405 دیسکی</v>
          </cell>
          <cell r="C65" t="str">
            <v>قالب تعمیری</v>
          </cell>
          <cell r="N65" t="str">
            <v>وایر</v>
          </cell>
          <cell r="AC65" t="str">
            <v>1405/03/03</v>
          </cell>
        </row>
        <row r="66">
          <cell r="B66" t="str">
            <v>قالب لودری 70028</v>
          </cell>
          <cell r="C66" t="str">
            <v>قالب تعمیری</v>
          </cell>
          <cell r="N66" t="str">
            <v>مونتاژ</v>
          </cell>
          <cell r="AC66" t="str">
            <v>1405/03/03</v>
          </cell>
        </row>
        <row r="67">
          <cell r="B67" t="str">
            <v>قالب پژو 405 دیسکی</v>
          </cell>
          <cell r="C67" t="str">
            <v>قالب تعمیری</v>
          </cell>
          <cell r="N67" t="str">
            <v>مونتاژ</v>
          </cell>
          <cell r="AC67" t="str">
            <v>1405/03/03</v>
          </cell>
        </row>
        <row r="68">
          <cell r="B68" t="str">
            <v>پخت کلاچ 911 دور بزرگ</v>
          </cell>
          <cell r="C68" t="str">
            <v>قالب تعمیری</v>
          </cell>
          <cell r="N68" t="str">
            <v>اره لنگ</v>
          </cell>
          <cell r="AC68" t="str">
            <v>1405/03/03</v>
          </cell>
        </row>
        <row r="69">
          <cell r="B69" t="str">
            <v>پخت کلاچ 911 دور بزرگ</v>
          </cell>
          <cell r="C69" t="str">
            <v>قالب تعمیری</v>
          </cell>
          <cell r="N69" t="str">
            <v>مونتاژ</v>
          </cell>
          <cell r="AC69" t="str">
            <v>1405/03/03</v>
          </cell>
        </row>
        <row r="70">
          <cell r="B70" t="str">
            <v>قالب نیسان آریا</v>
          </cell>
          <cell r="C70" t="str">
            <v>قالب تعمیری</v>
          </cell>
          <cell r="N70" t="str">
            <v>مونتاژ</v>
          </cell>
          <cell r="AC70" t="str">
            <v>1405/03/03</v>
          </cell>
        </row>
        <row r="71">
          <cell r="B71" t="str">
            <v>قالب پژو 405 دیسکی</v>
          </cell>
          <cell r="C71" t="str">
            <v>قالب تعمیری</v>
          </cell>
          <cell r="N71" t="str">
            <v>مونتاژ</v>
          </cell>
          <cell r="AC71" t="str">
            <v>1405/03/03</v>
          </cell>
        </row>
        <row r="72">
          <cell r="B72" t="str">
            <v>قالب لودری 70028</v>
          </cell>
          <cell r="C72" t="str">
            <v>قالب تعمیری</v>
          </cell>
          <cell r="N72" t="str">
            <v>مونتاژ</v>
          </cell>
          <cell r="AC72" t="str">
            <v>1405/03/03</v>
          </cell>
        </row>
        <row r="73">
          <cell r="B73" t="str">
            <v>قالب پخت کلاچ پژو 405</v>
          </cell>
          <cell r="C73" t="str">
            <v>قالب تعمیری</v>
          </cell>
          <cell r="N73" t="str">
            <v>سنگ زنی</v>
          </cell>
          <cell r="AC73" t="str">
            <v>1405/03/04</v>
          </cell>
        </row>
        <row r="74">
          <cell r="B74" t="str">
            <v>دستگاه پشم فلز چینی</v>
          </cell>
          <cell r="C74" t="str">
            <v>قطعه نو</v>
          </cell>
          <cell r="N74" t="str">
            <v>تراش</v>
          </cell>
          <cell r="AC74" t="str">
            <v>1405/03/04</v>
          </cell>
        </row>
        <row r="75">
          <cell r="B75" t="str">
            <v>قالب عقب F12</v>
          </cell>
          <cell r="C75" t="str">
            <v>قالب نو</v>
          </cell>
          <cell r="N75" t="str">
            <v>فرز</v>
          </cell>
          <cell r="AC75" t="str">
            <v>1405/03/04</v>
          </cell>
        </row>
        <row r="76">
          <cell r="B76" t="str">
            <v>عقب بنز 74</v>
          </cell>
          <cell r="C76" t="str">
            <v>قالب تعمیری</v>
          </cell>
          <cell r="N76" t="str">
            <v>فرز</v>
          </cell>
          <cell r="AC76" t="str">
            <v>1405/03/04</v>
          </cell>
        </row>
        <row r="77">
          <cell r="B77" t="str">
            <v>دستگاه پشم فلز</v>
          </cell>
          <cell r="C77" t="str">
            <v>قطعه تعمیری</v>
          </cell>
          <cell r="N77" t="str">
            <v>تراش</v>
          </cell>
          <cell r="AC77" t="str">
            <v>1405/03/04</v>
          </cell>
        </row>
        <row r="78">
          <cell r="B78" t="str">
            <v>دستگاه پشم فلز</v>
          </cell>
          <cell r="C78" t="str">
            <v>قطعه تعمیری</v>
          </cell>
          <cell r="N78" t="str">
            <v>تراش</v>
          </cell>
          <cell r="AC78" t="str">
            <v>1405/03/04</v>
          </cell>
        </row>
        <row r="79">
          <cell r="B79" t="str">
            <v>قالب پخت کلاچ پژو 405</v>
          </cell>
          <cell r="C79" t="str">
            <v>قالب تعمیری</v>
          </cell>
          <cell r="N79" t="str">
            <v>تراش</v>
          </cell>
          <cell r="AC79" t="str">
            <v>1405/03/04</v>
          </cell>
        </row>
        <row r="80">
          <cell r="B80" t="str">
            <v>دستگاه ساب الماسه</v>
          </cell>
          <cell r="C80" t="str">
            <v>قطعه تعمیری</v>
          </cell>
          <cell r="N80" t="str">
            <v>تراش</v>
          </cell>
          <cell r="AC80" t="str">
            <v>1405/03/04</v>
          </cell>
        </row>
        <row r="81">
          <cell r="B81" t="str">
            <v>قالب پخت کلاچ پیکان آرژانتینی</v>
          </cell>
          <cell r="C81" t="str">
            <v>قالب تعمیری</v>
          </cell>
          <cell r="N81" t="str">
            <v>تراش</v>
          </cell>
          <cell r="AC81" t="str">
            <v>1405/03/04</v>
          </cell>
        </row>
        <row r="82">
          <cell r="B82" t="str">
            <v>بمبوری</v>
          </cell>
          <cell r="C82" t="str">
            <v>قطعه تعمیری</v>
          </cell>
          <cell r="N82" t="str">
            <v>تراش</v>
          </cell>
          <cell r="AC82" t="str">
            <v>1405/03/04</v>
          </cell>
        </row>
        <row r="83">
          <cell r="B83" t="str">
            <v>Hammer Mill Machine</v>
          </cell>
          <cell r="C83" t="str">
            <v>دستگاه نو</v>
          </cell>
          <cell r="N83" t="str">
            <v>مونتاژ</v>
          </cell>
          <cell r="AC83" t="str">
            <v>1405/03/04</v>
          </cell>
        </row>
        <row r="84">
          <cell r="B84" t="str">
            <v>دستگاه پرس 600 تن</v>
          </cell>
          <cell r="C84" t="str">
            <v>قطعه تعمیری</v>
          </cell>
          <cell r="N84" t="str">
            <v>تراش</v>
          </cell>
          <cell r="AC84" t="str">
            <v>1405/03/04</v>
          </cell>
        </row>
        <row r="85">
          <cell r="B85" t="str">
            <v>پین عقب L90 معمولی</v>
          </cell>
          <cell r="C85" t="str">
            <v>قطعه نو</v>
          </cell>
          <cell r="N85" t="str">
            <v>سری تراش</v>
          </cell>
          <cell r="AC85" t="str">
            <v>1405/03/04</v>
          </cell>
        </row>
        <row r="86">
          <cell r="B86" t="str">
            <v>ویوینگ</v>
          </cell>
          <cell r="C86" t="str">
            <v>قطعه تعمیری</v>
          </cell>
          <cell r="N86" t="str">
            <v>وایر</v>
          </cell>
          <cell r="AC86" t="str">
            <v>1405/03/04</v>
          </cell>
        </row>
        <row r="87">
          <cell r="B87" t="str">
            <v>قالب پراید خاردار</v>
          </cell>
          <cell r="C87" t="str">
            <v>قالب تعمیری</v>
          </cell>
          <cell r="N87" t="str">
            <v>وایر</v>
          </cell>
          <cell r="AC87" t="str">
            <v>1405/03/04</v>
          </cell>
        </row>
        <row r="88">
          <cell r="B88" t="str">
            <v>قلم پین L90</v>
          </cell>
          <cell r="C88" t="str">
            <v>قطعه تعمیری</v>
          </cell>
          <cell r="N88" t="str">
            <v>وایر</v>
          </cell>
          <cell r="AC88" t="str">
            <v>1405/03/04</v>
          </cell>
        </row>
        <row r="89">
          <cell r="B89" t="str">
            <v>ابزار زنی</v>
          </cell>
          <cell r="C89" t="str">
            <v>قطعه نو</v>
          </cell>
          <cell r="N89" t="str">
            <v>وایر</v>
          </cell>
          <cell r="AC89" t="str">
            <v>1405/03/04</v>
          </cell>
        </row>
        <row r="90">
          <cell r="B90" t="str">
            <v>قالب پخت کلاچ پیکان آرژانتینی</v>
          </cell>
          <cell r="C90" t="str">
            <v>قالب تعمیری</v>
          </cell>
          <cell r="N90" t="str">
            <v>وایر</v>
          </cell>
          <cell r="AC90" t="str">
            <v>1405/03/04</v>
          </cell>
        </row>
        <row r="91">
          <cell r="B91" t="str">
            <v>ابزار زنی</v>
          </cell>
          <cell r="C91" t="str">
            <v>قطعه نو</v>
          </cell>
          <cell r="N91" t="str">
            <v>وایر</v>
          </cell>
          <cell r="AC91" t="str">
            <v>1405/03/04</v>
          </cell>
        </row>
        <row r="92">
          <cell r="B92" t="str">
            <v>ابزار زنی</v>
          </cell>
          <cell r="C92" t="str">
            <v>قطعه نو</v>
          </cell>
          <cell r="N92" t="str">
            <v>وایر</v>
          </cell>
          <cell r="AC92" t="str">
            <v>1405/03/04</v>
          </cell>
        </row>
        <row r="93">
          <cell r="B93" t="str">
            <v>قالب پخت کلاچ پژو 405</v>
          </cell>
          <cell r="C93" t="str">
            <v>قالب تعمیری</v>
          </cell>
          <cell r="N93" t="str">
            <v>CNC</v>
          </cell>
          <cell r="AC93" t="str">
            <v>1405/03/03</v>
          </cell>
        </row>
        <row r="94">
          <cell r="B94" t="str">
            <v>Hammer Mill Machine</v>
          </cell>
          <cell r="C94" t="str">
            <v>دستگاه نو</v>
          </cell>
          <cell r="N94" t="str">
            <v>CNC</v>
          </cell>
          <cell r="AC94" t="str">
            <v>1405/03/03</v>
          </cell>
        </row>
        <row r="95">
          <cell r="B95" t="str">
            <v>قالب پخت کلاچ پژو 405</v>
          </cell>
          <cell r="C95" t="str">
            <v>قالب تعمیری</v>
          </cell>
          <cell r="N95" t="str">
            <v>CNC</v>
          </cell>
          <cell r="AC95" t="str">
            <v>1405/03/04</v>
          </cell>
        </row>
        <row r="96">
          <cell r="B96" t="str">
            <v>Hammer Mill Machine</v>
          </cell>
          <cell r="C96" t="str">
            <v>دستگاه نو</v>
          </cell>
          <cell r="N96" t="str">
            <v>CNC</v>
          </cell>
          <cell r="AC96" t="str">
            <v>1405/03/04</v>
          </cell>
        </row>
        <row r="97">
          <cell r="B97" t="str">
            <v>قالب لودری 70028</v>
          </cell>
          <cell r="C97" t="str">
            <v>قالب تعمیری</v>
          </cell>
          <cell r="N97" t="str">
            <v>مونتاژ</v>
          </cell>
          <cell r="AC97" t="str">
            <v>1405/03/04</v>
          </cell>
        </row>
        <row r="98">
          <cell r="B98" t="str">
            <v>بمبوری</v>
          </cell>
          <cell r="C98" t="str">
            <v>قطعه تعمیری</v>
          </cell>
          <cell r="N98" t="str">
            <v>دریل رادیال</v>
          </cell>
          <cell r="AC98" t="str">
            <v>1405/03/04</v>
          </cell>
        </row>
        <row r="99">
          <cell r="B99" t="str">
            <v>بمبوری</v>
          </cell>
          <cell r="C99" t="str">
            <v>قطعه تعمیری</v>
          </cell>
          <cell r="N99" t="str">
            <v>مونتاژ</v>
          </cell>
          <cell r="AC99" t="str">
            <v>1405/03/04</v>
          </cell>
        </row>
        <row r="100">
          <cell r="B100" t="str">
            <v>پخت کلاچ پژو 206 TU5</v>
          </cell>
          <cell r="C100" t="str">
            <v>قالب تعمیری</v>
          </cell>
          <cell r="N100" t="str">
            <v>مونتاژ</v>
          </cell>
          <cell r="AC100" t="str">
            <v>1405/03/04</v>
          </cell>
        </row>
        <row r="101">
          <cell r="B101" t="str">
            <v>قالب پخت کلاچ پژو 405</v>
          </cell>
          <cell r="C101" t="str">
            <v>قالب تعمیری</v>
          </cell>
          <cell r="N101" t="str">
            <v>مونتاژ</v>
          </cell>
          <cell r="AC101" t="str">
            <v>1405/03/04</v>
          </cell>
        </row>
        <row r="102">
          <cell r="B102" t="str">
            <v>Hammer Mill Machine</v>
          </cell>
          <cell r="C102" t="str">
            <v>دستگاه نو</v>
          </cell>
          <cell r="N102" t="str">
            <v>CNC</v>
          </cell>
          <cell r="AC102" t="str">
            <v>1405/03/04</v>
          </cell>
        </row>
        <row r="103">
          <cell r="B103" t="str">
            <v>قالب پخت کلاچ پژو 405</v>
          </cell>
          <cell r="C103" t="str">
            <v>قالب تعمیری</v>
          </cell>
          <cell r="N103" t="str">
            <v>CNC</v>
          </cell>
          <cell r="AC103" t="str">
            <v>1405/03/04</v>
          </cell>
        </row>
        <row r="104">
          <cell r="B104" t="str">
            <v>قالب پخت کلاچ پژو 405</v>
          </cell>
          <cell r="C104" t="str">
            <v>قالب تعمیری</v>
          </cell>
          <cell r="N104" t="str">
            <v>تراش</v>
          </cell>
          <cell r="AC104" t="str">
            <v>1405/03/05</v>
          </cell>
        </row>
        <row r="105">
          <cell r="B105" t="str">
            <v>دستگاه پرس پخت</v>
          </cell>
          <cell r="C105" t="str">
            <v>قطعه تعمیری</v>
          </cell>
          <cell r="N105" t="str">
            <v>تراش</v>
          </cell>
          <cell r="AC105" t="str">
            <v>1405/03/05</v>
          </cell>
        </row>
        <row r="106">
          <cell r="B106" t="str">
            <v>دستگاه ساب الماسه</v>
          </cell>
          <cell r="C106" t="str">
            <v>قطعه تعمیری</v>
          </cell>
          <cell r="N106" t="str">
            <v>تراش</v>
          </cell>
          <cell r="AC106" t="str">
            <v>1405/03/05</v>
          </cell>
        </row>
        <row r="107">
          <cell r="B107" t="str">
            <v>پخت کلاچ پژو 206 TU5</v>
          </cell>
          <cell r="C107" t="str">
            <v>قالب تعمیری</v>
          </cell>
          <cell r="N107" t="str">
            <v>مونتاژ</v>
          </cell>
          <cell r="AC107" t="str">
            <v>1405/03/05</v>
          </cell>
        </row>
        <row r="108">
          <cell r="B108" t="str">
            <v>قالب پراید خاردار</v>
          </cell>
          <cell r="C108" t="str">
            <v>قالب تعمیری</v>
          </cell>
          <cell r="N108" t="str">
            <v>مونتاژ</v>
          </cell>
          <cell r="AC108" t="str">
            <v>1405/03/05</v>
          </cell>
        </row>
        <row r="109">
          <cell r="B109" t="str">
            <v>قالب پخت کلاچ پیکان آرژانتینی</v>
          </cell>
          <cell r="C109" t="str">
            <v>قالب تعمیری</v>
          </cell>
          <cell r="N109" t="str">
            <v>مونتاژ</v>
          </cell>
          <cell r="AC109" t="str">
            <v>1405/03/05</v>
          </cell>
        </row>
        <row r="110">
          <cell r="B110" t="str">
            <v>عقب بنز 74</v>
          </cell>
          <cell r="C110" t="str">
            <v>قالب تعمیری</v>
          </cell>
          <cell r="N110" t="str">
            <v>فرز</v>
          </cell>
          <cell r="AC110" t="str">
            <v>1405/03/05</v>
          </cell>
        </row>
        <row r="111">
          <cell r="B111" t="str">
            <v>قالب پخت کلاچ پژو 405</v>
          </cell>
          <cell r="C111" t="str">
            <v>قالب تعمیری</v>
          </cell>
          <cell r="N111" t="str">
            <v>CNC</v>
          </cell>
          <cell r="AC111" t="str">
            <v>1405/03/05</v>
          </cell>
        </row>
        <row r="112">
          <cell r="B112" t="str">
            <v>قالب پخت کلاچ پژو 405</v>
          </cell>
          <cell r="C112" t="str">
            <v>قالب تعمیری</v>
          </cell>
          <cell r="N112" t="str">
            <v>CNC</v>
          </cell>
          <cell r="AC112" t="str">
            <v>1405/03/06</v>
          </cell>
        </row>
        <row r="113">
          <cell r="B113" t="str">
            <v>قالب پخت کلاچ پیکان</v>
          </cell>
          <cell r="C113" t="str">
            <v>قالب تعمیری</v>
          </cell>
          <cell r="N113" t="str">
            <v>CNC</v>
          </cell>
          <cell r="AC113" t="str">
            <v>1405/03/06</v>
          </cell>
        </row>
        <row r="114">
          <cell r="B114" t="str">
            <v>ویوینگ</v>
          </cell>
          <cell r="C114" t="str">
            <v>قطعه تعمیری</v>
          </cell>
          <cell r="N114" t="str">
            <v>وایر</v>
          </cell>
          <cell r="AC114" t="str">
            <v>1405/03/05</v>
          </cell>
        </row>
        <row r="115">
          <cell r="B115" t="str">
            <v>ابزار زنی</v>
          </cell>
          <cell r="C115" t="str">
            <v>قطعه نو</v>
          </cell>
          <cell r="N115" t="str">
            <v>وایر</v>
          </cell>
          <cell r="AC115" t="str">
            <v>1405/03/05</v>
          </cell>
        </row>
        <row r="116">
          <cell r="B116" t="str">
            <v>ابزار زنی</v>
          </cell>
          <cell r="C116" t="str">
            <v>قطعه نو</v>
          </cell>
          <cell r="N116" t="str">
            <v>وایر</v>
          </cell>
          <cell r="AC116" t="str">
            <v>1405/03/05</v>
          </cell>
        </row>
        <row r="117">
          <cell r="B117" t="str">
            <v>ابزار زنی</v>
          </cell>
          <cell r="C117" t="str">
            <v>قطعه نو</v>
          </cell>
          <cell r="N117" t="str">
            <v>وایر</v>
          </cell>
          <cell r="AC117" t="str">
            <v>1405/03/05</v>
          </cell>
        </row>
        <row r="118">
          <cell r="B118" t="str">
            <v>پین عقب L90 معمولی</v>
          </cell>
          <cell r="C118" t="str">
            <v>قطعه نو</v>
          </cell>
          <cell r="N118" t="str">
            <v>سری تراش</v>
          </cell>
          <cell r="AC118" t="str">
            <v>1405/03/05</v>
          </cell>
        </row>
        <row r="119">
          <cell r="B119" t="str">
            <v>قالب پخت کلاچ پژو 405</v>
          </cell>
          <cell r="C119" t="str">
            <v>قالب تعمیری</v>
          </cell>
          <cell r="N119" t="str">
            <v>سنگ زنی</v>
          </cell>
          <cell r="AC119" t="str">
            <v>1405/03/05</v>
          </cell>
        </row>
        <row r="120">
          <cell r="B120" t="str">
            <v>قالب پخت کلاچ پژو 405</v>
          </cell>
          <cell r="C120" t="str">
            <v>قالب تعمیری</v>
          </cell>
          <cell r="N120" t="str">
            <v>سنگ زنی</v>
          </cell>
          <cell r="AC120" t="str">
            <v>1405/03/06</v>
          </cell>
        </row>
        <row r="121">
          <cell r="B121" t="str">
            <v>قالب لودری 70028</v>
          </cell>
          <cell r="C121" t="str">
            <v>قالب تعمیری</v>
          </cell>
          <cell r="N121" t="str">
            <v>فرز</v>
          </cell>
          <cell r="AC121" t="str">
            <v>1405/03/05</v>
          </cell>
        </row>
        <row r="122">
          <cell r="B122" t="str">
            <v>دستگاه پشم فلز چینی</v>
          </cell>
          <cell r="C122" t="str">
            <v>قطعه نو</v>
          </cell>
          <cell r="N122" t="str">
            <v>فرز</v>
          </cell>
          <cell r="AC122" t="str">
            <v>1405/03/05</v>
          </cell>
        </row>
        <row r="123">
          <cell r="B123" t="str">
            <v>قالب پخت کلاچ پژو 405</v>
          </cell>
          <cell r="C123" t="str">
            <v>قالب تعمیری</v>
          </cell>
          <cell r="N123" t="str">
            <v>فرز</v>
          </cell>
          <cell r="AC123" t="str">
            <v>1405/03/07</v>
          </cell>
        </row>
        <row r="124">
          <cell r="B124" t="str">
            <v>اصول 5S</v>
          </cell>
          <cell r="C124" t="str">
            <v>نظافت</v>
          </cell>
          <cell r="N124" t="str">
            <v>نظافت</v>
          </cell>
          <cell r="AC124" t="str">
            <v>1405/03/07</v>
          </cell>
        </row>
        <row r="125">
          <cell r="B125" t="str">
            <v>قالب پخت کلاچ پژو 405</v>
          </cell>
          <cell r="C125" t="str">
            <v>قالب تعمیری</v>
          </cell>
          <cell r="N125" t="str">
            <v>سنگ زنی</v>
          </cell>
          <cell r="AC125" t="str">
            <v>1405/03/07</v>
          </cell>
        </row>
        <row r="126">
          <cell r="B126" t="str">
            <v>اصول 5S</v>
          </cell>
          <cell r="C126" t="str">
            <v>نظافت</v>
          </cell>
          <cell r="N126" t="str">
            <v>نظافت</v>
          </cell>
          <cell r="AC126" t="str">
            <v>1405/03/07</v>
          </cell>
        </row>
        <row r="127">
          <cell r="B127" t="str">
            <v>ویوینگ</v>
          </cell>
          <cell r="C127" t="str">
            <v>قطعه تعمیری</v>
          </cell>
          <cell r="N127" t="str">
            <v>دریل رادیال</v>
          </cell>
          <cell r="AC127" t="str">
            <v>1405/03/07</v>
          </cell>
        </row>
        <row r="128">
          <cell r="B128" t="str">
            <v>قالب پخت کلاچ پیکان آرژانتینی</v>
          </cell>
          <cell r="C128" t="str">
            <v>قالب تعمیری</v>
          </cell>
          <cell r="N128" t="str">
            <v>مونتاژ</v>
          </cell>
          <cell r="AC128" t="str">
            <v>1405/03/07</v>
          </cell>
        </row>
        <row r="129">
          <cell r="B129" t="str">
            <v>قالب جلو ریو</v>
          </cell>
          <cell r="C129" t="str">
            <v>قالب تعمیری</v>
          </cell>
          <cell r="N129" t="str">
            <v>دریل رادیال</v>
          </cell>
          <cell r="AC129" t="str">
            <v>1405/03/07</v>
          </cell>
        </row>
        <row r="130">
          <cell r="B130" t="str">
            <v>اصول 5S</v>
          </cell>
          <cell r="C130" t="str">
            <v>نظافت</v>
          </cell>
          <cell r="N130" t="str">
            <v>نظافت</v>
          </cell>
          <cell r="AC130" t="str">
            <v>1405/03/07</v>
          </cell>
        </row>
        <row r="131">
          <cell r="B131" t="str">
            <v>پین عقب L90 معمولی</v>
          </cell>
          <cell r="C131" t="str">
            <v>قطعه نو</v>
          </cell>
          <cell r="N131" t="str">
            <v>سری تراش</v>
          </cell>
          <cell r="AC131" t="str">
            <v>1405/03/07</v>
          </cell>
        </row>
        <row r="132">
          <cell r="B132" t="str">
            <v>اصول 5S</v>
          </cell>
          <cell r="C132" t="str">
            <v>نظافت</v>
          </cell>
          <cell r="N132" t="str">
            <v>نظافت</v>
          </cell>
          <cell r="AC132" t="str">
            <v>1405/03/07</v>
          </cell>
        </row>
        <row r="133">
          <cell r="B133" t="str">
            <v>دستگاه ساب الماسه</v>
          </cell>
          <cell r="C133" t="str">
            <v>قطعه تعمیری</v>
          </cell>
          <cell r="N133" t="str">
            <v>تراش</v>
          </cell>
          <cell r="AC133" t="str">
            <v>1405/03/07</v>
          </cell>
        </row>
        <row r="134">
          <cell r="B134" t="str">
            <v>ویوینگ</v>
          </cell>
          <cell r="C134" t="str">
            <v>قطعه تعمیری</v>
          </cell>
          <cell r="N134" t="str">
            <v>تراش</v>
          </cell>
          <cell r="AC134" t="str">
            <v>1405/03/07</v>
          </cell>
        </row>
        <row r="135">
          <cell r="B135" t="str">
            <v xml:space="preserve">وایر کات </v>
          </cell>
          <cell r="C135" t="str">
            <v>دستگاه تعمیری</v>
          </cell>
          <cell r="N135" t="str">
            <v>مونتاژ</v>
          </cell>
          <cell r="AC135" t="str">
            <v>1405/03/07</v>
          </cell>
        </row>
        <row r="136">
          <cell r="B136" t="str">
            <v>اصول 5S</v>
          </cell>
          <cell r="C136" t="str">
            <v>نظافت</v>
          </cell>
          <cell r="N136" t="str">
            <v>نظافت</v>
          </cell>
          <cell r="AC136" t="str">
            <v>1405/03/07</v>
          </cell>
        </row>
        <row r="137">
          <cell r="B137" t="str">
            <v>ابزار زنی</v>
          </cell>
          <cell r="C137" t="str">
            <v>قطعه نو</v>
          </cell>
          <cell r="N137" t="str">
            <v>وایر</v>
          </cell>
          <cell r="AC137" t="str">
            <v>1405/03/07</v>
          </cell>
        </row>
        <row r="138">
          <cell r="B138" t="str">
            <v>ابزار زنی</v>
          </cell>
          <cell r="C138" t="str">
            <v>قطعه نو</v>
          </cell>
          <cell r="N138" t="str">
            <v>وایر</v>
          </cell>
          <cell r="AC138" t="str">
            <v>1405/03/07</v>
          </cell>
        </row>
        <row r="139">
          <cell r="B139" t="str">
            <v>قالب پخت کلاچ پژو 405</v>
          </cell>
          <cell r="C139" t="str">
            <v>قالب تعمیری</v>
          </cell>
          <cell r="N139" t="str">
            <v>CNC</v>
          </cell>
          <cell r="AC139" t="str">
            <v>1405/03/07</v>
          </cell>
        </row>
        <row r="140">
          <cell r="B140" t="str">
            <v>پخت کلاچ پراید</v>
          </cell>
          <cell r="C140" t="str">
            <v>قالب تعمیری</v>
          </cell>
          <cell r="N140" t="str">
            <v>CNC</v>
          </cell>
          <cell r="AC140" t="str">
            <v>1405/03/07</v>
          </cell>
        </row>
        <row r="141">
          <cell r="B141" t="str">
            <v>پخت کلاچ پراید</v>
          </cell>
          <cell r="C141" t="str">
            <v>قالب تعمیری</v>
          </cell>
          <cell r="N141" t="str">
            <v>CNC</v>
          </cell>
          <cell r="AC141" t="str">
            <v>1405/03/09</v>
          </cell>
        </row>
        <row r="142">
          <cell r="B142" t="str">
            <v>قالب پخت کلاچ پژو 405</v>
          </cell>
          <cell r="C142" t="str">
            <v>قالب تعمیری</v>
          </cell>
          <cell r="N142" t="str">
            <v>CNC</v>
          </cell>
          <cell r="AC142" t="str">
            <v>1405/03/09</v>
          </cell>
        </row>
        <row r="143">
          <cell r="B143" t="str">
            <v>پین عقب L90 معمولی</v>
          </cell>
          <cell r="C143" t="str">
            <v>قطعه نو</v>
          </cell>
          <cell r="N143" t="str">
            <v>سری تراش</v>
          </cell>
          <cell r="AC143" t="str">
            <v>1405/03/09</v>
          </cell>
        </row>
        <row r="144">
          <cell r="B144" t="str">
            <v>دستگاه پشم فلز چینی</v>
          </cell>
          <cell r="C144" t="str">
            <v>قطعه نو</v>
          </cell>
          <cell r="N144" t="str">
            <v>فرز</v>
          </cell>
          <cell r="AC144" t="str">
            <v>1405/03/09</v>
          </cell>
        </row>
        <row r="145">
          <cell r="B145" t="str">
            <v>پخت کلاچ پراید</v>
          </cell>
          <cell r="C145" t="str">
            <v>قالب تعمیری</v>
          </cell>
          <cell r="N145" t="str">
            <v>فرز</v>
          </cell>
          <cell r="AC145" t="str">
            <v>1405/03/09</v>
          </cell>
        </row>
        <row r="146">
          <cell r="B146" t="str">
            <v>قالب جلو ریو</v>
          </cell>
          <cell r="C146" t="str">
            <v>قالب تعمیری</v>
          </cell>
          <cell r="N146" t="str">
            <v>مونتاژ</v>
          </cell>
          <cell r="AC146" t="str">
            <v>1405/03/09</v>
          </cell>
        </row>
        <row r="147">
          <cell r="B147" t="str">
            <v>ابزار زنی</v>
          </cell>
          <cell r="C147" t="str">
            <v>قطعه نو</v>
          </cell>
          <cell r="N147" t="str">
            <v>اره لنگ</v>
          </cell>
          <cell r="AC147" t="str">
            <v>1405/03/09</v>
          </cell>
        </row>
        <row r="148">
          <cell r="B148" t="str">
            <v>قالب پخت کلاچ پژو 405</v>
          </cell>
          <cell r="C148" t="str">
            <v>قالب تعمیری</v>
          </cell>
          <cell r="N148" t="str">
            <v>سنگ زنی</v>
          </cell>
          <cell r="AC148" t="str">
            <v>1405/03/09</v>
          </cell>
        </row>
        <row r="149">
          <cell r="B149" t="str">
            <v>دستگاه پشم فلز چینی</v>
          </cell>
          <cell r="C149" t="str">
            <v>قطعه نو</v>
          </cell>
          <cell r="N149" t="str">
            <v>سنگ زنی</v>
          </cell>
          <cell r="AC149" t="str">
            <v>1405/03/09</v>
          </cell>
        </row>
        <row r="150">
          <cell r="B150" t="str">
            <v>برش توری SAF</v>
          </cell>
          <cell r="C150" t="str">
            <v>قالب تعمیری</v>
          </cell>
          <cell r="N150" t="str">
            <v>سنگ زنی</v>
          </cell>
          <cell r="AC150" t="str">
            <v>1405/03/09</v>
          </cell>
        </row>
        <row r="151">
          <cell r="B151" t="str">
            <v>قالب پخت کلاچ پیکان</v>
          </cell>
          <cell r="C151" t="str">
            <v>قالب تعمیری</v>
          </cell>
          <cell r="N151" t="str">
            <v>سنگ زنی</v>
          </cell>
          <cell r="AC151" t="str">
            <v>1405/03/09</v>
          </cell>
        </row>
        <row r="152">
          <cell r="B152" t="str">
            <v>آغشته کاری</v>
          </cell>
          <cell r="C152" t="str">
            <v>قطعه نو</v>
          </cell>
          <cell r="N152" t="str">
            <v>تراش</v>
          </cell>
          <cell r="AC152" t="str">
            <v>1405/03/09</v>
          </cell>
        </row>
        <row r="153">
          <cell r="B153" t="str">
            <v xml:space="preserve">وایر کات </v>
          </cell>
          <cell r="C153" t="str">
            <v>دستگاه تعمیری</v>
          </cell>
          <cell r="N153" t="str">
            <v>تراش</v>
          </cell>
          <cell r="AC153" t="str">
            <v>1405/03/09</v>
          </cell>
        </row>
        <row r="154">
          <cell r="B154" t="str">
            <v>دریل رادیال</v>
          </cell>
          <cell r="C154" t="str">
            <v>دستگاه تعمیری</v>
          </cell>
          <cell r="N154" t="str">
            <v>تراش</v>
          </cell>
          <cell r="AC154" t="str">
            <v>1405/03/09</v>
          </cell>
        </row>
        <row r="155">
          <cell r="B155" t="str">
            <v>Hammer Mill Machine</v>
          </cell>
          <cell r="C155" t="str">
            <v>دستگاه نو</v>
          </cell>
          <cell r="N155" t="str">
            <v>فرز</v>
          </cell>
          <cell r="AC155" t="str">
            <v>1405/03/04</v>
          </cell>
        </row>
        <row r="156">
          <cell r="B156" t="str">
            <v>بمبوری</v>
          </cell>
          <cell r="C156" t="str">
            <v>قطعه تعمیری</v>
          </cell>
          <cell r="N156" t="str">
            <v>فرز</v>
          </cell>
          <cell r="AC156" t="str">
            <v>1405/03/04</v>
          </cell>
        </row>
        <row r="157">
          <cell r="B157" t="str">
            <v>ابزار زنی</v>
          </cell>
          <cell r="C157" t="str">
            <v>قطعه تعمیری</v>
          </cell>
          <cell r="N157" t="str">
            <v>تراش</v>
          </cell>
          <cell r="AC157" t="str">
            <v>1405/03/09</v>
          </cell>
        </row>
        <row r="158">
          <cell r="B158" t="str">
            <v xml:space="preserve">دستگاه بسته بندی </v>
          </cell>
          <cell r="C158" t="str">
            <v>قطعه تعمیری</v>
          </cell>
          <cell r="N158" t="str">
            <v>تراش</v>
          </cell>
          <cell r="AC158" t="str">
            <v>1405/03/09</v>
          </cell>
        </row>
        <row r="159">
          <cell r="B159" t="str">
            <v>آغشته کاری</v>
          </cell>
          <cell r="C159" t="str">
            <v>قطعه تعمیری</v>
          </cell>
          <cell r="N159" t="str">
            <v>وایر</v>
          </cell>
          <cell r="AC159" t="str">
            <v>1405/03/09</v>
          </cell>
        </row>
        <row r="160">
          <cell r="B160" t="str">
            <v>دستگاه CNC</v>
          </cell>
          <cell r="C160" t="str">
            <v>قطعه نو</v>
          </cell>
          <cell r="N160" t="str">
            <v>وایر</v>
          </cell>
          <cell r="AC160" t="str">
            <v>1405/03/09</v>
          </cell>
        </row>
        <row r="161">
          <cell r="B161" t="str">
            <v>دستگاه وایر 7604</v>
          </cell>
          <cell r="C161" t="str">
            <v>دستگاه تعمیری</v>
          </cell>
          <cell r="N161" t="str">
            <v>مونتاژ</v>
          </cell>
          <cell r="AC161" t="str">
            <v>1405/03/09</v>
          </cell>
        </row>
        <row r="162">
          <cell r="B162" t="str">
            <v>پخت کلاچ پراید</v>
          </cell>
          <cell r="C162" t="str">
            <v>قالب تعمیری</v>
          </cell>
          <cell r="N162" t="str">
            <v>مونتاژ</v>
          </cell>
          <cell r="AC162" t="str">
            <v>1405/03/09</v>
          </cell>
        </row>
        <row r="163">
          <cell r="B163" t="str">
            <v>قالب جلو ریو</v>
          </cell>
          <cell r="C163" t="str">
            <v>قالب تعمیری</v>
          </cell>
          <cell r="N163" t="str">
            <v>دریل رادیال</v>
          </cell>
          <cell r="AC163" t="str">
            <v>1405/03/09</v>
          </cell>
        </row>
        <row r="164">
          <cell r="B164" t="str">
            <v>قالب جلو ریو</v>
          </cell>
          <cell r="C164" t="str">
            <v>قالب تعمیری</v>
          </cell>
          <cell r="N164" t="str">
            <v>مونتاژ</v>
          </cell>
          <cell r="AC164" t="str">
            <v>1405/03/09</v>
          </cell>
        </row>
        <row r="165">
          <cell r="B165" t="str">
            <v>قالب پخت کلاچ پژو 405</v>
          </cell>
          <cell r="C165" t="str">
            <v>قالب تعمیری</v>
          </cell>
          <cell r="N165" t="str">
            <v>CNC</v>
          </cell>
          <cell r="AC165" t="str">
            <v>1405/03/10</v>
          </cell>
        </row>
        <row r="166">
          <cell r="B166" t="str">
            <v>شابلون پژو 405 دیسکی</v>
          </cell>
          <cell r="C166" t="str">
            <v>قطعه تعمیری</v>
          </cell>
          <cell r="N166" t="str">
            <v>CNC</v>
          </cell>
          <cell r="AC166" t="str">
            <v>1405/03/10</v>
          </cell>
        </row>
        <row r="167">
          <cell r="B167" t="str">
            <v>بمبوری</v>
          </cell>
          <cell r="C167" t="str">
            <v>قطعه تعمیری</v>
          </cell>
          <cell r="N167" t="str">
            <v>CNC</v>
          </cell>
          <cell r="AC167" t="str">
            <v>1405/03/10</v>
          </cell>
        </row>
        <row r="168">
          <cell r="B168" t="str">
            <v>دستگاه پرس</v>
          </cell>
          <cell r="C168" t="str">
            <v>قطعه تعمیری</v>
          </cell>
          <cell r="N168" t="str">
            <v>CNC</v>
          </cell>
          <cell r="AC168" t="str">
            <v>1405/03/09</v>
          </cell>
        </row>
        <row r="169">
          <cell r="B169" t="str">
            <v>دستگاه پرس 600 تن</v>
          </cell>
          <cell r="C169" t="str">
            <v>قطعه تعمیری</v>
          </cell>
          <cell r="N169" t="str">
            <v>فرز</v>
          </cell>
          <cell r="AC169" t="str">
            <v>1405/03/10</v>
          </cell>
        </row>
        <row r="170">
          <cell r="B170" t="str">
            <v>ابزار زنی</v>
          </cell>
          <cell r="C170" t="str">
            <v>قطعه نو</v>
          </cell>
          <cell r="N170" t="str">
            <v>اره لنگ</v>
          </cell>
          <cell r="AC170" t="str">
            <v>1405/03/10</v>
          </cell>
        </row>
        <row r="171">
          <cell r="B171" t="str">
            <v xml:space="preserve">پخت کلاچ پراید سکو </v>
          </cell>
          <cell r="C171" t="str">
            <v>قالب تعمیری</v>
          </cell>
          <cell r="N171" t="str">
            <v>مونتاژ</v>
          </cell>
          <cell r="AC171" t="str">
            <v>1405/03/10</v>
          </cell>
        </row>
        <row r="172">
          <cell r="B172" t="str">
            <v>قالب پخت کلاچ پیکان</v>
          </cell>
          <cell r="C172" t="str">
            <v>قالب تعمیری</v>
          </cell>
          <cell r="N172" t="str">
            <v>سنگ زنی</v>
          </cell>
          <cell r="AC172" t="str">
            <v>1405/03/10</v>
          </cell>
        </row>
        <row r="173">
          <cell r="B173" t="str">
            <v>پخت کلاچ پراید</v>
          </cell>
          <cell r="C173" t="str">
            <v>قالب تعمیری</v>
          </cell>
          <cell r="N173" t="str">
            <v>سنگ زنی</v>
          </cell>
          <cell r="AC173" t="str">
            <v>1405/03/10</v>
          </cell>
        </row>
        <row r="174">
          <cell r="B174" t="str">
            <v>دستگاه پشم فلز چینی</v>
          </cell>
          <cell r="C174" t="str">
            <v>قطعه نو</v>
          </cell>
          <cell r="N174" t="str">
            <v>فرز</v>
          </cell>
          <cell r="AC174" t="str">
            <v>1405/03/10</v>
          </cell>
        </row>
        <row r="175">
          <cell r="B175" t="str">
            <v>صنایع مس</v>
          </cell>
          <cell r="C175" t="str">
            <v>قطعه نو</v>
          </cell>
          <cell r="N175" t="str">
            <v>فرز</v>
          </cell>
          <cell r="AC175" t="str">
            <v>1405/03/10</v>
          </cell>
        </row>
        <row r="176">
          <cell r="B176" t="str">
            <v>ساب کلاچ</v>
          </cell>
          <cell r="C176" t="str">
            <v>قطعه نو</v>
          </cell>
          <cell r="N176" t="str">
            <v>فرز</v>
          </cell>
          <cell r="AC176" t="str">
            <v>1405/03/10</v>
          </cell>
        </row>
        <row r="177">
          <cell r="B177" t="str">
            <v>قالب پخت کلاچ پیکان</v>
          </cell>
          <cell r="C177" t="str">
            <v>قالب تعمیری</v>
          </cell>
          <cell r="N177" t="str">
            <v>فرز</v>
          </cell>
          <cell r="AC177" t="str">
            <v>1405/03/10</v>
          </cell>
        </row>
        <row r="178">
          <cell r="B178" t="str">
            <v>دستگاه پرس 600 تن</v>
          </cell>
          <cell r="C178" t="str">
            <v>قطعه تعمیری</v>
          </cell>
          <cell r="N178" t="str">
            <v>فرز</v>
          </cell>
          <cell r="AC178" t="str">
            <v>1405/03/11</v>
          </cell>
        </row>
        <row r="179">
          <cell r="B179" t="str">
            <v>قالب پخت کلاچ پیکان آرژانتینی</v>
          </cell>
          <cell r="C179" t="str">
            <v>قالب تعمیری</v>
          </cell>
          <cell r="N179" t="str">
            <v>وایر</v>
          </cell>
          <cell r="AC179" t="str">
            <v>1405/03/10</v>
          </cell>
        </row>
        <row r="180">
          <cell r="B180" t="str">
            <v>دستگاه CNC</v>
          </cell>
          <cell r="C180" t="str">
            <v>قطعه تعمیری</v>
          </cell>
          <cell r="N180" t="str">
            <v>وایر</v>
          </cell>
          <cell r="AC180" t="str">
            <v>1405/03/10</v>
          </cell>
        </row>
        <row r="181">
          <cell r="B181" t="str">
            <v>شرکت فرش</v>
          </cell>
          <cell r="C181" t="str">
            <v>قطعه تعمیری</v>
          </cell>
          <cell r="N181" t="str">
            <v>وایر</v>
          </cell>
          <cell r="AC181" t="str">
            <v>1405/03/10</v>
          </cell>
        </row>
        <row r="182">
          <cell r="B182" t="str">
            <v>شرکت فرش</v>
          </cell>
          <cell r="C182" t="str">
            <v>قطعه تعمیری</v>
          </cell>
          <cell r="N182" t="str">
            <v>سوپردریل</v>
          </cell>
          <cell r="AC182" t="str">
            <v>1405/03/10</v>
          </cell>
        </row>
        <row r="183">
          <cell r="B183" t="str">
            <v>کولر سالن</v>
          </cell>
          <cell r="C183" t="str">
            <v>قطعه تعمیری</v>
          </cell>
          <cell r="N183" t="str">
            <v>دریل رادیال</v>
          </cell>
          <cell r="AC183" t="str">
            <v>1405/03/10</v>
          </cell>
        </row>
        <row r="184">
          <cell r="B184" t="str">
            <v>آغشته کاری</v>
          </cell>
          <cell r="C184" t="str">
            <v>قطعه نو</v>
          </cell>
          <cell r="N184" t="str">
            <v>دریل رادیال</v>
          </cell>
          <cell r="AC184" t="str">
            <v>1405/03/10</v>
          </cell>
        </row>
        <row r="185">
          <cell r="B185" t="str">
            <v>قالب جلو ریو</v>
          </cell>
          <cell r="C185" t="str">
            <v>قالب تعمیری</v>
          </cell>
          <cell r="N185" t="str">
            <v>مونتاژ</v>
          </cell>
          <cell r="AC185" t="str">
            <v>1405/03/10</v>
          </cell>
        </row>
        <row r="186">
          <cell r="B186" t="str">
            <v xml:space="preserve">پخت کلاچ پراید سکو </v>
          </cell>
          <cell r="C186" t="str">
            <v>قالب تعمیری</v>
          </cell>
          <cell r="N186" t="str">
            <v>مونتاژ</v>
          </cell>
          <cell r="AC186" t="str">
            <v>1405/03/10</v>
          </cell>
        </row>
        <row r="187">
          <cell r="B187" t="str">
            <v>پخت کلاچ پیکان المانی</v>
          </cell>
          <cell r="C187" t="str">
            <v>قالب تعمیری</v>
          </cell>
          <cell r="N187" t="str">
            <v>مونتاژ</v>
          </cell>
          <cell r="AC187" t="str">
            <v>1405/03/10</v>
          </cell>
        </row>
        <row r="188">
          <cell r="B188" t="str">
            <v>پخت کلاچ پیکان انگلیسی</v>
          </cell>
          <cell r="C188" t="str">
            <v>قالب تعمیری</v>
          </cell>
          <cell r="N188" t="str">
            <v>مونتاژ</v>
          </cell>
          <cell r="AC188" t="str">
            <v>1405/03/10</v>
          </cell>
        </row>
        <row r="189">
          <cell r="B189" t="str">
            <v>پرس پخت کلاچ</v>
          </cell>
          <cell r="C189" t="str">
            <v>قطعه نو</v>
          </cell>
          <cell r="N189" t="str">
            <v>تراش</v>
          </cell>
          <cell r="AC189" t="str">
            <v>1405/03/10</v>
          </cell>
        </row>
        <row r="190">
          <cell r="B190" t="str">
            <v>برش جمعی عقب پیکان</v>
          </cell>
          <cell r="C190" t="str">
            <v>قطعه تعمیری</v>
          </cell>
          <cell r="N190" t="str">
            <v>تراش</v>
          </cell>
          <cell r="AC190" t="str">
            <v>1405/03/10</v>
          </cell>
        </row>
        <row r="191">
          <cell r="B191" t="str">
            <v>ویوینگ</v>
          </cell>
          <cell r="C191" t="str">
            <v>قطعه تعمیری</v>
          </cell>
          <cell r="N191" t="str">
            <v>تراش</v>
          </cell>
          <cell r="AC191" t="str">
            <v>1405/03/10</v>
          </cell>
        </row>
        <row r="192">
          <cell r="B192" t="str">
            <v>پین عقب L90 معمولی</v>
          </cell>
          <cell r="C192" t="str">
            <v>قطعه نو</v>
          </cell>
          <cell r="N192" t="str">
            <v>سری تراش</v>
          </cell>
          <cell r="AC192" t="str">
            <v>1405/03/11</v>
          </cell>
        </row>
        <row r="193">
          <cell r="B193" t="str">
            <v>ابزار زنی</v>
          </cell>
          <cell r="C193" t="str">
            <v>قطعه نو</v>
          </cell>
          <cell r="N193" t="str">
            <v>اره لنگ</v>
          </cell>
          <cell r="AC193" t="str">
            <v>1405/03/11</v>
          </cell>
        </row>
        <row r="194">
          <cell r="B194" t="str">
            <v>صنایع مس</v>
          </cell>
          <cell r="C194" t="str">
            <v>قطعه نو</v>
          </cell>
          <cell r="N194" t="str">
            <v>فرز</v>
          </cell>
          <cell r="AC194" t="str">
            <v>1405/03/11</v>
          </cell>
        </row>
        <row r="195">
          <cell r="B195" t="str">
            <v>پخت کلاچ پراید</v>
          </cell>
          <cell r="C195" t="str">
            <v>قالب تعمیری</v>
          </cell>
          <cell r="N195" t="str">
            <v>سنگ زنی</v>
          </cell>
          <cell r="AC195" t="str">
            <v>1405/03/11</v>
          </cell>
        </row>
        <row r="196">
          <cell r="B196" t="str">
            <v>قالب توری بادسان</v>
          </cell>
          <cell r="C196" t="str">
            <v>قالب تعمیری</v>
          </cell>
          <cell r="N196" t="str">
            <v>سنگ زنی</v>
          </cell>
          <cell r="AC196" t="str">
            <v>1405/03/11</v>
          </cell>
        </row>
        <row r="197">
          <cell r="B197" t="str">
            <v>بمبوری</v>
          </cell>
          <cell r="C197" t="str">
            <v>قطعه تعمیری</v>
          </cell>
          <cell r="N197" t="str">
            <v>CNC</v>
          </cell>
          <cell r="AC197" t="str">
            <v>1405/03/11</v>
          </cell>
        </row>
        <row r="198">
          <cell r="B198" t="str">
            <v>دستگاه پشم فلز چینی</v>
          </cell>
          <cell r="C198" t="str">
            <v>قطعه نو</v>
          </cell>
          <cell r="N198" t="str">
            <v>CNC</v>
          </cell>
          <cell r="AC198" t="str">
            <v>1405/03/11</v>
          </cell>
        </row>
        <row r="199">
          <cell r="B199" t="str">
            <v>دستگاه ساب الماسه</v>
          </cell>
          <cell r="C199" t="str">
            <v>قطعه نو</v>
          </cell>
          <cell r="N199" t="str">
            <v>تراش</v>
          </cell>
          <cell r="AC199" t="str">
            <v>1405/03/11</v>
          </cell>
        </row>
        <row r="200">
          <cell r="B200" t="str">
            <v>دریل یزدخواستی کلاچ</v>
          </cell>
          <cell r="C200" t="str">
            <v>قطعه نو</v>
          </cell>
          <cell r="N200" t="str">
            <v>تراش</v>
          </cell>
          <cell r="AC200" t="str">
            <v>1405/03/11</v>
          </cell>
        </row>
        <row r="201">
          <cell r="B201" t="str">
            <v>دستگاه چسب زنی</v>
          </cell>
          <cell r="C201" t="str">
            <v>قطعه تعمیری</v>
          </cell>
          <cell r="N201" t="str">
            <v>تراش</v>
          </cell>
          <cell r="AC201" t="str">
            <v>1405/03/11</v>
          </cell>
        </row>
        <row r="202">
          <cell r="B202" t="str">
            <v>ساب کلاچ</v>
          </cell>
          <cell r="C202" t="str">
            <v>قطعه نو</v>
          </cell>
          <cell r="N202" t="str">
            <v>فرز</v>
          </cell>
          <cell r="AC202" t="str">
            <v>1405/03/11</v>
          </cell>
        </row>
        <row r="203">
          <cell r="B203" t="str">
            <v>ساب کلاچ</v>
          </cell>
          <cell r="C203" t="str">
            <v>قطعه نو</v>
          </cell>
          <cell r="N203" t="str">
            <v>مونتاژ</v>
          </cell>
          <cell r="AC203" t="str">
            <v>1405/03/11</v>
          </cell>
        </row>
        <row r="204">
          <cell r="B204" t="str">
            <v>دستگاه مهر زنی</v>
          </cell>
          <cell r="C204" t="str">
            <v>قطعه تعمیری</v>
          </cell>
          <cell r="N204" t="str">
            <v>وایر</v>
          </cell>
          <cell r="AC204" t="str">
            <v>1405/03/11</v>
          </cell>
        </row>
        <row r="205">
          <cell r="B205" t="str">
            <v>دستگاه چسب زنی</v>
          </cell>
          <cell r="C205" t="str">
            <v>قطعه تعمیری</v>
          </cell>
          <cell r="N205" t="str">
            <v>وایر</v>
          </cell>
          <cell r="AC205" t="str">
            <v>1405/03/11</v>
          </cell>
        </row>
        <row r="206">
          <cell r="B206" t="str">
            <v>قلم ریو</v>
          </cell>
          <cell r="C206" t="str">
            <v>قطعه تعمیری</v>
          </cell>
          <cell r="N206" t="str">
            <v>وایر</v>
          </cell>
          <cell r="AC206" t="str">
            <v>1405/03/11</v>
          </cell>
        </row>
        <row r="207">
          <cell r="B207" t="str">
            <v>دستگاه چسب زنی</v>
          </cell>
          <cell r="C207" t="str">
            <v>قطعه تعمیری</v>
          </cell>
          <cell r="N207" t="str">
            <v>وایر</v>
          </cell>
          <cell r="AC207" t="str">
            <v>1405/03/11</v>
          </cell>
        </row>
        <row r="208">
          <cell r="B208" t="str">
            <v>آغشته کاری</v>
          </cell>
          <cell r="C208" t="str">
            <v>قطعه نو</v>
          </cell>
          <cell r="N208" t="str">
            <v>مونتاژ</v>
          </cell>
          <cell r="AC208" t="str">
            <v>1405/03/11</v>
          </cell>
        </row>
        <row r="209">
          <cell r="B209" t="str">
            <v>قالب پخت کلاچ پژو 405</v>
          </cell>
          <cell r="C209" t="str">
            <v>قالب تعمیری</v>
          </cell>
          <cell r="N209" t="str">
            <v>مونتاژ</v>
          </cell>
          <cell r="AC209" t="str">
            <v>1405/03/11</v>
          </cell>
        </row>
        <row r="210">
          <cell r="B210" t="str">
            <v>پخت کلاچ پیکان المانی</v>
          </cell>
          <cell r="C210" t="str">
            <v>قالب تعمیری</v>
          </cell>
          <cell r="N210" t="str">
            <v>مونتاژ</v>
          </cell>
          <cell r="AC210" t="str">
            <v>1405/03/11</v>
          </cell>
        </row>
        <row r="211">
          <cell r="B211" t="str">
            <v>پخت کلاچ تیبا راست</v>
          </cell>
          <cell r="C211" t="str">
            <v>قالب تعمیری</v>
          </cell>
          <cell r="N211" t="str">
            <v>مونتاژ</v>
          </cell>
          <cell r="AC211" t="str">
            <v>1405/03/11</v>
          </cell>
        </row>
        <row r="212">
          <cell r="B212" t="str">
            <v>قالب توری بادسان</v>
          </cell>
          <cell r="C212" t="str">
            <v>قالب تعمیری</v>
          </cell>
          <cell r="N212" t="str">
            <v>مونتاژ</v>
          </cell>
          <cell r="AC212" t="str">
            <v>1405/03/11</v>
          </cell>
        </row>
        <row r="213">
          <cell r="B213" t="str">
            <v>قالب توری بادسان</v>
          </cell>
          <cell r="C213" t="str">
            <v>قالب تعمیری</v>
          </cell>
          <cell r="N213" t="str">
            <v>مونتاژ</v>
          </cell>
          <cell r="AC213" t="str">
            <v>1405/03/11</v>
          </cell>
        </row>
        <row r="214">
          <cell r="B214" t="str">
            <v>پخت کلاچ پراید</v>
          </cell>
          <cell r="C214" t="str">
            <v>قالب تعمیری</v>
          </cell>
          <cell r="N214" t="str">
            <v>CNC</v>
          </cell>
          <cell r="AC214" t="str">
            <v>1405/03/11</v>
          </cell>
        </row>
        <row r="215">
          <cell r="B215" t="str">
            <v>پخت کلاچ پراید</v>
          </cell>
          <cell r="C215" t="str">
            <v>قالب تعمیری</v>
          </cell>
          <cell r="N215" t="str">
            <v>CNC</v>
          </cell>
          <cell r="AC215" t="str">
            <v>1405/03/10</v>
          </cell>
        </row>
        <row r="216">
          <cell r="B216" t="str">
            <v>دستگاه پشم فلز چینی</v>
          </cell>
          <cell r="C216" t="str">
            <v>قطعه نو</v>
          </cell>
          <cell r="N216" t="str">
            <v>CNC</v>
          </cell>
          <cell r="AC216" t="str">
            <v>1405/03/12</v>
          </cell>
        </row>
        <row r="217">
          <cell r="B217" t="str">
            <v>قالب پخت کلاچ پیکان</v>
          </cell>
          <cell r="C217" t="str">
            <v>قالب تعمیری</v>
          </cell>
          <cell r="N217" t="str">
            <v>CNC</v>
          </cell>
          <cell r="AC217" t="str">
            <v>1405/03/12</v>
          </cell>
        </row>
        <row r="218">
          <cell r="B218" t="str">
            <v>ابزار زنی</v>
          </cell>
          <cell r="C218" t="str">
            <v>قطعه نو</v>
          </cell>
          <cell r="N218" t="str">
            <v>اره لنگ</v>
          </cell>
          <cell r="AC218" t="str">
            <v>1405/03/12</v>
          </cell>
        </row>
        <row r="219">
          <cell r="B219" t="str">
            <v>دریل یزدخواستی کلاچ</v>
          </cell>
          <cell r="C219" t="str">
            <v>قطعه نو</v>
          </cell>
          <cell r="N219" t="str">
            <v>تراش</v>
          </cell>
          <cell r="AC219" t="str">
            <v>1405/03/12</v>
          </cell>
        </row>
        <row r="220">
          <cell r="B220" t="str">
            <v>دستگاه پرس 600 تن</v>
          </cell>
          <cell r="C220" t="str">
            <v>قطعه تعمیری</v>
          </cell>
          <cell r="N220" t="str">
            <v>فرز</v>
          </cell>
          <cell r="AC220" t="str">
            <v>1405/03/12</v>
          </cell>
        </row>
        <row r="221">
          <cell r="B221" t="str">
            <v>صنایع مس</v>
          </cell>
          <cell r="C221" t="str">
            <v>قطعه نو</v>
          </cell>
          <cell r="N221" t="str">
            <v>فرز</v>
          </cell>
          <cell r="AC221" t="str">
            <v>1405/03/12</v>
          </cell>
        </row>
        <row r="222">
          <cell r="B222" t="str">
            <v>دستگاه پشم فلز چینی</v>
          </cell>
          <cell r="C222" t="str">
            <v>قطعه نو</v>
          </cell>
          <cell r="N222" t="str">
            <v>فرز</v>
          </cell>
          <cell r="AC222" t="str">
            <v>1405/03/12</v>
          </cell>
        </row>
        <row r="223">
          <cell r="B223" t="str">
            <v>پین عقب ریو</v>
          </cell>
          <cell r="C223" t="str">
            <v>قطعه نو</v>
          </cell>
          <cell r="N223" t="str">
            <v>سری تراش</v>
          </cell>
          <cell r="AC223" t="str">
            <v>1405/03/12</v>
          </cell>
        </row>
        <row r="224">
          <cell r="B224" t="str">
            <v>دستگاه پشم فلز چینی</v>
          </cell>
          <cell r="C224" t="str">
            <v>قطعه نو</v>
          </cell>
          <cell r="N224" t="str">
            <v>تراش</v>
          </cell>
          <cell r="AC224" t="str">
            <v>1405/03/12</v>
          </cell>
        </row>
        <row r="225">
          <cell r="B225" t="str">
            <v>ساب کلاچ</v>
          </cell>
          <cell r="C225" t="str">
            <v>قطعه نو</v>
          </cell>
          <cell r="N225" t="str">
            <v>مونتاژ</v>
          </cell>
          <cell r="AC225" t="str">
            <v>1405/03/12</v>
          </cell>
        </row>
        <row r="226">
          <cell r="B226" t="str">
            <v>قالب شمشی عقب پیکان</v>
          </cell>
          <cell r="C226" t="str">
            <v>قالب نو</v>
          </cell>
          <cell r="N226" t="str">
            <v>فرز</v>
          </cell>
          <cell r="AC226" t="str">
            <v>1405/03/12</v>
          </cell>
        </row>
        <row r="227">
          <cell r="B227" t="str">
            <v>پخت کلاچ پراید</v>
          </cell>
          <cell r="C227" t="str">
            <v>قالب تعمیری</v>
          </cell>
          <cell r="N227" t="str">
            <v>CNC</v>
          </cell>
          <cell r="AC227" t="str">
            <v>1405/03/12</v>
          </cell>
        </row>
        <row r="228">
          <cell r="B228" t="str">
            <v>صنایع مس</v>
          </cell>
          <cell r="C228" t="str">
            <v>قطعه نو</v>
          </cell>
          <cell r="N228" t="str">
            <v>CNC</v>
          </cell>
          <cell r="AC228" t="str">
            <v>1405/03/12</v>
          </cell>
        </row>
        <row r="229">
          <cell r="B229" t="str">
            <v>پخت کلاچ پراید</v>
          </cell>
          <cell r="C229" t="str">
            <v>قالب تعمیری</v>
          </cell>
          <cell r="N229" t="str">
            <v>سنگ زنی</v>
          </cell>
          <cell r="AC229" t="str">
            <v>1405/03/12</v>
          </cell>
        </row>
        <row r="230">
          <cell r="B230" t="str">
            <v>قالب BPW تاجدار</v>
          </cell>
          <cell r="C230" t="str">
            <v>قالب تعمیری</v>
          </cell>
          <cell r="N230" t="str">
            <v>سنگ زنی</v>
          </cell>
          <cell r="AC230" t="str">
            <v>1405/03/12</v>
          </cell>
        </row>
        <row r="231">
          <cell r="B231" t="str">
            <v>قالب پخت کلاچ پژو 405</v>
          </cell>
          <cell r="C231" t="str">
            <v>قالب تعمیری</v>
          </cell>
          <cell r="N231" t="str">
            <v>سنگ زنی</v>
          </cell>
          <cell r="AC231" t="str">
            <v>1405/03/12</v>
          </cell>
        </row>
        <row r="232">
          <cell r="B232" t="str">
            <v>دستگاه مهر زنی</v>
          </cell>
          <cell r="C232" t="str">
            <v>قطعه تعمیری</v>
          </cell>
          <cell r="N232" t="str">
            <v>وایر</v>
          </cell>
          <cell r="AC232" t="str">
            <v>1405/03/12</v>
          </cell>
        </row>
        <row r="233">
          <cell r="B233" t="str">
            <v>قالب BPW تاجدار</v>
          </cell>
          <cell r="C233" t="str">
            <v>قالب تعمیری</v>
          </cell>
          <cell r="N233" t="str">
            <v>وایر</v>
          </cell>
          <cell r="AC233" t="str">
            <v>1405/03/12</v>
          </cell>
        </row>
        <row r="234">
          <cell r="B234" t="str">
            <v>پرس 50 تن</v>
          </cell>
          <cell r="C234" t="str">
            <v>قطعه نو</v>
          </cell>
          <cell r="N234" t="str">
            <v>وایر</v>
          </cell>
          <cell r="AC234" t="str">
            <v>1405/03/12</v>
          </cell>
        </row>
        <row r="235">
          <cell r="B235" t="str">
            <v>پخت کلاچ پیکان انگلیسی</v>
          </cell>
          <cell r="C235" t="str">
            <v>قالب تعمیری</v>
          </cell>
          <cell r="N235" t="str">
            <v>مونتاژ</v>
          </cell>
          <cell r="AC235" t="str">
            <v>1405/03/12</v>
          </cell>
        </row>
        <row r="236">
          <cell r="B236" t="str">
            <v>قالب پیلسان</v>
          </cell>
          <cell r="C236" t="str">
            <v>قالب تعمیری</v>
          </cell>
          <cell r="N236" t="str">
            <v>مونتاژ</v>
          </cell>
          <cell r="AC236" t="str">
            <v>1405/03/12</v>
          </cell>
        </row>
        <row r="237">
          <cell r="B237" t="str">
            <v>ساب کونیک</v>
          </cell>
          <cell r="C237" t="str">
            <v>قطعه تعمیری</v>
          </cell>
          <cell r="N237" t="str">
            <v>دریل رادیال</v>
          </cell>
          <cell r="AC237" t="str">
            <v>1405/03/12</v>
          </cell>
        </row>
        <row r="238">
          <cell r="B238" t="str">
            <v>ساب الماس</v>
          </cell>
          <cell r="C238" t="str">
            <v>قطعه تعمیری</v>
          </cell>
          <cell r="N238" t="str">
            <v>دریل رادیال</v>
          </cell>
          <cell r="AC238" t="str">
            <v>1405/03/12</v>
          </cell>
        </row>
        <row r="239">
          <cell r="B239" t="str">
            <v>قالب پخت کلاچ پیکان</v>
          </cell>
          <cell r="C239" t="str">
            <v>قالب تعمیری</v>
          </cell>
          <cell r="N239" t="str">
            <v>CNC</v>
          </cell>
          <cell r="AC239" t="str">
            <v>1405/03/13</v>
          </cell>
        </row>
        <row r="240">
          <cell r="B240" t="str">
            <v>صنایع مس</v>
          </cell>
          <cell r="C240" t="str">
            <v>قطعه نو</v>
          </cell>
          <cell r="N240" t="str">
            <v>CNC</v>
          </cell>
          <cell r="AC240" t="str">
            <v>1405/03/13</v>
          </cell>
        </row>
        <row r="241">
          <cell r="B241" t="str">
            <v>دستگاه پشم فلز چینی</v>
          </cell>
          <cell r="C241" t="str">
            <v>قطعه نو</v>
          </cell>
          <cell r="N241" t="str">
            <v>فرز</v>
          </cell>
          <cell r="AC241" t="str">
            <v>1405/03/13</v>
          </cell>
        </row>
        <row r="242">
          <cell r="B242" t="str">
            <v>قالب پخت کلاچ پژو 405</v>
          </cell>
          <cell r="C242" t="str">
            <v>قالب تعمیری</v>
          </cell>
          <cell r="N242" t="str">
            <v>فرز</v>
          </cell>
          <cell r="AC242" t="str">
            <v>1405/03/13</v>
          </cell>
        </row>
        <row r="243">
          <cell r="B243" t="str">
            <v>قالب پخت کلاچ پژو 405</v>
          </cell>
          <cell r="C243" t="str">
            <v>قالب تعمیری</v>
          </cell>
          <cell r="N243" t="str">
            <v>سنگ زنی</v>
          </cell>
          <cell r="AC243" t="str">
            <v>1405/03/13</v>
          </cell>
        </row>
        <row r="244">
          <cell r="B244" t="str">
            <v>دستگاه پشم فلز چینی</v>
          </cell>
          <cell r="C244" t="str">
            <v>قطعه نو</v>
          </cell>
          <cell r="N244" t="str">
            <v>CNC</v>
          </cell>
          <cell r="AC244" t="str">
            <v>1405/03/13</v>
          </cell>
        </row>
        <row r="245">
          <cell r="B245" t="str">
            <v>پین عقب ریو</v>
          </cell>
          <cell r="C245" t="str">
            <v>قطعه نو</v>
          </cell>
          <cell r="N245" t="str">
            <v>سری تراش</v>
          </cell>
          <cell r="AC245" t="str">
            <v>1405/03/13</v>
          </cell>
        </row>
        <row r="246">
          <cell r="B246" t="str">
            <v>دستگاه پشم فلز چینی</v>
          </cell>
          <cell r="C246" t="str">
            <v>قطعه نو</v>
          </cell>
          <cell r="N246" t="str">
            <v>تراش</v>
          </cell>
          <cell r="AC246" t="str">
            <v>1405/03/13</v>
          </cell>
        </row>
        <row r="247">
          <cell r="B247" t="str">
            <v>ابزار زنی</v>
          </cell>
          <cell r="C247" t="str">
            <v>قطعه نو</v>
          </cell>
          <cell r="N247" t="str">
            <v>اره لنگ</v>
          </cell>
          <cell r="AC247" t="str">
            <v>1405/03/13</v>
          </cell>
        </row>
        <row r="248">
          <cell r="B248" t="str">
            <v>دستگاه پشم فلز چینی</v>
          </cell>
          <cell r="C248" t="str">
            <v>قطعه نو</v>
          </cell>
          <cell r="N248" t="str">
            <v>مونتاژ</v>
          </cell>
          <cell r="AC248" t="str">
            <v>1405/03/13</v>
          </cell>
        </row>
        <row r="249">
          <cell r="B249" t="str">
            <v>کلمپ زنی</v>
          </cell>
          <cell r="C249" t="str">
            <v>دستگاه تعمیری</v>
          </cell>
          <cell r="N249" t="str">
            <v>فرز</v>
          </cell>
          <cell r="AC249" t="str">
            <v>1405/03/13</v>
          </cell>
        </row>
        <row r="250">
          <cell r="B250" t="str">
            <v>ویوینگ</v>
          </cell>
          <cell r="C250" t="str">
            <v>قطعه تعمیری</v>
          </cell>
          <cell r="N250" t="str">
            <v>فرز</v>
          </cell>
          <cell r="AC250" t="str">
            <v>1405/03/13</v>
          </cell>
        </row>
        <row r="251">
          <cell r="B251" t="str">
            <v>ابزار زنی</v>
          </cell>
          <cell r="C251" t="str">
            <v>قطعه نو</v>
          </cell>
          <cell r="N251" t="str">
            <v>اره لنگ</v>
          </cell>
          <cell r="AC251" t="str">
            <v>1405/03/13</v>
          </cell>
        </row>
        <row r="252">
          <cell r="B252" t="str">
            <v>دریل یزدخواستی کلاچ</v>
          </cell>
          <cell r="C252" t="str">
            <v>قطعه نو</v>
          </cell>
          <cell r="N252" t="str">
            <v>تراش</v>
          </cell>
          <cell r="AC252" t="str">
            <v>1405/03/13</v>
          </cell>
        </row>
        <row r="253">
          <cell r="B253" t="str">
            <v>شات پلاس</v>
          </cell>
          <cell r="C253" t="str">
            <v>قطعه تعمیری</v>
          </cell>
          <cell r="N253" t="str">
            <v>تراش</v>
          </cell>
          <cell r="AC253" t="str">
            <v>1405/03/13</v>
          </cell>
        </row>
        <row r="254">
          <cell r="B254" t="str">
            <v>ویوینگ</v>
          </cell>
          <cell r="C254" t="str">
            <v>قطعه تعمیری</v>
          </cell>
          <cell r="N254" t="str">
            <v>تراش</v>
          </cell>
          <cell r="AC254" t="str">
            <v>1405/03/13</v>
          </cell>
        </row>
        <row r="255">
          <cell r="B255" t="str">
            <v>دستگاه مهر زنی</v>
          </cell>
          <cell r="C255" t="str">
            <v>قطعه تعمیری</v>
          </cell>
          <cell r="N255" t="str">
            <v>وایر</v>
          </cell>
          <cell r="AC255" t="str">
            <v>1405/03/13</v>
          </cell>
        </row>
        <row r="256">
          <cell r="B256" t="str">
            <v>ویوینگ</v>
          </cell>
          <cell r="C256" t="str">
            <v>قطعه تعمیری</v>
          </cell>
          <cell r="N256" t="str">
            <v>وایر</v>
          </cell>
          <cell r="AC256" t="str">
            <v>1405/03/13</v>
          </cell>
        </row>
        <row r="257">
          <cell r="B257" t="str">
            <v>دستگاه مهر زنی</v>
          </cell>
          <cell r="C257" t="str">
            <v>قطعه تعمیری</v>
          </cell>
          <cell r="N257" t="str">
            <v>وایر</v>
          </cell>
          <cell r="AC257" t="str">
            <v>1405/03/13</v>
          </cell>
        </row>
        <row r="258">
          <cell r="B258" t="str">
            <v xml:space="preserve">پخت کلاچ پراید سکو </v>
          </cell>
          <cell r="C258" t="str">
            <v>قالب تعمیری</v>
          </cell>
          <cell r="N258" t="str">
            <v>مونتاژ</v>
          </cell>
          <cell r="AC258" t="str">
            <v>1405/03/13</v>
          </cell>
        </row>
        <row r="259">
          <cell r="B259" t="str">
            <v>پخت کلاچ 911 دور بزرگ</v>
          </cell>
          <cell r="C259" t="str">
            <v>قالب تعمیری</v>
          </cell>
          <cell r="N259" t="str">
            <v>مونتاژ</v>
          </cell>
          <cell r="AC259" t="str">
            <v>1405/03/13</v>
          </cell>
        </row>
        <row r="260">
          <cell r="B260" t="str">
            <v>قالب پخت کلاچ پیکان آرژانتینی</v>
          </cell>
          <cell r="C260" t="str">
            <v>قالب تعمیری</v>
          </cell>
          <cell r="N260" t="str">
            <v>مونتاژ</v>
          </cell>
          <cell r="AC260" t="str">
            <v>1405/03/13</v>
          </cell>
        </row>
        <row r="261">
          <cell r="B261" t="str">
            <v>پخت کلاچ 911 دور بزرگ</v>
          </cell>
          <cell r="C261" t="str">
            <v>قالب تعمیری</v>
          </cell>
          <cell r="N261" t="str">
            <v>مونتاژ</v>
          </cell>
          <cell r="AC261" t="str">
            <v>1405/03/13</v>
          </cell>
        </row>
        <row r="262">
          <cell r="B262" t="str">
            <v>قالب پخت کلاچ پیکان</v>
          </cell>
          <cell r="C262" t="str">
            <v>قالب تعمیری</v>
          </cell>
          <cell r="N262" t="str">
            <v>CNC</v>
          </cell>
          <cell r="AC262" t="str">
            <v>1405/03/16</v>
          </cell>
        </row>
        <row r="263">
          <cell r="B263" t="str">
            <v>پین عقب ریو</v>
          </cell>
          <cell r="C263" t="str">
            <v>قطعه نو</v>
          </cell>
          <cell r="N263" t="str">
            <v>سری تراش</v>
          </cell>
          <cell r="AC263" t="str">
            <v>1405/03/16</v>
          </cell>
        </row>
        <row r="264">
          <cell r="B264" t="str">
            <v>دستگاه پشم فلز چینی</v>
          </cell>
          <cell r="C264" t="str">
            <v>قطعه نو</v>
          </cell>
          <cell r="N264" t="str">
            <v>فرز</v>
          </cell>
          <cell r="AC264" t="str">
            <v>1405/03/16</v>
          </cell>
        </row>
        <row r="265">
          <cell r="B265" t="str">
            <v>قالب پخت کلاچ پژو 405</v>
          </cell>
          <cell r="C265" t="str">
            <v>قالب تعمیری</v>
          </cell>
          <cell r="N265" t="str">
            <v>فرز</v>
          </cell>
          <cell r="AC265" t="str">
            <v>1405/03/16</v>
          </cell>
        </row>
        <row r="266">
          <cell r="B266" t="str">
            <v>Hammer Mill Machine</v>
          </cell>
          <cell r="C266" t="str">
            <v>دستگاه نو</v>
          </cell>
          <cell r="N266" t="str">
            <v>مونتاژ</v>
          </cell>
          <cell r="AC266" t="str">
            <v>1405/03/16</v>
          </cell>
        </row>
        <row r="267">
          <cell r="B267" t="str">
            <v>دستگاه پشم فلز چینی</v>
          </cell>
          <cell r="C267" t="str">
            <v>قطعه نو</v>
          </cell>
          <cell r="N267" t="str">
            <v>CNC</v>
          </cell>
          <cell r="AC267" t="str">
            <v>1405/03/16</v>
          </cell>
        </row>
        <row r="268">
          <cell r="B268" t="str">
            <v>دستگاه CNC 7204</v>
          </cell>
          <cell r="C268" t="str">
            <v>دستگاه تعمیری</v>
          </cell>
          <cell r="N268" t="str">
            <v>مونتاژ</v>
          </cell>
          <cell r="AC268" t="str">
            <v>1405/03/16</v>
          </cell>
        </row>
        <row r="269">
          <cell r="B269" t="str">
            <v>شابلون پراید دیسکی</v>
          </cell>
          <cell r="C269" t="str">
            <v>قطعه تعمیری</v>
          </cell>
          <cell r="N269" t="str">
            <v>فرز</v>
          </cell>
          <cell r="AC269" t="str">
            <v>1405/03/16</v>
          </cell>
        </row>
        <row r="270">
          <cell r="B270" t="str">
            <v>دستگاه مهر زنی</v>
          </cell>
          <cell r="C270" t="str">
            <v>قطعه تعمیری</v>
          </cell>
          <cell r="N270" t="str">
            <v>فرز</v>
          </cell>
          <cell r="AC270" t="str">
            <v>1405/03/16</v>
          </cell>
        </row>
        <row r="271">
          <cell r="B271" t="str">
            <v>صنایع مس</v>
          </cell>
          <cell r="C271" t="str">
            <v>قطعه نو</v>
          </cell>
          <cell r="N271" t="str">
            <v>CNC</v>
          </cell>
          <cell r="AC271" t="str">
            <v>1405/03/16</v>
          </cell>
        </row>
        <row r="272">
          <cell r="B272" t="str">
            <v>دستگاه CNC 7203</v>
          </cell>
          <cell r="C272" t="str">
            <v>دستگاه تعمیری</v>
          </cell>
          <cell r="N272" t="str">
            <v>مونتاژ</v>
          </cell>
          <cell r="AC272" t="str">
            <v>1405/03/16</v>
          </cell>
        </row>
        <row r="273">
          <cell r="B273" t="str">
            <v>صنایع مس</v>
          </cell>
          <cell r="C273" t="str">
            <v>قطعه نو</v>
          </cell>
          <cell r="N273" t="str">
            <v>CNC</v>
          </cell>
          <cell r="AC273" t="str">
            <v>1405/03/16</v>
          </cell>
        </row>
        <row r="274">
          <cell r="B274" t="str">
            <v>قالب پخت کلاچ پیکان</v>
          </cell>
          <cell r="C274" t="str">
            <v>قالب تعمیری</v>
          </cell>
          <cell r="N274" t="str">
            <v>سنگ زنی</v>
          </cell>
          <cell r="AC274" t="str">
            <v>1405/03/16</v>
          </cell>
        </row>
        <row r="275">
          <cell r="B275" t="str">
            <v>ساب کلاچ</v>
          </cell>
          <cell r="C275" t="str">
            <v>قطعه نو</v>
          </cell>
          <cell r="N275" t="str">
            <v>سنگ زنی</v>
          </cell>
          <cell r="AC275" t="str">
            <v>1405/03/16</v>
          </cell>
        </row>
        <row r="276">
          <cell r="B276" t="str">
            <v>برش جمعی عقب ریو</v>
          </cell>
          <cell r="C276" t="str">
            <v>قطعه نو</v>
          </cell>
          <cell r="N276" t="str">
            <v>سنگ زنی</v>
          </cell>
          <cell r="AC276" t="str">
            <v>1405/03/16</v>
          </cell>
        </row>
        <row r="277">
          <cell r="B277" t="str">
            <v>دستگاه پشم فلز</v>
          </cell>
          <cell r="C277" t="str">
            <v>قطعه تعمیری</v>
          </cell>
          <cell r="N277" t="str">
            <v>تراش</v>
          </cell>
          <cell r="AC277" t="str">
            <v>1405/03/16</v>
          </cell>
        </row>
        <row r="278">
          <cell r="B278" t="str">
            <v>دریل یزدخواستی کلاچ</v>
          </cell>
          <cell r="C278" t="str">
            <v>قطعه نو</v>
          </cell>
          <cell r="N278" t="str">
            <v>تراش</v>
          </cell>
          <cell r="AC278" t="str">
            <v>1405/03/16</v>
          </cell>
        </row>
        <row r="279">
          <cell r="B279" t="str">
            <v>دریل یزدخواستی کلاچ</v>
          </cell>
          <cell r="C279" t="str">
            <v>قطعه نو</v>
          </cell>
          <cell r="N279" t="str">
            <v>تراش</v>
          </cell>
          <cell r="AC279" t="str">
            <v>1405/03/16</v>
          </cell>
        </row>
        <row r="280">
          <cell r="B280" t="str">
            <v>قالب پخت کلاچ پیکان آرژانتینی</v>
          </cell>
          <cell r="C280" t="str">
            <v>قالب تعمیری</v>
          </cell>
          <cell r="N280" t="str">
            <v>وایر</v>
          </cell>
          <cell r="AC280" t="str">
            <v>1405/03/16</v>
          </cell>
        </row>
        <row r="281">
          <cell r="B281" t="str">
            <v>دستگاه مهر زنی</v>
          </cell>
          <cell r="C281" t="str">
            <v>قطعه تعمیری</v>
          </cell>
          <cell r="N281" t="str">
            <v>وایر</v>
          </cell>
          <cell r="AC281" t="str">
            <v>1405/03/16</v>
          </cell>
        </row>
        <row r="282">
          <cell r="B282" t="str">
            <v>صنایع مس</v>
          </cell>
          <cell r="C282" t="str">
            <v>قطعه نو</v>
          </cell>
          <cell r="N282" t="str">
            <v>وایر</v>
          </cell>
          <cell r="AC282" t="str">
            <v>1405/03/16</v>
          </cell>
        </row>
        <row r="283">
          <cell r="B283" t="str">
            <v>دستگاه پرس 600 تن</v>
          </cell>
          <cell r="C283" t="str">
            <v>قطعه تعمیری</v>
          </cell>
          <cell r="N283" t="str">
            <v>وایر</v>
          </cell>
          <cell r="AC283" t="str">
            <v>1405/03/16</v>
          </cell>
        </row>
        <row r="284">
          <cell r="B284" t="str">
            <v>پخت کلاچ 911 دور بزرگ</v>
          </cell>
          <cell r="C284" t="str">
            <v>قالب تعمیری</v>
          </cell>
          <cell r="N284" t="str">
            <v>مونتاژ</v>
          </cell>
          <cell r="AC284" t="str">
            <v>1405/03/16</v>
          </cell>
        </row>
        <row r="285">
          <cell r="B285" t="str">
            <v xml:space="preserve">پخت کلاچ پراید سکو </v>
          </cell>
          <cell r="C285" t="str">
            <v>قالب تعمیری</v>
          </cell>
          <cell r="N285" t="str">
            <v>مونتاژ</v>
          </cell>
          <cell r="AC285" t="str">
            <v>1405/03/16</v>
          </cell>
        </row>
        <row r="286">
          <cell r="B286" t="str">
            <v>پخت کلاچ تیبا راست</v>
          </cell>
          <cell r="C286" t="str">
            <v>قالب تعمیری</v>
          </cell>
          <cell r="N286" t="str">
            <v>مونتاژ</v>
          </cell>
          <cell r="AC286" t="str">
            <v>1405/03/16</v>
          </cell>
        </row>
        <row r="287">
          <cell r="B287" t="str">
            <v>پخت کلاچ پیکان المانی</v>
          </cell>
          <cell r="C287" t="str">
            <v>قالب تعمیری</v>
          </cell>
          <cell r="N287" t="str">
            <v>مونتاژ</v>
          </cell>
          <cell r="AC287" t="str">
            <v>1405/03/16</v>
          </cell>
        </row>
        <row r="288">
          <cell r="B288" t="str">
            <v>پخت کلاچ پیکان انگلیسی</v>
          </cell>
          <cell r="C288" t="str">
            <v>قالب تعمیری</v>
          </cell>
          <cell r="N288" t="str">
            <v>مونتاژ</v>
          </cell>
          <cell r="AC288" t="str">
            <v>1405/03/16</v>
          </cell>
        </row>
        <row r="289">
          <cell r="B289" t="str">
            <v>قالب پخت کلاچ پیکان آرژانتینی</v>
          </cell>
          <cell r="C289" t="str">
            <v>قالب تعمیری</v>
          </cell>
          <cell r="N289" t="str">
            <v>مونتاژ</v>
          </cell>
          <cell r="AC289" t="str">
            <v>1405/03/16</v>
          </cell>
        </row>
        <row r="290">
          <cell r="B290" t="str">
            <v>قالب پخت کلاچ پیکان آرژانتینی</v>
          </cell>
          <cell r="C290" t="str">
            <v>قالب تعمیری</v>
          </cell>
          <cell r="N290" t="str">
            <v>دریل رادیال</v>
          </cell>
          <cell r="AC290" t="str">
            <v>1405/03/16</v>
          </cell>
        </row>
        <row r="291">
          <cell r="B291" t="str">
            <v>صنایع مس</v>
          </cell>
          <cell r="C291" t="str">
            <v>قطعه نو</v>
          </cell>
          <cell r="N291" t="str">
            <v>دریل رادیال</v>
          </cell>
          <cell r="AC291" t="str">
            <v>1405/03/16</v>
          </cell>
        </row>
        <row r="292">
          <cell r="B292" t="str">
            <v>ابزار زنی</v>
          </cell>
          <cell r="C292" t="str">
            <v>قطعه نو</v>
          </cell>
          <cell r="N292" t="str">
            <v>اره لنگ</v>
          </cell>
          <cell r="AC292" t="str">
            <v>1405/03/16</v>
          </cell>
        </row>
        <row r="293">
          <cell r="B293" t="str">
            <v>دستگاه پشم فلز چینی</v>
          </cell>
          <cell r="C293" t="str">
            <v>قطعه نو</v>
          </cell>
          <cell r="N293" t="str">
            <v>CNC</v>
          </cell>
          <cell r="AC293" t="str">
            <v>1405/03/17</v>
          </cell>
        </row>
        <row r="294">
          <cell r="B294" t="str">
            <v>قالب پخت کلاچ پیکان</v>
          </cell>
          <cell r="C294" t="str">
            <v>قالب تعمیری</v>
          </cell>
          <cell r="N294" t="str">
            <v>CNC</v>
          </cell>
          <cell r="AC294" t="str">
            <v>1405/03/17</v>
          </cell>
        </row>
        <row r="295">
          <cell r="B295" t="str">
            <v>پین عقب ریو</v>
          </cell>
          <cell r="C295" t="str">
            <v>قطعه نو</v>
          </cell>
          <cell r="N295" t="str">
            <v>سری تراش</v>
          </cell>
          <cell r="AC295" t="str">
            <v>1405/03/17</v>
          </cell>
        </row>
        <row r="296">
          <cell r="B296" t="str">
            <v>دستگاه پشم فلز چینی</v>
          </cell>
          <cell r="C296" t="str">
            <v>قطعه نو</v>
          </cell>
          <cell r="N296" t="str">
            <v>فرز</v>
          </cell>
          <cell r="AC296" t="str">
            <v>1405/03/17</v>
          </cell>
        </row>
        <row r="297">
          <cell r="B297" t="str">
            <v>پخت کلاچ پراید</v>
          </cell>
          <cell r="C297" t="str">
            <v>قالب تعمیری</v>
          </cell>
          <cell r="N297" t="str">
            <v>سنگ زنی</v>
          </cell>
          <cell r="AC297" t="str">
            <v>1405/03/17</v>
          </cell>
        </row>
        <row r="298">
          <cell r="B298" t="str">
            <v>قالب پخت کلاچ پژو 405</v>
          </cell>
          <cell r="C298" t="str">
            <v>قالب تعمیری</v>
          </cell>
          <cell r="N298" t="str">
            <v>فرز</v>
          </cell>
          <cell r="AC298" t="str">
            <v>1405/03/17</v>
          </cell>
        </row>
        <row r="299">
          <cell r="B299" t="str">
            <v>برش جمعی عقب ریو</v>
          </cell>
          <cell r="C299" t="str">
            <v>قطعه نو</v>
          </cell>
          <cell r="N299" t="str">
            <v>فرز</v>
          </cell>
          <cell r="AC299" t="str">
            <v>1405/03/17</v>
          </cell>
        </row>
        <row r="300">
          <cell r="B300" t="str">
            <v>پرس 50 تن</v>
          </cell>
          <cell r="C300" t="str">
            <v>قطعه نو</v>
          </cell>
          <cell r="N300" t="str">
            <v>تراش</v>
          </cell>
          <cell r="AC300" t="str">
            <v>1405/03/17</v>
          </cell>
        </row>
        <row r="301">
          <cell r="B301" t="str">
            <v>سری نقطه جوش</v>
          </cell>
          <cell r="C301" t="str">
            <v>قطعه تعمیری</v>
          </cell>
          <cell r="N301" t="str">
            <v>تراش</v>
          </cell>
          <cell r="AC301" t="str">
            <v>1405/03/17</v>
          </cell>
        </row>
        <row r="302">
          <cell r="B302" t="str">
            <v>ابزار زنی</v>
          </cell>
          <cell r="C302" t="str">
            <v>قطعه نو</v>
          </cell>
          <cell r="N302" t="str">
            <v>تراش</v>
          </cell>
          <cell r="AC302" t="str">
            <v>1405/03/17</v>
          </cell>
        </row>
        <row r="303">
          <cell r="B303" t="str">
            <v>ابزار زنی</v>
          </cell>
          <cell r="C303" t="str">
            <v>قطعه نو</v>
          </cell>
          <cell r="N303" t="str">
            <v>مونتاژ</v>
          </cell>
          <cell r="AC303" t="str">
            <v>1405/03/17</v>
          </cell>
        </row>
        <row r="304">
          <cell r="B304" t="str">
            <v>دستگاه مهر زنی</v>
          </cell>
          <cell r="C304" t="str">
            <v>قطعه تعمیری</v>
          </cell>
          <cell r="N304" t="str">
            <v>فرز</v>
          </cell>
          <cell r="AC304" t="str">
            <v>1405/03/17</v>
          </cell>
        </row>
        <row r="305">
          <cell r="B305" t="str">
            <v>کلمپ زنی</v>
          </cell>
          <cell r="C305" t="str">
            <v>دستگاه تعمیری</v>
          </cell>
          <cell r="N305" t="str">
            <v>فرز</v>
          </cell>
          <cell r="AC305" t="str">
            <v>1405/03/17</v>
          </cell>
        </row>
        <row r="306">
          <cell r="B306" t="str">
            <v>دستگاه ساب کلاچ</v>
          </cell>
          <cell r="C306" t="str">
            <v>قطعه تعمیری</v>
          </cell>
          <cell r="N306" t="str">
            <v>فرز</v>
          </cell>
          <cell r="AC306" t="str">
            <v>1405/03/17</v>
          </cell>
        </row>
        <row r="307">
          <cell r="B307" t="str">
            <v>دستگاه مهر زنی</v>
          </cell>
          <cell r="C307" t="str">
            <v>قطعه تعمیری</v>
          </cell>
          <cell r="N307" t="str">
            <v>مونتاژ</v>
          </cell>
          <cell r="AC307" t="str">
            <v>1405/03/17</v>
          </cell>
        </row>
        <row r="308">
          <cell r="B308" t="str">
            <v>دستگاه پشم فلز چینی</v>
          </cell>
          <cell r="C308" t="str">
            <v>قطعه نو</v>
          </cell>
          <cell r="N308" t="str">
            <v>مونتاژ</v>
          </cell>
          <cell r="AC308" t="str">
            <v>1405/03/17</v>
          </cell>
        </row>
        <row r="309">
          <cell r="B309" t="str">
            <v>ابزار زنی</v>
          </cell>
          <cell r="C309" t="str">
            <v>قطعه نو</v>
          </cell>
          <cell r="N309" t="str">
            <v>اره لنگ</v>
          </cell>
          <cell r="AC309" t="str">
            <v>1405/03/17</v>
          </cell>
        </row>
        <row r="310">
          <cell r="B310" t="str">
            <v>قالب پخت کلاچ پیکان آرژانتینی</v>
          </cell>
          <cell r="C310" t="str">
            <v>قالب تعمیری</v>
          </cell>
          <cell r="N310" t="str">
            <v>وایر</v>
          </cell>
          <cell r="AC310" t="str">
            <v>1405/03/17</v>
          </cell>
        </row>
        <row r="311">
          <cell r="B311" t="str">
            <v>قالب پخت کلاچ پیکان آرژانتینی</v>
          </cell>
          <cell r="C311" t="str">
            <v>قالب تعمیری</v>
          </cell>
          <cell r="N311" t="str">
            <v>وایر</v>
          </cell>
          <cell r="AC311" t="str">
            <v>1405/03/17</v>
          </cell>
        </row>
        <row r="312">
          <cell r="B312" t="str">
            <v>صنایع مس</v>
          </cell>
          <cell r="C312" t="str">
            <v>قطعه نو</v>
          </cell>
          <cell r="N312" t="str">
            <v>وایر</v>
          </cell>
          <cell r="AC312" t="str">
            <v>1405/03/17</v>
          </cell>
        </row>
        <row r="313">
          <cell r="B313" t="str">
            <v>دستگاه پرس 600 تن</v>
          </cell>
          <cell r="C313" t="str">
            <v>قطعه تعمیری</v>
          </cell>
          <cell r="N313" t="str">
            <v>وایر</v>
          </cell>
          <cell r="AC313" t="str">
            <v>1405/03/17</v>
          </cell>
        </row>
        <row r="314">
          <cell r="B314" t="str">
            <v>قالب سوراخکاری 70028</v>
          </cell>
          <cell r="C314" t="str">
            <v>قالب تعمیری</v>
          </cell>
          <cell r="N314" t="str">
            <v>وایر</v>
          </cell>
          <cell r="AC314" t="str">
            <v>1405/03/17</v>
          </cell>
        </row>
        <row r="315">
          <cell r="B315" t="str">
            <v>قالب جلو ریو</v>
          </cell>
          <cell r="C315" t="str">
            <v>قالب تعمیری</v>
          </cell>
          <cell r="N315" t="str">
            <v>مونتاژ</v>
          </cell>
          <cell r="AC315" t="str">
            <v>1405/03/17</v>
          </cell>
        </row>
        <row r="316">
          <cell r="B316" t="str">
            <v>قالب تیبا خزینه چپ</v>
          </cell>
          <cell r="C316" t="str">
            <v>قالب تعمیری</v>
          </cell>
          <cell r="N316" t="str">
            <v>مونتاژ</v>
          </cell>
          <cell r="AC316" t="str">
            <v>1405/03/17</v>
          </cell>
        </row>
        <row r="317">
          <cell r="B317" t="str">
            <v>قالب پخت کلاچ پیکان آرژانتینی</v>
          </cell>
          <cell r="C317" t="str">
            <v>قالب تعمیری</v>
          </cell>
          <cell r="N317" t="str">
            <v>مونتاژ</v>
          </cell>
          <cell r="AC317" t="str">
            <v>1405/03/17</v>
          </cell>
        </row>
        <row r="318">
          <cell r="B318" t="str">
            <v>ابزار زنی</v>
          </cell>
          <cell r="C318" t="str">
            <v>قطعه نو</v>
          </cell>
          <cell r="N318" t="str">
            <v>اره لنگ</v>
          </cell>
          <cell r="AC318" t="str">
            <v>1405/03/17</v>
          </cell>
        </row>
        <row r="319">
          <cell r="B319" t="str">
            <v>صنایع مس</v>
          </cell>
          <cell r="C319" t="str">
            <v>قطعه نو</v>
          </cell>
          <cell r="N319" t="str">
            <v>CNC</v>
          </cell>
          <cell r="AC319" t="str">
            <v>1405/03/17</v>
          </cell>
        </row>
        <row r="320">
          <cell r="B320" t="str">
            <v>دستگاه ساب کلاچ</v>
          </cell>
          <cell r="C320" t="str">
            <v>قطعه تعمیری</v>
          </cell>
          <cell r="N320" t="str">
            <v>فرز</v>
          </cell>
          <cell r="AC320" t="str">
            <v>1405/03/18</v>
          </cell>
        </row>
        <row r="321">
          <cell r="B321" t="str">
            <v>صنایع مس</v>
          </cell>
          <cell r="C321" t="str">
            <v>قطعه نو</v>
          </cell>
          <cell r="N321" t="str">
            <v>فرز</v>
          </cell>
          <cell r="AC321" t="str">
            <v>1405/03/18</v>
          </cell>
        </row>
        <row r="322">
          <cell r="B322" t="str">
            <v>قالب پخت کلاچ پژو 405</v>
          </cell>
          <cell r="C322" t="str">
            <v>قالب تعمیری</v>
          </cell>
          <cell r="N322" t="str">
            <v>CNC</v>
          </cell>
          <cell r="AC322" t="str">
            <v>1405/03/18</v>
          </cell>
        </row>
        <row r="323">
          <cell r="B323" t="str">
            <v>قالب سوراخکاری 70028</v>
          </cell>
          <cell r="C323" t="str">
            <v>قالب تعمیری</v>
          </cell>
          <cell r="N323" t="str">
            <v>CNC</v>
          </cell>
          <cell r="AC323" t="str">
            <v>1405/03/18</v>
          </cell>
        </row>
        <row r="324">
          <cell r="B324" t="str">
            <v>برش جمعی عقب ریو</v>
          </cell>
          <cell r="C324" t="str">
            <v>قطعه نو</v>
          </cell>
          <cell r="N324" t="str">
            <v>فرز</v>
          </cell>
          <cell r="AC324" t="str">
            <v>1405/03/18</v>
          </cell>
        </row>
        <row r="325">
          <cell r="B325" t="str">
            <v>شمش پراید</v>
          </cell>
          <cell r="C325" t="str">
            <v>قالب نو</v>
          </cell>
          <cell r="N325" t="str">
            <v>فرز</v>
          </cell>
          <cell r="AC325" t="str">
            <v>1405/03/18</v>
          </cell>
        </row>
        <row r="326">
          <cell r="B326" t="str">
            <v>قالب پخت کلاچ پیکان</v>
          </cell>
          <cell r="C326" t="str">
            <v>قالب تعمیری</v>
          </cell>
          <cell r="N326" t="str">
            <v>CNC</v>
          </cell>
          <cell r="AC326" t="str">
            <v>1405/03/18</v>
          </cell>
        </row>
        <row r="327">
          <cell r="B327" t="str">
            <v>قالب پخت کلاچ پیکان آرژانتینی</v>
          </cell>
          <cell r="C327" t="str">
            <v>قالب تعمیری</v>
          </cell>
          <cell r="N327" t="str">
            <v>CNC</v>
          </cell>
          <cell r="AC327" t="str">
            <v>1405/03/18</v>
          </cell>
        </row>
        <row r="328">
          <cell r="B328" t="str">
            <v>ابزار زنی</v>
          </cell>
          <cell r="C328" t="str">
            <v>قطعه نو</v>
          </cell>
          <cell r="N328" t="str">
            <v>اره لنگ</v>
          </cell>
          <cell r="AC328" t="str">
            <v>1405/03/18</v>
          </cell>
        </row>
        <row r="329">
          <cell r="B329" t="str">
            <v>شمش پراید</v>
          </cell>
          <cell r="C329" t="str">
            <v>قالب نو</v>
          </cell>
          <cell r="N329" t="str">
            <v>مونتاژ</v>
          </cell>
          <cell r="AC329" t="str">
            <v>1405/03/18</v>
          </cell>
        </row>
        <row r="330">
          <cell r="B330" t="str">
            <v>دستگاه پرس 600 تن</v>
          </cell>
          <cell r="C330" t="str">
            <v>قطعه تعمیری</v>
          </cell>
          <cell r="N330" t="str">
            <v>تراش</v>
          </cell>
          <cell r="AC330" t="str">
            <v>1405/03/18</v>
          </cell>
        </row>
        <row r="331">
          <cell r="B331" t="str">
            <v>پین عقب ریو</v>
          </cell>
          <cell r="C331" t="str">
            <v>قطعه نو</v>
          </cell>
          <cell r="N331" t="str">
            <v>سری تراش</v>
          </cell>
          <cell r="AC331" t="str">
            <v>1405/03/18</v>
          </cell>
        </row>
        <row r="332">
          <cell r="B332" t="str">
            <v>آغشته کاری</v>
          </cell>
          <cell r="C332" t="str">
            <v>قطعه نو</v>
          </cell>
          <cell r="N332" t="str">
            <v>تراش</v>
          </cell>
          <cell r="AC332" t="str">
            <v>1405/03/18</v>
          </cell>
        </row>
        <row r="333">
          <cell r="B333" t="str">
            <v>قالب توری پگاسوز</v>
          </cell>
          <cell r="C333" t="str">
            <v>قالب تعمیری</v>
          </cell>
          <cell r="N333" t="str">
            <v>وایر</v>
          </cell>
          <cell r="AC333" t="str">
            <v>1405/03/18</v>
          </cell>
        </row>
        <row r="334">
          <cell r="B334" t="str">
            <v>صنایع مس</v>
          </cell>
          <cell r="C334" t="str">
            <v>قطعه نو</v>
          </cell>
          <cell r="N334" t="str">
            <v>وایر</v>
          </cell>
          <cell r="AC334" t="str">
            <v>1405/03/18</v>
          </cell>
        </row>
        <row r="335">
          <cell r="B335" t="str">
            <v>آغشته کاری</v>
          </cell>
          <cell r="C335" t="str">
            <v>قطعه نو</v>
          </cell>
          <cell r="N335" t="str">
            <v>وایر</v>
          </cell>
          <cell r="AC335" t="str">
            <v>1405/03/18</v>
          </cell>
        </row>
        <row r="336">
          <cell r="B336" t="str">
            <v>قالب پخت کلاچ پیکان آرژانتینی</v>
          </cell>
          <cell r="C336" t="str">
            <v>قالب تعمیری</v>
          </cell>
          <cell r="N336" t="str">
            <v>وایر</v>
          </cell>
          <cell r="AC336" t="str">
            <v>1405/03/18</v>
          </cell>
        </row>
        <row r="337">
          <cell r="B337" t="str">
            <v>قالب جلو ریو</v>
          </cell>
          <cell r="C337" t="str">
            <v>قالب تعمیری</v>
          </cell>
          <cell r="N337" t="str">
            <v>مونتاژ</v>
          </cell>
          <cell r="AC337" t="str">
            <v>1405/03/18</v>
          </cell>
        </row>
        <row r="338">
          <cell r="B338" t="str">
            <v>کلاچ مینی بوس 309 سوراخدار</v>
          </cell>
          <cell r="C338" t="str">
            <v>قالب تعمیری</v>
          </cell>
          <cell r="N338" t="str">
            <v>مونتاژ</v>
          </cell>
          <cell r="AC338" t="str">
            <v>1405/03/18</v>
          </cell>
        </row>
        <row r="339">
          <cell r="B339" t="str">
            <v>دستگاه پشم فلز چینی</v>
          </cell>
          <cell r="C339" t="str">
            <v>قطعه نو</v>
          </cell>
          <cell r="N339" t="str">
            <v>مونتاژ</v>
          </cell>
          <cell r="AC339" t="str">
            <v>1405/03/18</v>
          </cell>
        </row>
        <row r="340">
          <cell r="B340" t="str">
            <v>صنایع مس</v>
          </cell>
          <cell r="C340" t="str">
            <v>قطعه نو</v>
          </cell>
          <cell r="N340" t="str">
            <v>مونتاژ</v>
          </cell>
          <cell r="AC340" t="str">
            <v>1405/03/18</v>
          </cell>
        </row>
        <row r="341">
          <cell r="B341" t="str">
            <v>پخت کلاچ پراید</v>
          </cell>
          <cell r="C341" t="str">
            <v>قالب تعمیری</v>
          </cell>
          <cell r="N341" t="str">
            <v>سنگ زنی</v>
          </cell>
          <cell r="AC341" t="str">
            <v>1405/03/18</v>
          </cell>
        </row>
        <row r="342">
          <cell r="B342" t="str">
            <v>شمش پراید</v>
          </cell>
          <cell r="C342" t="str">
            <v>قالب نو</v>
          </cell>
          <cell r="N342" t="str">
            <v>سنگ زنی</v>
          </cell>
          <cell r="AC342" t="str">
            <v>1405/03/18</v>
          </cell>
        </row>
        <row r="343">
          <cell r="B343" t="str">
            <v>پخت کلاچ پراید</v>
          </cell>
          <cell r="C343" t="str">
            <v>قالب تعمیری</v>
          </cell>
          <cell r="N343" t="str">
            <v>سنگ زنی</v>
          </cell>
          <cell r="AC343" t="str">
            <v>1405/03/18</v>
          </cell>
        </row>
        <row r="344">
          <cell r="B344" t="str">
            <v>قالب لودری 70028</v>
          </cell>
          <cell r="C344" t="str">
            <v>قالب تعمیری</v>
          </cell>
          <cell r="N344" t="str">
            <v>سنگ زنی</v>
          </cell>
          <cell r="AC344" t="str">
            <v>1405/03/18</v>
          </cell>
        </row>
        <row r="345">
          <cell r="B345" t="str">
            <v>Hammer Mill Machine</v>
          </cell>
          <cell r="C345" t="str">
            <v>دستگاه نو</v>
          </cell>
          <cell r="N345" t="str">
            <v>سنگ زنی</v>
          </cell>
          <cell r="AC345" t="str">
            <v>1405/03/18</v>
          </cell>
        </row>
        <row r="346">
          <cell r="B346" t="str">
            <v>قالب شمشی عقب پیکان</v>
          </cell>
          <cell r="C346" t="str">
            <v>قالب نو</v>
          </cell>
          <cell r="N346" t="str">
            <v>CNC</v>
          </cell>
          <cell r="AC346" t="str">
            <v>1405/03/19</v>
          </cell>
        </row>
        <row r="347">
          <cell r="B347" t="str">
            <v>قالب پخت کلاچ پژو 405</v>
          </cell>
          <cell r="C347" t="str">
            <v>قالب تعمیری</v>
          </cell>
          <cell r="N347" t="str">
            <v>CNC</v>
          </cell>
          <cell r="AC347" t="str">
            <v>1405/03/19</v>
          </cell>
        </row>
        <row r="348">
          <cell r="B348" t="str">
            <v>قالب پخت کلاچ پیکان آرژانتینی</v>
          </cell>
          <cell r="C348" t="str">
            <v>قالب تعمیری</v>
          </cell>
          <cell r="N348" t="str">
            <v>CNC</v>
          </cell>
          <cell r="AC348" t="str">
            <v>1405/03/19</v>
          </cell>
        </row>
        <row r="349">
          <cell r="B349" t="str">
            <v>پین عقب ریو</v>
          </cell>
          <cell r="C349" t="str">
            <v>قطعه نو</v>
          </cell>
          <cell r="N349" t="str">
            <v>سری تراش</v>
          </cell>
          <cell r="AC349" t="str">
            <v>1405/03/19</v>
          </cell>
        </row>
        <row r="350">
          <cell r="B350" t="str">
            <v>صنایع مس</v>
          </cell>
          <cell r="C350" t="str">
            <v>قطعه نو</v>
          </cell>
          <cell r="N350" t="str">
            <v>فرز</v>
          </cell>
          <cell r="AC350" t="str">
            <v>1405/03/19</v>
          </cell>
        </row>
        <row r="351">
          <cell r="B351" t="str">
            <v>Hammer Mill Machine</v>
          </cell>
          <cell r="C351" t="str">
            <v>دستگاه نو</v>
          </cell>
          <cell r="N351" t="str">
            <v>سنگ زنی</v>
          </cell>
          <cell r="AC351" t="str">
            <v>1405/03/19</v>
          </cell>
        </row>
        <row r="352">
          <cell r="B352" t="str">
            <v>شمش پراید</v>
          </cell>
          <cell r="C352" t="str">
            <v>قالب نو</v>
          </cell>
          <cell r="N352" t="str">
            <v>فرز</v>
          </cell>
          <cell r="AC352" t="str">
            <v>1405/03/19</v>
          </cell>
        </row>
        <row r="353">
          <cell r="B353" t="str">
            <v>دستگاه مهر زنی</v>
          </cell>
          <cell r="C353" t="str">
            <v>قطعه تعمیری</v>
          </cell>
          <cell r="N353" t="str">
            <v>وایر</v>
          </cell>
          <cell r="AC353" t="str">
            <v>1405/03/19</v>
          </cell>
        </row>
        <row r="354">
          <cell r="B354" t="str">
            <v>قالب پخت کلاچ پیکان آرژانتینی</v>
          </cell>
          <cell r="C354" t="str">
            <v>قالب تعمیری</v>
          </cell>
          <cell r="N354" t="str">
            <v>وایر</v>
          </cell>
          <cell r="AC354" t="str">
            <v>1405/03/19</v>
          </cell>
        </row>
        <row r="355">
          <cell r="B355" t="str">
            <v>دستگاه پشم فلز چینی</v>
          </cell>
          <cell r="C355" t="str">
            <v>قطعه نو</v>
          </cell>
          <cell r="N355" t="str">
            <v>فرز</v>
          </cell>
          <cell r="AC355" t="str">
            <v>1405/03/19</v>
          </cell>
        </row>
        <row r="356">
          <cell r="B356" t="str">
            <v>برش جمعی عقب ریو</v>
          </cell>
          <cell r="C356" t="str">
            <v>قطعه نو</v>
          </cell>
          <cell r="N356" t="str">
            <v>فرز</v>
          </cell>
          <cell r="AC356" t="str">
            <v>1405/03/19</v>
          </cell>
        </row>
        <row r="357">
          <cell r="B357" t="str">
            <v>ابزار زنی</v>
          </cell>
          <cell r="C357" t="str">
            <v>قطعه نو</v>
          </cell>
          <cell r="N357" t="str">
            <v>اره لنگ</v>
          </cell>
          <cell r="AC357" t="str">
            <v>1405/03/19</v>
          </cell>
        </row>
        <row r="358">
          <cell r="B358" t="str">
            <v>ساب سمباده ای</v>
          </cell>
          <cell r="C358" t="str">
            <v>قطعه تعمیری</v>
          </cell>
          <cell r="N358" t="str">
            <v>تراش</v>
          </cell>
          <cell r="AC358" t="str">
            <v>1405/03/19</v>
          </cell>
        </row>
        <row r="359">
          <cell r="B359" t="str">
            <v>ویوینگ</v>
          </cell>
          <cell r="C359" t="str">
            <v>قطعه تعمیری</v>
          </cell>
          <cell r="N359" t="str">
            <v>تراش</v>
          </cell>
          <cell r="AC359" t="str">
            <v>1405/03/19</v>
          </cell>
        </row>
        <row r="360">
          <cell r="B360" t="str">
            <v>ابزار زنی</v>
          </cell>
          <cell r="C360" t="str">
            <v>قطعه نو</v>
          </cell>
          <cell r="N360" t="str">
            <v>مونتاژ</v>
          </cell>
          <cell r="AC360" t="str">
            <v>1405/03/19</v>
          </cell>
        </row>
        <row r="361">
          <cell r="B361" t="str">
            <v>قالب پخت کلاچ پژو 405</v>
          </cell>
          <cell r="C361" t="str">
            <v>قالب تعمیری</v>
          </cell>
          <cell r="N361" t="str">
            <v>CNC</v>
          </cell>
          <cell r="AC361" t="str">
            <v>1405/03/20</v>
          </cell>
        </row>
        <row r="362">
          <cell r="B362" t="str">
            <v>قالب پخت کلاچ پیکان آرژانتینی</v>
          </cell>
          <cell r="C362" t="str">
            <v>قالب تعمیری</v>
          </cell>
          <cell r="N362" t="str">
            <v>CNC</v>
          </cell>
          <cell r="AC362" t="str">
            <v>1405/03/20</v>
          </cell>
        </row>
        <row r="363">
          <cell r="B363" t="str">
            <v>قالب شمشی عقب پیکان</v>
          </cell>
          <cell r="C363" t="str">
            <v>قالب نو</v>
          </cell>
          <cell r="N363" t="str">
            <v>CNC</v>
          </cell>
          <cell r="AC363" t="str">
            <v>1405/03/20</v>
          </cell>
        </row>
        <row r="364">
          <cell r="B364" t="str">
            <v>Hammer Mill Machine</v>
          </cell>
          <cell r="C364" t="str">
            <v>دستگاه نو</v>
          </cell>
          <cell r="N364" t="str">
            <v>سنگ زنی</v>
          </cell>
          <cell r="AC364" t="str">
            <v>1405/03/20</v>
          </cell>
        </row>
        <row r="365">
          <cell r="B365" t="str">
            <v>ابزار زنی</v>
          </cell>
          <cell r="C365" t="str">
            <v>قطعه نو</v>
          </cell>
          <cell r="N365" t="str">
            <v>تراش</v>
          </cell>
          <cell r="AC365" t="str">
            <v>1405/03/20</v>
          </cell>
        </row>
        <row r="366">
          <cell r="B366" t="str">
            <v>شمش پراید</v>
          </cell>
          <cell r="C366" t="str">
            <v>قالب نو</v>
          </cell>
          <cell r="N366" t="str">
            <v>فرز</v>
          </cell>
          <cell r="AC366" t="str">
            <v>1405/03/20</v>
          </cell>
        </row>
        <row r="367">
          <cell r="B367" t="str">
            <v>قالب پخت کلاچ پیکان آرژانتینی</v>
          </cell>
          <cell r="C367" t="str">
            <v>قالب تعمیری</v>
          </cell>
          <cell r="N367" t="str">
            <v>فرز</v>
          </cell>
          <cell r="AC367" t="str">
            <v>1405/03/20</v>
          </cell>
        </row>
        <row r="368">
          <cell r="B368" t="str">
            <v>پین عقب ریو</v>
          </cell>
          <cell r="C368" t="str">
            <v>قطعه نو</v>
          </cell>
          <cell r="N368" t="str">
            <v>سری تراش</v>
          </cell>
          <cell r="AC368" t="str">
            <v>1405/03/20</v>
          </cell>
        </row>
        <row r="369">
          <cell r="B369" t="str">
            <v>ساب سمباده ای</v>
          </cell>
          <cell r="C369" t="str">
            <v>قطعه نو</v>
          </cell>
          <cell r="N369" t="str">
            <v>تراش</v>
          </cell>
          <cell r="AC369" t="str">
            <v>1405/03/20</v>
          </cell>
        </row>
        <row r="370">
          <cell r="B370" t="str">
            <v>ابزار زنی</v>
          </cell>
          <cell r="C370" t="str">
            <v>قطعه نو</v>
          </cell>
          <cell r="N370" t="str">
            <v>اره لنگ</v>
          </cell>
          <cell r="AC370" t="str">
            <v>1405/03/20</v>
          </cell>
        </row>
        <row r="371">
          <cell r="B371" t="str">
            <v>ابزار زنی</v>
          </cell>
          <cell r="C371" t="str">
            <v>قطعه نو</v>
          </cell>
          <cell r="N371" t="str">
            <v>مونتاژ</v>
          </cell>
          <cell r="AC371" t="str">
            <v>1405/03/20</v>
          </cell>
        </row>
        <row r="372">
          <cell r="B372" t="str">
            <v>Hammer Mill Machine</v>
          </cell>
          <cell r="C372" t="str">
            <v>دستگاه نو</v>
          </cell>
          <cell r="N372" t="str">
            <v>وایر</v>
          </cell>
          <cell r="AC372" t="str">
            <v>1405/03/20</v>
          </cell>
        </row>
        <row r="373">
          <cell r="B373" t="str">
            <v>دستگاه مهر زنی</v>
          </cell>
          <cell r="C373" t="str">
            <v>قطعه تعمیری</v>
          </cell>
          <cell r="N373" t="str">
            <v>وایر</v>
          </cell>
          <cell r="AC373" t="str">
            <v>1405/03/20</v>
          </cell>
        </row>
        <row r="374">
          <cell r="B374" t="str">
            <v>دستگاه پشم فلز آلمانی</v>
          </cell>
          <cell r="C374" t="str">
            <v>قطعه نو</v>
          </cell>
          <cell r="N374" t="str">
            <v>وایر</v>
          </cell>
          <cell r="AC374" t="str">
            <v>1405/03/20</v>
          </cell>
        </row>
        <row r="375">
          <cell r="B375" t="str">
            <v>کلمپ زنی</v>
          </cell>
          <cell r="C375" t="str">
            <v>دستگاه تعمیری</v>
          </cell>
          <cell r="N375" t="str">
            <v>وایر</v>
          </cell>
          <cell r="AC375" t="str">
            <v>1405/03/20</v>
          </cell>
        </row>
        <row r="376">
          <cell r="B376" t="str">
            <v>Hammer Mill Machine</v>
          </cell>
          <cell r="C376" t="str">
            <v>دستگاه نو</v>
          </cell>
          <cell r="N376" t="str">
            <v>سوپردریل</v>
          </cell>
          <cell r="AC376" t="str">
            <v>1405/03/20</v>
          </cell>
        </row>
        <row r="377">
          <cell r="B377" t="str">
            <v>کلمپ زنی</v>
          </cell>
          <cell r="C377" t="str">
            <v>دستگاه تعمیری</v>
          </cell>
          <cell r="N377" t="str">
            <v>تراش</v>
          </cell>
          <cell r="AC377" t="str">
            <v>1405/03/20</v>
          </cell>
        </row>
        <row r="378">
          <cell r="B378" t="str">
            <v>کلمپ زنی</v>
          </cell>
          <cell r="C378" t="str">
            <v>دستگاه تعمیری</v>
          </cell>
          <cell r="N378" t="str">
            <v>تراش</v>
          </cell>
          <cell r="AC378" t="str">
            <v>1405/03/20</v>
          </cell>
        </row>
        <row r="379">
          <cell r="B379" t="str">
            <v>کلمپ زنی</v>
          </cell>
          <cell r="C379" t="str">
            <v>دستگاه تعمیری</v>
          </cell>
          <cell r="N379" t="str">
            <v>تراش</v>
          </cell>
          <cell r="AC379" t="str">
            <v>1405/03/20</v>
          </cell>
        </row>
        <row r="380">
          <cell r="B380" t="str">
            <v>Hammer Mill Machine</v>
          </cell>
          <cell r="C380" t="str">
            <v>دستگاه نو</v>
          </cell>
          <cell r="N380" t="str">
            <v>تراش</v>
          </cell>
          <cell r="AC380" t="str">
            <v>1405/03/20</v>
          </cell>
        </row>
        <row r="381">
          <cell r="B381" t="str">
            <v>دستگاه پشم فلز چینی</v>
          </cell>
          <cell r="C381" t="str">
            <v>قطعه نو</v>
          </cell>
          <cell r="N381" t="str">
            <v>فرز</v>
          </cell>
          <cell r="AC381" t="str">
            <v>1405/03/20</v>
          </cell>
        </row>
        <row r="382">
          <cell r="B382" t="str">
            <v>Hammer Mill Machine</v>
          </cell>
          <cell r="C382" t="str">
            <v>دستگاه نو</v>
          </cell>
          <cell r="N382" t="str">
            <v>CNC</v>
          </cell>
          <cell r="AC382" t="str">
            <v>1405/03/21</v>
          </cell>
        </row>
        <row r="383">
          <cell r="B383" t="str">
            <v>دستگاه توزین مواد</v>
          </cell>
          <cell r="C383" t="str">
            <v>قطعه تعمیری</v>
          </cell>
          <cell r="N383" t="str">
            <v>CNC</v>
          </cell>
          <cell r="AC383" t="str">
            <v>1405/03/21</v>
          </cell>
        </row>
        <row r="384">
          <cell r="B384" t="str">
            <v>دستگاه توزین مواد</v>
          </cell>
          <cell r="C384" t="str">
            <v>قطعه تعمیری</v>
          </cell>
          <cell r="N384" t="str">
            <v>CNC</v>
          </cell>
          <cell r="AC384" t="str">
            <v>1405/03/22</v>
          </cell>
        </row>
        <row r="385">
          <cell r="B385" t="str">
            <v>قالب پخت کلاچ پیکان آرژانتینی</v>
          </cell>
          <cell r="C385" t="str">
            <v>قالب تعمیری</v>
          </cell>
          <cell r="N385" t="str">
            <v>CNC</v>
          </cell>
          <cell r="AC385" t="str">
            <v>1405/03/21</v>
          </cell>
        </row>
        <row r="386">
          <cell r="B386" t="str">
            <v>ابزار زنی</v>
          </cell>
          <cell r="C386" t="str">
            <v>قطعه نو</v>
          </cell>
          <cell r="N386" t="str">
            <v>اره لنگ</v>
          </cell>
          <cell r="AC386" t="str">
            <v>1405/03/19</v>
          </cell>
        </row>
        <row r="387">
          <cell r="B387" t="str">
            <v>ابزار زنی</v>
          </cell>
          <cell r="C387" t="str">
            <v>قطعه نو</v>
          </cell>
          <cell r="N387" t="str">
            <v>اره لنگ</v>
          </cell>
          <cell r="AC387" t="str">
            <v>1405/03/19</v>
          </cell>
        </row>
        <row r="388">
          <cell r="B388" t="str">
            <v>ابزار زنی</v>
          </cell>
          <cell r="C388" t="str">
            <v>قطعه نو</v>
          </cell>
          <cell r="N388" t="str">
            <v>مونتاژ</v>
          </cell>
          <cell r="AC388" t="str">
            <v>1405/03/19</v>
          </cell>
        </row>
        <row r="389">
          <cell r="B389" t="str">
            <v>ابزار زنی</v>
          </cell>
          <cell r="C389" t="str">
            <v>قطعه نو</v>
          </cell>
          <cell r="N389" t="str">
            <v>مونتاژ</v>
          </cell>
          <cell r="AC389" t="str">
            <v>1405/03/21</v>
          </cell>
        </row>
        <row r="390">
          <cell r="B390" t="str">
            <v>اصول 5S</v>
          </cell>
          <cell r="C390" t="str">
            <v>نظافت</v>
          </cell>
          <cell r="N390" t="str">
            <v>نظافت</v>
          </cell>
          <cell r="AC390" t="str">
            <v>1405/03/21</v>
          </cell>
        </row>
        <row r="391">
          <cell r="B391" t="str">
            <v>ابزار زنی</v>
          </cell>
          <cell r="C391" t="str">
            <v>قطعه نو</v>
          </cell>
          <cell r="N391" t="str">
            <v>اره لنگ</v>
          </cell>
          <cell r="AC391" t="str">
            <v>1405/03/22</v>
          </cell>
        </row>
        <row r="392">
          <cell r="B392" t="str">
            <v>قالب پخت کلاچ پیکان آرژانتینی</v>
          </cell>
          <cell r="C392" t="str">
            <v>قالب تعمیری</v>
          </cell>
          <cell r="N392" t="str">
            <v>مونتاژ</v>
          </cell>
          <cell r="AC392" t="str">
            <v>1405/03/22</v>
          </cell>
        </row>
        <row r="393">
          <cell r="B393" t="str">
            <v>قالب پخت کلاچ پیکان آرژانتینی</v>
          </cell>
          <cell r="C393" t="str">
            <v>قالب تعمیری</v>
          </cell>
          <cell r="N393" t="str">
            <v>مونتاژ</v>
          </cell>
          <cell r="AC393" t="str">
            <v>1405/03/22</v>
          </cell>
        </row>
        <row r="394">
          <cell r="B394" t="str">
            <v>Hammer Mill Machine</v>
          </cell>
          <cell r="C394" t="str">
            <v>دستگاه نو</v>
          </cell>
          <cell r="N394" t="str">
            <v>سنگ زنی</v>
          </cell>
          <cell r="AC394" t="str">
            <v>1405/03/21</v>
          </cell>
        </row>
        <row r="395">
          <cell r="B395" t="str">
            <v>پخت کلاچ پراید</v>
          </cell>
          <cell r="C395" t="str">
            <v>قالب تعمیری</v>
          </cell>
          <cell r="N395" t="str">
            <v>سنگ زنی</v>
          </cell>
          <cell r="AC395" t="str">
            <v>1405/03/21</v>
          </cell>
        </row>
        <row r="396">
          <cell r="B396" t="str">
            <v>شمش پراید</v>
          </cell>
          <cell r="C396" t="str">
            <v>قالب نو</v>
          </cell>
          <cell r="N396" t="str">
            <v>سنگ زنی</v>
          </cell>
          <cell r="AC396" t="str">
            <v>1405/03/21</v>
          </cell>
        </row>
        <row r="397">
          <cell r="B397" t="str">
            <v>برش جمعی</v>
          </cell>
          <cell r="C397" t="str">
            <v>قطعه تعمیری</v>
          </cell>
          <cell r="N397" t="str">
            <v>تراش</v>
          </cell>
          <cell r="AC397" t="str">
            <v>1405/03/21</v>
          </cell>
        </row>
        <row r="398">
          <cell r="B398" t="str">
            <v>ابزار زنی</v>
          </cell>
          <cell r="C398" t="str">
            <v>قطعه نو</v>
          </cell>
          <cell r="N398" t="str">
            <v>مونتاژ</v>
          </cell>
          <cell r="AC398" t="str">
            <v>1405/03/21</v>
          </cell>
        </row>
        <row r="399">
          <cell r="B399" t="str">
            <v>اصول 5S</v>
          </cell>
          <cell r="C399" t="str">
            <v>نظافت</v>
          </cell>
          <cell r="N399" t="str">
            <v>نظافت</v>
          </cell>
          <cell r="AC399" t="str">
            <v>1405/03/21</v>
          </cell>
        </row>
        <row r="400">
          <cell r="B400" t="str">
            <v>ابزار زنی</v>
          </cell>
          <cell r="C400" t="str">
            <v>قطعه نو</v>
          </cell>
          <cell r="N400" t="str">
            <v>مونتاژ</v>
          </cell>
          <cell r="AC400" t="str">
            <v>1405/03/22</v>
          </cell>
        </row>
        <row r="401">
          <cell r="B401" t="str">
            <v>Hammer Mill Machine</v>
          </cell>
          <cell r="C401" t="str">
            <v>دستگاه نو</v>
          </cell>
          <cell r="N401" t="str">
            <v>وایر</v>
          </cell>
          <cell r="AC401" t="str">
            <v>1405/03/22</v>
          </cell>
        </row>
        <row r="402">
          <cell r="B402" t="str">
            <v>آغشته کاری</v>
          </cell>
          <cell r="C402" t="str">
            <v>قطعه تعمیری</v>
          </cell>
          <cell r="N402" t="str">
            <v>تراش</v>
          </cell>
          <cell r="AC402" t="str">
            <v>1405/03/22</v>
          </cell>
        </row>
        <row r="403">
          <cell r="B403" t="str">
            <v>آغشته کاری</v>
          </cell>
          <cell r="C403" t="str">
            <v>قطعه تعمیری</v>
          </cell>
          <cell r="N403" t="str">
            <v>مونتاژ</v>
          </cell>
          <cell r="AC403" t="str">
            <v>1405/03/22</v>
          </cell>
        </row>
        <row r="404">
          <cell r="B404" t="str">
            <v>کلمپ زنی</v>
          </cell>
          <cell r="C404" t="str">
            <v>دستگاه تعمیری</v>
          </cell>
          <cell r="N404" t="str">
            <v>مونتاژ</v>
          </cell>
          <cell r="AC404" t="str">
            <v>1405/03/19</v>
          </cell>
        </row>
        <row r="405">
          <cell r="B405" t="str">
            <v>ابزار زنی</v>
          </cell>
          <cell r="C405" t="str">
            <v>قطعه نو</v>
          </cell>
          <cell r="N405" t="str">
            <v>اره لنگ</v>
          </cell>
          <cell r="AC405" t="str">
            <v>1405/03/19</v>
          </cell>
        </row>
        <row r="406">
          <cell r="B406" t="str">
            <v>Hammer Mill Machine</v>
          </cell>
          <cell r="C406" t="str">
            <v>دستگاه نو</v>
          </cell>
          <cell r="N406" t="str">
            <v>مونتاژ</v>
          </cell>
          <cell r="AC406" t="str">
            <v>1405/03/20</v>
          </cell>
        </row>
        <row r="407">
          <cell r="B407" t="str">
            <v>Hammer Mill Machine</v>
          </cell>
          <cell r="C407" t="str">
            <v>دستگاه نو</v>
          </cell>
          <cell r="N407" t="str">
            <v>مونتاژ</v>
          </cell>
          <cell r="AC407" t="str">
            <v>1405/03/20</v>
          </cell>
        </row>
        <row r="408">
          <cell r="B408" t="str">
            <v>قالب پخت کلاچ پژو 405</v>
          </cell>
          <cell r="C408" t="str">
            <v>قالب تعمیری</v>
          </cell>
          <cell r="N408" t="str">
            <v>مونتاژ</v>
          </cell>
          <cell r="AC408" t="str">
            <v>1405/03/23</v>
          </cell>
        </row>
        <row r="409">
          <cell r="B409" t="str">
            <v>شمش پراید</v>
          </cell>
          <cell r="C409" t="str">
            <v>قالب نو</v>
          </cell>
          <cell r="N409" t="str">
            <v>دریل رادیال</v>
          </cell>
          <cell r="AC409" t="str">
            <v>1405/03/23</v>
          </cell>
        </row>
        <row r="410">
          <cell r="B410" t="str">
            <v>قالب تیبا خزینه چپ</v>
          </cell>
          <cell r="C410" t="str">
            <v>قالب تعمیری</v>
          </cell>
          <cell r="N410" t="str">
            <v>مونتاژ</v>
          </cell>
          <cell r="AC410" t="str">
            <v>1405/03/23</v>
          </cell>
        </row>
        <row r="411">
          <cell r="B411" t="str">
            <v>دستگاه پشم فلز آلمانی</v>
          </cell>
          <cell r="C411" t="str">
            <v>قطعه نو</v>
          </cell>
          <cell r="N411" t="str">
            <v>وایر</v>
          </cell>
          <cell r="AC411" t="str">
            <v>1405/03/21</v>
          </cell>
        </row>
        <row r="412">
          <cell r="B412" t="str">
            <v>Hammer Mill Machine</v>
          </cell>
          <cell r="C412" t="str">
            <v>دستگاه نو</v>
          </cell>
          <cell r="N412" t="str">
            <v>وایر</v>
          </cell>
          <cell r="AC412" t="str">
            <v>1405/03/21</v>
          </cell>
        </row>
        <row r="413">
          <cell r="B413" t="str">
            <v>کلمپ زنی</v>
          </cell>
          <cell r="C413" t="str">
            <v>دستگاه تعمیری</v>
          </cell>
          <cell r="N413" t="str">
            <v>مونتاژ</v>
          </cell>
          <cell r="AC413" t="str">
            <v>1405/03/23</v>
          </cell>
        </row>
        <row r="414">
          <cell r="B414" t="str">
            <v>قالب پخت کلاچ پیکان آرژانتینی</v>
          </cell>
          <cell r="C414" t="str">
            <v>قالب تعمیری</v>
          </cell>
          <cell r="N414" t="str">
            <v>مونتاژ</v>
          </cell>
          <cell r="AC414" t="str">
            <v>1405/03/23</v>
          </cell>
        </row>
        <row r="415">
          <cell r="B415" t="str">
            <v>قالب پخت کلاچ پیکان آرژانتینی</v>
          </cell>
          <cell r="C415" t="str">
            <v>قالب تعمیری</v>
          </cell>
          <cell r="N415" t="str">
            <v>مونتاژ</v>
          </cell>
          <cell r="AC415" t="str">
            <v>1405/03/23</v>
          </cell>
        </row>
        <row r="416">
          <cell r="B416" t="str">
            <v>صفحات 50*50 پخت کلاچ</v>
          </cell>
          <cell r="C416" t="str">
            <v>قالب تعمیری</v>
          </cell>
          <cell r="N416" t="str">
            <v>فرز</v>
          </cell>
          <cell r="AC416" t="str">
            <v>1405/03/21</v>
          </cell>
        </row>
        <row r="417">
          <cell r="B417" t="str">
            <v>کلمپ زنی</v>
          </cell>
          <cell r="C417" t="str">
            <v>دستگاه تعمیری</v>
          </cell>
          <cell r="N417" t="str">
            <v>دریل رادیال</v>
          </cell>
          <cell r="AC417" t="str">
            <v>1405/03/21</v>
          </cell>
        </row>
        <row r="418">
          <cell r="B418" t="str">
            <v>دستگاه پشم فلز آلمانی</v>
          </cell>
          <cell r="C418" t="str">
            <v>قطعه نو</v>
          </cell>
          <cell r="N418" t="str">
            <v>مونتاژ</v>
          </cell>
          <cell r="AC418" t="str">
            <v>1405/03/21</v>
          </cell>
        </row>
        <row r="419">
          <cell r="B419" t="str">
            <v>اصول 5S</v>
          </cell>
          <cell r="C419" t="str">
            <v>نظافت</v>
          </cell>
          <cell r="N419" t="str">
            <v>نظافت</v>
          </cell>
          <cell r="AC419" t="str">
            <v>1405/03/21</v>
          </cell>
        </row>
        <row r="420">
          <cell r="B420" t="str">
            <v>Hammer Mill Machine</v>
          </cell>
          <cell r="C420" t="str">
            <v>دستگاه نو</v>
          </cell>
          <cell r="N420" t="str">
            <v>دریل رادیال</v>
          </cell>
          <cell r="AC420" t="str">
            <v>1405/03/21</v>
          </cell>
        </row>
        <row r="421">
          <cell r="B421" t="str">
            <v>قالب پخت کلاچ پیکان آرژانتینی</v>
          </cell>
          <cell r="C421" t="str">
            <v>قالب تعمیری</v>
          </cell>
          <cell r="N421" t="str">
            <v>مونتاژ</v>
          </cell>
          <cell r="AC421" t="str">
            <v>1405/03/22</v>
          </cell>
        </row>
        <row r="422">
          <cell r="B422" t="str">
            <v>قالب پخت کلاچ پیکان آرژانتینی</v>
          </cell>
          <cell r="C422" t="str">
            <v>قالب تعمیری</v>
          </cell>
          <cell r="N422" t="str">
            <v>دریل رادیال</v>
          </cell>
          <cell r="AC422" t="str">
            <v>1405/03/22</v>
          </cell>
        </row>
        <row r="423">
          <cell r="B423" t="str">
            <v>قالب پخت کلاچ پژو 405</v>
          </cell>
          <cell r="C423" t="str">
            <v>قالب تعمیری</v>
          </cell>
          <cell r="N423" t="str">
            <v>مونتاژ</v>
          </cell>
          <cell r="AC423" t="str">
            <v>1405/03/22</v>
          </cell>
        </row>
        <row r="424">
          <cell r="B424" t="str">
            <v>پین عقب آلستوم</v>
          </cell>
          <cell r="C424" t="str">
            <v>قطعه نو</v>
          </cell>
          <cell r="N424" t="str">
            <v>سری تراش</v>
          </cell>
          <cell r="AC424" t="str">
            <v>1405/03/23</v>
          </cell>
        </row>
        <row r="425">
          <cell r="B425" t="str">
            <v>Hammer Mill Machine</v>
          </cell>
          <cell r="C425" t="str">
            <v>دستگاه نو</v>
          </cell>
          <cell r="N425" t="str">
            <v>CNC</v>
          </cell>
          <cell r="AC425" t="str">
            <v>1405/03/23</v>
          </cell>
        </row>
        <row r="426">
          <cell r="B426" t="str">
            <v>پخت کلاچ پراید</v>
          </cell>
          <cell r="C426" t="str">
            <v>قالب تعمیری</v>
          </cell>
          <cell r="N426" t="str">
            <v>CNC</v>
          </cell>
          <cell r="AC426" t="str">
            <v>1405/03/23</v>
          </cell>
        </row>
        <row r="427">
          <cell r="B427" t="str">
            <v>صفحات 50*50 پخت کلاچ</v>
          </cell>
          <cell r="C427" t="str">
            <v>قالب تعمیری</v>
          </cell>
          <cell r="N427" t="str">
            <v>فرز</v>
          </cell>
          <cell r="AC427" t="str">
            <v>1405/03/23</v>
          </cell>
        </row>
        <row r="428">
          <cell r="B428" t="str">
            <v>دستگاه پشم فلز چینی</v>
          </cell>
          <cell r="C428" t="str">
            <v>قطعه نو</v>
          </cell>
          <cell r="N428" t="str">
            <v>فرز</v>
          </cell>
          <cell r="AC428" t="str">
            <v>1405/03/23</v>
          </cell>
        </row>
        <row r="429">
          <cell r="B429" t="str">
            <v>دریل یزدخواستی کلاچ</v>
          </cell>
          <cell r="C429" t="str">
            <v>قطعه نو</v>
          </cell>
          <cell r="N429" t="str">
            <v>تراش</v>
          </cell>
          <cell r="AC429" t="str">
            <v>1405/03/23</v>
          </cell>
        </row>
        <row r="430">
          <cell r="B430" t="str">
            <v>قالب پخت کلاچ پژو 405</v>
          </cell>
          <cell r="C430" t="str">
            <v>قالب تعمیری</v>
          </cell>
          <cell r="N430" t="str">
            <v>تراش</v>
          </cell>
          <cell r="AC430" t="str">
            <v>1405/03/23</v>
          </cell>
        </row>
        <row r="431">
          <cell r="B431" t="str">
            <v>ابزار زنی</v>
          </cell>
          <cell r="C431" t="str">
            <v>قطعه نو</v>
          </cell>
          <cell r="N431" t="str">
            <v>تراش</v>
          </cell>
          <cell r="AC431" t="str">
            <v>1405/03/23</v>
          </cell>
        </row>
        <row r="432">
          <cell r="B432" t="str">
            <v>قالب توری پگاسوز</v>
          </cell>
          <cell r="C432" t="str">
            <v>قالب تعمیری</v>
          </cell>
          <cell r="N432" t="str">
            <v>مونتاژ</v>
          </cell>
          <cell r="AC432" t="str">
            <v>1405/03/23</v>
          </cell>
        </row>
        <row r="433">
          <cell r="B433" t="str">
            <v>ابزار زنی</v>
          </cell>
          <cell r="C433" t="str">
            <v>قطعه نو</v>
          </cell>
          <cell r="N433" t="str">
            <v>اره لنگ</v>
          </cell>
          <cell r="AC433" t="str">
            <v>1405/03/23</v>
          </cell>
        </row>
        <row r="434">
          <cell r="B434" t="str">
            <v>قالب نیسان آریا</v>
          </cell>
          <cell r="C434" t="str">
            <v>قالب نو</v>
          </cell>
          <cell r="N434" t="str">
            <v>مونتاژ</v>
          </cell>
          <cell r="AC434" t="str">
            <v>1405/03/23</v>
          </cell>
        </row>
        <row r="435">
          <cell r="B435" t="str">
            <v>ابزار زنی</v>
          </cell>
          <cell r="C435" t="str">
            <v>قطعه نو</v>
          </cell>
          <cell r="N435" t="str">
            <v>تراش</v>
          </cell>
          <cell r="AC435" t="str">
            <v>1405/03/23</v>
          </cell>
        </row>
        <row r="436">
          <cell r="B436" t="str">
            <v>ابزار زنی</v>
          </cell>
          <cell r="C436" t="str">
            <v>قطعه نو</v>
          </cell>
          <cell r="N436" t="str">
            <v>مونتاژ</v>
          </cell>
          <cell r="AC436" t="str">
            <v>1405/03/23</v>
          </cell>
        </row>
        <row r="437">
          <cell r="B437" t="str">
            <v>کلمپ زنی</v>
          </cell>
          <cell r="C437" t="str">
            <v>قطعه نو</v>
          </cell>
          <cell r="N437" t="str">
            <v>تراش</v>
          </cell>
          <cell r="AC437" t="str">
            <v>1405/03/23</v>
          </cell>
        </row>
        <row r="438">
          <cell r="B438" t="str">
            <v>دستگاه توزین مواد</v>
          </cell>
          <cell r="C438" t="str">
            <v>قطعه تعمیری</v>
          </cell>
          <cell r="N438" t="str">
            <v>CNC</v>
          </cell>
          <cell r="AC438" t="str">
            <v>1405/03/23</v>
          </cell>
        </row>
        <row r="439">
          <cell r="B439" t="str">
            <v>قالب توری پگاسوز</v>
          </cell>
          <cell r="C439" t="str">
            <v>قالب تعمیری</v>
          </cell>
          <cell r="N439" t="str">
            <v>CNC</v>
          </cell>
          <cell r="AC439" t="str">
            <v>1405/03/23</v>
          </cell>
        </row>
        <row r="440">
          <cell r="B440" t="str">
            <v>قالب پخت کلاچ پژو 405</v>
          </cell>
          <cell r="C440" t="str">
            <v>قالب تعمیری</v>
          </cell>
          <cell r="N440" t="str">
            <v>CNC</v>
          </cell>
          <cell r="AC440" t="str">
            <v>1405/03/23</v>
          </cell>
        </row>
        <row r="441">
          <cell r="B441" t="str">
            <v>شمش پراید</v>
          </cell>
          <cell r="C441" t="str">
            <v>قالب نو</v>
          </cell>
          <cell r="N441" t="str">
            <v>سنگ زنی</v>
          </cell>
          <cell r="AC441" t="str">
            <v>1405/03/22</v>
          </cell>
        </row>
        <row r="442">
          <cell r="B442" t="str">
            <v>پخت کلاچ پراید</v>
          </cell>
          <cell r="C442" t="str">
            <v>قالب تعمیری</v>
          </cell>
          <cell r="N442" t="str">
            <v>سنگ زنی</v>
          </cell>
          <cell r="AC442" t="str">
            <v>1405/03/22</v>
          </cell>
        </row>
        <row r="443">
          <cell r="B443" t="str">
            <v>قالب توری پگاسوز</v>
          </cell>
          <cell r="C443" t="str">
            <v>قالب تعمیری</v>
          </cell>
          <cell r="N443" t="str">
            <v>سنگ زنی</v>
          </cell>
          <cell r="AC443" t="str">
            <v>1405/03/23</v>
          </cell>
        </row>
        <row r="444">
          <cell r="B444" t="str">
            <v>قالب پخت کلاچ پیکان آرژانتینی</v>
          </cell>
          <cell r="C444" t="str">
            <v>قالب تعمیری</v>
          </cell>
          <cell r="N444" t="str">
            <v>سنگ زنی</v>
          </cell>
          <cell r="AC444" t="str">
            <v>1405/03/23</v>
          </cell>
        </row>
        <row r="445">
          <cell r="B445" t="str">
            <v>Hammer Mill Machine</v>
          </cell>
          <cell r="C445" t="str">
            <v>دستگاه نو</v>
          </cell>
          <cell r="N445" t="str">
            <v>وایر</v>
          </cell>
          <cell r="AC445" t="str">
            <v>1405/03/23</v>
          </cell>
        </row>
        <row r="446">
          <cell r="B446" t="str">
            <v>دستگاه پشم فلز آلمانی</v>
          </cell>
          <cell r="C446" t="str">
            <v>قطعه نو</v>
          </cell>
          <cell r="N446" t="str">
            <v>وایر</v>
          </cell>
          <cell r="AC446" t="str">
            <v>1405/03/23</v>
          </cell>
        </row>
        <row r="447">
          <cell r="B447" t="str">
            <v>برش آلستوم</v>
          </cell>
          <cell r="C447" t="str">
            <v>قالب تعمیری</v>
          </cell>
          <cell r="N447" t="str">
            <v>وایر</v>
          </cell>
          <cell r="AC447" t="str">
            <v>1405/03/23</v>
          </cell>
        </row>
        <row r="448">
          <cell r="B448" t="str">
            <v>قالب لودری 70021</v>
          </cell>
          <cell r="C448" t="str">
            <v>قالب تعمیری</v>
          </cell>
          <cell r="N448" t="str">
            <v>وایر</v>
          </cell>
          <cell r="AC448" t="str">
            <v>1405/03/23</v>
          </cell>
        </row>
        <row r="449">
          <cell r="B449" t="str">
            <v>دستگاه پرس 600 تن</v>
          </cell>
          <cell r="C449" t="str">
            <v>قطعه تعمیری</v>
          </cell>
          <cell r="N449" t="str">
            <v>وایر</v>
          </cell>
          <cell r="AC449" t="str">
            <v>1405/03/24</v>
          </cell>
        </row>
        <row r="450">
          <cell r="B450" t="str">
            <v>دستگاه پشم فلز آلمانی</v>
          </cell>
          <cell r="C450" t="str">
            <v>قطعه نو</v>
          </cell>
          <cell r="N450" t="str">
            <v>وایر</v>
          </cell>
          <cell r="AC450" t="str">
            <v>1405/03/24</v>
          </cell>
        </row>
        <row r="451">
          <cell r="B451" t="str">
            <v>Hammer Mill Machine</v>
          </cell>
          <cell r="C451" t="str">
            <v>دستگاه نو</v>
          </cell>
          <cell r="N451" t="str">
            <v>وایر</v>
          </cell>
          <cell r="AC451" t="str">
            <v>1405/03/24</v>
          </cell>
        </row>
        <row r="452">
          <cell r="B452" t="str">
            <v>کوبه نک قطاری</v>
          </cell>
          <cell r="C452" t="str">
            <v>قالب تعمیری</v>
          </cell>
          <cell r="N452" t="str">
            <v>وایر</v>
          </cell>
          <cell r="AC452" t="str">
            <v>1405/03/24</v>
          </cell>
        </row>
        <row r="453">
          <cell r="B453" t="str">
            <v>تیغ فرز</v>
          </cell>
          <cell r="C453" t="str">
            <v>قطعه تعمیری</v>
          </cell>
          <cell r="N453" t="str">
            <v>وایر</v>
          </cell>
          <cell r="AC453" t="str">
            <v>1405/03/24</v>
          </cell>
        </row>
        <row r="454">
          <cell r="B454" t="str">
            <v>نگهدارنده پلاک قالب</v>
          </cell>
          <cell r="C454" t="str">
            <v>قطعه نو</v>
          </cell>
          <cell r="N454" t="str">
            <v>وایر</v>
          </cell>
          <cell r="AC454" t="str">
            <v>1405/03/24</v>
          </cell>
        </row>
        <row r="455">
          <cell r="B455" t="str">
            <v>پخت کلاچ پراید</v>
          </cell>
          <cell r="C455" t="str">
            <v>قالب تعمیری</v>
          </cell>
          <cell r="N455" t="str">
            <v>CNC</v>
          </cell>
          <cell r="AC455" t="str">
            <v>1405/03/24</v>
          </cell>
        </row>
        <row r="456">
          <cell r="B456" t="str">
            <v>پخت کلاچ پراید</v>
          </cell>
          <cell r="C456" t="str">
            <v>قالب تعمیری</v>
          </cell>
          <cell r="N456" t="str">
            <v>CNC</v>
          </cell>
          <cell r="AC456" t="str">
            <v>1405/03/25</v>
          </cell>
        </row>
        <row r="457">
          <cell r="B457" t="str">
            <v>دستگاه پشم فلز چینی</v>
          </cell>
          <cell r="C457" t="str">
            <v>قطعه نو</v>
          </cell>
          <cell r="N457" t="str">
            <v>فرز</v>
          </cell>
          <cell r="AC457" t="str">
            <v>1405/03/24</v>
          </cell>
        </row>
        <row r="458">
          <cell r="B458" t="str">
            <v>شمش پراید</v>
          </cell>
          <cell r="C458" t="str">
            <v>قالب نو</v>
          </cell>
          <cell r="N458" t="str">
            <v>فرز</v>
          </cell>
          <cell r="AC458" t="str">
            <v>1405/03/24</v>
          </cell>
        </row>
        <row r="459">
          <cell r="B459" t="str">
            <v>صفحات 50*50 پخت کلاچ</v>
          </cell>
          <cell r="C459" t="str">
            <v>قالب تعمیری</v>
          </cell>
          <cell r="N459" t="str">
            <v>فرز</v>
          </cell>
          <cell r="AC459" t="str">
            <v>1405/03/24</v>
          </cell>
        </row>
        <row r="460">
          <cell r="B460" t="str">
            <v>قالب پخت کلاچ پژو 405</v>
          </cell>
          <cell r="C460" t="str">
            <v>قالب تعمیری</v>
          </cell>
          <cell r="N460" t="str">
            <v>CNC</v>
          </cell>
          <cell r="AC460" t="str">
            <v>1405/03/24</v>
          </cell>
        </row>
        <row r="461">
          <cell r="B461" t="str">
            <v>قالب پخت کلاچ پژو 405</v>
          </cell>
          <cell r="C461" t="str">
            <v>قالب تعمیری</v>
          </cell>
          <cell r="N461" t="str">
            <v>CNC</v>
          </cell>
          <cell r="AC461" t="str">
            <v>1405/03/25</v>
          </cell>
        </row>
        <row r="462">
          <cell r="B462" t="str">
            <v>قالب پخت کلاچ پژو 405</v>
          </cell>
          <cell r="C462" t="str">
            <v>قالب تعمیری</v>
          </cell>
          <cell r="N462" t="str">
            <v>CNC</v>
          </cell>
          <cell r="AC462" t="str">
            <v>1405/03/25</v>
          </cell>
        </row>
        <row r="463">
          <cell r="B463" t="str">
            <v>پین عقب آلستوم</v>
          </cell>
          <cell r="C463" t="str">
            <v>قطعه نو</v>
          </cell>
          <cell r="N463" t="str">
            <v>سری تراش</v>
          </cell>
          <cell r="AC463" t="str">
            <v>1405/03/24</v>
          </cell>
        </row>
        <row r="464">
          <cell r="B464" t="str">
            <v>پین عقب آلستوم</v>
          </cell>
          <cell r="C464" t="str">
            <v>قطعه نو</v>
          </cell>
          <cell r="N464" t="str">
            <v>سری تراش</v>
          </cell>
          <cell r="AC464" t="str">
            <v>1405/03/25</v>
          </cell>
        </row>
        <row r="465">
          <cell r="B465" t="str">
            <v>دستگاه پرس 600 تن</v>
          </cell>
          <cell r="C465" t="str">
            <v>قطعه تعمیری</v>
          </cell>
          <cell r="N465" t="str">
            <v>CNC</v>
          </cell>
          <cell r="AC465" t="str">
            <v>1405/03/24</v>
          </cell>
        </row>
        <row r="466">
          <cell r="B466" t="str">
            <v>قالب توری پگاسوز</v>
          </cell>
          <cell r="C466" t="str">
            <v>قالب تعمیری</v>
          </cell>
          <cell r="N466" t="str">
            <v>CNC</v>
          </cell>
          <cell r="AC466" t="str">
            <v>1405/03/25</v>
          </cell>
        </row>
        <row r="467">
          <cell r="B467" t="str">
            <v>دریل یزدخواستی کلاچ</v>
          </cell>
          <cell r="C467" t="str">
            <v>قطعه نو</v>
          </cell>
          <cell r="N467" t="str">
            <v>CNC</v>
          </cell>
          <cell r="AC467" t="str">
            <v>1405/03/25</v>
          </cell>
        </row>
        <row r="468">
          <cell r="B468" t="str">
            <v>ابزار زنی</v>
          </cell>
          <cell r="C468" t="str">
            <v>قطعه نو</v>
          </cell>
          <cell r="N468" t="str">
            <v>مونتاژ</v>
          </cell>
          <cell r="AC468" t="str">
            <v>1405/03/24</v>
          </cell>
        </row>
        <row r="469">
          <cell r="B469" t="str">
            <v>پرس پخت</v>
          </cell>
          <cell r="C469" t="str">
            <v>قطعه تعمیری</v>
          </cell>
          <cell r="N469" t="str">
            <v>تراش</v>
          </cell>
          <cell r="AC469" t="str">
            <v>1405/03/24</v>
          </cell>
        </row>
        <row r="470">
          <cell r="B470" t="str">
            <v>پرس پخت کلاچ</v>
          </cell>
          <cell r="C470" t="str">
            <v>قطعه تعمیری</v>
          </cell>
          <cell r="N470" t="str">
            <v>تراش</v>
          </cell>
          <cell r="AC470" t="str">
            <v>1405/03/24</v>
          </cell>
        </row>
        <row r="471">
          <cell r="B471" t="str">
            <v>پرس پخت کلاچ</v>
          </cell>
          <cell r="C471" t="str">
            <v>قطعه تعمیری</v>
          </cell>
          <cell r="N471" t="str">
            <v>تراش</v>
          </cell>
          <cell r="AC471" t="str">
            <v>1405/03/24</v>
          </cell>
        </row>
        <row r="472">
          <cell r="B472" t="str">
            <v>قالب پخت کلاچ پیکان آرژانتینی</v>
          </cell>
          <cell r="C472" t="str">
            <v>قالب تعمیری</v>
          </cell>
          <cell r="N472" t="str">
            <v>تراش</v>
          </cell>
          <cell r="AC472" t="str">
            <v>1405/03/24</v>
          </cell>
        </row>
        <row r="473">
          <cell r="B473" t="str">
            <v>Hammer Mill Machine</v>
          </cell>
          <cell r="C473" t="str">
            <v>دستگاه نو</v>
          </cell>
          <cell r="N473" t="str">
            <v>تراش</v>
          </cell>
          <cell r="AC473" t="str">
            <v>1405/03/25</v>
          </cell>
        </row>
        <row r="474">
          <cell r="B474" t="str">
            <v>ساب سمباده ای</v>
          </cell>
          <cell r="C474" t="str">
            <v>قطعه نو</v>
          </cell>
          <cell r="N474" t="str">
            <v>تراش</v>
          </cell>
          <cell r="AC474" t="str">
            <v>1405/03/25</v>
          </cell>
        </row>
        <row r="475">
          <cell r="B475" t="str">
            <v>ساب سمباده ای</v>
          </cell>
          <cell r="C475" t="str">
            <v>قطعه نو</v>
          </cell>
          <cell r="N475" t="str">
            <v>تراش</v>
          </cell>
          <cell r="AC475" t="str">
            <v>1405/03/25</v>
          </cell>
        </row>
        <row r="476">
          <cell r="B476" t="str">
            <v>دریل یزدخواستی کلاچ</v>
          </cell>
          <cell r="C476" t="str">
            <v>قطعه نو</v>
          </cell>
          <cell r="N476" t="str">
            <v>تراش</v>
          </cell>
          <cell r="AC476" t="str">
            <v>1405/03/25</v>
          </cell>
        </row>
        <row r="477">
          <cell r="B477" t="str">
            <v>قالب پخت کلاچ پیکان آرژانتینی</v>
          </cell>
          <cell r="C477" t="str">
            <v>قالب تعمیری</v>
          </cell>
          <cell r="N477" t="str">
            <v>تراش</v>
          </cell>
          <cell r="AC477" t="str">
            <v>1405/03/24</v>
          </cell>
        </row>
        <row r="478">
          <cell r="B478" t="str">
            <v>قالب پخت کلاچ پیکان آرژانتینی</v>
          </cell>
          <cell r="C478" t="str">
            <v>قالب تعمیری</v>
          </cell>
          <cell r="N478" t="str">
            <v>تراش</v>
          </cell>
          <cell r="AC478" t="str">
            <v>1405/03/24</v>
          </cell>
        </row>
        <row r="479">
          <cell r="B479" t="str">
            <v>سری نقطه جوش</v>
          </cell>
          <cell r="C479" t="str">
            <v>قطعه تعمیری</v>
          </cell>
          <cell r="N479" t="str">
            <v>تراش</v>
          </cell>
          <cell r="AC479" t="str">
            <v>1405/03/24</v>
          </cell>
        </row>
        <row r="480">
          <cell r="B480" t="str">
            <v>قالب پخت کلاچ پیکان آرژانتینی</v>
          </cell>
          <cell r="C480" t="str">
            <v>قالب تعمیری</v>
          </cell>
          <cell r="N480" t="str">
            <v>تراش</v>
          </cell>
          <cell r="AC480" t="str">
            <v>1405/03/25</v>
          </cell>
        </row>
        <row r="481">
          <cell r="B481" t="str">
            <v>قالب پخت کلاچ پژو 405</v>
          </cell>
          <cell r="C481" t="str">
            <v>قالب تعمیری</v>
          </cell>
          <cell r="N481" t="str">
            <v>تراش</v>
          </cell>
          <cell r="AC481" t="str">
            <v>1405/03/25</v>
          </cell>
        </row>
        <row r="482">
          <cell r="B482" t="str">
            <v>شمش پراید</v>
          </cell>
          <cell r="C482" t="str">
            <v>قالب نو</v>
          </cell>
          <cell r="N482" t="str">
            <v>مونتاژ</v>
          </cell>
          <cell r="AC482" t="str">
            <v>1405/03/24</v>
          </cell>
        </row>
        <row r="483">
          <cell r="B483" t="str">
            <v>قالب پخت کلاچ پیکان آرژانتینی</v>
          </cell>
          <cell r="C483" t="str">
            <v>قالب تعمیری</v>
          </cell>
          <cell r="N483" t="str">
            <v>مونتاژ</v>
          </cell>
          <cell r="AC483" t="str">
            <v>1405/03/24</v>
          </cell>
        </row>
        <row r="484">
          <cell r="B484" t="str">
            <v>قالب پخت کلاچ پیکان آرژانتینی</v>
          </cell>
          <cell r="C484" t="str">
            <v>قالب تعمیری</v>
          </cell>
          <cell r="N484" t="str">
            <v>فرز</v>
          </cell>
          <cell r="AC484" t="str">
            <v>1405/03/24</v>
          </cell>
        </row>
        <row r="485">
          <cell r="B485" t="str">
            <v>دستگاه مهر زنی</v>
          </cell>
          <cell r="C485" t="str">
            <v>قطعه تعمیری</v>
          </cell>
          <cell r="N485" t="str">
            <v>فرز</v>
          </cell>
          <cell r="AC485" t="str">
            <v>1405/03/25</v>
          </cell>
        </row>
        <row r="486">
          <cell r="B486" t="str">
            <v>قالب پخت کلاچ پژو 405</v>
          </cell>
          <cell r="C486" t="str">
            <v>قالب تعمیری</v>
          </cell>
          <cell r="N486" t="str">
            <v>مونتاژ</v>
          </cell>
          <cell r="AC486" t="str">
            <v>1405/03/25</v>
          </cell>
        </row>
        <row r="487">
          <cell r="B487" t="str">
            <v>پخت کلاچ پراید</v>
          </cell>
          <cell r="C487" t="str">
            <v>قالب تعمیری</v>
          </cell>
          <cell r="N487" t="str">
            <v>مونتاژ</v>
          </cell>
          <cell r="AC487" t="str">
            <v>1405/03/25</v>
          </cell>
        </row>
        <row r="488">
          <cell r="B488" t="str">
            <v>قالب پخت کلاچ پیکان آرژانتینی</v>
          </cell>
          <cell r="C488" t="str">
            <v>قالب تعمیری</v>
          </cell>
          <cell r="N488" t="str">
            <v>مونتاژ</v>
          </cell>
          <cell r="AC488" t="str">
            <v>1405/03/24</v>
          </cell>
        </row>
        <row r="489">
          <cell r="B489" t="str">
            <v>قالب پخت کلاچ پیکان آرژانتینی</v>
          </cell>
          <cell r="C489" t="str">
            <v>قالب تعمیری</v>
          </cell>
          <cell r="N489" t="str">
            <v>مونتاژ</v>
          </cell>
          <cell r="AC489" t="str">
            <v>1405/03/24</v>
          </cell>
        </row>
        <row r="490">
          <cell r="B490" t="str">
            <v>پخت کلاچ پراید</v>
          </cell>
          <cell r="C490" t="str">
            <v>قالب تعمیری</v>
          </cell>
          <cell r="N490" t="str">
            <v>اره لنگ</v>
          </cell>
          <cell r="AC490" t="str">
            <v>1405/03/24</v>
          </cell>
        </row>
        <row r="491">
          <cell r="B491" t="str">
            <v>قالب پخت کلاچ پژو 405</v>
          </cell>
          <cell r="C491" t="str">
            <v>قالب تعمیری</v>
          </cell>
          <cell r="N491" t="str">
            <v>مونتاژ</v>
          </cell>
          <cell r="AC491" t="str">
            <v>1405/03/24</v>
          </cell>
        </row>
        <row r="492">
          <cell r="B492" t="str">
            <v>دستگاه مهر زنی</v>
          </cell>
          <cell r="C492" t="str">
            <v>قطعه تعمیری</v>
          </cell>
          <cell r="N492" t="str">
            <v>مونتاژ</v>
          </cell>
          <cell r="AC492" t="str">
            <v>1405/03/25</v>
          </cell>
        </row>
        <row r="493">
          <cell r="B493" t="str">
            <v>پخت کلاچ پراید</v>
          </cell>
          <cell r="C493" t="str">
            <v>قالب تعمیری</v>
          </cell>
          <cell r="N493" t="str">
            <v>مونتاژ</v>
          </cell>
          <cell r="AC493" t="str">
            <v>1405/03/25</v>
          </cell>
        </row>
        <row r="494">
          <cell r="B494" t="str">
            <v>قالب پخت کلاچ پژو 405</v>
          </cell>
          <cell r="C494" t="str">
            <v>قالب تعمیری</v>
          </cell>
          <cell r="N494" t="str">
            <v>مونتاژ</v>
          </cell>
          <cell r="AC494" t="str">
            <v>1405/03/25</v>
          </cell>
        </row>
        <row r="495">
          <cell r="B495" t="str">
            <v>قالب پیلسان</v>
          </cell>
          <cell r="C495" t="str">
            <v>قالب تعمیری</v>
          </cell>
          <cell r="N495" t="str">
            <v>مونتاژ</v>
          </cell>
          <cell r="AC495" t="str">
            <v>1405/03/25</v>
          </cell>
        </row>
        <row r="496">
          <cell r="B496" t="str">
            <v>قالب لودری 70021</v>
          </cell>
          <cell r="C496" t="str">
            <v>قالب تعمیری</v>
          </cell>
          <cell r="N496" t="str">
            <v>سنگ زنی</v>
          </cell>
          <cell r="AC496" t="str">
            <v>1405/03/24</v>
          </cell>
        </row>
        <row r="497">
          <cell r="B497" t="str">
            <v>قالب پخت کلاچ پیکان آرژانتینی</v>
          </cell>
          <cell r="C497" t="str">
            <v>قالب تعمیری</v>
          </cell>
          <cell r="N497" t="str">
            <v>سنگ زنی</v>
          </cell>
          <cell r="AC497" t="str">
            <v>1405/03/24</v>
          </cell>
        </row>
        <row r="498">
          <cell r="B498" t="str">
            <v>قالب پخت کلاچ پژو 405</v>
          </cell>
          <cell r="C498" t="str">
            <v>قالب تعمیری</v>
          </cell>
          <cell r="N498" t="str">
            <v>سنگ زنی</v>
          </cell>
          <cell r="AC498" t="str">
            <v>1405/03/24</v>
          </cell>
        </row>
        <row r="499">
          <cell r="B499" t="str">
            <v>پخت کلاچ پراید</v>
          </cell>
          <cell r="C499" t="str">
            <v>قالب تعمیری</v>
          </cell>
          <cell r="N499" t="str">
            <v>سنگ زنی</v>
          </cell>
          <cell r="AC499" t="str">
            <v>1405/03/24</v>
          </cell>
        </row>
        <row r="500">
          <cell r="B500" t="str">
            <v>پخت کلاچ پراید</v>
          </cell>
          <cell r="C500" t="str">
            <v>قالب تعمیری</v>
          </cell>
          <cell r="N500" t="str">
            <v>سنگ زنی</v>
          </cell>
          <cell r="AC500" t="str">
            <v>1405/03/25</v>
          </cell>
        </row>
        <row r="501">
          <cell r="B501" t="str">
            <v>قالب پخت کلاچ پژو 405</v>
          </cell>
          <cell r="C501" t="str">
            <v>قالب تعمیری</v>
          </cell>
          <cell r="N501" t="str">
            <v>سنگ زنی</v>
          </cell>
          <cell r="AC501" t="str">
            <v>1405/03/25</v>
          </cell>
        </row>
        <row r="502">
          <cell r="B502" t="str">
            <v>قالب پیلسان</v>
          </cell>
          <cell r="C502" t="str">
            <v>قالب تعمیری</v>
          </cell>
          <cell r="N502" t="str">
            <v>سنگ زنی</v>
          </cell>
          <cell r="AC502" t="str">
            <v>1405/03/25</v>
          </cell>
        </row>
        <row r="503">
          <cell r="B503" t="str">
            <v>قالب پخت کلاچ پژو 405</v>
          </cell>
          <cell r="C503" t="str">
            <v>قالب تعمیری</v>
          </cell>
          <cell r="N503" t="str">
            <v>سنگ زنی</v>
          </cell>
          <cell r="AC503" t="str">
            <v>1405/03/25</v>
          </cell>
        </row>
        <row r="504">
          <cell r="B504" t="str">
            <v>قالب تیبا خزینه چپ</v>
          </cell>
          <cell r="C504" t="str">
            <v>قالب تعمیری</v>
          </cell>
          <cell r="N504" t="str">
            <v>مونتاژ</v>
          </cell>
          <cell r="AC504" t="str">
            <v>1405/03/24</v>
          </cell>
        </row>
        <row r="505">
          <cell r="B505" t="str">
            <v>قالب پخت کلاچ پیکان آرژانتینی</v>
          </cell>
          <cell r="C505" t="str">
            <v>قالب تعمیری</v>
          </cell>
          <cell r="N505" t="str">
            <v>دریل رادیال</v>
          </cell>
          <cell r="AC505" t="str">
            <v>1405/03/24</v>
          </cell>
        </row>
        <row r="506">
          <cell r="B506" t="str">
            <v>قالب پخت کلاچ پیکان آرژانتینی</v>
          </cell>
          <cell r="C506" t="str">
            <v>قالب تعمیری</v>
          </cell>
          <cell r="N506" t="str">
            <v>مونتاژ</v>
          </cell>
          <cell r="AC506" t="str">
            <v>1405/03/24</v>
          </cell>
        </row>
        <row r="507">
          <cell r="B507" t="str">
            <v>کلمپ زنی</v>
          </cell>
          <cell r="C507" t="str">
            <v>قطعه نو</v>
          </cell>
          <cell r="N507" t="str">
            <v>مونتاژ</v>
          </cell>
          <cell r="AC507" t="str">
            <v>1405/03/24</v>
          </cell>
        </row>
        <row r="508">
          <cell r="B508" t="str">
            <v>قالب پخت کلاچ پیکان آرژانتینی</v>
          </cell>
          <cell r="C508" t="str">
            <v>قالب تعمیری</v>
          </cell>
          <cell r="N508" t="str">
            <v>مونتاژ</v>
          </cell>
          <cell r="AC508" t="str">
            <v>1405/03/24</v>
          </cell>
        </row>
        <row r="509">
          <cell r="B509" t="str">
            <v>پخت کلاچ هوو</v>
          </cell>
          <cell r="C509" t="str">
            <v>قالب تعمیری</v>
          </cell>
          <cell r="N509" t="str">
            <v>مونتاژ</v>
          </cell>
          <cell r="AC509" t="str">
            <v>1405/03/24</v>
          </cell>
        </row>
        <row r="510">
          <cell r="B510" t="str">
            <v>پخت کلاچ ده تن سوراخدار</v>
          </cell>
          <cell r="C510" t="str">
            <v>قالب تعمیری</v>
          </cell>
          <cell r="N510" t="str">
            <v>مونتاژ</v>
          </cell>
          <cell r="AC510" t="str">
            <v>1405/03/24</v>
          </cell>
        </row>
        <row r="511">
          <cell r="B511" t="str">
            <v>قطاری باری</v>
          </cell>
          <cell r="C511" t="str">
            <v>قالب تعمیری</v>
          </cell>
          <cell r="N511" t="str">
            <v>مونتاژ</v>
          </cell>
          <cell r="AC511" t="str">
            <v>1405/03/24</v>
          </cell>
        </row>
        <row r="512">
          <cell r="B512" t="str">
            <v>شمش پراید</v>
          </cell>
          <cell r="C512" t="str">
            <v>قالب نو</v>
          </cell>
          <cell r="N512" t="str">
            <v>فرز</v>
          </cell>
          <cell r="AC512" t="str">
            <v>1405/03/26</v>
          </cell>
        </row>
        <row r="513">
          <cell r="B513" t="str">
            <v>پین عقب پژو 405</v>
          </cell>
          <cell r="C513" t="str">
            <v>قطعه نو</v>
          </cell>
          <cell r="N513" t="str">
            <v>سری تراش</v>
          </cell>
          <cell r="AC513" t="str">
            <v>1405/03/26</v>
          </cell>
        </row>
        <row r="514">
          <cell r="B514" t="str">
            <v>دریل یزدخواستی کلاچ</v>
          </cell>
          <cell r="C514" t="str">
            <v>قطعه نو</v>
          </cell>
          <cell r="N514" t="str">
            <v>CNC</v>
          </cell>
          <cell r="AC514" t="str">
            <v>1405/03/26</v>
          </cell>
        </row>
        <row r="515">
          <cell r="B515" t="str">
            <v>قالب پخت کلاچ پژو 405</v>
          </cell>
          <cell r="C515" t="str">
            <v>قالب تعمیری</v>
          </cell>
          <cell r="N515" t="str">
            <v>تراش</v>
          </cell>
          <cell r="AC515" t="str">
            <v>1405/03/26</v>
          </cell>
        </row>
        <row r="516">
          <cell r="B516" t="str">
            <v>پخت کلاچ پراید</v>
          </cell>
          <cell r="C516" t="str">
            <v>قالب تعمیری</v>
          </cell>
          <cell r="N516" t="str">
            <v>تراش</v>
          </cell>
          <cell r="AC516" t="str">
            <v>1405/03/26</v>
          </cell>
        </row>
        <row r="517">
          <cell r="B517" t="str">
            <v>صفحات 50*50 پخت کلاچ</v>
          </cell>
          <cell r="C517" t="str">
            <v>قالب تعمیری</v>
          </cell>
          <cell r="N517" t="str">
            <v>فرز</v>
          </cell>
          <cell r="AC517" t="str">
            <v>1405/03/26</v>
          </cell>
        </row>
        <row r="518">
          <cell r="B518" t="str">
            <v>پخت عقب پژو 405 شمشی پایه کوتاه</v>
          </cell>
          <cell r="C518" t="str">
            <v>قالب نو</v>
          </cell>
          <cell r="N518" t="str">
            <v>فرز</v>
          </cell>
          <cell r="AC518" t="str">
            <v>1405/03/26</v>
          </cell>
        </row>
        <row r="519">
          <cell r="B519" t="str">
            <v>پرس پخت کلاچ</v>
          </cell>
          <cell r="C519" t="str">
            <v>قطعه تعمیری</v>
          </cell>
          <cell r="N519" t="str">
            <v>تراش</v>
          </cell>
          <cell r="AC519" t="str">
            <v>1405/03/26</v>
          </cell>
        </row>
        <row r="520">
          <cell r="B520" t="str">
            <v>دستگاه CNC</v>
          </cell>
          <cell r="C520" t="str">
            <v>قطعه نو</v>
          </cell>
          <cell r="N520" t="str">
            <v>تراش</v>
          </cell>
          <cell r="AC520" t="str">
            <v>1405/03/26</v>
          </cell>
        </row>
        <row r="521">
          <cell r="B521" t="str">
            <v>قالب پخت کلاچ پیکان آرژانتینی</v>
          </cell>
          <cell r="C521" t="str">
            <v>قالب تعمیری</v>
          </cell>
          <cell r="N521" t="str">
            <v>تراش</v>
          </cell>
          <cell r="AC521" t="str">
            <v>1405/03/26</v>
          </cell>
        </row>
        <row r="522">
          <cell r="B522" t="str">
            <v>قالب پخت کلاچ پژو 405</v>
          </cell>
          <cell r="C522" t="str">
            <v>قالب تعمیری</v>
          </cell>
          <cell r="N522" t="str">
            <v>سنگ زنی</v>
          </cell>
          <cell r="AC522" t="str">
            <v>1405/03/26</v>
          </cell>
        </row>
        <row r="523">
          <cell r="B523" t="str">
            <v>شیم پژو 405</v>
          </cell>
          <cell r="C523" t="str">
            <v>قالب تعمیری</v>
          </cell>
          <cell r="N523" t="str">
            <v>سنگ زنی</v>
          </cell>
          <cell r="AC523" t="str">
            <v>1405/03/26</v>
          </cell>
        </row>
        <row r="524">
          <cell r="B524" t="str">
            <v>صفحات 50*50 پخت کلاچ</v>
          </cell>
          <cell r="C524" t="str">
            <v>قالب تعمیری</v>
          </cell>
          <cell r="N524" t="str">
            <v>سنگ زنی</v>
          </cell>
          <cell r="AC524" t="str">
            <v>1405/03/26</v>
          </cell>
        </row>
        <row r="525">
          <cell r="B525" t="str">
            <v>پخت کلاچ پراید</v>
          </cell>
          <cell r="C525" t="str">
            <v>قالب تعمیری</v>
          </cell>
          <cell r="N525" t="str">
            <v>مونتاژ</v>
          </cell>
          <cell r="AC525" t="str">
            <v>1405/03/26</v>
          </cell>
        </row>
        <row r="526">
          <cell r="B526" t="str">
            <v>پخت کلاچ پراید</v>
          </cell>
          <cell r="C526" t="str">
            <v>قالب تعمیری</v>
          </cell>
          <cell r="N526" t="str">
            <v>فرز</v>
          </cell>
          <cell r="AC526" t="str">
            <v>1405/03/26</v>
          </cell>
        </row>
        <row r="527">
          <cell r="B527" t="str">
            <v>Hammer Mill Machine</v>
          </cell>
          <cell r="C527" t="str">
            <v>دستگاه نو</v>
          </cell>
          <cell r="N527" t="str">
            <v>فرز</v>
          </cell>
          <cell r="AC527" t="str">
            <v>1405/03/26</v>
          </cell>
        </row>
        <row r="528">
          <cell r="B528" t="str">
            <v>قالب پخت کلاچ پژو 405</v>
          </cell>
          <cell r="C528" t="str">
            <v>قالب تعمیری</v>
          </cell>
          <cell r="N528" t="str">
            <v>مونتاژ</v>
          </cell>
          <cell r="AC528" t="str">
            <v>1405/03/26</v>
          </cell>
        </row>
        <row r="529">
          <cell r="B529" t="str">
            <v>stop</v>
          </cell>
          <cell r="C529" t="str">
            <v>قطعه نو</v>
          </cell>
          <cell r="N529" t="str">
            <v>اره لنگ</v>
          </cell>
          <cell r="AC529" t="str">
            <v>1405/03/26</v>
          </cell>
        </row>
        <row r="530">
          <cell r="B530" t="str">
            <v>قالب پخت کلاچ پژو 405</v>
          </cell>
          <cell r="C530" t="str">
            <v>قالب تعمیری</v>
          </cell>
          <cell r="N530" t="str">
            <v>مونتاژ</v>
          </cell>
          <cell r="AC530" t="str">
            <v>1405/03/26</v>
          </cell>
        </row>
        <row r="531">
          <cell r="B531" t="str">
            <v>شیم ریو</v>
          </cell>
          <cell r="C531" t="str">
            <v>قالب تعمیری</v>
          </cell>
          <cell r="N531" t="str">
            <v>مونتاژ</v>
          </cell>
          <cell r="AC531" t="str">
            <v>1405/03/26</v>
          </cell>
        </row>
        <row r="532">
          <cell r="B532" t="str">
            <v>قالب پخت کلاچ پژو 405</v>
          </cell>
          <cell r="C532" t="str">
            <v>قالب تعمیری</v>
          </cell>
          <cell r="N532" t="str">
            <v>مونتاژ</v>
          </cell>
          <cell r="AC532" t="str">
            <v>1405/03/26</v>
          </cell>
        </row>
        <row r="533">
          <cell r="B533" t="str">
            <v>دستگاه پرس 600 تن</v>
          </cell>
          <cell r="C533" t="str">
            <v>قطعه تعمیری</v>
          </cell>
          <cell r="N533" t="str">
            <v>وایر</v>
          </cell>
          <cell r="AC533" t="str">
            <v>1405/03/26</v>
          </cell>
        </row>
        <row r="534">
          <cell r="B534" t="str">
            <v>دستگاه پشم فلز</v>
          </cell>
          <cell r="C534" t="str">
            <v>قطعه نو</v>
          </cell>
          <cell r="N534" t="str">
            <v>وایر</v>
          </cell>
          <cell r="AC534" t="str">
            <v>1405/03/26</v>
          </cell>
        </row>
        <row r="535">
          <cell r="B535" t="str">
            <v>نگهدارنده پلاک قالب</v>
          </cell>
          <cell r="C535" t="str">
            <v>قطعه نو</v>
          </cell>
          <cell r="N535" t="str">
            <v>وایر</v>
          </cell>
          <cell r="AC535" t="str">
            <v>1405/03/26</v>
          </cell>
        </row>
        <row r="536">
          <cell r="B536" t="str">
            <v>کوبه نک قطاری</v>
          </cell>
          <cell r="C536" t="str">
            <v>قالب تعمیری</v>
          </cell>
          <cell r="N536" t="str">
            <v>وایر</v>
          </cell>
          <cell r="AC536" t="str">
            <v>1405/03/26</v>
          </cell>
        </row>
        <row r="537">
          <cell r="B537" t="str">
            <v>قلم پژو 405</v>
          </cell>
          <cell r="C537" t="str">
            <v>قطعه تعمیری</v>
          </cell>
          <cell r="N537" t="str">
            <v>وایر</v>
          </cell>
          <cell r="AC537" t="str">
            <v>1405/03/26</v>
          </cell>
        </row>
        <row r="538">
          <cell r="B538" t="str">
            <v>قالب پخت کلاچ پیکان آرژانتینی</v>
          </cell>
          <cell r="C538" t="str">
            <v>قالب تعمیری</v>
          </cell>
          <cell r="N538" t="str">
            <v>دریل رادیال</v>
          </cell>
          <cell r="AC538" t="str">
            <v>1405/03/25</v>
          </cell>
        </row>
        <row r="539">
          <cell r="B539" t="str">
            <v>قالب پخت کلاچ پژو 405</v>
          </cell>
          <cell r="C539" t="str">
            <v>قالب تعمیری</v>
          </cell>
          <cell r="N539" t="str">
            <v>مونتاژ</v>
          </cell>
          <cell r="AC539" t="str">
            <v>1405/03/25</v>
          </cell>
        </row>
        <row r="540">
          <cell r="B540" t="str">
            <v>پخت کلاچ پراید</v>
          </cell>
          <cell r="C540" t="str">
            <v>قالب تعمیری</v>
          </cell>
          <cell r="N540" t="str">
            <v>مونتاژ</v>
          </cell>
          <cell r="AC540" t="str">
            <v>1405/03/25</v>
          </cell>
        </row>
        <row r="541">
          <cell r="B541" t="str">
            <v>قالب پیلسان</v>
          </cell>
          <cell r="C541" t="str">
            <v>قالب تعمیری</v>
          </cell>
          <cell r="N541" t="str">
            <v>دریل رادیال</v>
          </cell>
          <cell r="AC541" t="str">
            <v>1405/03/25</v>
          </cell>
        </row>
        <row r="542">
          <cell r="B542" t="str">
            <v>پخت کلاچ هوو</v>
          </cell>
          <cell r="C542" t="str">
            <v>قالب تعمیری</v>
          </cell>
          <cell r="N542" t="str">
            <v>مونتاژ</v>
          </cell>
          <cell r="AC542" t="str">
            <v>1405/03/26</v>
          </cell>
        </row>
        <row r="543">
          <cell r="B543" t="str">
            <v>پخت کلاچ ده تن سوراخدار</v>
          </cell>
          <cell r="C543" t="str">
            <v>قالب تعمیری</v>
          </cell>
          <cell r="N543" t="str">
            <v>مونتاژ</v>
          </cell>
          <cell r="AC543" t="str">
            <v>1405/03/26</v>
          </cell>
        </row>
        <row r="544">
          <cell r="B544" t="str">
            <v>قالب پخت کلاچ پژو 405</v>
          </cell>
          <cell r="C544" t="str">
            <v>قالب تعمیری</v>
          </cell>
          <cell r="N544" t="str">
            <v>دریل رادیال</v>
          </cell>
          <cell r="AC544" t="str">
            <v>1405/03/26</v>
          </cell>
        </row>
        <row r="545">
          <cell r="B545" t="str">
            <v>قالب پخت کلاچ پژو 405</v>
          </cell>
          <cell r="C545" t="str">
            <v>قالب تعمیری</v>
          </cell>
          <cell r="N545" t="str">
            <v>دریل رادیال</v>
          </cell>
          <cell r="AC545" t="str">
            <v>1405/03/26</v>
          </cell>
        </row>
        <row r="546">
          <cell r="B546" t="str">
            <v>قالب پخت کلاچ پژو 405</v>
          </cell>
          <cell r="C546" t="str">
            <v>قالب تعمیری</v>
          </cell>
          <cell r="N546" t="str">
            <v>CNC</v>
          </cell>
          <cell r="AC546" t="str">
            <v>1405/03/26</v>
          </cell>
        </row>
        <row r="547">
          <cell r="B547" t="str">
            <v>دریل یزدخواستی کلاچ</v>
          </cell>
          <cell r="C547" t="str">
            <v>قطعه نو</v>
          </cell>
          <cell r="N547" t="str">
            <v>CNC</v>
          </cell>
          <cell r="AC547" t="str">
            <v>1405/03/27</v>
          </cell>
        </row>
        <row r="548">
          <cell r="B548" t="str">
            <v>دریل یزدخواستی کلاچ</v>
          </cell>
          <cell r="C548" t="str">
            <v>قطعه نو</v>
          </cell>
          <cell r="N548" t="str">
            <v>CNC</v>
          </cell>
          <cell r="AC548" t="str">
            <v>1405/03/27</v>
          </cell>
        </row>
        <row r="549">
          <cell r="B549" t="str">
            <v>قالب پخت کلاچ پژو 405</v>
          </cell>
          <cell r="C549" t="str">
            <v>قالب تعمیری</v>
          </cell>
          <cell r="N549" t="str">
            <v>CNC</v>
          </cell>
          <cell r="AC549" t="str">
            <v>1405/03/27</v>
          </cell>
        </row>
        <row r="550">
          <cell r="B550" t="str">
            <v>پین عقب پژو 405</v>
          </cell>
          <cell r="C550" t="str">
            <v>قطعه نو</v>
          </cell>
          <cell r="N550" t="str">
            <v>سری تراش</v>
          </cell>
          <cell r="AC550" t="str">
            <v>1405/03/27</v>
          </cell>
        </row>
        <row r="551">
          <cell r="B551" t="str">
            <v>قالب پخت کلاچ پژو 405</v>
          </cell>
          <cell r="C551" t="str">
            <v>قالب تعمیری</v>
          </cell>
          <cell r="N551" t="str">
            <v>سنگ زنی</v>
          </cell>
          <cell r="AC551" t="str">
            <v>1405/03/27</v>
          </cell>
        </row>
        <row r="552">
          <cell r="B552" t="str">
            <v>صفحات 50*50 پخت کلاچ</v>
          </cell>
          <cell r="C552" t="str">
            <v>قالب تعمیری</v>
          </cell>
          <cell r="N552" t="str">
            <v>سنگ زنی</v>
          </cell>
          <cell r="AC552" t="str">
            <v>1405/03/27</v>
          </cell>
        </row>
        <row r="553">
          <cell r="B553" t="str">
            <v>دریل یزدخواستی کلاچ</v>
          </cell>
          <cell r="C553" t="str">
            <v>قطعه نو</v>
          </cell>
          <cell r="N553" t="str">
            <v>تراش</v>
          </cell>
          <cell r="AC553" t="str">
            <v>1405/03/27</v>
          </cell>
        </row>
        <row r="554">
          <cell r="B554" t="str">
            <v>قالب پخت کلاچ پژو 405</v>
          </cell>
          <cell r="C554" t="str">
            <v>قالب تعمیری</v>
          </cell>
          <cell r="N554" t="str">
            <v>تراش</v>
          </cell>
          <cell r="AC554" t="str">
            <v>1405/03/27</v>
          </cell>
        </row>
        <row r="555">
          <cell r="B555" t="str">
            <v>دریل یزدخواستی کلاچ</v>
          </cell>
          <cell r="C555" t="str">
            <v>قطعه تعمیری</v>
          </cell>
          <cell r="N555" t="str">
            <v>تراش</v>
          </cell>
          <cell r="AC555" t="str">
            <v>1405/03/27</v>
          </cell>
        </row>
        <row r="556">
          <cell r="B556" t="str">
            <v>قالب پخت کلاچ پژو 405</v>
          </cell>
          <cell r="C556" t="str">
            <v>قالب تعمیری</v>
          </cell>
          <cell r="N556" t="str">
            <v>CNC</v>
          </cell>
          <cell r="AC556" t="str">
            <v>1405/03/27</v>
          </cell>
        </row>
        <row r="557">
          <cell r="B557" t="str">
            <v>قالب پخت کلاچ پژو 405</v>
          </cell>
          <cell r="C557" t="str">
            <v>قالب تعمیری</v>
          </cell>
          <cell r="N557" t="str">
            <v>CNC</v>
          </cell>
          <cell r="AC557" t="str">
            <v>1405/03/27</v>
          </cell>
        </row>
        <row r="558">
          <cell r="B558" t="str">
            <v>پخت کلاچ پراید</v>
          </cell>
          <cell r="C558" t="str">
            <v>قالب تعمیری</v>
          </cell>
          <cell r="N558" t="str">
            <v>CNC</v>
          </cell>
          <cell r="AC558" t="str">
            <v>1405/03/27</v>
          </cell>
        </row>
        <row r="559">
          <cell r="B559" t="str">
            <v>قالب پخت کلاچ پژو 405</v>
          </cell>
          <cell r="C559" t="str">
            <v>قالب تعمیری</v>
          </cell>
          <cell r="N559" t="str">
            <v>تراش</v>
          </cell>
          <cell r="AC559" t="str">
            <v>1405/03/27</v>
          </cell>
        </row>
        <row r="560">
          <cell r="B560" t="str">
            <v>پخت کلاچ پراید</v>
          </cell>
          <cell r="C560" t="str">
            <v>قالب تعمیری</v>
          </cell>
          <cell r="N560" t="str">
            <v>تراش</v>
          </cell>
          <cell r="AC560" t="str">
            <v>1405/03/27</v>
          </cell>
        </row>
        <row r="561">
          <cell r="B561" t="str">
            <v>پخت کلاچ پراید</v>
          </cell>
          <cell r="C561" t="str">
            <v>قالب تعمیری</v>
          </cell>
          <cell r="N561" t="str">
            <v>تراش</v>
          </cell>
          <cell r="AC561" t="str">
            <v>1405/03/27</v>
          </cell>
        </row>
        <row r="562">
          <cell r="B562" t="str">
            <v>Hammer Mill Machine</v>
          </cell>
          <cell r="C562" t="str">
            <v>دستگاه نو</v>
          </cell>
          <cell r="N562" t="str">
            <v>فرز</v>
          </cell>
          <cell r="AC562" t="str">
            <v>1405/03/27</v>
          </cell>
        </row>
        <row r="563">
          <cell r="B563" t="str">
            <v>قالب پخت کلاچ پیکان آرژانتینی</v>
          </cell>
          <cell r="C563" t="str">
            <v>قالب تعمیری</v>
          </cell>
          <cell r="N563" t="str">
            <v>مونتاژ</v>
          </cell>
          <cell r="AC563" t="str">
            <v>1405/03/27</v>
          </cell>
        </row>
        <row r="564">
          <cell r="B564" t="str">
            <v>قالب پخت کلاچ پیکان آرژانتینی</v>
          </cell>
          <cell r="C564" t="str">
            <v>قالب تعمیری</v>
          </cell>
          <cell r="N564" t="str">
            <v>مونتاژ</v>
          </cell>
          <cell r="AC564" t="str">
            <v>1405/03/27</v>
          </cell>
        </row>
        <row r="565">
          <cell r="B565" t="str">
            <v>پخت کلاچ پراید</v>
          </cell>
          <cell r="C565" t="str">
            <v>قالب تعمیری</v>
          </cell>
          <cell r="N565" t="str">
            <v>مونتاژ</v>
          </cell>
          <cell r="AC565" t="str">
            <v>1405/03/27</v>
          </cell>
        </row>
        <row r="566">
          <cell r="B566" t="str">
            <v>پخت کلاچ ده تن سوراخدار</v>
          </cell>
          <cell r="C566" t="str">
            <v>قالب تعمیری</v>
          </cell>
          <cell r="N566" t="str">
            <v>مونتاژ</v>
          </cell>
          <cell r="AC566" t="str">
            <v>1405/03/27</v>
          </cell>
        </row>
        <row r="567">
          <cell r="B567" t="str">
            <v>پخت کلاچ هوو</v>
          </cell>
          <cell r="C567" t="str">
            <v>قالب تعمیری</v>
          </cell>
          <cell r="N567" t="str">
            <v>مونتاژ</v>
          </cell>
          <cell r="AC567" t="str">
            <v>1405/03/27</v>
          </cell>
        </row>
        <row r="568">
          <cell r="B568" t="str">
            <v>قالب پخت کلاچ پژو 405</v>
          </cell>
          <cell r="C568" t="str">
            <v>قالب تعمیری</v>
          </cell>
          <cell r="N568" t="str">
            <v>مونتاژ</v>
          </cell>
          <cell r="AC568" t="str">
            <v>1405/03/27</v>
          </cell>
        </row>
        <row r="569">
          <cell r="B569" t="str">
            <v>پخت کلاچ پراید</v>
          </cell>
          <cell r="C569" t="str">
            <v>قالب تعمیری</v>
          </cell>
          <cell r="N569" t="str">
            <v>مونتاژ</v>
          </cell>
          <cell r="AC569" t="str">
            <v>1405/03/27</v>
          </cell>
        </row>
        <row r="570">
          <cell r="B570" t="str">
            <v>پخت کلاچ ده تن سوراخدار</v>
          </cell>
          <cell r="C570" t="str">
            <v>قالب تعمیری</v>
          </cell>
          <cell r="N570" t="str">
            <v>مونتاژ</v>
          </cell>
          <cell r="AC570" t="str">
            <v>1405/03/27</v>
          </cell>
        </row>
        <row r="571">
          <cell r="B571" t="str">
            <v>پخت کلاچ هوو</v>
          </cell>
          <cell r="C571" t="str">
            <v>قالب تعمیری</v>
          </cell>
          <cell r="N571" t="str">
            <v>مونتاژ</v>
          </cell>
          <cell r="AC571" t="str">
            <v>1405/03/27</v>
          </cell>
        </row>
        <row r="572">
          <cell r="B572" t="str">
            <v>قالب پخت کلاچ پژو 405</v>
          </cell>
          <cell r="C572" t="str">
            <v>قالب تعمیری</v>
          </cell>
          <cell r="N572" t="str">
            <v>مونتاژ</v>
          </cell>
          <cell r="AC572" t="str">
            <v>1405/03/27</v>
          </cell>
        </row>
        <row r="573">
          <cell r="B573" t="str">
            <v>پخت کلاچ پراید</v>
          </cell>
          <cell r="C573" t="str">
            <v>قالب تعمیری</v>
          </cell>
          <cell r="N573" t="str">
            <v>مونتاژ</v>
          </cell>
          <cell r="AC573" t="str">
            <v>1405/03/27</v>
          </cell>
        </row>
        <row r="574">
          <cell r="B574" t="str">
            <v>قالب پخت کلاچ پژو 405</v>
          </cell>
          <cell r="C574" t="str">
            <v>قالب تعمیری</v>
          </cell>
          <cell r="N574" t="str">
            <v>مونتاژ</v>
          </cell>
          <cell r="AC574" t="str">
            <v>1405/03/27</v>
          </cell>
        </row>
        <row r="575">
          <cell r="B575" t="str">
            <v>پخت کلاچ پراید</v>
          </cell>
          <cell r="C575" t="str">
            <v>قالب تعمیری</v>
          </cell>
          <cell r="N575" t="str">
            <v>دریل رادیال</v>
          </cell>
          <cell r="AC575" t="str">
            <v>1405/03/27</v>
          </cell>
        </row>
        <row r="576">
          <cell r="B576" t="str">
            <v>دستگاه پرس 600 تن</v>
          </cell>
          <cell r="C576" t="str">
            <v>قطعه تعمیری</v>
          </cell>
          <cell r="N576" t="str">
            <v>وایر</v>
          </cell>
          <cell r="AC576" t="str">
            <v>1405/03/27</v>
          </cell>
        </row>
        <row r="577">
          <cell r="B577" t="str">
            <v>قالب پخت کلاچ پژو 405</v>
          </cell>
          <cell r="C577" t="str">
            <v>قالب تعمیری</v>
          </cell>
          <cell r="N577" t="str">
            <v>وایر</v>
          </cell>
          <cell r="AC577" t="str">
            <v>1405/03/27</v>
          </cell>
        </row>
        <row r="578">
          <cell r="B578" t="str">
            <v>پخت کلاچ پراید</v>
          </cell>
          <cell r="C578" t="str">
            <v>قالب تعمیری</v>
          </cell>
          <cell r="N578" t="str">
            <v>وایر</v>
          </cell>
          <cell r="AC578" t="str">
            <v>1405/03/27</v>
          </cell>
        </row>
        <row r="579">
          <cell r="B579" t="str">
            <v>نگهدارنده پلاک قالب</v>
          </cell>
          <cell r="C579" t="str">
            <v>قطعه نو</v>
          </cell>
          <cell r="N579" t="str">
            <v>وایر</v>
          </cell>
          <cell r="AC579" t="str">
            <v>1405/03/27</v>
          </cell>
        </row>
        <row r="580">
          <cell r="B580" t="str">
            <v>قالب پخت کلاچ پژو 405</v>
          </cell>
          <cell r="C580" t="str">
            <v>قالب تعمیری</v>
          </cell>
          <cell r="N580" t="str">
            <v>سوپردریل</v>
          </cell>
          <cell r="AC580" t="str">
            <v>1405/03/27</v>
          </cell>
        </row>
        <row r="581">
          <cell r="B581" t="str">
            <v>شمش پراید</v>
          </cell>
          <cell r="C581" t="str">
            <v>قالب نو</v>
          </cell>
          <cell r="N581" t="str">
            <v>فرز</v>
          </cell>
          <cell r="AC581" t="str">
            <v>1405/03/27</v>
          </cell>
        </row>
        <row r="582">
          <cell r="B582" t="str">
            <v>دریل یزدخواستی کلاچ</v>
          </cell>
          <cell r="C582" t="str">
            <v>قطعه نو</v>
          </cell>
          <cell r="N582" t="str">
            <v>CNC</v>
          </cell>
          <cell r="AC582" t="str">
            <v>1405/03/28</v>
          </cell>
        </row>
        <row r="583">
          <cell r="B583" t="str">
            <v>قالب پخت کلاچ پژو 405</v>
          </cell>
          <cell r="C583" t="str">
            <v>قالب تعمیری</v>
          </cell>
          <cell r="N583" t="str">
            <v>CNC</v>
          </cell>
          <cell r="AC583" t="str">
            <v>1405/03/28</v>
          </cell>
        </row>
        <row r="584">
          <cell r="B584" t="str">
            <v>صفحات 50*50 پخت کلاچ</v>
          </cell>
          <cell r="C584" t="str">
            <v>قالب تعمیری</v>
          </cell>
          <cell r="N584" t="str">
            <v>سنگ زنی</v>
          </cell>
          <cell r="AC584" t="str">
            <v>1405/03/28</v>
          </cell>
        </row>
        <row r="585">
          <cell r="B585" t="str">
            <v>پین عقب پژو 405</v>
          </cell>
          <cell r="C585" t="str">
            <v>قطعه نو</v>
          </cell>
          <cell r="N585" t="str">
            <v>سری تراش</v>
          </cell>
          <cell r="AC585" t="str">
            <v>1405/03/28</v>
          </cell>
        </row>
        <row r="586">
          <cell r="B586" t="str">
            <v>Hammer Mill Machine</v>
          </cell>
          <cell r="C586" t="str">
            <v>دستگاه نو</v>
          </cell>
          <cell r="N586" t="str">
            <v>تراش</v>
          </cell>
          <cell r="AC586" t="str">
            <v>1405/03/28</v>
          </cell>
        </row>
        <row r="587">
          <cell r="B587" t="str">
            <v>پخت عقب پژو 405 شمشی پایه کوتاه</v>
          </cell>
          <cell r="C587" t="str">
            <v>قالب نو</v>
          </cell>
          <cell r="N587" t="str">
            <v>فرز</v>
          </cell>
          <cell r="AC587" t="str">
            <v>1405/03/27</v>
          </cell>
        </row>
        <row r="588">
          <cell r="B588" t="str">
            <v>پخت عقب پژو 405 شمشی پایه کوتاه</v>
          </cell>
          <cell r="C588" t="str">
            <v>قالب نو</v>
          </cell>
          <cell r="N588" t="str">
            <v>فرز</v>
          </cell>
          <cell r="AC588" t="str">
            <v>1405/03/27</v>
          </cell>
        </row>
        <row r="589">
          <cell r="B589" t="str">
            <v>صفحات 50*50 پخت کلاچ</v>
          </cell>
          <cell r="C589" t="str">
            <v>قالب تعمیری</v>
          </cell>
          <cell r="N589" t="str">
            <v>فرز</v>
          </cell>
          <cell r="AC589" t="str">
            <v>1405/03/28</v>
          </cell>
        </row>
        <row r="590">
          <cell r="B590" t="str">
            <v>پخت عقب پژو 405 شمشی پایه کوتاه</v>
          </cell>
          <cell r="C590" t="str">
            <v>قالب نو</v>
          </cell>
          <cell r="N590" t="str">
            <v>مونتاژ</v>
          </cell>
          <cell r="AC590" t="str">
            <v>1405/03/28</v>
          </cell>
        </row>
        <row r="591">
          <cell r="B591" t="str">
            <v>ابزار زنی</v>
          </cell>
          <cell r="C591" t="str">
            <v>قطعه تعمیری</v>
          </cell>
          <cell r="N591" t="str">
            <v>فرز</v>
          </cell>
          <cell r="AC591" t="str">
            <v>1405/03/28</v>
          </cell>
        </row>
        <row r="592">
          <cell r="B592" t="str">
            <v>ویوینگ</v>
          </cell>
          <cell r="C592" t="str">
            <v>قطعه تعمیری</v>
          </cell>
          <cell r="N592" t="str">
            <v>فرز</v>
          </cell>
          <cell r="AC592" t="str">
            <v>1405/03/28</v>
          </cell>
        </row>
        <row r="593">
          <cell r="B593" t="str">
            <v>اصول 5S</v>
          </cell>
          <cell r="C593" t="str">
            <v>نظافت</v>
          </cell>
          <cell r="N593" t="str">
            <v>نظافت</v>
          </cell>
          <cell r="AC593" t="str">
            <v>1405/03/28</v>
          </cell>
        </row>
        <row r="594">
          <cell r="B594" t="str">
            <v>پخت کلاچ پراید</v>
          </cell>
          <cell r="C594" t="str">
            <v>قالب تعمیری</v>
          </cell>
          <cell r="N594" t="str">
            <v>مونتاژ</v>
          </cell>
          <cell r="AC594" t="str">
            <v>1405/03/28</v>
          </cell>
        </row>
        <row r="595">
          <cell r="B595" t="str">
            <v>قالب پخت کلاچ پیکان</v>
          </cell>
          <cell r="C595" t="str">
            <v>قالب تعمیری</v>
          </cell>
          <cell r="N595" t="str">
            <v>مونتاژ</v>
          </cell>
          <cell r="AC595" t="str">
            <v>1405/03/28</v>
          </cell>
        </row>
        <row r="596">
          <cell r="B596" t="str">
            <v>ابزار زنی</v>
          </cell>
          <cell r="C596" t="str">
            <v>قطعه نو</v>
          </cell>
          <cell r="N596" t="str">
            <v>اره لنگ</v>
          </cell>
          <cell r="AC596" t="str">
            <v>1405/03/28</v>
          </cell>
        </row>
        <row r="597">
          <cell r="B597" t="str">
            <v>اصول 5S</v>
          </cell>
          <cell r="C597" t="str">
            <v>نظافت</v>
          </cell>
          <cell r="N597" t="str">
            <v>نظافت</v>
          </cell>
          <cell r="AC597" t="str">
            <v>1405/03/28</v>
          </cell>
        </row>
        <row r="598">
          <cell r="B598" t="str">
            <v>دریل یزدخواستی کلاچ</v>
          </cell>
          <cell r="C598" t="str">
            <v>قطعه نو</v>
          </cell>
          <cell r="N598" t="str">
            <v>تراش</v>
          </cell>
          <cell r="AC598" t="str">
            <v>1405/03/28</v>
          </cell>
        </row>
        <row r="599">
          <cell r="B599" t="str">
            <v>دریل یزدخواستی کلاچ</v>
          </cell>
          <cell r="C599" t="str">
            <v>قطعه نو</v>
          </cell>
          <cell r="N599" t="str">
            <v>تراش</v>
          </cell>
          <cell r="AC599" t="str">
            <v>1405/03/28</v>
          </cell>
        </row>
        <row r="600">
          <cell r="B600" t="str">
            <v>اصول 5S</v>
          </cell>
          <cell r="C600" t="str">
            <v>نظافت</v>
          </cell>
          <cell r="N600" t="str">
            <v>نظافت</v>
          </cell>
          <cell r="AC600" t="str">
            <v>1405/03/28</v>
          </cell>
        </row>
        <row r="601">
          <cell r="B601" t="str">
            <v>دستگاه سنگ مغناطیسی</v>
          </cell>
          <cell r="C601" t="str">
            <v>دستگاه تعمیری</v>
          </cell>
          <cell r="N601" t="str">
            <v>تراش</v>
          </cell>
          <cell r="AC601" t="str">
            <v>1405/03/29</v>
          </cell>
        </row>
        <row r="602">
          <cell r="B602" t="str">
            <v>دریل یزدخواستی کلاچ</v>
          </cell>
          <cell r="C602" t="str">
            <v>قطعه نو</v>
          </cell>
          <cell r="N602" t="str">
            <v>تراش</v>
          </cell>
          <cell r="AC602" t="str">
            <v>1405/03/29</v>
          </cell>
        </row>
        <row r="603">
          <cell r="B603" t="str">
            <v>پخت عقب پژو 405 شمشی پایه کوتاه</v>
          </cell>
          <cell r="C603" t="str">
            <v>قالب نو</v>
          </cell>
          <cell r="N603" t="str">
            <v>دریل رادیال</v>
          </cell>
          <cell r="AC603" t="str">
            <v>1405/03/28</v>
          </cell>
        </row>
        <row r="604">
          <cell r="B604" t="str">
            <v>قالب پخت کلاچ پیکان</v>
          </cell>
          <cell r="C604" t="str">
            <v>قالب تعمیری</v>
          </cell>
          <cell r="N604" t="str">
            <v>مونتاژ</v>
          </cell>
          <cell r="AC604" t="str">
            <v>1405/03/28</v>
          </cell>
        </row>
        <row r="605">
          <cell r="B605" t="str">
            <v>اصول 5S</v>
          </cell>
          <cell r="C605" t="str">
            <v>نظافت</v>
          </cell>
          <cell r="N605" t="str">
            <v>نظافت</v>
          </cell>
          <cell r="AC605" t="str">
            <v>1405/03/28</v>
          </cell>
        </row>
        <row r="606">
          <cell r="B606" t="str">
            <v>دستگاه پرس 600 تن</v>
          </cell>
          <cell r="C606" t="str">
            <v>قطعه تعمیری</v>
          </cell>
          <cell r="N606" t="str">
            <v>دریل رادیال</v>
          </cell>
          <cell r="AC606" t="str">
            <v>1405/03/29</v>
          </cell>
        </row>
        <row r="607">
          <cell r="B607" t="str">
            <v>قالب پخت کلاچ پژو 405</v>
          </cell>
          <cell r="C607" t="str">
            <v>قالب تعمیری</v>
          </cell>
          <cell r="N607" t="str">
            <v>دریل رادیال</v>
          </cell>
          <cell r="AC607" t="str">
            <v>1405/03/29</v>
          </cell>
        </row>
        <row r="608">
          <cell r="B608" t="str">
            <v>دستگاه پرس 600 تن</v>
          </cell>
          <cell r="C608" t="str">
            <v>قطعه تعمیری</v>
          </cell>
          <cell r="N608" t="str">
            <v>فرز</v>
          </cell>
          <cell r="AC608" t="str">
            <v>1405/03/29</v>
          </cell>
        </row>
        <row r="609">
          <cell r="B609" t="str">
            <v>پخت کلاچ پراید</v>
          </cell>
          <cell r="C609" t="str">
            <v>قالب تعمیری</v>
          </cell>
          <cell r="N609" t="str">
            <v>مونتاژ</v>
          </cell>
          <cell r="AC609" t="str">
            <v>1405/03/29</v>
          </cell>
        </row>
        <row r="610">
          <cell r="B610" t="str">
            <v>تیغ فرز</v>
          </cell>
          <cell r="C610" t="str">
            <v>قطعه تعمیری</v>
          </cell>
          <cell r="N610" t="str">
            <v>وایر</v>
          </cell>
          <cell r="AC610" t="str">
            <v>1405/03/28</v>
          </cell>
        </row>
        <row r="611">
          <cell r="B611" t="str">
            <v>دریل یزدخواستی کلاچ</v>
          </cell>
          <cell r="C611" t="str">
            <v>قطعه نو</v>
          </cell>
          <cell r="N611" t="str">
            <v>وایر</v>
          </cell>
          <cell r="AC611" t="str">
            <v>1405/03/28</v>
          </cell>
        </row>
        <row r="612">
          <cell r="B612" t="str">
            <v>پخت کلاچ پراید</v>
          </cell>
          <cell r="C612" t="str">
            <v>قالب تعمیری</v>
          </cell>
          <cell r="N612" t="str">
            <v>وایر</v>
          </cell>
          <cell r="AC612" t="str">
            <v>1405/03/28</v>
          </cell>
        </row>
        <row r="613">
          <cell r="B613" t="str">
            <v>قالب پخت کلاچ پژو 405</v>
          </cell>
          <cell r="C613" t="str">
            <v>قالب تعمیری</v>
          </cell>
          <cell r="N613" t="str">
            <v>وایر</v>
          </cell>
          <cell r="AC613" t="str">
            <v>1405/03/28</v>
          </cell>
        </row>
        <row r="614">
          <cell r="B614" t="str">
            <v>دریل یزدخواستی کلاچ</v>
          </cell>
          <cell r="C614" t="str">
            <v>قطعه نو</v>
          </cell>
          <cell r="N614" t="str">
            <v>وایر</v>
          </cell>
          <cell r="AC614" t="str">
            <v>1405/03/28</v>
          </cell>
        </row>
        <row r="615">
          <cell r="B615" t="str">
            <v>کوبه نک قطاری</v>
          </cell>
          <cell r="C615" t="str">
            <v>قالب تعمیری</v>
          </cell>
          <cell r="N615" t="str">
            <v>وایر</v>
          </cell>
          <cell r="AC615" t="str">
            <v>1405/03/28</v>
          </cell>
        </row>
        <row r="616">
          <cell r="B616" t="str">
            <v>نگهدارنده پلاک قالب</v>
          </cell>
          <cell r="C616" t="str">
            <v>قطعه نو</v>
          </cell>
          <cell r="N616" t="str">
            <v>وایر</v>
          </cell>
          <cell r="AC616" t="str">
            <v>1405/03/28</v>
          </cell>
        </row>
        <row r="617">
          <cell r="B617" t="str">
            <v>پخت کلاچ پراید</v>
          </cell>
          <cell r="C617" t="str">
            <v>قالب تعمیری</v>
          </cell>
          <cell r="N617" t="str">
            <v>CNC</v>
          </cell>
          <cell r="AC617" t="str">
            <v>1405/03/28</v>
          </cell>
        </row>
        <row r="618">
          <cell r="B618" t="str">
            <v>دستگاه پرس پخت</v>
          </cell>
          <cell r="C618" t="str">
            <v>قطعه تعمیری</v>
          </cell>
          <cell r="N618" t="str">
            <v>تراش</v>
          </cell>
          <cell r="AC618" t="str">
            <v>1405/03/28</v>
          </cell>
        </row>
        <row r="619">
          <cell r="B619" t="str">
            <v>دستگاه پشم فلز چینی</v>
          </cell>
          <cell r="C619" t="str">
            <v>قطعه نو</v>
          </cell>
          <cell r="N619" t="str">
            <v>تراش</v>
          </cell>
          <cell r="AC619" t="str">
            <v>1405/03/30</v>
          </cell>
        </row>
        <row r="620">
          <cell r="B620" t="str">
            <v>قالب پخت کلاچ پژو 405</v>
          </cell>
          <cell r="C620" t="str">
            <v>قالب تعمیری</v>
          </cell>
          <cell r="N620" t="str">
            <v>CNC</v>
          </cell>
          <cell r="AC620" t="str">
            <v>1405/03/30</v>
          </cell>
        </row>
        <row r="621">
          <cell r="B621" t="str">
            <v>پخت کلاچ پراید</v>
          </cell>
          <cell r="C621" t="str">
            <v>قالب تعمیری</v>
          </cell>
          <cell r="N621" t="str">
            <v>CNC</v>
          </cell>
          <cell r="AC621" t="str">
            <v>1405/03/30</v>
          </cell>
        </row>
        <row r="622">
          <cell r="B622" t="str">
            <v>قالب پخت کلاچ پژو 405</v>
          </cell>
          <cell r="C622" t="str">
            <v>قالب تعمیری</v>
          </cell>
          <cell r="N622" t="str">
            <v>CNC</v>
          </cell>
          <cell r="AC622" t="str">
            <v>1405/03/30</v>
          </cell>
        </row>
        <row r="623">
          <cell r="B623" t="str">
            <v>دریل یزدخواستی کلاچ</v>
          </cell>
          <cell r="C623" t="str">
            <v>قطعه نو</v>
          </cell>
          <cell r="N623" t="str">
            <v>CNC</v>
          </cell>
          <cell r="AC623" t="str">
            <v>1405/03/30</v>
          </cell>
        </row>
        <row r="624">
          <cell r="B624" t="str">
            <v>دستگاه پشم فلز چینی</v>
          </cell>
          <cell r="C624" t="str">
            <v>قطعه نو</v>
          </cell>
          <cell r="N624" t="str">
            <v>فرز</v>
          </cell>
          <cell r="AC624" t="str">
            <v>1405/03/30</v>
          </cell>
        </row>
        <row r="625">
          <cell r="B625" t="str">
            <v>دستگاه پشم فلز چینی</v>
          </cell>
          <cell r="C625" t="str">
            <v>قطعه نو</v>
          </cell>
          <cell r="N625" t="str">
            <v>مونتاژ</v>
          </cell>
          <cell r="AC625" t="str">
            <v>1405/03/30</v>
          </cell>
        </row>
        <row r="626">
          <cell r="B626" t="str">
            <v>صفحات 50*50 پخت کلاچ</v>
          </cell>
          <cell r="C626" t="str">
            <v>قالب تعمیری</v>
          </cell>
          <cell r="N626" t="str">
            <v>سنگ زنی</v>
          </cell>
          <cell r="AC626" t="str">
            <v>1405/03/30</v>
          </cell>
        </row>
        <row r="627">
          <cell r="B627" t="str">
            <v>پین عقب پژو 405</v>
          </cell>
          <cell r="C627" t="str">
            <v>قطعه نو</v>
          </cell>
          <cell r="N627" t="str">
            <v>سری تراش</v>
          </cell>
          <cell r="AC627" t="str">
            <v>1405/03/30</v>
          </cell>
        </row>
        <row r="628">
          <cell r="B628" t="str">
            <v>دستگاه پشم فلز چینی</v>
          </cell>
          <cell r="C628" t="str">
            <v>قطعه نو</v>
          </cell>
          <cell r="N628" t="str">
            <v>مونتاژ</v>
          </cell>
          <cell r="AC628" t="str">
            <v>1405/03/30</v>
          </cell>
        </row>
        <row r="629">
          <cell r="B629" t="str">
            <v>دریل یزدخواستی کلاچ</v>
          </cell>
          <cell r="C629" t="str">
            <v>قطعه نو</v>
          </cell>
          <cell r="N629" t="str">
            <v>تراش</v>
          </cell>
          <cell r="AC629" t="str">
            <v>1405/03/30</v>
          </cell>
        </row>
        <row r="630">
          <cell r="B630" t="str">
            <v>آغشته کاری</v>
          </cell>
          <cell r="C630" t="str">
            <v>قطعه تعمیری</v>
          </cell>
          <cell r="N630" t="str">
            <v>تراش</v>
          </cell>
          <cell r="AC630" t="str">
            <v>1405/03/30</v>
          </cell>
        </row>
        <row r="631">
          <cell r="B631" t="str">
            <v>صفحه 45*45</v>
          </cell>
          <cell r="C631" t="str">
            <v>قالب نو</v>
          </cell>
          <cell r="N631" t="str">
            <v>فرز</v>
          </cell>
          <cell r="AC631" t="str">
            <v>1405/03/30</v>
          </cell>
        </row>
        <row r="632">
          <cell r="B632" t="str">
            <v>دستگاه پشم فلز چینی</v>
          </cell>
          <cell r="C632" t="str">
            <v>قطعه نو</v>
          </cell>
          <cell r="N632" t="str">
            <v>تراش</v>
          </cell>
          <cell r="AC632" t="str">
            <v>1405/03/30</v>
          </cell>
        </row>
        <row r="633">
          <cell r="B633" t="str">
            <v>دستگاه سنگ مغناطیسی</v>
          </cell>
          <cell r="C633" t="str">
            <v>دستگاه تعمیری</v>
          </cell>
          <cell r="N633" t="str">
            <v>تراش</v>
          </cell>
          <cell r="AC633" t="str">
            <v>1405/03/30</v>
          </cell>
        </row>
        <row r="634">
          <cell r="B634" t="str">
            <v>سری نقطه جوش</v>
          </cell>
          <cell r="C634" t="str">
            <v>قطعه تعمیری</v>
          </cell>
          <cell r="N634" t="str">
            <v>تراش</v>
          </cell>
          <cell r="AC634" t="str">
            <v>1405/03/30</v>
          </cell>
        </row>
        <row r="635">
          <cell r="B635" t="str">
            <v>قالب پخت کلاچ پیکان</v>
          </cell>
          <cell r="C635" t="str">
            <v>قالب تعمیری</v>
          </cell>
          <cell r="N635" t="str">
            <v>وایر</v>
          </cell>
          <cell r="AC635" t="str">
            <v>1405/03/30</v>
          </cell>
        </row>
        <row r="636">
          <cell r="B636" t="str">
            <v>نگهدارنده پلاک قالب</v>
          </cell>
          <cell r="C636" t="str">
            <v>قطعه نو</v>
          </cell>
          <cell r="N636" t="str">
            <v>وایر</v>
          </cell>
          <cell r="AC636" t="str">
            <v>1405/03/30</v>
          </cell>
        </row>
        <row r="637">
          <cell r="B637" t="str">
            <v>کوبه نک قطاری</v>
          </cell>
          <cell r="C637" t="str">
            <v>قالب تعمیری</v>
          </cell>
          <cell r="N637" t="str">
            <v>وایر</v>
          </cell>
          <cell r="AC637" t="str">
            <v>1405/03/30</v>
          </cell>
        </row>
        <row r="638">
          <cell r="B638" t="str">
            <v>Hammer Mill Machine</v>
          </cell>
          <cell r="C638" t="str">
            <v>دستگاه نو</v>
          </cell>
          <cell r="N638" t="str">
            <v>سوپردریل</v>
          </cell>
          <cell r="AC638" t="str">
            <v>1405/03/30</v>
          </cell>
        </row>
        <row r="639">
          <cell r="B639" t="str">
            <v>پخت کلاچ ایویکو سوراخدار</v>
          </cell>
          <cell r="C639" t="str">
            <v>قالب تعمیری</v>
          </cell>
          <cell r="N639" t="str">
            <v>مونتاژ</v>
          </cell>
          <cell r="AC639" t="str">
            <v>1405/03/30</v>
          </cell>
        </row>
        <row r="640">
          <cell r="B640" t="str">
            <v>دستگاه پشم فلز چینی</v>
          </cell>
          <cell r="C640" t="str">
            <v>قطعه تعمیری</v>
          </cell>
          <cell r="N640" t="str">
            <v>مونتاژ</v>
          </cell>
          <cell r="AC640" t="str">
            <v>1405/03/30</v>
          </cell>
        </row>
        <row r="641">
          <cell r="B641" t="str">
            <v>دستگاه پشم فلز چینی</v>
          </cell>
          <cell r="C641" t="str">
            <v>قطعه تعمیری</v>
          </cell>
          <cell r="N641" t="str">
            <v>اره لنگ</v>
          </cell>
          <cell r="AC641" t="str">
            <v>1405/03/30</v>
          </cell>
        </row>
        <row r="642">
          <cell r="B642" t="str">
            <v>دستگاه مهر زنی</v>
          </cell>
          <cell r="C642" t="str">
            <v>قطعه تعمیری</v>
          </cell>
          <cell r="N642" t="str">
            <v>دریل رادیال</v>
          </cell>
          <cell r="AC642" t="str">
            <v>1405/03/30</v>
          </cell>
        </row>
        <row r="643">
          <cell r="B643" t="str">
            <v>Hammer Mill Machine</v>
          </cell>
          <cell r="C643" t="str">
            <v>دستگاه نو</v>
          </cell>
          <cell r="N643" t="str">
            <v>دریل رادیال</v>
          </cell>
          <cell r="AC643" t="str">
            <v>1405/03/30</v>
          </cell>
        </row>
        <row r="644">
          <cell r="B644" t="str">
            <v>دستگاه پرس 600 تن</v>
          </cell>
          <cell r="C644" t="str">
            <v>قطعه تعمیری</v>
          </cell>
          <cell r="N644" t="str">
            <v>فرز</v>
          </cell>
          <cell r="AC644" t="str">
            <v>1405/03/30</v>
          </cell>
        </row>
        <row r="645">
          <cell r="B645" t="str">
            <v>پخت کلاچ پراید</v>
          </cell>
          <cell r="C645" t="str">
            <v>قالب تعمیری</v>
          </cell>
          <cell r="N645" t="str">
            <v>مونتاژ</v>
          </cell>
          <cell r="AC645" t="str">
            <v>1405/03/30</v>
          </cell>
        </row>
        <row r="646">
          <cell r="B646" t="str">
            <v>Hammer Mill Machine</v>
          </cell>
          <cell r="C646" t="str">
            <v>دستگاه نو</v>
          </cell>
          <cell r="N646" t="str">
            <v>دریل رادیال</v>
          </cell>
          <cell r="AC646" t="str">
            <v>1405/03/30</v>
          </cell>
        </row>
        <row r="647">
          <cell r="B647" t="str">
            <v>دستگاه سنگ مغناطیسی</v>
          </cell>
          <cell r="C647" t="str">
            <v>دستگاه تعمیری</v>
          </cell>
          <cell r="N647" t="str">
            <v>مونتاژ</v>
          </cell>
          <cell r="AC647" t="str">
            <v>1405/03/30</v>
          </cell>
        </row>
        <row r="648">
          <cell r="B648" t="str">
            <v>پخت کلاچ ایویکو سوراخدار</v>
          </cell>
          <cell r="C648" t="str">
            <v>قالب تعمیری</v>
          </cell>
          <cell r="N648" t="str">
            <v>مونتاژ</v>
          </cell>
          <cell r="AC648" t="str">
            <v>1405/03/30</v>
          </cell>
        </row>
        <row r="649">
          <cell r="B649" t="str">
            <v>دستگاه پرس</v>
          </cell>
          <cell r="C649" t="str">
            <v>قطعه تعمیری</v>
          </cell>
          <cell r="N649" t="str">
            <v>دریل رادیال</v>
          </cell>
          <cell r="AC649" t="str">
            <v>1405/03/30</v>
          </cell>
        </row>
        <row r="650">
          <cell r="B650" t="str">
            <v>پخت کلاچ ایویکو سوراخدار</v>
          </cell>
          <cell r="C650" t="str">
            <v>قالب تعمیری</v>
          </cell>
          <cell r="N650" t="str">
            <v>مونتاژ</v>
          </cell>
          <cell r="AC650" t="str">
            <v>1405/03/30</v>
          </cell>
        </row>
        <row r="651">
          <cell r="B651" t="str">
            <v>قالب پخت کلاچ پیکان</v>
          </cell>
          <cell r="C651" t="str">
            <v>قالب تعمیری</v>
          </cell>
          <cell r="N651" t="str">
            <v>مونتاژ</v>
          </cell>
          <cell r="AC651" t="str">
            <v>1405/03/31</v>
          </cell>
        </row>
        <row r="652">
          <cell r="B652" t="str">
            <v>قالب پخت کلاچ پژو 405</v>
          </cell>
          <cell r="C652" t="str">
            <v>قالب تعمیری</v>
          </cell>
          <cell r="N652" t="str">
            <v>مونتاژ</v>
          </cell>
          <cell r="AC652" t="str">
            <v>1405/03/31</v>
          </cell>
        </row>
        <row r="653">
          <cell r="B653" t="str">
            <v>دستگاه پرس 600 تن</v>
          </cell>
          <cell r="C653" t="str">
            <v>قطعه تعمیری</v>
          </cell>
          <cell r="N653" t="str">
            <v>دریل رادیال</v>
          </cell>
          <cell r="AC653" t="str">
            <v>1405/03/31</v>
          </cell>
        </row>
        <row r="654">
          <cell r="B654" t="str">
            <v>برش جمعی عقب ریو</v>
          </cell>
          <cell r="C654" t="str">
            <v>قطعه نو</v>
          </cell>
          <cell r="N654" t="str">
            <v>فرز</v>
          </cell>
          <cell r="AC654" t="str">
            <v>1405/03/31</v>
          </cell>
        </row>
        <row r="655">
          <cell r="B655" t="str">
            <v>صفحات 50*50 پخت کلاچ</v>
          </cell>
          <cell r="C655" t="str">
            <v>قالب تعمیری</v>
          </cell>
          <cell r="N655" t="str">
            <v>سنگ زنی</v>
          </cell>
          <cell r="AC655" t="str">
            <v>1405/03/31</v>
          </cell>
        </row>
        <row r="656">
          <cell r="B656" t="str">
            <v>قالب پخت کلاچ پیکان آرژانتینی</v>
          </cell>
          <cell r="C656" t="str">
            <v>قالب تعمیری</v>
          </cell>
          <cell r="N656" t="str">
            <v>سنگ زنی</v>
          </cell>
          <cell r="AC656" t="str">
            <v>1405/03/31</v>
          </cell>
        </row>
        <row r="657">
          <cell r="B657" t="str">
            <v>صفحه 45*45</v>
          </cell>
          <cell r="C657" t="str">
            <v>قالب نو</v>
          </cell>
          <cell r="N657" t="str">
            <v>فرز</v>
          </cell>
          <cell r="AC657" t="str">
            <v>1405/03/31</v>
          </cell>
        </row>
        <row r="658">
          <cell r="B658" t="str">
            <v>صفحه 25*30*50</v>
          </cell>
          <cell r="C658" t="str">
            <v>قالب نو</v>
          </cell>
          <cell r="N658" t="str">
            <v>فرز</v>
          </cell>
          <cell r="AC658" t="str">
            <v>1405/03/31</v>
          </cell>
        </row>
        <row r="659">
          <cell r="B659" t="str">
            <v>دستگاه پشم فلز چینی</v>
          </cell>
          <cell r="C659" t="str">
            <v>قطعه نو</v>
          </cell>
          <cell r="N659" t="str">
            <v>مونتاژ</v>
          </cell>
          <cell r="AC659" t="str">
            <v>1405/03/31</v>
          </cell>
        </row>
        <row r="660">
          <cell r="B660" t="str">
            <v>پخت کلاچ پراید</v>
          </cell>
          <cell r="C660" t="str">
            <v>قالب تعمیری</v>
          </cell>
          <cell r="N660" t="str">
            <v>CNC</v>
          </cell>
          <cell r="AC660" t="str">
            <v>1405/03/31</v>
          </cell>
        </row>
        <row r="661">
          <cell r="B661" t="str">
            <v>دریل یزدخواستی کلاچ</v>
          </cell>
          <cell r="C661" t="str">
            <v>قطعه نو</v>
          </cell>
          <cell r="N661" t="str">
            <v>CNC</v>
          </cell>
          <cell r="AC661" t="str">
            <v>1405/03/31</v>
          </cell>
        </row>
        <row r="662">
          <cell r="B662" t="str">
            <v>دریل یزدخواستی کلاچ</v>
          </cell>
          <cell r="C662" t="str">
            <v>قطعه نو</v>
          </cell>
          <cell r="N662" t="str">
            <v>CNC</v>
          </cell>
          <cell r="AC662" t="str">
            <v>1405/03/31</v>
          </cell>
        </row>
        <row r="663">
          <cell r="B663" t="str">
            <v>دریل یزدخواستی کلاچ</v>
          </cell>
          <cell r="C663" t="str">
            <v>قطعه نو</v>
          </cell>
          <cell r="N663" t="str">
            <v>تراش</v>
          </cell>
          <cell r="AC663" t="str">
            <v>1405/03/31</v>
          </cell>
        </row>
        <row r="664">
          <cell r="B664" t="str">
            <v>دستگاه ساب الماسه</v>
          </cell>
          <cell r="C664" t="str">
            <v>قطعه تعمیری</v>
          </cell>
          <cell r="N664" t="str">
            <v>تراش</v>
          </cell>
          <cell r="AC664" t="str">
            <v>1405/03/31</v>
          </cell>
        </row>
        <row r="665">
          <cell r="B665" t="str">
            <v>دستگاه ساب الماسه</v>
          </cell>
          <cell r="C665" t="str">
            <v>قطعه تعمیری</v>
          </cell>
          <cell r="N665" t="str">
            <v>تراش</v>
          </cell>
          <cell r="AC665" t="str">
            <v>1405/03/31</v>
          </cell>
        </row>
        <row r="666">
          <cell r="B666" t="str">
            <v>نگهدارنده پلاک قالب</v>
          </cell>
          <cell r="C666" t="str">
            <v>قطعه نو</v>
          </cell>
          <cell r="N666" t="str">
            <v>وایر</v>
          </cell>
          <cell r="AC666" t="str">
            <v>1405/03/31</v>
          </cell>
        </row>
        <row r="667">
          <cell r="B667" t="str">
            <v>دستگاه پشم فلز چینی</v>
          </cell>
          <cell r="C667" t="str">
            <v>قطعه نو</v>
          </cell>
          <cell r="N667" t="str">
            <v>وایر</v>
          </cell>
          <cell r="AC667" t="str">
            <v>1405/03/31</v>
          </cell>
        </row>
        <row r="668">
          <cell r="B668" t="str">
            <v>Hammer Mill Machine</v>
          </cell>
          <cell r="C668" t="str">
            <v>دستگاه نو</v>
          </cell>
          <cell r="N668" t="str">
            <v>سوپردریل</v>
          </cell>
          <cell r="AC668" t="str">
            <v>1405/03/31</v>
          </cell>
        </row>
        <row r="669">
          <cell r="B669" t="str">
            <v>دستگاه پشم فلز چینی</v>
          </cell>
          <cell r="C669" t="str">
            <v>قطعه نو</v>
          </cell>
          <cell r="N669" t="str">
            <v>وایر</v>
          </cell>
          <cell r="AC669" t="str">
            <v>1405/03/31</v>
          </cell>
        </row>
        <row r="670">
          <cell r="B670" t="str">
            <v>دستگاه پشم فلز چینی</v>
          </cell>
          <cell r="C670" t="str">
            <v>قطعه تعمیری</v>
          </cell>
          <cell r="N670" t="str">
            <v>اره لنگ</v>
          </cell>
          <cell r="AC670" t="str">
            <v>1405/03/31</v>
          </cell>
        </row>
        <row r="671">
          <cell r="B671" t="str">
            <v>قالب پخت کلاچ پیکان</v>
          </cell>
          <cell r="C671" t="str">
            <v>قالب تعمیری</v>
          </cell>
          <cell r="N671" t="str">
            <v>مونتاژ</v>
          </cell>
          <cell r="AC671" t="str">
            <v>1405/03/31</v>
          </cell>
        </row>
        <row r="672">
          <cell r="B672" t="str">
            <v>قالب پخت کلاچ پژو 405</v>
          </cell>
          <cell r="C672" t="str">
            <v>قالب تعمیری</v>
          </cell>
          <cell r="N672" t="str">
            <v>مونتاژ</v>
          </cell>
          <cell r="AC672" t="str">
            <v>1405/03/31</v>
          </cell>
        </row>
        <row r="673">
          <cell r="B673" t="str">
            <v>دستگاه پرس 600 تن</v>
          </cell>
          <cell r="C673" t="str">
            <v>قطعه تعمیری</v>
          </cell>
          <cell r="N673" t="str">
            <v>مونتاژ</v>
          </cell>
          <cell r="AC673" t="str">
            <v>1405/03/31</v>
          </cell>
        </row>
        <row r="674">
          <cell r="B674" t="str">
            <v>قالب پخت کلاچ پیکان</v>
          </cell>
          <cell r="C674" t="str">
            <v>قالب تعمیری</v>
          </cell>
          <cell r="N674" t="str">
            <v>تراش</v>
          </cell>
          <cell r="AC674" t="str">
            <v>1405/03/31</v>
          </cell>
        </row>
        <row r="675">
          <cell r="B675" t="str">
            <v>پخت کلاچ ایویکو سوراخدار</v>
          </cell>
          <cell r="C675" t="str">
            <v>قالب تعمیری</v>
          </cell>
          <cell r="N675" t="str">
            <v>تراش</v>
          </cell>
          <cell r="AC675" t="str">
            <v>1405/03/31</v>
          </cell>
        </row>
        <row r="676">
          <cell r="B676" t="str">
            <v>دستگاه پشم فلز چینی</v>
          </cell>
          <cell r="C676" t="str">
            <v>قطعه تعمیری</v>
          </cell>
          <cell r="N676" t="str">
            <v>تراش</v>
          </cell>
          <cell r="AC676" t="str">
            <v>1405/03/31</v>
          </cell>
        </row>
        <row r="677">
          <cell r="B677" t="str">
            <v>قالب پخت کلاچ پژو 405</v>
          </cell>
          <cell r="C677" t="str">
            <v>قالب تعمیری</v>
          </cell>
          <cell r="N677" t="str">
            <v>CNC</v>
          </cell>
          <cell r="AC677" t="str">
            <v>1405/03/31</v>
          </cell>
        </row>
        <row r="678">
          <cell r="B678" t="str">
            <v>قالب پخت کلاچ پژو 405</v>
          </cell>
          <cell r="C678" t="str">
            <v>قالب تعمیری</v>
          </cell>
          <cell r="N678" t="str">
            <v>CNC</v>
          </cell>
          <cell r="AC678" t="str">
            <v>1405/03/31</v>
          </cell>
        </row>
        <row r="679">
          <cell r="B679"/>
          <cell r="C679"/>
          <cell r="N679"/>
          <cell r="AC679"/>
        </row>
        <row r="680">
          <cell r="B680"/>
          <cell r="C680"/>
          <cell r="N680"/>
          <cell r="AC680"/>
        </row>
        <row r="681">
          <cell r="B681"/>
          <cell r="C681"/>
          <cell r="N681"/>
          <cell r="AC681"/>
        </row>
        <row r="682">
          <cell r="B682"/>
          <cell r="C682"/>
          <cell r="N682"/>
          <cell r="AC682"/>
        </row>
        <row r="683">
          <cell r="B683"/>
          <cell r="C683"/>
          <cell r="N683"/>
          <cell r="AC683"/>
        </row>
        <row r="684">
          <cell r="B684"/>
          <cell r="C684"/>
          <cell r="N684"/>
          <cell r="AC684"/>
        </row>
        <row r="685">
          <cell r="B685"/>
          <cell r="C685"/>
          <cell r="N685"/>
          <cell r="AC685"/>
        </row>
        <row r="686">
          <cell r="B686"/>
          <cell r="C686"/>
          <cell r="N686"/>
          <cell r="AC686"/>
        </row>
        <row r="687">
          <cell r="B687"/>
          <cell r="C687"/>
          <cell r="N687"/>
          <cell r="AC687"/>
        </row>
        <row r="688">
          <cell r="B688"/>
          <cell r="C688"/>
          <cell r="N688"/>
          <cell r="AC688"/>
        </row>
        <row r="689">
          <cell r="B689"/>
          <cell r="C689"/>
          <cell r="N689"/>
          <cell r="AC689"/>
        </row>
        <row r="690">
          <cell r="B690"/>
          <cell r="C690"/>
          <cell r="N690"/>
          <cell r="AC690"/>
        </row>
        <row r="691">
          <cell r="B691"/>
          <cell r="C691"/>
          <cell r="N691"/>
          <cell r="AC691"/>
        </row>
        <row r="692">
          <cell r="B692"/>
          <cell r="C692"/>
          <cell r="N692"/>
          <cell r="AC692"/>
        </row>
        <row r="693">
          <cell r="B693"/>
          <cell r="C693"/>
          <cell r="N693"/>
          <cell r="AC693"/>
        </row>
        <row r="694">
          <cell r="B694"/>
          <cell r="C694"/>
          <cell r="N694"/>
          <cell r="AC694"/>
        </row>
        <row r="695">
          <cell r="B695"/>
          <cell r="C695"/>
          <cell r="N695"/>
          <cell r="AC695"/>
        </row>
        <row r="696">
          <cell r="B696"/>
          <cell r="C696"/>
          <cell r="N696"/>
          <cell r="AC696"/>
        </row>
        <row r="697">
          <cell r="B697"/>
          <cell r="C697"/>
          <cell r="N697"/>
          <cell r="AC697"/>
        </row>
        <row r="698">
          <cell r="B698"/>
          <cell r="C698"/>
          <cell r="N698"/>
          <cell r="AC698"/>
        </row>
        <row r="699">
          <cell r="B699"/>
          <cell r="C699"/>
          <cell r="N699"/>
          <cell r="AC699"/>
        </row>
        <row r="700">
          <cell r="B700"/>
          <cell r="C700"/>
          <cell r="N700"/>
          <cell r="AC700"/>
        </row>
        <row r="701">
          <cell r="B701"/>
          <cell r="C701"/>
          <cell r="N701"/>
          <cell r="AC701"/>
        </row>
        <row r="702">
          <cell r="B702"/>
          <cell r="C702"/>
          <cell r="N702"/>
          <cell r="AC702"/>
        </row>
        <row r="703">
          <cell r="B703"/>
          <cell r="C703"/>
          <cell r="N703"/>
          <cell r="AC703"/>
        </row>
        <row r="704">
          <cell r="B704"/>
          <cell r="C704"/>
          <cell r="N704"/>
          <cell r="AC704"/>
        </row>
        <row r="705">
          <cell r="B705"/>
          <cell r="C705"/>
          <cell r="N705"/>
          <cell r="AC705"/>
        </row>
        <row r="706">
          <cell r="B706"/>
          <cell r="C706"/>
          <cell r="N706"/>
          <cell r="AC706"/>
        </row>
        <row r="707">
          <cell r="B707"/>
          <cell r="C707"/>
          <cell r="N707"/>
          <cell r="AC707"/>
        </row>
        <row r="708">
          <cell r="B708"/>
          <cell r="C708"/>
          <cell r="N708"/>
          <cell r="AC708"/>
        </row>
        <row r="709">
          <cell r="B709"/>
          <cell r="C709"/>
          <cell r="N709"/>
          <cell r="AC709"/>
        </row>
        <row r="710">
          <cell r="B710"/>
          <cell r="C710"/>
          <cell r="N710"/>
          <cell r="AC710"/>
        </row>
        <row r="711">
          <cell r="B711"/>
          <cell r="C711"/>
          <cell r="N711"/>
          <cell r="AC711"/>
        </row>
        <row r="712">
          <cell r="B712"/>
          <cell r="C712"/>
          <cell r="N712"/>
          <cell r="AC712"/>
        </row>
        <row r="713">
          <cell r="B713"/>
          <cell r="C713"/>
          <cell r="N713"/>
          <cell r="AC713"/>
        </row>
        <row r="714">
          <cell r="B714"/>
          <cell r="C714"/>
          <cell r="N714"/>
          <cell r="AC714"/>
        </row>
        <row r="715">
          <cell r="B715"/>
          <cell r="C715"/>
          <cell r="N715"/>
          <cell r="AC715"/>
        </row>
        <row r="716">
          <cell r="B716"/>
          <cell r="C716"/>
          <cell r="N716"/>
          <cell r="AC716"/>
        </row>
        <row r="717">
          <cell r="B717"/>
          <cell r="C717"/>
          <cell r="N717"/>
          <cell r="AC717"/>
        </row>
        <row r="718">
          <cell r="B718"/>
          <cell r="C718"/>
          <cell r="N718"/>
          <cell r="AC718"/>
        </row>
        <row r="719">
          <cell r="B719"/>
          <cell r="C719"/>
          <cell r="N719"/>
          <cell r="AC719"/>
        </row>
        <row r="720">
          <cell r="B720"/>
          <cell r="C720"/>
          <cell r="N720"/>
          <cell r="AC720"/>
        </row>
        <row r="721">
          <cell r="B721"/>
          <cell r="C721"/>
          <cell r="N721"/>
          <cell r="AC721"/>
        </row>
        <row r="722">
          <cell r="B722"/>
          <cell r="C722"/>
          <cell r="N722"/>
          <cell r="AC722"/>
        </row>
        <row r="723">
          <cell r="B723"/>
          <cell r="C723"/>
          <cell r="N723"/>
          <cell r="AC723"/>
        </row>
        <row r="724">
          <cell r="B724"/>
          <cell r="C724"/>
          <cell r="N724"/>
          <cell r="AC724"/>
        </row>
        <row r="725">
          <cell r="B725"/>
          <cell r="C725"/>
          <cell r="N725"/>
          <cell r="AC725"/>
        </row>
        <row r="726">
          <cell r="B726"/>
          <cell r="C726"/>
          <cell r="N726"/>
          <cell r="AC726"/>
        </row>
        <row r="727">
          <cell r="B727"/>
          <cell r="C727"/>
          <cell r="N727"/>
          <cell r="AC727"/>
        </row>
        <row r="728">
          <cell r="B728"/>
          <cell r="C728"/>
          <cell r="N728"/>
          <cell r="AC728"/>
        </row>
        <row r="729">
          <cell r="B729"/>
          <cell r="C729"/>
          <cell r="N729"/>
          <cell r="AC729"/>
        </row>
        <row r="730">
          <cell r="B730"/>
          <cell r="C730"/>
          <cell r="N730"/>
          <cell r="AC730"/>
        </row>
        <row r="731">
          <cell r="B731"/>
          <cell r="C731"/>
          <cell r="N731"/>
          <cell r="AC731"/>
        </row>
        <row r="732">
          <cell r="B732"/>
          <cell r="C732"/>
          <cell r="N732"/>
          <cell r="AC732"/>
        </row>
        <row r="733">
          <cell r="B733"/>
          <cell r="C733"/>
          <cell r="N733"/>
          <cell r="AC733"/>
        </row>
        <row r="734">
          <cell r="B734"/>
          <cell r="C734"/>
          <cell r="N734"/>
          <cell r="AC734"/>
        </row>
        <row r="735">
          <cell r="B735"/>
          <cell r="C735"/>
          <cell r="N735"/>
          <cell r="AC735"/>
        </row>
        <row r="736">
          <cell r="B736"/>
          <cell r="C736"/>
          <cell r="N736"/>
          <cell r="AC736"/>
        </row>
        <row r="737">
          <cell r="B737"/>
          <cell r="C737"/>
          <cell r="N737"/>
          <cell r="AC737"/>
        </row>
        <row r="738">
          <cell r="B738"/>
          <cell r="C738"/>
          <cell r="N738"/>
          <cell r="AC738"/>
        </row>
        <row r="739">
          <cell r="B739"/>
          <cell r="C739"/>
          <cell r="N739"/>
          <cell r="AC739"/>
        </row>
        <row r="740">
          <cell r="B740"/>
          <cell r="C740"/>
          <cell r="N740"/>
          <cell r="AC740"/>
        </row>
        <row r="741">
          <cell r="B741"/>
          <cell r="C741"/>
          <cell r="N741"/>
          <cell r="AC741"/>
        </row>
        <row r="742">
          <cell r="B742"/>
          <cell r="C742"/>
          <cell r="N742"/>
          <cell r="AC742"/>
        </row>
        <row r="743">
          <cell r="B743"/>
          <cell r="C743"/>
          <cell r="N743"/>
          <cell r="AC743"/>
        </row>
        <row r="744">
          <cell r="B744"/>
          <cell r="C744"/>
          <cell r="N744"/>
          <cell r="AC744"/>
        </row>
        <row r="745">
          <cell r="B745"/>
          <cell r="C745"/>
          <cell r="N745"/>
          <cell r="AC745"/>
        </row>
        <row r="746">
          <cell r="B746"/>
          <cell r="C746"/>
          <cell r="N746"/>
          <cell r="AC746"/>
        </row>
        <row r="747">
          <cell r="B747"/>
          <cell r="C747"/>
          <cell r="N747"/>
          <cell r="AC747"/>
        </row>
        <row r="748">
          <cell r="B748"/>
          <cell r="C748"/>
          <cell r="N748"/>
          <cell r="AC748"/>
        </row>
        <row r="749">
          <cell r="B749"/>
          <cell r="C749"/>
          <cell r="N749"/>
          <cell r="AC749"/>
        </row>
        <row r="750">
          <cell r="B750"/>
          <cell r="C750"/>
          <cell r="N750"/>
          <cell r="AC750"/>
        </row>
        <row r="751">
          <cell r="B751"/>
          <cell r="C751"/>
          <cell r="N751"/>
          <cell r="AC751"/>
        </row>
        <row r="752">
          <cell r="B752"/>
          <cell r="C752"/>
          <cell r="N752"/>
          <cell r="AC752"/>
        </row>
        <row r="753">
          <cell r="B753"/>
          <cell r="C753"/>
          <cell r="N753"/>
          <cell r="AC753"/>
        </row>
        <row r="754">
          <cell r="B754"/>
          <cell r="C754"/>
          <cell r="N754"/>
          <cell r="AC754"/>
        </row>
        <row r="755">
          <cell r="B755"/>
          <cell r="C755"/>
          <cell r="N755"/>
          <cell r="AC755"/>
        </row>
        <row r="756">
          <cell r="B756"/>
          <cell r="C756"/>
          <cell r="N756"/>
          <cell r="AC756"/>
        </row>
        <row r="757">
          <cell r="B757"/>
          <cell r="C757"/>
          <cell r="N757"/>
          <cell r="AC757"/>
        </row>
        <row r="758">
          <cell r="B758"/>
          <cell r="C758"/>
          <cell r="N758"/>
          <cell r="AC758"/>
        </row>
        <row r="759">
          <cell r="B759"/>
          <cell r="C759"/>
          <cell r="N759"/>
          <cell r="AC759"/>
        </row>
        <row r="760">
          <cell r="B760"/>
          <cell r="C760"/>
          <cell r="N760"/>
          <cell r="AC760"/>
        </row>
        <row r="761">
          <cell r="B761"/>
          <cell r="C761"/>
          <cell r="N761"/>
          <cell r="AC761"/>
        </row>
        <row r="762">
          <cell r="B762"/>
          <cell r="C762"/>
          <cell r="N762"/>
          <cell r="AC762"/>
        </row>
        <row r="763">
          <cell r="B763"/>
          <cell r="C763"/>
          <cell r="N763"/>
          <cell r="AC763"/>
        </row>
        <row r="764">
          <cell r="B764"/>
          <cell r="C764"/>
          <cell r="N764"/>
          <cell r="AC764"/>
        </row>
        <row r="765">
          <cell r="B765"/>
          <cell r="C765"/>
          <cell r="N765"/>
          <cell r="AC765"/>
        </row>
        <row r="766">
          <cell r="B766"/>
          <cell r="C766"/>
          <cell r="N766"/>
          <cell r="AC766"/>
        </row>
        <row r="767">
          <cell r="B767"/>
          <cell r="C767"/>
          <cell r="N767"/>
          <cell r="AC767"/>
        </row>
        <row r="768">
          <cell r="B768"/>
          <cell r="C768"/>
          <cell r="N768"/>
          <cell r="AC768"/>
        </row>
        <row r="769">
          <cell r="B769"/>
          <cell r="C769"/>
          <cell r="N769"/>
          <cell r="AC769"/>
        </row>
        <row r="770">
          <cell r="B770"/>
          <cell r="C770"/>
          <cell r="N770"/>
          <cell r="AC770"/>
        </row>
        <row r="771">
          <cell r="B771"/>
          <cell r="C771"/>
          <cell r="N771"/>
          <cell r="AC771"/>
        </row>
        <row r="772">
          <cell r="B772"/>
          <cell r="C772"/>
          <cell r="N772"/>
          <cell r="AC772"/>
        </row>
        <row r="773">
          <cell r="B773"/>
          <cell r="C773"/>
          <cell r="N773"/>
          <cell r="AC773"/>
        </row>
        <row r="774">
          <cell r="B774"/>
          <cell r="C774"/>
          <cell r="N774"/>
          <cell r="AC774"/>
        </row>
        <row r="775">
          <cell r="B775"/>
          <cell r="C775"/>
          <cell r="N775"/>
          <cell r="AC775"/>
        </row>
        <row r="776">
          <cell r="B776"/>
          <cell r="C776"/>
          <cell r="N776"/>
          <cell r="AC776"/>
        </row>
        <row r="777">
          <cell r="B777"/>
          <cell r="C777"/>
          <cell r="N777"/>
          <cell r="AC777"/>
        </row>
        <row r="778">
          <cell r="B778"/>
          <cell r="C778"/>
          <cell r="N778"/>
          <cell r="AC778"/>
        </row>
        <row r="779">
          <cell r="B779"/>
          <cell r="C779"/>
          <cell r="N779"/>
          <cell r="AC779"/>
        </row>
        <row r="780">
          <cell r="B780"/>
          <cell r="C780"/>
          <cell r="N780"/>
          <cell r="AC780"/>
        </row>
        <row r="781">
          <cell r="B781"/>
          <cell r="C781"/>
          <cell r="N781"/>
          <cell r="AC781"/>
        </row>
        <row r="782">
          <cell r="B782"/>
          <cell r="C782"/>
          <cell r="N782"/>
          <cell r="AC782"/>
        </row>
        <row r="783">
          <cell r="B783"/>
          <cell r="C783"/>
          <cell r="N783"/>
          <cell r="AC783"/>
        </row>
        <row r="784">
          <cell r="B784"/>
          <cell r="C784"/>
          <cell r="N784"/>
          <cell r="AC784"/>
        </row>
        <row r="785">
          <cell r="B785"/>
          <cell r="C785"/>
          <cell r="N785"/>
          <cell r="AC785"/>
        </row>
        <row r="786">
          <cell r="B786"/>
          <cell r="C786"/>
          <cell r="N786"/>
          <cell r="AC786"/>
        </row>
        <row r="787">
          <cell r="B787"/>
          <cell r="C787"/>
          <cell r="N787"/>
          <cell r="AC787"/>
        </row>
        <row r="788">
          <cell r="B788"/>
          <cell r="C788"/>
          <cell r="N788"/>
          <cell r="AC788"/>
        </row>
        <row r="789">
          <cell r="B789"/>
          <cell r="C789"/>
          <cell r="N789"/>
          <cell r="AC789"/>
        </row>
        <row r="790">
          <cell r="B790"/>
          <cell r="C790"/>
          <cell r="N790"/>
          <cell r="AC790"/>
        </row>
        <row r="791">
          <cell r="B791"/>
          <cell r="C791"/>
          <cell r="N791"/>
          <cell r="AC791"/>
        </row>
        <row r="792">
          <cell r="B792"/>
          <cell r="C792"/>
          <cell r="N792"/>
          <cell r="AC792"/>
        </row>
        <row r="793">
          <cell r="B793"/>
          <cell r="C793"/>
          <cell r="N793"/>
          <cell r="AC793"/>
        </row>
        <row r="794">
          <cell r="B794"/>
          <cell r="C794"/>
          <cell r="N794"/>
          <cell r="AC794"/>
        </row>
        <row r="795">
          <cell r="B795"/>
          <cell r="C795"/>
          <cell r="N795"/>
          <cell r="AC795"/>
        </row>
        <row r="796">
          <cell r="B796"/>
          <cell r="C796"/>
          <cell r="N796"/>
          <cell r="AC796"/>
        </row>
        <row r="797">
          <cell r="B797"/>
          <cell r="C797"/>
          <cell r="N797"/>
          <cell r="AC797"/>
        </row>
        <row r="798">
          <cell r="B798"/>
          <cell r="C798"/>
          <cell r="N798"/>
          <cell r="AC798"/>
        </row>
        <row r="799">
          <cell r="B799"/>
          <cell r="C799"/>
          <cell r="N799"/>
          <cell r="AC799"/>
        </row>
        <row r="800">
          <cell r="B800"/>
          <cell r="C800"/>
          <cell r="N800"/>
          <cell r="AC800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/>
      <sheetData sheetId="1"/>
      <sheetData sheetId="2"/>
      <sheetData sheetId="3">
        <row r="4">
          <cell r="B4" t="str">
            <v>نگهدارنده پلاک قالب</v>
          </cell>
          <cell r="C4" t="str">
            <v>قطعه نو</v>
          </cell>
          <cell r="N4" t="str">
            <v>وایر</v>
          </cell>
          <cell r="AC4" t="str">
            <v>1405/04/01</v>
          </cell>
        </row>
        <row r="5">
          <cell r="B5" t="str">
            <v>برش جمعی عقب ریو</v>
          </cell>
          <cell r="C5" t="str">
            <v>قطعه نو</v>
          </cell>
          <cell r="N5" t="str">
            <v>مونتاژ</v>
          </cell>
          <cell r="AC5" t="str">
            <v>1405/04/01</v>
          </cell>
        </row>
        <row r="6">
          <cell r="B6" t="str">
            <v>دستگاه پشم فلز چینی</v>
          </cell>
          <cell r="C6" t="str">
            <v>قطعه تعمیری</v>
          </cell>
          <cell r="N6" t="str">
            <v>مونتاژ</v>
          </cell>
          <cell r="AC6" t="str">
            <v>1405/04/01</v>
          </cell>
        </row>
        <row r="7">
          <cell r="B7" t="str">
            <v>دستگاه پشم فلز چینی</v>
          </cell>
          <cell r="C7" t="str">
            <v>قطعه تعمیری</v>
          </cell>
          <cell r="N7" t="str">
            <v>فرز</v>
          </cell>
          <cell r="AC7" t="str">
            <v>1405/04/01</v>
          </cell>
        </row>
        <row r="8">
          <cell r="B8" t="str">
            <v>دریل یزدخواستی کلاچ</v>
          </cell>
          <cell r="C8" t="str">
            <v>قطعه نو</v>
          </cell>
          <cell r="N8" t="str">
            <v>CNC</v>
          </cell>
          <cell r="AC8" t="str">
            <v>1405/04/01</v>
          </cell>
        </row>
        <row r="9">
          <cell r="B9" t="str">
            <v>صفحات 50*50 پخت کلاچ</v>
          </cell>
          <cell r="C9" t="str">
            <v>قالب تعمیری</v>
          </cell>
          <cell r="N9" t="str">
            <v>سنگ زنی</v>
          </cell>
          <cell r="AC9" t="str">
            <v>1405/04/01</v>
          </cell>
        </row>
        <row r="10">
          <cell r="B10" t="str">
            <v>دستگاه چسب زنی</v>
          </cell>
          <cell r="C10" t="str">
            <v>قطعه تعمیری</v>
          </cell>
          <cell r="N10" t="str">
            <v>سنگ زنی</v>
          </cell>
          <cell r="AC10" t="str">
            <v>1405/04/01</v>
          </cell>
        </row>
        <row r="11">
          <cell r="B11" t="str">
            <v>Hammer Mill Machine</v>
          </cell>
          <cell r="C11" t="str">
            <v>دستگاه نو</v>
          </cell>
          <cell r="N11" t="str">
            <v>دریل رادیال</v>
          </cell>
          <cell r="AC11" t="str">
            <v>1405/04/01</v>
          </cell>
        </row>
        <row r="12">
          <cell r="B12" t="str">
            <v>پخت کلاچ پراید</v>
          </cell>
          <cell r="C12" t="str">
            <v>قالب تعمیری</v>
          </cell>
          <cell r="N12" t="str">
            <v>مونتاژ</v>
          </cell>
          <cell r="AC12" t="str">
            <v>1405/04/01</v>
          </cell>
        </row>
        <row r="13">
          <cell r="B13" t="str">
            <v>قالب پخت کلاچ پیکان</v>
          </cell>
          <cell r="C13" t="str">
            <v>قالب تعمیری</v>
          </cell>
          <cell r="N13" t="str">
            <v>مونتاژ</v>
          </cell>
          <cell r="AC13" t="str">
            <v>1405/04/01</v>
          </cell>
        </row>
        <row r="14">
          <cell r="B14" t="str">
            <v>پخت کلاچ پراید</v>
          </cell>
          <cell r="C14" t="str">
            <v>قالب تعمیری</v>
          </cell>
          <cell r="N14" t="str">
            <v>مونتاژ</v>
          </cell>
          <cell r="AC14" t="str">
            <v>1405/04/01</v>
          </cell>
        </row>
        <row r="15">
          <cell r="B15" t="str">
            <v>قالب پخت کلاچ پیکان</v>
          </cell>
          <cell r="C15" t="str">
            <v>قالب تعمیری</v>
          </cell>
          <cell r="N15" t="str">
            <v>مونتاژ</v>
          </cell>
          <cell r="AC15" t="str">
            <v>1405/04/01</v>
          </cell>
        </row>
        <row r="16">
          <cell r="B16" t="str">
            <v>دستگاه پشم فلز چینی</v>
          </cell>
          <cell r="C16" t="str">
            <v>قطعه تعمیری</v>
          </cell>
          <cell r="N16" t="str">
            <v>اره لنگ</v>
          </cell>
          <cell r="AC16" t="str">
            <v>1405/04/01</v>
          </cell>
        </row>
        <row r="17">
          <cell r="B17" t="str">
            <v>ماشین پژو پارس سفید</v>
          </cell>
          <cell r="C17" t="str">
            <v>قطعه تعمیری</v>
          </cell>
          <cell r="N17" t="str">
            <v>تراش</v>
          </cell>
          <cell r="AC17" t="str">
            <v>1405/04/01</v>
          </cell>
        </row>
        <row r="18">
          <cell r="B18" t="str">
            <v>ساب الماسه</v>
          </cell>
          <cell r="C18" t="str">
            <v>قطعه تعمیری</v>
          </cell>
          <cell r="N18" t="str">
            <v>تراش</v>
          </cell>
          <cell r="AC18" t="str">
            <v>1405/04/01</v>
          </cell>
        </row>
        <row r="19">
          <cell r="B19" t="str">
            <v>موتور</v>
          </cell>
          <cell r="C19" t="str">
            <v>قطعه تعمیری</v>
          </cell>
          <cell r="N19" t="str">
            <v>تراش</v>
          </cell>
          <cell r="AC19" t="str">
            <v>1405/04/01</v>
          </cell>
        </row>
        <row r="20">
          <cell r="B20" t="str">
            <v>قالب پخت کلاچ پیکان</v>
          </cell>
          <cell r="C20" t="str">
            <v>قالب تعمیری</v>
          </cell>
          <cell r="N20" t="str">
            <v>تراش</v>
          </cell>
          <cell r="AC20" t="str">
            <v>1405/04/01</v>
          </cell>
        </row>
        <row r="21">
          <cell r="B21" t="str">
            <v>صفحه 25*30*50</v>
          </cell>
          <cell r="C21" t="str">
            <v>قالب نو</v>
          </cell>
          <cell r="N21" t="str">
            <v>فرز</v>
          </cell>
          <cell r="AC21" t="str">
            <v>1405/04/01</v>
          </cell>
        </row>
        <row r="22">
          <cell r="B22" t="str">
            <v>کلمپ زنی</v>
          </cell>
          <cell r="C22" t="str">
            <v>دستگاه تعمیری</v>
          </cell>
          <cell r="N22" t="str">
            <v>فرز</v>
          </cell>
          <cell r="AC22" t="str">
            <v>1405/04/01</v>
          </cell>
        </row>
        <row r="23">
          <cell r="B23" t="str">
            <v>دستگاه مهر زنی</v>
          </cell>
          <cell r="C23" t="str">
            <v>قطعه نو</v>
          </cell>
          <cell r="N23" t="str">
            <v>تراش</v>
          </cell>
          <cell r="AC23" t="str">
            <v>1405/04/01</v>
          </cell>
        </row>
        <row r="24">
          <cell r="B24" t="str">
            <v>دستگاه پشم فلز چینی</v>
          </cell>
          <cell r="C24" t="str">
            <v>قطعه تعمیری</v>
          </cell>
          <cell r="N24" t="str">
            <v>تراش</v>
          </cell>
          <cell r="AC24" t="str">
            <v>1405/04/01</v>
          </cell>
        </row>
        <row r="25">
          <cell r="B25" t="str">
            <v>پخت کلاچ پراید</v>
          </cell>
          <cell r="C25" t="str">
            <v>قالب تعمیری</v>
          </cell>
          <cell r="N25" t="str">
            <v>تراش</v>
          </cell>
          <cell r="AC25" t="str">
            <v>1405/04/01</v>
          </cell>
        </row>
        <row r="26">
          <cell r="B26" t="str">
            <v>صفحه 25*30*50</v>
          </cell>
          <cell r="C26" t="str">
            <v>قالب نو</v>
          </cell>
          <cell r="N26" t="str">
            <v>فرز</v>
          </cell>
          <cell r="AC26" t="str">
            <v>1405/04/02</v>
          </cell>
        </row>
        <row r="27">
          <cell r="B27" t="str">
            <v>کلمپ زنی</v>
          </cell>
          <cell r="C27" t="str">
            <v>دستگاه تعمیری</v>
          </cell>
          <cell r="N27" t="str">
            <v>فرز</v>
          </cell>
          <cell r="AC27" t="str">
            <v>1405/04/02</v>
          </cell>
        </row>
        <row r="28">
          <cell r="B28" t="str">
            <v>برش جمعی عقب ریو</v>
          </cell>
          <cell r="C28" t="str">
            <v>قطعه نو</v>
          </cell>
          <cell r="N28" t="str">
            <v>تراش</v>
          </cell>
          <cell r="AC28" t="str">
            <v>1405/04/02</v>
          </cell>
        </row>
        <row r="29">
          <cell r="B29" t="str">
            <v>پخت کلاچ پراید</v>
          </cell>
          <cell r="C29" t="str">
            <v>قالب تعمیری</v>
          </cell>
          <cell r="N29" t="str">
            <v>CNC</v>
          </cell>
          <cell r="AC29" t="str">
            <v>1405/04/02</v>
          </cell>
        </row>
        <row r="30">
          <cell r="B30" t="str">
            <v>دریل یزدخواستی کلاچ</v>
          </cell>
          <cell r="C30" t="str">
            <v>قطعه نو</v>
          </cell>
          <cell r="N30" t="str">
            <v>تراش</v>
          </cell>
          <cell r="AC30" t="str">
            <v>1405/04/02</v>
          </cell>
        </row>
        <row r="31">
          <cell r="B31" t="str">
            <v>دریل یزدخواستی کلاچ</v>
          </cell>
          <cell r="C31" t="str">
            <v>قطعه نو</v>
          </cell>
          <cell r="N31" t="str">
            <v>تراش</v>
          </cell>
          <cell r="AC31" t="str">
            <v>1405/04/02</v>
          </cell>
        </row>
        <row r="32">
          <cell r="B32" t="str">
            <v>دریل یزدخواستی کلاچ</v>
          </cell>
          <cell r="C32" t="str">
            <v>قطعه نو</v>
          </cell>
          <cell r="N32" t="str">
            <v>CNC</v>
          </cell>
          <cell r="AC32" t="str">
            <v>1405/04/02</v>
          </cell>
        </row>
        <row r="33">
          <cell r="B33" t="str">
            <v>دستگاه مهر زنی</v>
          </cell>
          <cell r="C33" t="str">
            <v>قطعه نو</v>
          </cell>
          <cell r="N33" t="str">
            <v>وایر</v>
          </cell>
          <cell r="AC33" t="str">
            <v>1405/04/02</v>
          </cell>
        </row>
        <row r="34">
          <cell r="B34" t="str">
            <v>دستگاه چسب زنی</v>
          </cell>
          <cell r="C34" t="str">
            <v>قطعه تعمیری</v>
          </cell>
          <cell r="N34" t="str">
            <v>وایر</v>
          </cell>
          <cell r="AC34" t="str">
            <v>1405/04/02</v>
          </cell>
        </row>
        <row r="35">
          <cell r="B35" t="str">
            <v>نگهدارنده پلاک قالب</v>
          </cell>
          <cell r="C35" t="str">
            <v>قطعه نو</v>
          </cell>
          <cell r="N35" t="str">
            <v>وایر</v>
          </cell>
          <cell r="AC35" t="str">
            <v>1405/04/02</v>
          </cell>
        </row>
        <row r="36">
          <cell r="B36" t="str">
            <v>قالب عقب F12</v>
          </cell>
          <cell r="C36" t="str">
            <v>قالب نو</v>
          </cell>
          <cell r="N36" t="str">
            <v>فرز</v>
          </cell>
          <cell r="AC36" t="str">
            <v>1405/04/02</v>
          </cell>
        </row>
        <row r="37">
          <cell r="B37" t="str">
            <v>دستگاه پرس پخت</v>
          </cell>
          <cell r="C37" t="str">
            <v>قطعه تعمیری</v>
          </cell>
          <cell r="N37" t="str">
            <v>دریل رادیال</v>
          </cell>
          <cell r="AC37" t="str">
            <v>1405/04/02</v>
          </cell>
        </row>
        <row r="38">
          <cell r="B38" t="str">
            <v>دستگاه پرس پخت</v>
          </cell>
          <cell r="C38" t="str">
            <v>قطعه تعمیری</v>
          </cell>
          <cell r="N38" t="str">
            <v>مونتاژ</v>
          </cell>
          <cell r="AC38" t="str">
            <v>1405/04/02</v>
          </cell>
        </row>
        <row r="39">
          <cell r="B39" t="str">
            <v>دستگاه پرس پخت</v>
          </cell>
          <cell r="C39" t="str">
            <v>قطعه تعمیری</v>
          </cell>
          <cell r="N39" t="str">
            <v>مونتاژ</v>
          </cell>
          <cell r="AC39" t="str">
            <v>1405/04/02</v>
          </cell>
        </row>
        <row r="40">
          <cell r="B40" t="str">
            <v>صفحات 50*50 پخت کلاچ</v>
          </cell>
          <cell r="C40" t="str">
            <v>قالب تعمیری</v>
          </cell>
          <cell r="N40" t="str">
            <v>سنگ زنی</v>
          </cell>
          <cell r="AC40" t="str">
            <v>1405/04/02</v>
          </cell>
        </row>
        <row r="41">
          <cell r="B41" t="str">
            <v>دستگاه چسب زنی</v>
          </cell>
          <cell r="C41" t="str">
            <v>قطعه تعمیری</v>
          </cell>
          <cell r="N41" t="str">
            <v>سنگ زنی</v>
          </cell>
          <cell r="AC41" t="str">
            <v>1405/04/02</v>
          </cell>
        </row>
        <row r="42">
          <cell r="B42" t="str">
            <v>پخت کلاچ پراید</v>
          </cell>
          <cell r="C42" t="str">
            <v>قالب تعمیری</v>
          </cell>
          <cell r="N42" t="str">
            <v>سنگ زنی</v>
          </cell>
          <cell r="AC42" t="str">
            <v>1405/04/02</v>
          </cell>
        </row>
        <row r="43">
          <cell r="B43" t="str">
            <v>قالب ترابوزا</v>
          </cell>
          <cell r="C43" t="str">
            <v>قالب تعمیری</v>
          </cell>
          <cell r="N43" t="str">
            <v>سنگ زنی</v>
          </cell>
          <cell r="AC43" t="str">
            <v>1405/04/02</v>
          </cell>
        </row>
        <row r="44">
          <cell r="B44" t="str">
            <v>پخت کلاچ پراید</v>
          </cell>
          <cell r="C44" t="str">
            <v>قالب تعمیری</v>
          </cell>
          <cell r="N44" t="str">
            <v>مونتاژ</v>
          </cell>
          <cell r="AC44" t="str">
            <v>1405/04/02</v>
          </cell>
        </row>
        <row r="45">
          <cell r="B45" t="str">
            <v>پخت کلاچ پراید</v>
          </cell>
          <cell r="C45" t="str">
            <v>قالب تعمیری</v>
          </cell>
          <cell r="N45" t="str">
            <v>مونتاژ</v>
          </cell>
          <cell r="AC45" t="str">
            <v>1405/04/02</v>
          </cell>
        </row>
        <row r="46">
          <cell r="B46" t="str">
            <v xml:space="preserve">پخت کلاچ پراید سکو </v>
          </cell>
          <cell r="C46" t="str">
            <v>قالب تعمیری</v>
          </cell>
          <cell r="N46" t="str">
            <v>مونتاژ</v>
          </cell>
          <cell r="AC46" t="str">
            <v>1405/04/02</v>
          </cell>
        </row>
        <row r="47">
          <cell r="B47" t="str">
            <v>قالب پخت کلاچ پیکان</v>
          </cell>
          <cell r="C47" t="str">
            <v>قالب تعمیری</v>
          </cell>
          <cell r="N47" t="str">
            <v>مونتاژ</v>
          </cell>
          <cell r="AC47" t="str">
            <v>1405/04/02</v>
          </cell>
        </row>
        <row r="48">
          <cell r="B48" t="str">
            <v>پخت کلاچ پراید</v>
          </cell>
          <cell r="C48" t="str">
            <v>قالب تعمیری</v>
          </cell>
          <cell r="N48" t="str">
            <v>مونتاژ</v>
          </cell>
          <cell r="AC48" t="str">
            <v>1405/04/02</v>
          </cell>
        </row>
        <row r="49">
          <cell r="B49" t="str">
            <v>پخت کلاچ پراید</v>
          </cell>
          <cell r="C49" t="str">
            <v>قالب تعمیری</v>
          </cell>
          <cell r="N49" t="str">
            <v>مونتاژ</v>
          </cell>
          <cell r="AC49" t="str">
            <v>1405/04/02</v>
          </cell>
        </row>
        <row r="50">
          <cell r="B50" t="str">
            <v>پخت کلاچ پراید</v>
          </cell>
          <cell r="C50" t="str">
            <v>قالب تعمیری</v>
          </cell>
          <cell r="N50" t="str">
            <v>مونتاژ</v>
          </cell>
          <cell r="AC50" t="str">
            <v>1405/04/02</v>
          </cell>
        </row>
        <row r="51">
          <cell r="B51" t="str">
            <v xml:space="preserve">پخت کلاچ پراید سکو </v>
          </cell>
          <cell r="C51" t="str">
            <v>قالب تعمیری</v>
          </cell>
          <cell r="N51" t="str">
            <v>مونتاژ</v>
          </cell>
          <cell r="AC51" t="str">
            <v>1405/04/02</v>
          </cell>
        </row>
        <row r="52">
          <cell r="B52" t="str">
            <v>قالب پخت کلاچ پیکان</v>
          </cell>
          <cell r="C52" t="str">
            <v>قالب تعمیری</v>
          </cell>
          <cell r="N52" t="str">
            <v>مونتاژ</v>
          </cell>
          <cell r="AC52" t="str">
            <v>1405/04/02</v>
          </cell>
        </row>
        <row r="53">
          <cell r="B53" t="str">
            <v>پخت کلاچ پراید</v>
          </cell>
          <cell r="C53" t="str">
            <v>قالب تعمیری</v>
          </cell>
          <cell r="N53" t="str">
            <v>مونتاژ</v>
          </cell>
          <cell r="AC53" t="str">
            <v>1405/04/02</v>
          </cell>
        </row>
        <row r="54">
          <cell r="B54" t="str">
            <v>پخت کلاچ پراید</v>
          </cell>
          <cell r="C54" t="str">
            <v>قالب تعمیری</v>
          </cell>
          <cell r="N54" t="str">
            <v>CNC</v>
          </cell>
          <cell r="AC54" t="str">
            <v>1405/04/06</v>
          </cell>
        </row>
        <row r="55">
          <cell r="B55" t="str">
            <v>پخت کلاچ پراید</v>
          </cell>
          <cell r="C55" t="str">
            <v>قالب تعمیری</v>
          </cell>
          <cell r="N55" t="str">
            <v>CNC</v>
          </cell>
          <cell r="AC55" t="str">
            <v>1405/04/06</v>
          </cell>
        </row>
        <row r="56">
          <cell r="B56" t="str">
            <v>قالب پخت کلاچ پیکان</v>
          </cell>
          <cell r="C56" t="str">
            <v>قالب تعمیری</v>
          </cell>
          <cell r="N56" t="str">
            <v>CNC</v>
          </cell>
          <cell r="AC56" t="str">
            <v>1405/04/06</v>
          </cell>
        </row>
        <row r="57">
          <cell r="B57" t="str">
            <v>قالب عقب F12</v>
          </cell>
          <cell r="C57" t="str">
            <v>قالب نو</v>
          </cell>
          <cell r="N57" t="str">
            <v>فرز</v>
          </cell>
          <cell r="AC57" t="str">
            <v>1405/04/06</v>
          </cell>
        </row>
        <row r="58">
          <cell r="B58" t="str">
            <v>پخت کلاچ پراید</v>
          </cell>
          <cell r="C58" t="str">
            <v>قالب تعمیری</v>
          </cell>
          <cell r="N58" t="str">
            <v>CNC</v>
          </cell>
          <cell r="AC58" t="str">
            <v>1405/04/06</v>
          </cell>
        </row>
        <row r="59">
          <cell r="B59" t="str">
            <v>پخت کلاچ پراید</v>
          </cell>
          <cell r="C59" t="str">
            <v>قالب تعمیری</v>
          </cell>
          <cell r="N59" t="str">
            <v>CNC</v>
          </cell>
          <cell r="AC59" t="str">
            <v>1405/04/06</v>
          </cell>
        </row>
        <row r="60">
          <cell r="B60" t="str">
            <v>کلمپ زنی</v>
          </cell>
          <cell r="C60" t="str">
            <v>دستگاه تعمیری</v>
          </cell>
          <cell r="N60" t="str">
            <v>فرز</v>
          </cell>
          <cell r="AC60" t="str">
            <v>1405/04/06</v>
          </cell>
        </row>
        <row r="61">
          <cell r="B61" t="str">
            <v>دستگاه پرس پخت</v>
          </cell>
          <cell r="C61" t="str">
            <v>قطعه تعمیری</v>
          </cell>
          <cell r="N61" t="str">
            <v>فرز</v>
          </cell>
          <cell r="AC61" t="str">
            <v>1405/04/06</v>
          </cell>
        </row>
        <row r="62">
          <cell r="B62" t="str">
            <v>دستگاه پرس پخت</v>
          </cell>
          <cell r="C62" t="str">
            <v>قطعه تعمیری</v>
          </cell>
          <cell r="N62" t="str">
            <v>فرز</v>
          </cell>
          <cell r="AC62" t="str">
            <v>1405/04/07</v>
          </cell>
        </row>
        <row r="63">
          <cell r="B63" t="str">
            <v>پخت کلاچ پراید</v>
          </cell>
          <cell r="C63" t="str">
            <v>قالب تعمیری</v>
          </cell>
          <cell r="N63" t="str">
            <v>مونتاژ</v>
          </cell>
          <cell r="AC63" t="str">
            <v>1405/04/06</v>
          </cell>
        </row>
        <row r="64">
          <cell r="B64" t="str">
            <v>پایه پرچ لنت نیسان</v>
          </cell>
          <cell r="C64" t="str">
            <v>قطعه نو</v>
          </cell>
          <cell r="N64" t="str">
            <v>اره لنگ</v>
          </cell>
          <cell r="AC64" t="str">
            <v>1405/04/06</v>
          </cell>
        </row>
        <row r="65">
          <cell r="B65" t="str">
            <v>قالب عقب F12</v>
          </cell>
          <cell r="C65" t="str">
            <v>قالب نو</v>
          </cell>
          <cell r="N65" t="str">
            <v>فرز</v>
          </cell>
          <cell r="AC65" t="str">
            <v>1405/04/07</v>
          </cell>
        </row>
        <row r="66">
          <cell r="B66" t="str">
            <v>قالب پخت کلاچ پیکان</v>
          </cell>
          <cell r="C66" t="str">
            <v>قالب تعمیری</v>
          </cell>
          <cell r="N66" t="str">
            <v>مونتاژ</v>
          </cell>
          <cell r="AC66" t="str">
            <v>1405/04/06</v>
          </cell>
        </row>
        <row r="67">
          <cell r="B67" t="str">
            <v>شمش پراید</v>
          </cell>
          <cell r="C67" t="str">
            <v>قالب نو</v>
          </cell>
          <cell r="N67" t="str">
            <v>مونتاژ</v>
          </cell>
          <cell r="AC67" t="str">
            <v>1405/04/07</v>
          </cell>
        </row>
        <row r="68">
          <cell r="B68" t="str">
            <v>قالب پخت کلاچ پیکان</v>
          </cell>
          <cell r="C68" t="str">
            <v>قالب تعمیری</v>
          </cell>
          <cell r="N68" t="str">
            <v>مونتاژ</v>
          </cell>
          <cell r="AC68" t="str">
            <v>1405/04/07</v>
          </cell>
        </row>
        <row r="69">
          <cell r="B69" t="str">
            <v>قالب پخت کلاچ پیکان</v>
          </cell>
          <cell r="C69" t="str">
            <v>قالب تعمیری</v>
          </cell>
          <cell r="N69" t="str">
            <v>مونتاژ</v>
          </cell>
          <cell r="AC69" t="str">
            <v>1405/04/07</v>
          </cell>
        </row>
        <row r="70">
          <cell r="B70" t="str">
            <v>پخت کلاچ ایویکو سوراخدار</v>
          </cell>
          <cell r="C70" t="str">
            <v>قالب تعمیری</v>
          </cell>
          <cell r="N70" t="str">
            <v>مونتاژ</v>
          </cell>
          <cell r="AC70" t="str">
            <v>1405/04/06</v>
          </cell>
        </row>
        <row r="71">
          <cell r="B71" t="str">
            <v>دستگاه پرس پخت</v>
          </cell>
          <cell r="C71" t="str">
            <v>قطعه تعمیری</v>
          </cell>
          <cell r="N71" t="str">
            <v>دریل رادیال</v>
          </cell>
          <cell r="AC71" t="str">
            <v>1405/04/06</v>
          </cell>
        </row>
        <row r="72">
          <cell r="B72" t="str">
            <v>پخت کلاچ پراید</v>
          </cell>
          <cell r="C72" t="str">
            <v>قالب تعمیری</v>
          </cell>
          <cell r="N72" t="str">
            <v>مونتاژ</v>
          </cell>
          <cell r="AC72" t="str">
            <v>1405/04/06</v>
          </cell>
        </row>
        <row r="73">
          <cell r="B73" t="str">
            <v>تخته لنت صنعتی</v>
          </cell>
          <cell r="C73" t="str">
            <v>قطعه تعمیری</v>
          </cell>
          <cell r="N73" t="str">
            <v>دریل رادیال</v>
          </cell>
          <cell r="AC73" t="str">
            <v>1405/04/06</v>
          </cell>
        </row>
        <row r="74">
          <cell r="B74" t="str">
            <v>پخت کلاچ پراید</v>
          </cell>
          <cell r="C74" t="str">
            <v>قالب تعمیری</v>
          </cell>
          <cell r="N74" t="str">
            <v>مونتاژ</v>
          </cell>
          <cell r="AC74" t="str">
            <v>1405/04/06</v>
          </cell>
        </row>
        <row r="75">
          <cell r="B75" t="str">
            <v>پخت کلاچ پراید</v>
          </cell>
          <cell r="C75" t="str">
            <v>قالب تعمیری</v>
          </cell>
          <cell r="N75" t="str">
            <v>مونتاژ</v>
          </cell>
          <cell r="AC75" t="str">
            <v>1405/04/07</v>
          </cell>
        </row>
        <row r="76">
          <cell r="B76" t="str">
            <v>قالب پخت کلاچ پیکان</v>
          </cell>
          <cell r="C76" t="str">
            <v>قالب تعمیری</v>
          </cell>
          <cell r="N76" t="str">
            <v>مونتاژ</v>
          </cell>
          <cell r="AC76" t="str">
            <v>1405/04/07</v>
          </cell>
        </row>
        <row r="77">
          <cell r="B77" t="str">
            <v>صفحه 25*30*50</v>
          </cell>
          <cell r="C77" t="str">
            <v>قالب نو</v>
          </cell>
          <cell r="N77" t="str">
            <v>فرز</v>
          </cell>
          <cell r="AC77" t="str">
            <v>1405/04/06</v>
          </cell>
        </row>
        <row r="78">
          <cell r="B78" t="str">
            <v>سوراخکاری پیلسان</v>
          </cell>
          <cell r="C78" t="str">
            <v>قطعه نو</v>
          </cell>
          <cell r="N78" t="str">
            <v>فرز</v>
          </cell>
          <cell r="AC78" t="str">
            <v>1405/04/06</v>
          </cell>
        </row>
        <row r="79">
          <cell r="B79" t="str">
            <v>سوراخکاری پیلسان</v>
          </cell>
          <cell r="C79" t="str">
            <v>قطعه نو</v>
          </cell>
          <cell r="N79" t="str">
            <v>فرز</v>
          </cell>
          <cell r="AC79" t="str">
            <v>1405/04/07</v>
          </cell>
        </row>
        <row r="80">
          <cell r="B80" t="str">
            <v>دریل یزدخواستی کلاچ</v>
          </cell>
          <cell r="C80" t="str">
            <v>قطعه نو</v>
          </cell>
          <cell r="N80" t="str">
            <v>تراش</v>
          </cell>
          <cell r="AC80" t="str">
            <v>1405/04/06</v>
          </cell>
        </row>
        <row r="81">
          <cell r="B81" t="str">
            <v>دریل یزدخواستی کلاچ</v>
          </cell>
          <cell r="C81" t="str">
            <v>قطعه نو</v>
          </cell>
          <cell r="N81" t="str">
            <v>تراش</v>
          </cell>
          <cell r="AC81" t="str">
            <v>1405/04/06</v>
          </cell>
        </row>
        <row r="82">
          <cell r="B82" t="str">
            <v>پخت کلاچ پراید</v>
          </cell>
          <cell r="C82" t="str">
            <v>قالب تعمیری</v>
          </cell>
          <cell r="N82" t="str">
            <v>تراش</v>
          </cell>
          <cell r="AC82" t="str">
            <v>1405/04/06</v>
          </cell>
        </row>
        <row r="83">
          <cell r="B83" t="str">
            <v>پایه پرچ لنت نیسان</v>
          </cell>
          <cell r="C83" t="str">
            <v>قطعه نو</v>
          </cell>
          <cell r="N83" t="str">
            <v>تراش</v>
          </cell>
          <cell r="AC83" t="str">
            <v>1405/04/07</v>
          </cell>
        </row>
        <row r="84">
          <cell r="B84" t="str">
            <v>قالب پخت کلاچ پیکان</v>
          </cell>
          <cell r="C84" t="str">
            <v>قالب تعمیری</v>
          </cell>
          <cell r="N84" t="str">
            <v>تراش</v>
          </cell>
          <cell r="AC84" t="str">
            <v>1405/04/07</v>
          </cell>
        </row>
        <row r="85">
          <cell r="B85" t="str">
            <v>قالب پخت کلاچ پیکان</v>
          </cell>
          <cell r="C85" t="str">
            <v>قالب تعمیری</v>
          </cell>
          <cell r="N85" t="str">
            <v>تراش</v>
          </cell>
          <cell r="AC85" t="str">
            <v>1405/04/07</v>
          </cell>
        </row>
        <row r="86">
          <cell r="B86" t="str">
            <v>ساب سمباده ای</v>
          </cell>
          <cell r="C86" t="str">
            <v>قطعه تعمیری</v>
          </cell>
          <cell r="N86" t="str">
            <v>تراش</v>
          </cell>
          <cell r="AC86" t="str">
            <v>1405/04/07</v>
          </cell>
        </row>
        <row r="87">
          <cell r="B87" t="str">
            <v>دستگاه چسب زنی</v>
          </cell>
          <cell r="C87" t="str">
            <v>قطعه تعمیری</v>
          </cell>
          <cell r="N87" t="str">
            <v>وایر</v>
          </cell>
          <cell r="AC87" t="str">
            <v>1405/04/06</v>
          </cell>
        </row>
        <row r="88">
          <cell r="B88" t="str">
            <v>دستگاه چسب زنی</v>
          </cell>
          <cell r="C88" t="str">
            <v>قطعه تعمیری</v>
          </cell>
          <cell r="N88" t="str">
            <v>وایر</v>
          </cell>
          <cell r="AC88" t="str">
            <v>1405/04/06</v>
          </cell>
        </row>
        <row r="89">
          <cell r="B89" t="str">
            <v>نگهدارنده پلاک قالب</v>
          </cell>
          <cell r="C89" t="str">
            <v>قطعه نو</v>
          </cell>
          <cell r="N89" t="str">
            <v>وایر</v>
          </cell>
          <cell r="AC89" t="str">
            <v>1405/04/06</v>
          </cell>
        </row>
        <row r="90">
          <cell r="B90" t="str">
            <v>دستگاه چسب زنی</v>
          </cell>
          <cell r="C90" t="str">
            <v>قطعه تعمیری</v>
          </cell>
          <cell r="N90" t="str">
            <v>وایر</v>
          </cell>
          <cell r="AC90" t="str">
            <v>1405/04/07</v>
          </cell>
        </row>
        <row r="91">
          <cell r="B91" t="str">
            <v>نگهدارنده پلاک قالب</v>
          </cell>
          <cell r="C91" t="str">
            <v>قطعه نو</v>
          </cell>
          <cell r="N91" t="str">
            <v>وایر</v>
          </cell>
          <cell r="AC91" t="str">
            <v>1405/04/07</v>
          </cell>
        </row>
        <row r="92">
          <cell r="B92" t="str">
            <v>قالب عقب F12</v>
          </cell>
          <cell r="C92" t="str">
            <v>قالب نو</v>
          </cell>
          <cell r="N92" t="str">
            <v>سوپردریل</v>
          </cell>
          <cell r="AC92" t="str">
            <v>1405/04/07</v>
          </cell>
        </row>
        <row r="93">
          <cell r="B93" t="str">
            <v>دریل یزدخواستی کلاچ</v>
          </cell>
          <cell r="C93" t="str">
            <v>قطعه نو</v>
          </cell>
          <cell r="N93" t="str">
            <v>CNC</v>
          </cell>
          <cell r="AC93" t="str">
            <v>1405/04/06</v>
          </cell>
        </row>
        <row r="94">
          <cell r="B94" t="str">
            <v>دریل یزدخواستی کلاچ</v>
          </cell>
          <cell r="C94" t="str">
            <v>قطعه نو</v>
          </cell>
          <cell r="N94" t="str">
            <v>CNC</v>
          </cell>
          <cell r="AC94" t="str">
            <v>1405/04/07</v>
          </cell>
        </row>
        <row r="95">
          <cell r="B95" t="str">
            <v>قالب توری پگاسوز</v>
          </cell>
          <cell r="C95" t="str">
            <v>قالب نو</v>
          </cell>
          <cell r="N95" t="str">
            <v>CNC</v>
          </cell>
          <cell r="AC95" t="str">
            <v>1405/04/07</v>
          </cell>
        </row>
        <row r="96">
          <cell r="B96" t="str">
            <v>دریل یزدخواستی کلاچ</v>
          </cell>
          <cell r="C96" t="str">
            <v>قطعه نو</v>
          </cell>
          <cell r="N96" t="str">
            <v>CNC</v>
          </cell>
          <cell r="AC96" t="str">
            <v>1405/04/07</v>
          </cell>
        </row>
        <row r="97">
          <cell r="B97" t="str">
            <v>دستگاه برش جمعی</v>
          </cell>
          <cell r="C97" t="str">
            <v>قطعه تعمیری</v>
          </cell>
          <cell r="N97" t="str">
            <v>تراش</v>
          </cell>
          <cell r="AC97" t="str">
            <v>1405/04/06</v>
          </cell>
        </row>
        <row r="98">
          <cell r="B98" t="str">
            <v>پخت کلاچ پراید</v>
          </cell>
          <cell r="C98" t="str">
            <v>قالب تعمیری</v>
          </cell>
          <cell r="N98" t="str">
            <v>تراش</v>
          </cell>
          <cell r="AC98" t="str">
            <v>1405/04/06</v>
          </cell>
        </row>
        <row r="99">
          <cell r="B99" t="str">
            <v>سری نقطه جوش</v>
          </cell>
          <cell r="C99" t="str">
            <v>قطعه تعمیری</v>
          </cell>
          <cell r="N99" t="str">
            <v>تراش</v>
          </cell>
          <cell r="AC99" t="str">
            <v>1405/04/07</v>
          </cell>
        </row>
        <row r="100">
          <cell r="B100" t="str">
            <v>آغشته کاری</v>
          </cell>
          <cell r="C100" t="str">
            <v>قطعه تعمیری</v>
          </cell>
          <cell r="N100" t="str">
            <v>تراش</v>
          </cell>
          <cell r="AC100" t="str">
            <v>1405/04/07</v>
          </cell>
        </row>
        <row r="101">
          <cell r="B101" t="str">
            <v>لیفتراک</v>
          </cell>
          <cell r="C101" t="str">
            <v>قطعه نو</v>
          </cell>
          <cell r="N101" t="str">
            <v>تراش</v>
          </cell>
          <cell r="AC101" t="str">
            <v>1405/04/07</v>
          </cell>
        </row>
        <row r="102">
          <cell r="B102" t="str">
            <v>پخت کلاچ پراید</v>
          </cell>
          <cell r="C102" t="str">
            <v>قالب تعمیری</v>
          </cell>
          <cell r="N102" t="str">
            <v>تراش</v>
          </cell>
          <cell r="AC102" t="str">
            <v>1405/04/07</v>
          </cell>
        </row>
        <row r="103">
          <cell r="B103" t="str">
            <v>صفحات 50*50 پخت کلاچ</v>
          </cell>
          <cell r="C103" t="str">
            <v>قالب تعمیری</v>
          </cell>
          <cell r="N103" t="str">
            <v>سنگ زنی</v>
          </cell>
          <cell r="AC103" t="str">
            <v>1405/04/06</v>
          </cell>
        </row>
        <row r="104">
          <cell r="B104" t="str">
            <v>قالب ترابوزا</v>
          </cell>
          <cell r="C104" t="str">
            <v>قالب تعمیری</v>
          </cell>
          <cell r="N104" t="str">
            <v>سنگ زنی</v>
          </cell>
          <cell r="AC104" t="str">
            <v>1405/04/06</v>
          </cell>
        </row>
        <row r="105">
          <cell r="B105" t="str">
            <v>قالب SAF توری</v>
          </cell>
          <cell r="C105" t="str">
            <v>قالب تعمیری</v>
          </cell>
          <cell r="N105" t="str">
            <v>سنگ زنی</v>
          </cell>
          <cell r="AC105" t="str">
            <v>1405/04/06</v>
          </cell>
        </row>
        <row r="106">
          <cell r="B106" t="str">
            <v>قالب SAF توری</v>
          </cell>
          <cell r="C106" t="str">
            <v>قالب تعمیری</v>
          </cell>
          <cell r="N106" t="str">
            <v>سنگ زنی</v>
          </cell>
          <cell r="AC106" t="str">
            <v>1405/04/06</v>
          </cell>
        </row>
        <row r="107">
          <cell r="B107" t="str">
            <v>قالب برش میدل باس</v>
          </cell>
          <cell r="C107" t="str">
            <v>قالب تعمیری</v>
          </cell>
          <cell r="N107" t="str">
            <v>سنگ زنی</v>
          </cell>
          <cell r="AC107" t="str">
            <v>1405/04/06</v>
          </cell>
        </row>
        <row r="108">
          <cell r="B108" t="str">
            <v>قالب برش میدل باس</v>
          </cell>
          <cell r="C108" t="str">
            <v>قالب تعمیری</v>
          </cell>
          <cell r="N108" t="str">
            <v>سنگ زنی</v>
          </cell>
          <cell r="AC108" t="str">
            <v>1405/04/06</v>
          </cell>
        </row>
        <row r="109">
          <cell r="B109" t="str">
            <v>صفحات 50*50 پخت کلاچ</v>
          </cell>
          <cell r="C109" t="str">
            <v>قالب تعمیری</v>
          </cell>
          <cell r="N109" t="str">
            <v>سنگ زنی</v>
          </cell>
          <cell r="AC109" t="str">
            <v>1405/04/07</v>
          </cell>
        </row>
        <row r="110">
          <cell r="B110" t="str">
            <v>قالب پخت کلاچ پیکان</v>
          </cell>
          <cell r="C110" t="str">
            <v>قالب تعمیری</v>
          </cell>
          <cell r="N110" t="str">
            <v>سنگ زنی</v>
          </cell>
          <cell r="AC110" t="str">
            <v>1405/04/07</v>
          </cell>
        </row>
        <row r="111">
          <cell r="B111" t="str">
            <v>سوراخکاری پیلسان</v>
          </cell>
          <cell r="C111" t="str">
            <v>قطعه نو</v>
          </cell>
          <cell r="N111" t="str">
            <v>سنگ زنی</v>
          </cell>
          <cell r="AC111" t="str">
            <v>1405/04/07</v>
          </cell>
        </row>
        <row r="112">
          <cell r="B112" t="str">
            <v>سوراخکاری پیلسان</v>
          </cell>
          <cell r="C112" t="str">
            <v>قطعه نو</v>
          </cell>
          <cell r="N112" t="str">
            <v>سنگ زنی</v>
          </cell>
          <cell r="AC112" t="str">
            <v>1405/04/07</v>
          </cell>
        </row>
        <row r="113">
          <cell r="B113" t="str">
            <v>پخت کلاچ پراید</v>
          </cell>
          <cell r="C113" t="str">
            <v>قالب تعمیری</v>
          </cell>
          <cell r="N113" t="str">
            <v>CNC</v>
          </cell>
          <cell r="AC113" t="str">
            <v>1405/04/07</v>
          </cell>
        </row>
        <row r="114">
          <cell r="B114" t="str">
            <v>قالب پخت کلاچ پیکان</v>
          </cell>
          <cell r="C114" t="str">
            <v>قالب تعمیری</v>
          </cell>
          <cell r="N114" t="str">
            <v>CNC</v>
          </cell>
          <cell r="AC114" t="str">
            <v>1405/04/07</v>
          </cell>
        </row>
        <row r="115">
          <cell r="B115" t="str">
            <v>دستگاه پرس 600 تن</v>
          </cell>
          <cell r="C115" t="str">
            <v>قطعه نو</v>
          </cell>
          <cell r="N115" t="str">
            <v>تراش</v>
          </cell>
          <cell r="AC115" t="str">
            <v>1405/04/08</v>
          </cell>
        </row>
        <row r="116">
          <cell r="B116" t="str">
            <v>دریل یزدخواستی کلاچ</v>
          </cell>
          <cell r="C116" t="str">
            <v>قطعه نو</v>
          </cell>
          <cell r="N116" t="str">
            <v>CNC</v>
          </cell>
          <cell r="AC116" t="str">
            <v>1405/04/08</v>
          </cell>
        </row>
        <row r="117">
          <cell r="B117" t="str">
            <v>قالب پخت کلاچ پژو 405</v>
          </cell>
          <cell r="C117" t="str">
            <v>قالب تعمیری</v>
          </cell>
          <cell r="N117" t="str">
            <v>CNC</v>
          </cell>
          <cell r="AC117" t="str">
            <v>1405/04/08</v>
          </cell>
        </row>
        <row r="118">
          <cell r="B118" t="str">
            <v>قالب پخت کلاچ پیکان آرژانتینی</v>
          </cell>
          <cell r="C118" t="str">
            <v>قالب تعمیری</v>
          </cell>
          <cell r="N118" t="str">
            <v>CNC</v>
          </cell>
          <cell r="AC118" t="str">
            <v>1405/04/08</v>
          </cell>
        </row>
        <row r="119">
          <cell r="B119" t="str">
            <v>قالب پخت کلاچ پیکان آرژانتینی</v>
          </cell>
          <cell r="C119" t="str">
            <v>قالب تعمیری</v>
          </cell>
          <cell r="N119" t="str">
            <v>CNC</v>
          </cell>
          <cell r="AC119" t="str">
            <v>1405/04/08</v>
          </cell>
        </row>
        <row r="120">
          <cell r="B120" t="str">
            <v>پخت کلاچ پراید</v>
          </cell>
          <cell r="C120" t="str">
            <v>قالب تعمیری</v>
          </cell>
          <cell r="N120" t="str">
            <v>CNC</v>
          </cell>
          <cell r="AC120" t="str">
            <v>1405/04/08</v>
          </cell>
        </row>
        <row r="121">
          <cell r="B121" t="str">
            <v>کلمپ زنی</v>
          </cell>
          <cell r="C121" t="str">
            <v>دستگاه تعمیری</v>
          </cell>
          <cell r="N121" t="str">
            <v>فرز</v>
          </cell>
          <cell r="AC121" t="str">
            <v>1405/04/08</v>
          </cell>
        </row>
        <row r="122">
          <cell r="B122" t="str">
            <v>قالب ولوو سوپر</v>
          </cell>
          <cell r="C122" t="str">
            <v>قالب تعمیری</v>
          </cell>
          <cell r="N122" t="str">
            <v>فرز</v>
          </cell>
          <cell r="AC122" t="str">
            <v>1405/04/08</v>
          </cell>
        </row>
        <row r="123">
          <cell r="B123" t="str">
            <v>سوراخکاری پیلسان</v>
          </cell>
          <cell r="C123" t="str">
            <v>قطعه نو</v>
          </cell>
          <cell r="N123" t="str">
            <v>فرز</v>
          </cell>
          <cell r="AC123" t="str">
            <v>1405/04/08</v>
          </cell>
        </row>
        <row r="124">
          <cell r="B124" t="str">
            <v>قالب ترابوزا</v>
          </cell>
          <cell r="C124" t="str">
            <v>قالب تعمیری</v>
          </cell>
          <cell r="N124" t="str">
            <v>فرز</v>
          </cell>
          <cell r="AC124" t="str">
            <v>1405/04/08</v>
          </cell>
        </row>
        <row r="125">
          <cell r="B125" t="str">
            <v>شیم پژو 405</v>
          </cell>
          <cell r="C125" t="str">
            <v>قالب تعمیری</v>
          </cell>
          <cell r="N125" t="str">
            <v>مونتاژ</v>
          </cell>
          <cell r="AC125" t="str">
            <v>1405/04/08</v>
          </cell>
        </row>
        <row r="126">
          <cell r="B126" t="str">
            <v>قالب لودری 70021</v>
          </cell>
          <cell r="C126" t="str">
            <v>قالب تعمیری</v>
          </cell>
          <cell r="N126" t="str">
            <v>مونتاژ</v>
          </cell>
          <cell r="AC126" t="str">
            <v>1405/04/08</v>
          </cell>
        </row>
        <row r="127">
          <cell r="B127" t="str">
            <v xml:space="preserve">دستگاه جوشکاری </v>
          </cell>
          <cell r="C127" t="str">
            <v>قطعه تعمیری</v>
          </cell>
          <cell r="N127" t="str">
            <v>مونتاژ</v>
          </cell>
          <cell r="AC127" t="str">
            <v>1405/04/08</v>
          </cell>
        </row>
        <row r="128">
          <cell r="B128" t="str">
            <v>پخت کلاچ پراید</v>
          </cell>
          <cell r="C128" t="str">
            <v>قالب تعمیری</v>
          </cell>
          <cell r="N128" t="str">
            <v>مونتاژ</v>
          </cell>
          <cell r="AC128" t="str">
            <v>1405/04/08</v>
          </cell>
        </row>
        <row r="129">
          <cell r="B129" t="str">
            <v>قالب پخت کلاچ پیکان آرژانتینی</v>
          </cell>
          <cell r="C129" t="str">
            <v>قالب تعمیری</v>
          </cell>
          <cell r="N129" t="str">
            <v>مونتاژ</v>
          </cell>
          <cell r="AC129" t="str">
            <v>1405/04/08</v>
          </cell>
        </row>
        <row r="130">
          <cell r="B130" t="str">
            <v>دستگاه مهر زنی</v>
          </cell>
          <cell r="C130" t="str">
            <v>قطعه تعمیری</v>
          </cell>
          <cell r="N130" t="str">
            <v>دریل رادیال</v>
          </cell>
          <cell r="AC130" t="str">
            <v>1405/04/08</v>
          </cell>
        </row>
        <row r="131">
          <cell r="B131" t="str">
            <v>پخت کلاچ پراید</v>
          </cell>
          <cell r="C131" t="str">
            <v>قالب تعمیری</v>
          </cell>
          <cell r="N131" t="str">
            <v>مونتاژ</v>
          </cell>
          <cell r="AC131" t="str">
            <v>1405/04/08</v>
          </cell>
        </row>
        <row r="132">
          <cell r="B132" t="str">
            <v>قالب پخت کلاچ پیکان آرژانتینی</v>
          </cell>
          <cell r="C132" t="str">
            <v>قالب تعمیری</v>
          </cell>
          <cell r="N132" t="str">
            <v>مونتاژ</v>
          </cell>
          <cell r="AC132" t="str">
            <v>1405/04/08</v>
          </cell>
        </row>
        <row r="133">
          <cell r="B133" t="str">
            <v>پخت کلاچ پراید</v>
          </cell>
          <cell r="C133" t="str">
            <v>قالب تعمیری</v>
          </cell>
          <cell r="N133" t="str">
            <v>تراش</v>
          </cell>
          <cell r="AC133" t="str">
            <v>1405/04/08</v>
          </cell>
        </row>
        <row r="134">
          <cell r="B134" t="str">
            <v>دستگاه برش جمعی</v>
          </cell>
          <cell r="C134" t="str">
            <v>قطعه تعمیری</v>
          </cell>
          <cell r="N134" t="str">
            <v>تراش</v>
          </cell>
          <cell r="AC134" t="str">
            <v>1405/04/08</v>
          </cell>
        </row>
        <row r="135">
          <cell r="B135" t="str">
            <v>Hammer Mill Machine</v>
          </cell>
          <cell r="C135" t="str">
            <v>دستگاه نو</v>
          </cell>
          <cell r="N135" t="str">
            <v>تراش</v>
          </cell>
          <cell r="AC135" t="str">
            <v>1405/04/08</v>
          </cell>
        </row>
        <row r="136">
          <cell r="B136" t="str">
            <v>Hammer Mill Machine</v>
          </cell>
          <cell r="C136" t="str">
            <v>دستگاه نو</v>
          </cell>
          <cell r="N136" t="str">
            <v>تراش</v>
          </cell>
          <cell r="AC136" t="str">
            <v>1405/04/08</v>
          </cell>
        </row>
        <row r="137">
          <cell r="B137" t="str">
            <v>دستگاه پرس پخت</v>
          </cell>
          <cell r="C137" t="str">
            <v>قطعه تعمیری</v>
          </cell>
          <cell r="N137" t="str">
            <v>تراش</v>
          </cell>
          <cell r="AC137" t="str">
            <v>1405/04/08</v>
          </cell>
        </row>
        <row r="138">
          <cell r="B138" t="str">
            <v>صفحات 50*50 پخت کلاچ</v>
          </cell>
          <cell r="C138" t="str">
            <v>قالب تعمیری</v>
          </cell>
          <cell r="N138" t="str">
            <v>سنگ زنی</v>
          </cell>
          <cell r="AC138" t="str">
            <v>1405/04/08</v>
          </cell>
        </row>
        <row r="139">
          <cell r="B139" t="str">
            <v>قالب لودری 70021</v>
          </cell>
          <cell r="C139" t="str">
            <v>قالب تعمیری</v>
          </cell>
          <cell r="N139" t="str">
            <v>سنگ زنی</v>
          </cell>
          <cell r="AC139" t="str">
            <v>1405/04/08</v>
          </cell>
        </row>
        <row r="140">
          <cell r="B140" t="str">
            <v>قالب لودری 70021</v>
          </cell>
          <cell r="C140" t="str">
            <v>قالب تعمیری</v>
          </cell>
          <cell r="N140" t="str">
            <v>سنگ زنی</v>
          </cell>
          <cell r="AC140" t="str">
            <v>1405/04/08</v>
          </cell>
        </row>
        <row r="141">
          <cell r="B141" t="str">
            <v>قالب کوبه نک SAF</v>
          </cell>
          <cell r="C141" t="str">
            <v>قالب تعمیری</v>
          </cell>
          <cell r="N141" t="str">
            <v>سنگ زنی</v>
          </cell>
          <cell r="AC141" t="str">
            <v>1405/04/08</v>
          </cell>
        </row>
        <row r="142">
          <cell r="B142" t="str">
            <v>قالب توری پگاسوز</v>
          </cell>
          <cell r="C142" t="str">
            <v>قالب نو</v>
          </cell>
          <cell r="N142" t="str">
            <v>سنگ زنی</v>
          </cell>
          <cell r="AC142" t="str">
            <v>1405/04/08</v>
          </cell>
        </row>
        <row r="143">
          <cell r="B143" t="str">
            <v>قالب ترابوزا</v>
          </cell>
          <cell r="C143" t="str">
            <v>قالب تعمیری</v>
          </cell>
          <cell r="N143" t="str">
            <v>سنگ زنی</v>
          </cell>
          <cell r="AC143" t="str">
            <v>1405/04/08</v>
          </cell>
        </row>
        <row r="144">
          <cell r="B144" t="str">
            <v>دستگاه چسب زنی</v>
          </cell>
          <cell r="C144" t="str">
            <v>قطعه تعمیری</v>
          </cell>
          <cell r="N144" t="str">
            <v>وایر</v>
          </cell>
          <cell r="AC144" t="str">
            <v>1405/04/08</v>
          </cell>
        </row>
        <row r="145">
          <cell r="B145" t="str">
            <v>پخت کلاچ پراید</v>
          </cell>
          <cell r="C145" t="str">
            <v>قالب تعمیری</v>
          </cell>
          <cell r="N145" t="str">
            <v>وایر</v>
          </cell>
          <cell r="AC145" t="str">
            <v>1405/04/08</v>
          </cell>
        </row>
        <row r="146">
          <cell r="B146" t="str">
            <v>نگهدارنده پلاک قالب</v>
          </cell>
          <cell r="C146" t="str">
            <v>قطعه نو</v>
          </cell>
          <cell r="N146" t="str">
            <v>وایر</v>
          </cell>
          <cell r="AC146" t="str">
            <v>1405/04/08</v>
          </cell>
        </row>
        <row r="147">
          <cell r="B147" t="str">
            <v>قالب ولوو سوپر</v>
          </cell>
          <cell r="C147" t="str">
            <v>قالب تعمیری</v>
          </cell>
          <cell r="N147" t="str">
            <v>وایر</v>
          </cell>
          <cell r="AC147" t="str">
            <v>1405/04/08</v>
          </cell>
        </row>
        <row r="148">
          <cell r="B148" t="str">
            <v>قالب ولوو سوپر</v>
          </cell>
          <cell r="C148" t="str">
            <v>قالب تعمیری</v>
          </cell>
          <cell r="N148" t="str">
            <v>وایر</v>
          </cell>
          <cell r="AC148" t="str">
            <v>1405/04/08</v>
          </cell>
        </row>
        <row r="149">
          <cell r="B149" t="str">
            <v>دستگاه برش جمعی</v>
          </cell>
          <cell r="C149" t="str">
            <v>قطعه تعمیری</v>
          </cell>
          <cell r="N149" t="str">
            <v>وایر</v>
          </cell>
          <cell r="AC149" t="str">
            <v>1405/04/08</v>
          </cell>
        </row>
        <row r="150">
          <cell r="B150" t="str">
            <v>دستگاه چسب زنی</v>
          </cell>
          <cell r="C150" t="str">
            <v>قطعه تعمیری</v>
          </cell>
          <cell r="N150" t="str">
            <v>وایر</v>
          </cell>
          <cell r="AC150" t="str">
            <v>1405/04/08</v>
          </cell>
        </row>
        <row r="151">
          <cell r="B151" t="str">
            <v>قالب ولوو سوپر</v>
          </cell>
          <cell r="C151" t="str">
            <v>قالب تعمیری</v>
          </cell>
          <cell r="N151" t="str">
            <v>فرز</v>
          </cell>
          <cell r="AC151" t="str">
            <v>1405/04/09</v>
          </cell>
        </row>
        <row r="152">
          <cell r="B152" t="str">
            <v>قالب ترابوزا</v>
          </cell>
          <cell r="C152" t="str">
            <v>قالب تعمیری</v>
          </cell>
          <cell r="N152" t="str">
            <v>فرز</v>
          </cell>
          <cell r="AC152" t="str">
            <v>1405/04/09</v>
          </cell>
        </row>
        <row r="153">
          <cell r="B153" t="str">
            <v>قالب پخت کلاچ پژو 405</v>
          </cell>
          <cell r="C153" t="str">
            <v>قالب تعمیری</v>
          </cell>
          <cell r="N153" t="str">
            <v>CNC</v>
          </cell>
          <cell r="AC153" t="str">
            <v>1405/04/09</v>
          </cell>
        </row>
        <row r="154">
          <cell r="B154" t="str">
            <v>پخت کلاچ پراید</v>
          </cell>
          <cell r="C154" t="str">
            <v>قالب تعمیری</v>
          </cell>
          <cell r="N154" t="str">
            <v>CNC</v>
          </cell>
          <cell r="AC154" t="str">
            <v>1405/04/09</v>
          </cell>
        </row>
        <row r="155">
          <cell r="B155" t="str">
            <v>پخت کلاچ پراید</v>
          </cell>
          <cell r="C155" t="str">
            <v>قالب تعمیری</v>
          </cell>
          <cell r="N155" t="str">
            <v>CNC</v>
          </cell>
          <cell r="AC155" t="str">
            <v>1405/04/09</v>
          </cell>
        </row>
        <row r="156">
          <cell r="B156" t="str">
            <v>دریل یزدخواستی کلاچ</v>
          </cell>
          <cell r="C156" t="str">
            <v>قطعه نو</v>
          </cell>
          <cell r="N156" t="str">
            <v>CNC</v>
          </cell>
          <cell r="AC156" t="str">
            <v>1405/04/09</v>
          </cell>
        </row>
        <row r="157">
          <cell r="B157" t="str">
            <v>Hammer Mill Machine</v>
          </cell>
          <cell r="C157" t="str">
            <v>دستگاه نو</v>
          </cell>
          <cell r="N157" t="str">
            <v>تراش</v>
          </cell>
          <cell r="AC157" t="str">
            <v>1405/04/09</v>
          </cell>
        </row>
        <row r="158">
          <cell r="B158" t="str">
            <v>قالب پخت کلاچ پیکان آرژانتینی</v>
          </cell>
          <cell r="C158" t="str">
            <v>قالب تعمیری</v>
          </cell>
          <cell r="N158" t="str">
            <v>تراش</v>
          </cell>
          <cell r="AC158" t="str">
            <v>1405/04/09</v>
          </cell>
        </row>
        <row r="159">
          <cell r="B159" t="str">
            <v>دستگاه پرس 600 تن</v>
          </cell>
          <cell r="C159" t="str">
            <v>قطعه نو</v>
          </cell>
          <cell r="N159" t="str">
            <v>تراش</v>
          </cell>
          <cell r="AC159" t="str">
            <v>1405/04/09</v>
          </cell>
        </row>
        <row r="160">
          <cell r="B160" t="str">
            <v>ساب کونیک</v>
          </cell>
          <cell r="C160" t="str">
            <v>قطعه تعمیری</v>
          </cell>
          <cell r="N160" t="str">
            <v>تراش</v>
          </cell>
          <cell r="AC160" t="str">
            <v>1405/04/09</v>
          </cell>
        </row>
        <row r="161">
          <cell r="B161" t="str">
            <v>ساب سمباده ای</v>
          </cell>
          <cell r="C161" t="str">
            <v>قطعه تعمیری</v>
          </cell>
          <cell r="N161" t="str">
            <v>تراش</v>
          </cell>
          <cell r="AC161" t="str">
            <v>1405/04/09</v>
          </cell>
        </row>
        <row r="162">
          <cell r="B162" t="str">
            <v>دستگاه پشم فلز چینی</v>
          </cell>
          <cell r="C162" t="str">
            <v>قطعه تعمیری</v>
          </cell>
          <cell r="N162" t="str">
            <v>مونتاژ</v>
          </cell>
          <cell r="AC162" t="str">
            <v>1405/04/09</v>
          </cell>
        </row>
        <row r="163">
          <cell r="B163" t="str">
            <v>قالب پخت کلاچ پیکان آرژانتینی</v>
          </cell>
          <cell r="C163" t="str">
            <v>قالب تعمیری</v>
          </cell>
          <cell r="N163" t="str">
            <v>مونتاژ</v>
          </cell>
          <cell r="AC163" t="str">
            <v>1405/04/09</v>
          </cell>
        </row>
        <row r="164">
          <cell r="B164" t="str">
            <v>قالب فوتون 107</v>
          </cell>
          <cell r="C164" t="str">
            <v>قالب تعمیری</v>
          </cell>
          <cell r="N164" t="str">
            <v>مونتاژ</v>
          </cell>
          <cell r="AC164" t="str">
            <v>1405/04/09</v>
          </cell>
        </row>
        <row r="165">
          <cell r="B165" t="str">
            <v>قالب ترابوزا</v>
          </cell>
          <cell r="C165" t="str">
            <v>قالب تعمیری</v>
          </cell>
          <cell r="N165" t="str">
            <v>سنگ زنی</v>
          </cell>
          <cell r="AC165" t="str">
            <v>1405/04/09</v>
          </cell>
        </row>
        <row r="166">
          <cell r="B166" t="str">
            <v>صفحات 50*50 پخت کلاچ</v>
          </cell>
          <cell r="C166" t="str">
            <v>قالب تعمیری</v>
          </cell>
          <cell r="N166" t="str">
            <v>سنگ زنی</v>
          </cell>
          <cell r="AC166" t="str">
            <v>1405/04/09</v>
          </cell>
        </row>
        <row r="167">
          <cell r="B167" t="str">
            <v>پخت کلاچ پراید</v>
          </cell>
          <cell r="C167" t="str">
            <v>قالب تعمیری</v>
          </cell>
          <cell r="N167" t="str">
            <v>سنگ زنی</v>
          </cell>
          <cell r="AC167" t="str">
            <v>1405/04/09</v>
          </cell>
        </row>
        <row r="168">
          <cell r="B168" t="str">
            <v>قالب کوبه نک SAF</v>
          </cell>
          <cell r="C168" t="str">
            <v>قالب تعمیری</v>
          </cell>
          <cell r="N168" t="str">
            <v>سنگ زنی</v>
          </cell>
          <cell r="AC168" t="str">
            <v>1405/04/09</v>
          </cell>
        </row>
        <row r="169">
          <cell r="B169" t="str">
            <v>قالب پخت کلاچ پیکان آرژانتینی</v>
          </cell>
          <cell r="C169" t="str">
            <v>قالب تعمیری</v>
          </cell>
          <cell r="N169" t="str">
            <v>مونتاژ</v>
          </cell>
          <cell r="AC169" t="str">
            <v>1405/04/09</v>
          </cell>
        </row>
        <row r="170">
          <cell r="B170" t="str">
            <v>قالب پخت کلاچ تیبا چپ</v>
          </cell>
          <cell r="C170" t="str">
            <v>قالب تعمیری</v>
          </cell>
          <cell r="N170" t="str">
            <v>مونتاژ</v>
          </cell>
          <cell r="AC170" t="str">
            <v>1405/04/09</v>
          </cell>
        </row>
        <row r="171">
          <cell r="B171" t="str">
            <v>دستگاه پرس پخت</v>
          </cell>
          <cell r="C171" t="str">
            <v>قطعه تعمیری</v>
          </cell>
          <cell r="N171" t="str">
            <v>دریل رادیال</v>
          </cell>
          <cell r="AC171" t="str">
            <v>1405/04/09</v>
          </cell>
        </row>
        <row r="172">
          <cell r="B172" t="str">
            <v>شمش پراید</v>
          </cell>
          <cell r="C172" t="str">
            <v>قالب نو</v>
          </cell>
          <cell r="N172" t="str">
            <v>دریل رادیال</v>
          </cell>
          <cell r="AC172" t="str">
            <v>1405/04/09</v>
          </cell>
        </row>
        <row r="173">
          <cell r="B173" t="str">
            <v>پخت کلاچ پراید</v>
          </cell>
          <cell r="C173" t="str">
            <v>قالب تعمیری</v>
          </cell>
          <cell r="N173" t="str">
            <v>مونتاژ</v>
          </cell>
          <cell r="AC173" t="str">
            <v>1405/04/09</v>
          </cell>
        </row>
        <row r="174">
          <cell r="B174" t="str">
            <v>پخت کلاچ پراید</v>
          </cell>
          <cell r="C174" t="str">
            <v>قالب تعمیری</v>
          </cell>
          <cell r="N174" t="str">
            <v>دریل رادیال</v>
          </cell>
          <cell r="AC174" t="str">
            <v>1405/04/09</v>
          </cell>
        </row>
        <row r="175">
          <cell r="B175" t="str">
            <v>قالب پخت کلاچ پیکان آرژانتینی</v>
          </cell>
          <cell r="C175" t="str">
            <v>قالب تعمیری</v>
          </cell>
          <cell r="N175" t="str">
            <v>مونتاژ</v>
          </cell>
          <cell r="AC175" t="str">
            <v>1405/04/09</v>
          </cell>
        </row>
        <row r="176">
          <cell r="B176" t="str">
            <v xml:space="preserve">پخت کلاچ پراید سکو </v>
          </cell>
          <cell r="C176" t="str">
            <v>قالب تعمیری</v>
          </cell>
          <cell r="N176" t="str">
            <v>مونتاژ</v>
          </cell>
          <cell r="AC176" t="str">
            <v>1405/04/09</v>
          </cell>
        </row>
        <row r="177">
          <cell r="B177" t="str">
            <v>قالب فوتون 107</v>
          </cell>
          <cell r="C177" t="str">
            <v>قالب تعمیری</v>
          </cell>
          <cell r="N177" t="str">
            <v>مونتاژ</v>
          </cell>
          <cell r="AC177" t="str">
            <v>1405/04/09</v>
          </cell>
        </row>
        <row r="178">
          <cell r="B178" t="str">
            <v>قالب عقب F12</v>
          </cell>
          <cell r="C178" t="str">
            <v>قالب نو</v>
          </cell>
          <cell r="N178" t="str">
            <v>فرز</v>
          </cell>
          <cell r="AC178" t="str">
            <v>1405/04/07</v>
          </cell>
        </row>
        <row r="179">
          <cell r="B179" t="str">
            <v xml:space="preserve">قالب پخت کلاچ پیکان </v>
          </cell>
          <cell r="C179" t="str">
            <v>قالب تعمیری</v>
          </cell>
          <cell r="N179" t="str">
            <v>مونتاژ</v>
          </cell>
          <cell r="AC179" t="str">
            <v>1405/04/07</v>
          </cell>
        </row>
        <row r="180">
          <cell r="B180" t="str">
            <v>قالب توری پگاسوز</v>
          </cell>
          <cell r="C180" t="str">
            <v>قالب نو</v>
          </cell>
          <cell r="N180" t="str">
            <v>فرز</v>
          </cell>
          <cell r="AC180" t="str">
            <v>1405/04/07</v>
          </cell>
        </row>
        <row r="181">
          <cell r="B181" t="str">
            <v>قالب ولوو سوپر</v>
          </cell>
          <cell r="C181" t="str">
            <v>قالب تعمیری</v>
          </cell>
          <cell r="N181" t="str">
            <v>وایر</v>
          </cell>
          <cell r="AC181" t="str">
            <v>1405/04/09</v>
          </cell>
        </row>
        <row r="182">
          <cell r="B182" t="str">
            <v>پخت کلاچ پراید</v>
          </cell>
          <cell r="C182" t="str">
            <v>قالب تعمیری</v>
          </cell>
          <cell r="N182" t="str">
            <v>وایر</v>
          </cell>
          <cell r="AC182" t="str">
            <v>1405/04/09</v>
          </cell>
        </row>
        <row r="183">
          <cell r="B183" t="str">
            <v>دستگاه چسب زنی</v>
          </cell>
          <cell r="C183" t="str">
            <v>قطعه تعمیری</v>
          </cell>
          <cell r="N183" t="str">
            <v>وایر</v>
          </cell>
          <cell r="AC183" t="str">
            <v>1405/04/09</v>
          </cell>
        </row>
        <row r="184">
          <cell r="B184" t="str">
            <v>قالب ولوو سوپر</v>
          </cell>
          <cell r="C184" t="str">
            <v>قالب تعمیری</v>
          </cell>
          <cell r="N184" t="str">
            <v>وایر</v>
          </cell>
          <cell r="AC184" t="str">
            <v>1405/04/09</v>
          </cell>
        </row>
        <row r="185">
          <cell r="B185" t="str">
            <v>دستگاه فرز</v>
          </cell>
          <cell r="C185" t="str">
            <v>قطعه تعمیری</v>
          </cell>
          <cell r="N185" t="str">
            <v>وایر</v>
          </cell>
          <cell r="AC185" t="str">
            <v>1405/04/09</v>
          </cell>
        </row>
        <row r="186">
          <cell r="B186" t="str">
            <v>قالب ولوو سوپر</v>
          </cell>
          <cell r="C186" t="str">
            <v>قالب تعمیری</v>
          </cell>
          <cell r="N186" t="str">
            <v>فرز</v>
          </cell>
          <cell r="AC186" t="str">
            <v>1405/04/10</v>
          </cell>
        </row>
        <row r="187">
          <cell r="B187" t="str">
            <v>قالب ترابوزا</v>
          </cell>
          <cell r="C187" t="str">
            <v>قالب تعمیری</v>
          </cell>
          <cell r="N187" t="str">
            <v>فرز</v>
          </cell>
          <cell r="AC187" t="str">
            <v>1405/04/10</v>
          </cell>
        </row>
        <row r="188">
          <cell r="B188" t="str">
            <v>قالب پخت کلاچ پژو 405</v>
          </cell>
          <cell r="C188" t="str">
            <v>قالب تعمیری</v>
          </cell>
          <cell r="N188" t="str">
            <v>CNC</v>
          </cell>
          <cell r="AC188" t="str">
            <v>1405/04/10</v>
          </cell>
        </row>
        <row r="189">
          <cell r="B189" t="str">
            <v>قالب پخت کلاچ پژو 405</v>
          </cell>
          <cell r="C189" t="str">
            <v>قالب تعمیری</v>
          </cell>
          <cell r="N189" t="str">
            <v>CNC</v>
          </cell>
          <cell r="AC189" t="str">
            <v>1405/04/10</v>
          </cell>
        </row>
        <row r="190">
          <cell r="B190" t="str">
            <v>پخت کلاچ پراید</v>
          </cell>
          <cell r="C190" t="str">
            <v>قالب تعمیری</v>
          </cell>
          <cell r="N190" t="str">
            <v>CNC</v>
          </cell>
          <cell r="AC190" t="str">
            <v>1405/04/10</v>
          </cell>
        </row>
        <row r="191">
          <cell r="B191" t="str">
            <v>قالب پخت کلاچ پژو 405</v>
          </cell>
          <cell r="C191" t="str">
            <v>قالب تعمیری</v>
          </cell>
          <cell r="N191" t="str">
            <v>CNC</v>
          </cell>
          <cell r="AC191" t="str">
            <v>1405/04/10</v>
          </cell>
        </row>
        <row r="192">
          <cell r="B192" t="str">
            <v>پخت کلاچ پراید</v>
          </cell>
          <cell r="C192" t="str">
            <v>قالب تعمیری</v>
          </cell>
          <cell r="N192" t="str">
            <v>CNC</v>
          </cell>
          <cell r="AC192" t="str">
            <v>1405/04/10</v>
          </cell>
        </row>
        <row r="193">
          <cell r="B193" t="str">
            <v>قالب پخت کلاچ پژو 405</v>
          </cell>
          <cell r="C193" t="str">
            <v>قالب تعمیری</v>
          </cell>
          <cell r="N193" t="str">
            <v>تراش</v>
          </cell>
          <cell r="AC193" t="str">
            <v>1405/04/10</v>
          </cell>
        </row>
        <row r="194">
          <cell r="B194" t="str">
            <v>Hammer Mill Machine</v>
          </cell>
          <cell r="C194" t="str">
            <v>دستگاه نو</v>
          </cell>
          <cell r="N194" t="str">
            <v>مونتاژ</v>
          </cell>
          <cell r="AC194" t="str">
            <v>1405/04/10</v>
          </cell>
        </row>
        <row r="195">
          <cell r="B195" t="str">
            <v>دریل یزدخواستی کلاچ</v>
          </cell>
          <cell r="C195" t="str">
            <v>قطعه نو</v>
          </cell>
          <cell r="N195" t="str">
            <v>CNC</v>
          </cell>
          <cell r="AC195" t="str">
            <v>1405/04/10</v>
          </cell>
        </row>
        <row r="196">
          <cell r="B196" t="str">
            <v>Hammer Mill Machine</v>
          </cell>
          <cell r="C196" t="str">
            <v>دستگاه نو</v>
          </cell>
          <cell r="N196" t="str">
            <v>CNC</v>
          </cell>
          <cell r="AC196" t="str">
            <v>1405/04/10</v>
          </cell>
        </row>
        <row r="197">
          <cell r="B197" t="str">
            <v>دستگاه پرس 600 تن</v>
          </cell>
          <cell r="C197" t="str">
            <v>قطعه نو</v>
          </cell>
          <cell r="N197" t="str">
            <v>تراش</v>
          </cell>
          <cell r="AC197" t="str">
            <v>1405/04/10</v>
          </cell>
        </row>
        <row r="198">
          <cell r="B198" t="str">
            <v>ساب کونیک</v>
          </cell>
          <cell r="C198" t="str">
            <v>قطعه تعمیری</v>
          </cell>
          <cell r="N198" t="str">
            <v>تراش</v>
          </cell>
          <cell r="AC198" t="str">
            <v>1405/04/10</v>
          </cell>
        </row>
        <row r="199">
          <cell r="B199" t="str">
            <v>دستگاه پشم فلز آلمانی</v>
          </cell>
          <cell r="C199" t="str">
            <v>قطعه تعمیری</v>
          </cell>
          <cell r="N199" t="str">
            <v>تراش</v>
          </cell>
          <cell r="AC199" t="str">
            <v>1405/04/10</v>
          </cell>
        </row>
        <row r="200">
          <cell r="B200" t="str">
            <v>دستگاه پشم فلز چینی</v>
          </cell>
          <cell r="C200" t="str">
            <v>قطعه تعمیری</v>
          </cell>
          <cell r="N200" t="str">
            <v>تراش</v>
          </cell>
          <cell r="AC200" t="str">
            <v>1405/04/10</v>
          </cell>
        </row>
        <row r="201">
          <cell r="B201" t="str">
            <v>صفحات 50*50 پخت کلاچ</v>
          </cell>
          <cell r="C201" t="str">
            <v>قالب تعمیری</v>
          </cell>
          <cell r="N201" t="str">
            <v>سنگ زنی</v>
          </cell>
          <cell r="AC201" t="str">
            <v>1405/04/10</v>
          </cell>
        </row>
        <row r="202">
          <cell r="B202" t="str">
            <v>قالب ترابوزا</v>
          </cell>
          <cell r="C202" t="str">
            <v>قالب تعمیری</v>
          </cell>
          <cell r="N202" t="str">
            <v>سنگ زنی</v>
          </cell>
          <cell r="AC202" t="str">
            <v>1405/04/10</v>
          </cell>
        </row>
        <row r="203">
          <cell r="B203" t="str">
            <v>قالب ولوو سوپر</v>
          </cell>
          <cell r="C203" t="str">
            <v>قالب تعمیری</v>
          </cell>
          <cell r="N203" t="str">
            <v>سنگ زنی</v>
          </cell>
          <cell r="AC203" t="str">
            <v>1405/04/10</v>
          </cell>
        </row>
        <row r="204">
          <cell r="B204" t="str">
            <v>پخت کلاچ پراید</v>
          </cell>
          <cell r="C204" t="str">
            <v>قالب تعمیری</v>
          </cell>
          <cell r="N204" t="str">
            <v>سنگ زنی</v>
          </cell>
          <cell r="AC204" t="str">
            <v>1405/04/10</v>
          </cell>
        </row>
        <row r="205">
          <cell r="B205" t="str">
            <v>پخت کلاچ پراید</v>
          </cell>
          <cell r="C205" t="str">
            <v>قالب تعمیری</v>
          </cell>
          <cell r="N205" t="str">
            <v>سنگ زنی</v>
          </cell>
          <cell r="AC205" t="str">
            <v>1405/04/10</v>
          </cell>
        </row>
        <row r="206">
          <cell r="B206" t="str">
            <v xml:space="preserve">پخت کلاچ پراید سکو </v>
          </cell>
          <cell r="C206" t="str">
            <v>قالب تعمیری</v>
          </cell>
          <cell r="N206" t="str">
            <v>مونتاژ</v>
          </cell>
          <cell r="AC206" t="str">
            <v>1405/04/10</v>
          </cell>
        </row>
        <row r="207">
          <cell r="B207" t="str">
            <v>قالب فوتون 107</v>
          </cell>
          <cell r="C207" t="str">
            <v>قالب تعمیری</v>
          </cell>
          <cell r="N207" t="str">
            <v>مونتاژ</v>
          </cell>
          <cell r="AC207" t="str">
            <v>1405/04/10</v>
          </cell>
        </row>
        <row r="208">
          <cell r="B208" t="str">
            <v>پخت کلاچ ده تن</v>
          </cell>
          <cell r="C208" t="str">
            <v>قالب تعمیری</v>
          </cell>
          <cell r="N208" t="str">
            <v>مونتاژ</v>
          </cell>
          <cell r="AC208" t="str">
            <v>1405/04/10</v>
          </cell>
        </row>
        <row r="209">
          <cell r="B209" t="str">
            <v>ویوینگ</v>
          </cell>
          <cell r="C209" t="str">
            <v>قطعه تعمیری</v>
          </cell>
          <cell r="N209" t="str">
            <v>فرز</v>
          </cell>
          <cell r="AC209" t="str">
            <v>1405/04/10</v>
          </cell>
        </row>
        <row r="210">
          <cell r="B210" t="str">
            <v xml:space="preserve">قالب پخت کلاچ پیکان </v>
          </cell>
          <cell r="C210" t="str">
            <v>قالب تعمیری</v>
          </cell>
          <cell r="N210" t="str">
            <v>مونتاژ</v>
          </cell>
          <cell r="AC210" t="str">
            <v>1405/04/10</v>
          </cell>
        </row>
        <row r="211">
          <cell r="B211" t="str">
            <v>قالب فوتون 107</v>
          </cell>
          <cell r="C211" t="str">
            <v>قالب تعمیری</v>
          </cell>
          <cell r="N211" t="str">
            <v>مونتاژ</v>
          </cell>
          <cell r="AC211" t="str">
            <v>1405/04/10</v>
          </cell>
        </row>
        <row r="212">
          <cell r="B212" t="str">
            <v>قالب فوتون 107</v>
          </cell>
          <cell r="C212" t="str">
            <v>قالب تعمیری</v>
          </cell>
          <cell r="N212" t="str">
            <v>مونتاژ</v>
          </cell>
          <cell r="AC212" t="str">
            <v>1405/04/10</v>
          </cell>
        </row>
        <row r="213">
          <cell r="B213" t="str">
            <v>قالب فوتون 107</v>
          </cell>
          <cell r="C213" t="str">
            <v>قالب تعمیری</v>
          </cell>
          <cell r="N213" t="str">
            <v>مونتاژ</v>
          </cell>
          <cell r="AC213" t="str">
            <v>1405/04/10</v>
          </cell>
        </row>
        <row r="214">
          <cell r="B214" t="str">
            <v>قالب فوتون 107</v>
          </cell>
          <cell r="C214" t="str">
            <v>قالب تعمیری</v>
          </cell>
          <cell r="N214" t="str">
            <v>اره لنگ</v>
          </cell>
          <cell r="AC214" t="str">
            <v>1405/04/10</v>
          </cell>
        </row>
        <row r="215">
          <cell r="B215" t="str">
            <v>قالب ولوو سوپر</v>
          </cell>
          <cell r="C215" t="str">
            <v>قالب تعمیری</v>
          </cell>
          <cell r="N215" t="str">
            <v>وایر</v>
          </cell>
          <cell r="AC215" t="str">
            <v>1405/04/10</v>
          </cell>
        </row>
        <row r="216">
          <cell r="B216" t="str">
            <v xml:space="preserve">قالب پخت کلاچ پیکان </v>
          </cell>
          <cell r="C216" t="str">
            <v>قالب تعمیری</v>
          </cell>
          <cell r="N216" t="str">
            <v>وایر</v>
          </cell>
          <cell r="AC216" t="str">
            <v>1405/04/10</v>
          </cell>
        </row>
        <row r="217">
          <cell r="B217" t="str">
            <v xml:space="preserve">قالب پخت کلاچ پیکان </v>
          </cell>
          <cell r="C217" t="str">
            <v>قالب تعمیری</v>
          </cell>
          <cell r="N217" t="str">
            <v>وایر</v>
          </cell>
          <cell r="AC217" t="str">
            <v>1405/04/10</v>
          </cell>
        </row>
        <row r="218">
          <cell r="B218" t="str">
            <v>قالب توری پگاسوز</v>
          </cell>
          <cell r="C218" t="str">
            <v>قالب نو</v>
          </cell>
          <cell r="N218" t="str">
            <v>وایر</v>
          </cell>
          <cell r="AC218" t="str">
            <v>1405/04/10</v>
          </cell>
        </row>
        <row r="219">
          <cell r="B219" t="str">
            <v>پخت کلاچ پراید</v>
          </cell>
          <cell r="C219" t="str">
            <v>قالب تعمیری</v>
          </cell>
          <cell r="N219" t="str">
            <v>مونتاژ</v>
          </cell>
          <cell r="AC219" t="str">
            <v>1405/04/10</v>
          </cell>
        </row>
        <row r="220">
          <cell r="B220" t="str">
            <v xml:space="preserve">قالب پخت کلاچ پیکان </v>
          </cell>
          <cell r="C220" t="str">
            <v>قالب تعمیری</v>
          </cell>
          <cell r="N220" t="str">
            <v>مونتاژ</v>
          </cell>
          <cell r="AC220" t="str">
            <v>1405/04/10</v>
          </cell>
        </row>
        <row r="221">
          <cell r="B221" t="str">
            <v>دستگاه مهر زنی</v>
          </cell>
          <cell r="C221" t="str">
            <v>قطعه تعمیری</v>
          </cell>
          <cell r="N221" t="str">
            <v>دریل رادیال</v>
          </cell>
          <cell r="AC221" t="str">
            <v>1405/04/10</v>
          </cell>
        </row>
        <row r="222">
          <cell r="B222" t="str">
            <v>قالب پخت کلاچ پژو 405</v>
          </cell>
          <cell r="C222" t="str">
            <v>قالب تعمیری</v>
          </cell>
          <cell r="N222" t="str">
            <v>مونتاژ</v>
          </cell>
          <cell r="AC222" t="str">
            <v>1405/04/10</v>
          </cell>
        </row>
        <row r="223">
          <cell r="B223" t="str">
            <v>پخت کلاچ ده تن</v>
          </cell>
          <cell r="C223" t="str">
            <v>قالب تعمیری</v>
          </cell>
          <cell r="N223" t="str">
            <v>دریل رادیال</v>
          </cell>
          <cell r="AC223" t="str">
            <v>1405/04/10</v>
          </cell>
        </row>
        <row r="224">
          <cell r="B224" t="str">
            <v>پخت کلاچ پراید</v>
          </cell>
          <cell r="C224" t="str">
            <v>قالب تعمیری</v>
          </cell>
          <cell r="N224" t="str">
            <v>مونتاژ</v>
          </cell>
          <cell r="AC224" t="str">
            <v>1405/04/10</v>
          </cell>
        </row>
        <row r="225">
          <cell r="B225" t="str">
            <v>پخت کلاچ ده تن</v>
          </cell>
          <cell r="C225" t="str">
            <v>قالب تعمیری</v>
          </cell>
          <cell r="N225" t="str">
            <v>مونتاژ</v>
          </cell>
          <cell r="AC225" t="str">
            <v>1405/04/10</v>
          </cell>
        </row>
        <row r="226">
          <cell r="B226" t="str">
            <v>پخت کلاچ پراید</v>
          </cell>
          <cell r="C226" t="str">
            <v>قالب تعمیری</v>
          </cell>
          <cell r="N226" t="str">
            <v>CNC</v>
          </cell>
          <cell r="AC226" t="str">
            <v>1405/04/11</v>
          </cell>
        </row>
        <row r="227">
          <cell r="B227" t="str">
            <v>قالب ترابوزا</v>
          </cell>
          <cell r="C227" t="str">
            <v>قالب تعمیری</v>
          </cell>
          <cell r="N227" t="str">
            <v>فرز</v>
          </cell>
          <cell r="AC227" t="str">
            <v>1405/04/11</v>
          </cell>
        </row>
        <row r="228">
          <cell r="B228" t="str">
            <v>Hammer Mill Machine</v>
          </cell>
          <cell r="C228" t="str">
            <v>دستگاه نو</v>
          </cell>
          <cell r="N228" t="str">
            <v>CNC</v>
          </cell>
          <cell r="AC228" t="str">
            <v>1405/04/11</v>
          </cell>
        </row>
        <row r="229">
          <cell r="B229" t="str">
            <v>پخت کلاچ ده تن</v>
          </cell>
          <cell r="C229" t="str">
            <v>قالب تعمیری</v>
          </cell>
          <cell r="N229" t="str">
            <v>CNC</v>
          </cell>
          <cell r="AC229" t="str">
            <v>1405/04/11</v>
          </cell>
        </row>
        <row r="230">
          <cell r="B230" t="str">
            <v>پخت کلاچ ده تن</v>
          </cell>
          <cell r="C230" t="str">
            <v>قالب تعمیری</v>
          </cell>
          <cell r="N230" t="str">
            <v>CNC</v>
          </cell>
          <cell r="AC230" t="str">
            <v>1405/04/12</v>
          </cell>
        </row>
        <row r="231">
          <cell r="B231" t="str">
            <v>صفحات 50*50 پخت کلاچ</v>
          </cell>
          <cell r="C231" t="str">
            <v>قالب تعمیری</v>
          </cell>
          <cell r="N231" t="str">
            <v>سنگ زنی</v>
          </cell>
          <cell r="AC231" t="str">
            <v>1405/04/11</v>
          </cell>
        </row>
        <row r="232">
          <cell r="B232" t="str">
            <v>قالب ترابوزا</v>
          </cell>
          <cell r="C232" t="str">
            <v>قالب تعمیری</v>
          </cell>
          <cell r="N232" t="str">
            <v>سنگ زنی</v>
          </cell>
          <cell r="AC232" t="str">
            <v>1405/04/11</v>
          </cell>
        </row>
        <row r="233">
          <cell r="B233" t="str">
            <v>قالب ولوو سوپر</v>
          </cell>
          <cell r="C233" t="str">
            <v>قالب تعمیری</v>
          </cell>
          <cell r="N233" t="str">
            <v>سنگ زنی</v>
          </cell>
          <cell r="AC233" t="str">
            <v>1405/04/11</v>
          </cell>
        </row>
        <row r="234">
          <cell r="B234" t="str">
            <v>Hammer Mill Machine</v>
          </cell>
          <cell r="C234" t="str">
            <v>دستگاه نو</v>
          </cell>
          <cell r="N234" t="str">
            <v>تراش</v>
          </cell>
          <cell r="AC234" t="str">
            <v>1405/04/11</v>
          </cell>
        </row>
        <row r="235">
          <cell r="B235" t="str">
            <v>پخت کلاچ پراید</v>
          </cell>
          <cell r="C235" t="str">
            <v>قالب تعمیری</v>
          </cell>
          <cell r="N235" t="str">
            <v>تراش</v>
          </cell>
          <cell r="AC235" t="str">
            <v>1405/04/11</v>
          </cell>
        </row>
        <row r="236">
          <cell r="B236" t="str">
            <v>سری نقطه جوش</v>
          </cell>
          <cell r="C236" t="str">
            <v>قطعه تعمیری</v>
          </cell>
          <cell r="N236" t="str">
            <v>تراش</v>
          </cell>
          <cell r="AC236" t="str">
            <v>1405/04/11</v>
          </cell>
        </row>
        <row r="237">
          <cell r="B237" t="str">
            <v>پخت کلاچ پراید</v>
          </cell>
          <cell r="C237" t="str">
            <v>قالب تعمیری</v>
          </cell>
          <cell r="N237" t="str">
            <v>تراش</v>
          </cell>
          <cell r="AC237" t="str">
            <v>1405/04/11</v>
          </cell>
        </row>
        <row r="238">
          <cell r="B238" t="str">
            <v>دستگاه پشم فلز</v>
          </cell>
          <cell r="C238" t="str">
            <v>قطعه تعمیری</v>
          </cell>
          <cell r="N238" t="str">
            <v>وایر</v>
          </cell>
          <cell r="AC238" t="str">
            <v>1405/04/11</v>
          </cell>
        </row>
        <row r="239">
          <cell r="B239" t="str">
            <v xml:space="preserve">قالب پخت کلاچ پیکان </v>
          </cell>
          <cell r="C239" t="str">
            <v>قالب تعمیری</v>
          </cell>
          <cell r="N239" t="str">
            <v>وایر</v>
          </cell>
          <cell r="AC239" t="str">
            <v>1405/04/11</v>
          </cell>
        </row>
        <row r="240">
          <cell r="B240" t="str">
            <v xml:space="preserve">قالب پخت کلاچ پیکان </v>
          </cell>
          <cell r="C240" t="str">
            <v>قالب تعمیری</v>
          </cell>
          <cell r="N240" t="str">
            <v>وایر</v>
          </cell>
          <cell r="AC240" t="str">
            <v>1405/04/11</v>
          </cell>
        </row>
        <row r="241">
          <cell r="B241" t="str">
            <v xml:space="preserve">قالب پخت کلاچ پیکان </v>
          </cell>
          <cell r="C241" t="str">
            <v>قالب تعمیری</v>
          </cell>
          <cell r="N241" t="str">
            <v>وایر</v>
          </cell>
          <cell r="AC241" t="str">
            <v>1405/04/11</v>
          </cell>
        </row>
        <row r="242">
          <cell r="B242" t="str">
            <v>پخت کلاچ پراید</v>
          </cell>
          <cell r="C242" t="str">
            <v>قالب تعمیری</v>
          </cell>
          <cell r="N242" t="str">
            <v>مونتاژ</v>
          </cell>
          <cell r="AC242" t="str">
            <v>1405/04/11</v>
          </cell>
        </row>
        <row r="243">
          <cell r="B243" t="str">
            <v>پخت کلاچ پراید</v>
          </cell>
          <cell r="C243" t="str">
            <v>قالب تعمیری</v>
          </cell>
          <cell r="N243" t="str">
            <v>مونتاژ</v>
          </cell>
          <cell r="AC243" t="str">
            <v>1405/04/11</v>
          </cell>
        </row>
        <row r="244">
          <cell r="B244" t="str">
            <v>قالب پخت کلاچ پژو 405</v>
          </cell>
          <cell r="C244" t="str">
            <v>قالب تعمیری</v>
          </cell>
          <cell r="N244" t="str">
            <v>مونتاژ</v>
          </cell>
          <cell r="AC244" t="str">
            <v>1405/04/11</v>
          </cell>
        </row>
        <row r="245">
          <cell r="B245" t="str">
            <v>اصول 5S</v>
          </cell>
          <cell r="C245" t="str">
            <v>نظافت</v>
          </cell>
          <cell r="N245" t="str">
            <v>نظافت</v>
          </cell>
          <cell r="AC245" t="str">
            <v>1405/04/11</v>
          </cell>
        </row>
        <row r="246">
          <cell r="B246" t="str">
            <v>پخت کلاچ پژو 206 TU5</v>
          </cell>
          <cell r="C246" t="str">
            <v>قالب تعمیری</v>
          </cell>
          <cell r="N246" t="str">
            <v>مونتاژ</v>
          </cell>
          <cell r="AC246" t="str">
            <v>1405/04/12</v>
          </cell>
        </row>
        <row r="247">
          <cell r="B247" t="str">
            <v>پخت کلاچ پراید</v>
          </cell>
          <cell r="C247" t="str">
            <v>قالب تعمیری</v>
          </cell>
          <cell r="N247" t="str">
            <v>مونتاژ</v>
          </cell>
          <cell r="AC247" t="str">
            <v>1405/04/12</v>
          </cell>
        </row>
        <row r="248">
          <cell r="B248" t="str">
            <v>قالب پخت کلاچ پژو 405</v>
          </cell>
          <cell r="C248" t="str">
            <v>قالب تعمیری</v>
          </cell>
          <cell r="N248" t="str">
            <v>مونتاژ</v>
          </cell>
          <cell r="AC248" t="str">
            <v>1405/04/12</v>
          </cell>
        </row>
        <row r="249">
          <cell r="B249" t="str">
            <v>شیرینگ</v>
          </cell>
          <cell r="C249" t="str">
            <v>قطعه تعمیری</v>
          </cell>
          <cell r="N249" t="str">
            <v>دریل رادیال</v>
          </cell>
          <cell r="AC249" t="str">
            <v>1405/04/11</v>
          </cell>
        </row>
        <row r="250">
          <cell r="B250" t="str">
            <v>دستگاه پشم فلز</v>
          </cell>
          <cell r="C250" t="str">
            <v>قطعه تعمیری</v>
          </cell>
          <cell r="N250" t="str">
            <v>دریل رادیال</v>
          </cell>
          <cell r="AC250" t="str">
            <v>1405/04/11</v>
          </cell>
        </row>
        <row r="251">
          <cell r="B251" t="str">
            <v>پخت کلاچ پژو 206 TU5</v>
          </cell>
          <cell r="C251" t="str">
            <v>قالب تعمیری</v>
          </cell>
          <cell r="N251" t="str">
            <v>مونتاژ</v>
          </cell>
          <cell r="AC251" t="str">
            <v>1405/04/11</v>
          </cell>
        </row>
        <row r="252">
          <cell r="B252" t="str">
            <v>پخت کلاچ FH</v>
          </cell>
          <cell r="C252" t="str">
            <v>قالب تعمیری</v>
          </cell>
          <cell r="N252" t="str">
            <v>مونتاژ</v>
          </cell>
          <cell r="AC252" t="str">
            <v>1405/04/11</v>
          </cell>
        </row>
        <row r="253">
          <cell r="B253" t="str">
            <v>پخت کلاچ ده تن</v>
          </cell>
          <cell r="C253" t="str">
            <v>قالب تعمیری</v>
          </cell>
          <cell r="N253" t="str">
            <v>مونتاژ</v>
          </cell>
          <cell r="AC253" t="str">
            <v>1405/04/11</v>
          </cell>
        </row>
        <row r="254">
          <cell r="B254" t="str">
            <v>پخت کلاچ پژو 206 TU5</v>
          </cell>
          <cell r="C254" t="str">
            <v>قالب تعمیری</v>
          </cell>
          <cell r="N254" t="str">
            <v>مونتاژ</v>
          </cell>
          <cell r="AC254" t="str">
            <v>1405/04/12</v>
          </cell>
        </row>
        <row r="255">
          <cell r="B255" t="str">
            <v>پخت کلاچ پراید</v>
          </cell>
          <cell r="C255" t="str">
            <v>قالب تعمیری</v>
          </cell>
          <cell r="N255" t="str">
            <v>سنگ زنی</v>
          </cell>
          <cell r="AC255" t="str">
            <v>1405/04/12</v>
          </cell>
        </row>
        <row r="256">
          <cell r="B256" t="str">
            <v>پخت کلاچ پراید</v>
          </cell>
          <cell r="C256" t="str">
            <v>قالب تعمیری</v>
          </cell>
          <cell r="N256" t="str">
            <v>تراش</v>
          </cell>
          <cell r="AC256" t="str">
            <v>1405/04/12</v>
          </cell>
        </row>
        <row r="257">
          <cell r="B257" t="str">
            <v>صفحات 50*50 پخت کلاچ</v>
          </cell>
          <cell r="C257" t="str">
            <v>قالب تعمیری</v>
          </cell>
          <cell r="N257" t="str">
            <v>سنگ زنی</v>
          </cell>
          <cell r="AC257" t="str">
            <v>1405/04/13</v>
          </cell>
        </row>
        <row r="258">
          <cell r="B258" t="str">
            <v>پخت کلاچ پژو 206 TU5</v>
          </cell>
          <cell r="C258" t="str">
            <v>قالب تعمیری</v>
          </cell>
          <cell r="N258" t="str">
            <v>سنگ زنی</v>
          </cell>
          <cell r="AC258" t="str">
            <v>1405/04/13</v>
          </cell>
        </row>
        <row r="259">
          <cell r="B259" t="str">
            <v>پخت کلاچ پراید</v>
          </cell>
          <cell r="C259" t="str">
            <v>قالب تعمیری</v>
          </cell>
          <cell r="N259" t="str">
            <v>سنگ زنی</v>
          </cell>
          <cell r="AC259" t="str">
            <v>1405/04/13</v>
          </cell>
        </row>
        <row r="260">
          <cell r="B260" t="str">
            <v>پخت کلاچ پژو 206 TU5</v>
          </cell>
          <cell r="C260" t="str">
            <v>قالب تعمیری</v>
          </cell>
          <cell r="N260" t="str">
            <v>سنگ زنی</v>
          </cell>
          <cell r="AC260" t="str">
            <v>1405/04/13</v>
          </cell>
        </row>
        <row r="261">
          <cell r="B261" t="str">
            <v>دستگاه پشم فلز</v>
          </cell>
          <cell r="C261" t="str">
            <v>قطعه تعمیری</v>
          </cell>
          <cell r="N261" t="str">
            <v>سنگ زنی</v>
          </cell>
          <cell r="AC261" t="str">
            <v>1405/04/13</v>
          </cell>
        </row>
        <row r="262">
          <cell r="B262" t="str">
            <v>پخت کلاچ پراید</v>
          </cell>
          <cell r="C262" t="str">
            <v>قالب تعمیری</v>
          </cell>
          <cell r="N262" t="str">
            <v>تراش</v>
          </cell>
          <cell r="AC262" t="str">
            <v>1405/04/13</v>
          </cell>
        </row>
        <row r="263">
          <cell r="B263" t="str">
            <v>پخت کلاچ پراید</v>
          </cell>
          <cell r="C263" t="str">
            <v>قالب تعمیری</v>
          </cell>
          <cell r="N263" t="str">
            <v>تراش</v>
          </cell>
          <cell r="AC263" t="str">
            <v>1405/04/13</v>
          </cell>
        </row>
        <row r="264">
          <cell r="B264" t="str">
            <v>دستگاه پرس پخت</v>
          </cell>
          <cell r="C264" t="str">
            <v>قطعه تعمیری</v>
          </cell>
          <cell r="N264" t="str">
            <v>فرز</v>
          </cell>
          <cell r="AC264" t="str">
            <v>1405/04/13</v>
          </cell>
        </row>
        <row r="265">
          <cell r="B265" t="str">
            <v>صفحه قالب یدک
700*500*65</v>
          </cell>
          <cell r="C265" t="str">
            <v>قطعه نو</v>
          </cell>
          <cell r="N265" t="str">
            <v>فرز</v>
          </cell>
          <cell r="AC265" t="str">
            <v>1405/04/13</v>
          </cell>
        </row>
        <row r="266">
          <cell r="B266" t="str">
            <v>پخت کلاچ پراید</v>
          </cell>
          <cell r="C266" t="str">
            <v>قالب تعمیری</v>
          </cell>
          <cell r="N266" t="str">
            <v>مونتاژ</v>
          </cell>
          <cell r="AC266" t="str">
            <v>1405/04/13</v>
          </cell>
        </row>
        <row r="267">
          <cell r="B267" t="str">
            <v>پخت کلاچ پراید</v>
          </cell>
          <cell r="C267" t="str">
            <v>قالب تعمیری</v>
          </cell>
          <cell r="N267" t="str">
            <v>مونتاژ</v>
          </cell>
          <cell r="AC267" t="str">
            <v>1405/04/13</v>
          </cell>
        </row>
        <row r="268">
          <cell r="B268" t="str">
            <v>قالب پخت کلاچ پژو 405</v>
          </cell>
          <cell r="C268" t="str">
            <v>قالب تعمیری</v>
          </cell>
          <cell r="N268" t="str">
            <v>مونتاژ</v>
          </cell>
          <cell r="AC268" t="str">
            <v>1405/04/13</v>
          </cell>
        </row>
        <row r="269">
          <cell r="B269" t="str">
            <v>قالب پخت کلاچ پژو 405</v>
          </cell>
          <cell r="C269" t="str">
            <v>قالب تعمیری</v>
          </cell>
          <cell r="N269" t="str">
            <v>مونتاژ</v>
          </cell>
          <cell r="AC269" t="str">
            <v>1405/04/13</v>
          </cell>
        </row>
        <row r="270">
          <cell r="B270" t="str">
            <v>قالب توری پگاسوز</v>
          </cell>
          <cell r="C270" t="str">
            <v>قالب نو</v>
          </cell>
          <cell r="N270" t="str">
            <v>سنگ زنی</v>
          </cell>
          <cell r="AC270" t="str">
            <v>1405/04/13</v>
          </cell>
        </row>
        <row r="271">
          <cell r="B271" t="str">
            <v>پخت کلاچ ده تن</v>
          </cell>
          <cell r="C271" t="str">
            <v>قالب تعمیری</v>
          </cell>
          <cell r="N271" t="str">
            <v>مونتاژ</v>
          </cell>
          <cell r="AC271" t="str">
            <v>1405/04/13</v>
          </cell>
        </row>
        <row r="272">
          <cell r="B272" t="str">
            <v>پخت کلاچ پراید</v>
          </cell>
          <cell r="C272" t="str">
            <v>قالب تعمیری</v>
          </cell>
          <cell r="N272" t="str">
            <v>فرز</v>
          </cell>
          <cell r="AC272" t="str">
            <v>1405/04/13</v>
          </cell>
        </row>
        <row r="273">
          <cell r="B273" t="str">
            <v>پخت کلاچ پراید</v>
          </cell>
          <cell r="C273" t="str">
            <v>قالب تعمیری</v>
          </cell>
          <cell r="N273" t="str">
            <v>مونتاژ</v>
          </cell>
          <cell r="AC273" t="str">
            <v>1405/04/13</v>
          </cell>
        </row>
        <row r="274">
          <cell r="B274" t="str">
            <v>قالب پخت کلاچ پژو 405</v>
          </cell>
          <cell r="C274" t="str">
            <v>قالب تعمیری</v>
          </cell>
          <cell r="N274" t="str">
            <v>مونتاژ</v>
          </cell>
          <cell r="AC274" t="str">
            <v>1405/04/13</v>
          </cell>
        </row>
        <row r="275">
          <cell r="B275" t="str">
            <v>قالب پخت کلاچ پژو 405</v>
          </cell>
          <cell r="C275" t="str">
            <v>قالب تعمیری</v>
          </cell>
          <cell r="N275" t="str">
            <v>مونتاژ</v>
          </cell>
          <cell r="AC275" t="str">
            <v>1405/04/13</v>
          </cell>
        </row>
        <row r="276">
          <cell r="B276" t="str">
            <v>پخت کلاچ پراید</v>
          </cell>
          <cell r="C276" t="str">
            <v>قالب تعمیری</v>
          </cell>
          <cell r="N276" t="str">
            <v>مونتاژ</v>
          </cell>
          <cell r="AC276" t="str">
            <v>1405/04/13</v>
          </cell>
        </row>
        <row r="277">
          <cell r="B277" t="str">
            <v>تخته لنت صنعتی</v>
          </cell>
          <cell r="C277" t="str">
            <v>قطعه تعمیری</v>
          </cell>
          <cell r="N277" t="str">
            <v>دریل رادیال</v>
          </cell>
          <cell r="AC277" t="str">
            <v>1405/04/13</v>
          </cell>
        </row>
        <row r="278">
          <cell r="B278" t="str">
            <v>موتور</v>
          </cell>
          <cell r="C278" t="str">
            <v>قطعه تعمیری</v>
          </cell>
          <cell r="N278" t="str">
            <v>دریل رادیال</v>
          </cell>
          <cell r="AC278" t="str">
            <v>1405/04/13</v>
          </cell>
        </row>
        <row r="279">
          <cell r="B279" t="str">
            <v>قالب پخت کلاچ پژو 405</v>
          </cell>
          <cell r="C279" t="str">
            <v>قالب تعمیری</v>
          </cell>
          <cell r="N279" t="str">
            <v>مونتاژ</v>
          </cell>
          <cell r="AC279" t="str">
            <v>1405/04/14</v>
          </cell>
        </row>
        <row r="280">
          <cell r="B280" t="str">
            <v>پخت کلاچ FH</v>
          </cell>
          <cell r="C280" t="str">
            <v>قالب تعمیری</v>
          </cell>
          <cell r="N280" t="str">
            <v>مونتاژ</v>
          </cell>
          <cell r="AC280" t="str">
            <v>1405/04/14</v>
          </cell>
        </row>
        <row r="281">
          <cell r="B281" t="str">
            <v>قالب ترابوزا</v>
          </cell>
          <cell r="C281" t="str">
            <v>قالب تعمیری</v>
          </cell>
          <cell r="N281" t="str">
            <v>مونتاژ</v>
          </cell>
          <cell r="AC281" t="str">
            <v>1405/04/14</v>
          </cell>
        </row>
        <row r="282">
          <cell r="B282" t="str">
            <v>قالب پخت کلاچ تیبا چپ</v>
          </cell>
          <cell r="C282" t="str">
            <v>قالب تعمیری</v>
          </cell>
          <cell r="N282" t="str">
            <v>مونتاژ</v>
          </cell>
          <cell r="AC282" t="str">
            <v>1405/04/14</v>
          </cell>
        </row>
        <row r="283">
          <cell r="B283" t="str">
            <v>سوراخکاری پیلسان</v>
          </cell>
          <cell r="C283" t="str">
            <v>قطعه نو</v>
          </cell>
          <cell r="N283" t="str">
            <v>CNC</v>
          </cell>
          <cell r="AC283" t="str">
            <v>1405/04/13</v>
          </cell>
        </row>
        <row r="284">
          <cell r="B284" t="str">
            <v xml:space="preserve">قالب پخت کلاچ پیکان </v>
          </cell>
          <cell r="C284" t="str">
            <v>قالب تعمیری</v>
          </cell>
          <cell r="N284" t="str">
            <v>CNC</v>
          </cell>
          <cell r="AC284" t="str">
            <v>1405/04/13</v>
          </cell>
        </row>
        <row r="285">
          <cell r="B285" t="str">
            <v xml:space="preserve">قالب پخت کلاچ پیکان </v>
          </cell>
          <cell r="C285" t="str">
            <v>قالب تعمیری</v>
          </cell>
          <cell r="N285" t="str">
            <v>CNC</v>
          </cell>
          <cell r="AC285" t="str">
            <v>1405/04/13</v>
          </cell>
        </row>
        <row r="286">
          <cell r="B286" t="str">
            <v>قالب پخت کلاچ پژو 405</v>
          </cell>
          <cell r="C286" t="str">
            <v>قالب تعمیری</v>
          </cell>
          <cell r="N286" t="str">
            <v>تراش</v>
          </cell>
          <cell r="AC286" t="str">
            <v>1405/04/13</v>
          </cell>
        </row>
        <row r="287">
          <cell r="B287" t="str">
            <v>قالب پخت کلاچ پژو 405</v>
          </cell>
          <cell r="C287" t="str">
            <v>قالب تعمیری</v>
          </cell>
          <cell r="N287" t="str">
            <v>تراش</v>
          </cell>
          <cell r="AC287" t="str">
            <v>1405/04/13</v>
          </cell>
        </row>
        <row r="288">
          <cell r="B288" t="str">
            <v>قالب پخت کلاچ پژو 405</v>
          </cell>
          <cell r="C288" t="str">
            <v>قالب تعمیری</v>
          </cell>
          <cell r="N288" t="str">
            <v>تراش</v>
          </cell>
          <cell r="AC288" t="str">
            <v>1405/04/13</v>
          </cell>
        </row>
        <row r="289">
          <cell r="B289" t="str">
            <v>دستگاه سوپر دریل</v>
          </cell>
          <cell r="C289" t="str">
            <v>قطعه نو</v>
          </cell>
          <cell r="N289" t="str">
            <v>تراش</v>
          </cell>
          <cell r="AC289" t="str">
            <v>1405/04/13</v>
          </cell>
        </row>
        <row r="290">
          <cell r="B290" t="str">
            <v>دستگاه پشم فلز</v>
          </cell>
          <cell r="C290" t="str">
            <v>قطعه تعمیری</v>
          </cell>
          <cell r="N290" t="str">
            <v>وایر</v>
          </cell>
          <cell r="AC290" t="str">
            <v>1405/04/13</v>
          </cell>
        </row>
        <row r="291">
          <cell r="B291" t="str">
            <v>دستگاه پشم فلز</v>
          </cell>
          <cell r="C291" t="str">
            <v>قطعه تعمیری</v>
          </cell>
          <cell r="N291" t="str">
            <v>وایر</v>
          </cell>
          <cell r="AC291" t="str">
            <v>1405/04/13</v>
          </cell>
        </row>
        <row r="292">
          <cell r="B292" t="str">
            <v xml:space="preserve">قالب پخت کلاچ پیکان </v>
          </cell>
          <cell r="C292" t="str">
            <v>قالب تعمیری</v>
          </cell>
          <cell r="N292" t="str">
            <v>وایر</v>
          </cell>
          <cell r="AC292" t="str">
            <v>1405/04/13</v>
          </cell>
        </row>
        <row r="293">
          <cell r="B293" t="str">
            <v>Hammer Mill Machine</v>
          </cell>
          <cell r="C293" t="str">
            <v>دستگاه نو</v>
          </cell>
          <cell r="N293" t="str">
            <v>وایر</v>
          </cell>
          <cell r="AC293" t="str">
            <v>1405/04/13</v>
          </cell>
        </row>
        <row r="294">
          <cell r="B294" t="str">
            <v>پایه پرچ لنت نیسان</v>
          </cell>
          <cell r="C294" t="str">
            <v>قطعه نو</v>
          </cell>
          <cell r="N294" t="str">
            <v>وایر</v>
          </cell>
          <cell r="AC294" t="str">
            <v>1405/04/13</v>
          </cell>
        </row>
        <row r="295">
          <cell r="B295" t="str">
            <v>دستگاه پشم فلز</v>
          </cell>
          <cell r="C295" t="str">
            <v>قطعه تعمیری</v>
          </cell>
          <cell r="N295" t="str">
            <v>وایر</v>
          </cell>
          <cell r="AC295" t="str">
            <v>1405/04/13</v>
          </cell>
        </row>
        <row r="296">
          <cell r="B296" t="str">
            <v xml:space="preserve">قالب پخت کلاچ پیکان </v>
          </cell>
          <cell r="C296" t="str">
            <v>قالب تعمیری</v>
          </cell>
          <cell r="N296" t="str">
            <v>CNC</v>
          </cell>
          <cell r="AC296" t="str">
            <v>1405/04/14</v>
          </cell>
        </row>
        <row r="297">
          <cell r="B297" t="str">
            <v xml:space="preserve">قالب پخت کلاچ پیکان </v>
          </cell>
          <cell r="C297" t="str">
            <v>قالب تعمیری</v>
          </cell>
          <cell r="N297" t="str">
            <v>CNC</v>
          </cell>
          <cell r="AC297" t="str">
            <v>1405/04/14</v>
          </cell>
        </row>
        <row r="298">
          <cell r="B298" t="str">
            <v>دستگاه پرس پخت</v>
          </cell>
          <cell r="C298" t="str">
            <v>قطعه تعمیری</v>
          </cell>
          <cell r="N298" t="str">
            <v>فرز</v>
          </cell>
          <cell r="AC298" t="str">
            <v>1405/04/14</v>
          </cell>
        </row>
        <row r="299">
          <cell r="B299" t="str">
            <v>سوراخکاری پیلسان</v>
          </cell>
          <cell r="C299" t="str">
            <v>قطعه نو</v>
          </cell>
          <cell r="N299" t="str">
            <v>CNC</v>
          </cell>
          <cell r="AC299" t="str">
            <v>1405/04/14</v>
          </cell>
        </row>
        <row r="300">
          <cell r="B300" t="str">
            <v>سوراخکاری پیلسان</v>
          </cell>
          <cell r="C300" t="str">
            <v>قطعه نو</v>
          </cell>
          <cell r="N300" t="str">
            <v>CNC</v>
          </cell>
          <cell r="AC300" t="str">
            <v>1405/04/14</v>
          </cell>
        </row>
        <row r="301">
          <cell r="B301" t="str">
            <v>شیرینگ</v>
          </cell>
          <cell r="C301" t="str">
            <v>قطعه تعمیری</v>
          </cell>
          <cell r="N301" t="str">
            <v>دریل رادیال</v>
          </cell>
          <cell r="AC301" t="str">
            <v>1405/04/11</v>
          </cell>
        </row>
        <row r="302">
          <cell r="B302" t="str">
            <v>دستگاه پشم فلز</v>
          </cell>
          <cell r="C302" t="str">
            <v>قطعه تعمیری</v>
          </cell>
          <cell r="N302" t="str">
            <v>دریل رادیال</v>
          </cell>
          <cell r="AC302" t="str">
            <v>1405/04/11</v>
          </cell>
        </row>
        <row r="303">
          <cell r="B303" t="str">
            <v>پخت کلاچ پژو 206 TU5</v>
          </cell>
          <cell r="C303" t="str">
            <v>قالب تعمیری</v>
          </cell>
          <cell r="N303" t="str">
            <v>مونتاژ</v>
          </cell>
          <cell r="AC303" t="str">
            <v>1405/04/11</v>
          </cell>
        </row>
        <row r="304">
          <cell r="B304" t="str">
            <v>پخت کلاچ FH</v>
          </cell>
          <cell r="C304" t="str">
            <v>قالب تعمیری</v>
          </cell>
          <cell r="N304" t="str">
            <v>مونتاژ</v>
          </cell>
          <cell r="AC304" t="str">
            <v>1405/04/11</v>
          </cell>
        </row>
        <row r="305">
          <cell r="B305" t="str">
            <v>پخت کلاچ ده تن</v>
          </cell>
          <cell r="C305" t="str">
            <v>قالب تعمیری</v>
          </cell>
          <cell r="N305" t="str">
            <v>مونتاژ</v>
          </cell>
          <cell r="AC305" t="str">
            <v>1405/04/11</v>
          </cell>
        </row>
        <row r="306">
          <cell r="B306" t="str">
            <v>پخت کلاچ پراید</v>
          </cell>
          <cell r="C306" t="str">
            <v>قالب تعمیری</v>
          </cell>
          <cell r="N306" t="str">
            <v>تراش</v>
          </cell>
          <cell r="AC306" t="str">
            <v>1405/04/14</v>
          </cell>
        </row>
        <row r="307">
          <cell r="B307" t="str">
            <v>پخت کلاچ ده تن</v>
          </cell>
          <cell r="C307" t="str">
            <v>قالب تعمیری</v>
          </cell>
          <cell r="N307" t="str">
            <v>تراش</v>
          </cell>
          <cell r="AC307" t="str">
            <v>1405/04/14</v>
          </cell>
        </row>
        <row r="308">
          <cell r="B308" t="str">
            <v>صفحات 50*50 پخت کلاچ</v>
          </cell>
          <cell r="C308" t="str">
            <v>قالب تعمیری</v>
          </cell>
          <cell r="N308" t="str">
            <v>سنگ زنی</v>
          </cell>
          <cell r="AC308" t="str">
            <v>1405/04/14</v>
          </cell>
        </row>
        <row r="309">
          <cell r="B309" t="str">
            <v>قالب برش میدل باس</v>
          </cell>
          <cell r="C309" t="str">
            <v>قالب تعمیری</v>
          </cell>
          <cell r="N309" t="str">
            <v>سنگ زنی</v>
          </cell>
          <cell r="AC309" t="str">
            <v>1405/04/14</v>
          </cell>
        </row>
        <row r="310">
          <cell r="B310" t="str">
            <v>پخت کلاچ پراید</v>
          </cell>
          <cell r="C310" t="str">
            <v>قالب تعمیری</v>
          </cell>
          <cell r="N310" t="str">
            <v>سنگ زنی</v>
          </cell>
          <cell r="AC310" t="str">
            <v>1405/04/14</v>
          </cell>
        </row>
        <row r="311">
          <cell r="B311" t="str">
            <v xml:space="preserve">قالب پخت کلاچ پیکان </v>
          </cell>
          <cell r="C311" t="str">
            <v>قالب تعمیری</v>
          </cell>
          <cell r="N311" t="str">
            <v>سنگ زنی</v>
          </cell>
          <cell r="AC311" t="str">
            <v>1405/04/14</v>
          </cell>
        </row>
        <row r="312">
          <cell r="B312" t="str">
            <v>قالب پخت کلاچ پژو 405</v>
          </cell>
          <cell r="C312" t="str">
            <v>قالب تعمیری</v>
          </cell>
          <cell r="N312" t="str">
            <v>دریل رادیال</v>
          </cell>
          <cell r="AC312" t="str">
            <v>1405/04/14</v>
          </cell>
        </row>
        <row r="313">
          <cell r="B313" t="str">
            <v>ویوینگ</v>
          </cell>
          <cell r="C313" t="str">
            <v>قطعه تعمیری</v>
          </cell>
          <cell r="N313" t="str">
            <v>فرز</v>
          </cell>
          <cell r="AC313" t="str">
            <v>1405/04/14</v>
          </cell>
        </row>
        <row r="314">
          <cell r="B314" t="str">
            <v>قالب پخت کلاچ پژو 405</v>
          </cell>
          <cell r="C314" t="str">
            <v>قالب تعمیری</v>
          </cell>
          <cell r="N314" t="str">
            <v>مونتاژ</v>
          </cell>
          <cell r="AC314" t="str">
            <v>1405/04/14</v>
          </cell>
        </row>
        <row r="315">
          <cell r="B315" t="str">
            <v xml:space="preserve">قالب پخت کلاچ پیکان </v>
          </cell>
          <cell r="C315" t="str">
            <v>قالب تعمیری</v>
          </cell>
          <cell r="N315" t="str">
            <v>مونتاژ</v>
          </cell>
          <cell r="AC315" t="str">
            <v>1405/04/14</v>
          </cell>
        </row>
        <row r="316">
          <cell r="B316" t="str">
            <v>قالب ترابوزا</v>
          </cell>
          <cell r="C316" t="str">
            <v>قالب تعمیری</v>
          </cell>
          <cell r="N316" t="str">
            <v>مونتاژ</v>
          </cell>
          <cell r="AC316" t="str">
            <v>1405/04/14</v>
          </cell>
        </row>
        <row r="317">
          <cell r="B317" t="str">
            <v>ویوینگ</v>
          </cell>
          <cell r="C317" t="str">
            <v>قطعه تعمیری</v>
          </cell>
          <cell r="N317" t="str">
            <v>تراش</v>
          </cell>
          <cell r="AC317" t="str">
            <v>1405/04/14</v>
          </cell>
        </row>
        <row r="318">
          <cell r="B318" t="str">
            <v>ویوینگ</v>
          </cell>
          <cell r="C318" t="str">
            <v>قطعه نو</v>
          </cell>
          <cell r="N318" t="str">
            <v>تراش</v>
          </cell>
          <cell r="AC318" t="str">
            <v>1405/04/14</v>
          </cell>
        </row>
        <row r="319">
          <cell r="B319" t="str">
            <v>ویوینگ</v>
          </cell>
          <cell r="C319" t="str">
            <v>قطعه نو</v>
          </cell>
          <cell r="N319" t="str">
            <v>تراش</v>
          </cell>
          <cell r="AC319" t="str">
            <v>1405/04/14</v>
          </cell>
        </row>
        <row r="320">
          <cell r="B320" t="str">
            <v>ویوینگ</v>
          </cell>
          <cell r="C320" t="str">
            <v>قطعه تعمیری</v>
          </cell>
          <cell r="N320" t="str">
            <v>تراش</v>
          </cell>
          <cell r="AC320" t="str">
            <v>1405/04/14</v>
          </cell>
        </row>
        <row r="321">
          <cell r="B321" t="str">
            <v xml:space="preserve">قالب پخت کلاچ پیکان </v>
          </cell>
          <cell r="C321" t="str">
            <v>قالب تعمیری</v>
          </cell>
          <cell r="N321" t="str">
            <v>تراش</v>
          </cell>
          <cell r="AC321" t="str">
            <v>1405/04/14</v>
          </cell>
        </row>
        <row r="322">
          <cell r="B322" t="str">
            <v>همزن مواد</v>
          </cell>
          <cell r="C322" t="str">
            <v>قطعه تعمیری</v>
          </cell>
          <cell r="N322" t="str">
            <v>تراش</v>
          </cell>
          <cell r="AC322" t="str">
            <v>1405/04/14</v>
          </cell>
        </row>
        <row r="323">
          <cell r="B323" t="str">
            <v>دستگاه پشم فلز</v>
          </cell>
          <cell r="C323" t="str">
            <v>قطعه تعمیری</v>
          </cell>
          <cell r="N323" t="str">
            <v>وایر</v>
          </cell>
          <cell r="AC323" t="str">
            <v>1405/04/14</v>
          </cell>
        </row>
        <row r="324">
          <cell r="B324" t="str">
            <v>دستگاه پشم فلز</v>
          </cell>
          <cell r="C324" t="str">
            <v>قطعه تعمیری</v>
          </cell>
          <cell r="N324" t="str">
            <v>وایر</v>
          </cell>
          <cell r="AC324" t="str">
            <v>1405/04/14</v>
          </cell>
        </row>
        <row r="325">
          <cell r="B325" t="str">
            <v>پایه پرچ لنت نیسان</v>
          </cell>
          <cell r="C325" t="str">
            <v>قطعه نو</v>
          </cell>
          <cell r="N325" t="str">
            <v>وایر</v>
          </cell>
          <cell r="AC325" t="str">
            <v>1405/04/14</v>
          </cell>
        </row>
        <row r="326">
          <cell r="B326" t="str">
            <v>Hammer Mill Machine</v>
          </cell>
          <cell r="C326" t="str">
            <v>دستگاه نو</v>
          </cell>
          <cell r="N326" t="str">
            <v>وایر</v>
          </cell>
          <cell r="AC326" t="str">
            <v>1405/04/14</v>
          </cell>
        </row>
        <row r="327">
          <cell r="B327" t="str">
            <v>ویوینگ</v>
          </cell>
          <cell r="C327" t="str">
            <v>قطعه نو</v>
          </cell>
          <cell r="N327" t="str">
            <v>وایر</v>
          </cell>
          <cell r="AC327" t="str">
            <v>1405/04/14</v>
          </cell>
        </row>
        <row r="328">
          <cell r="B328" t="str">
            <v>قالب پخت کلاچ پژو 405</v>
          </cell>
          <cell r="C328" t="str">
            <v>قالب تعمیری</v>
          </cell>
          <cell r="N328" t="str">
            <v>وایر</v>
          </cell>
          <cell r="AC328" t="str">
            <v>1405/04/14</v>
          </cell>
        </row>
        <row r="329">
          <cell r="B329" t="str">
            <v>قالب پخت کلاچ پژو 405</v>
          </cell>
          <cell r="C329" t="str">
            <v>قالب تعمیری</v>
          </cell>
          <cell r="N329" t="str">
            <v>مونتاژ</v>
          </cell>
          <cell r="AC329" t="str">
            <v>1405/04/14</v>
          </cell>
        </row>
        <row r="330">
          <cell r="B330" t="str">
            <v>قالب ترابوزا</v>
          </cell>
          <cell r="C330" t="str">
            <v>قالب تعمیری</v>
          </cell>
          <cell r="N330" t="str">
            <v>اره لنگ</v>
          </cell>
          <cell r="AC330" t="str">
            <v>1405/04/14</v>
          </cell>
        </row>
        <row r="331">
          <cell r="B331" t="str">
            <v>قالب پخت کلاچ تیبا چپ</v>
          </cell>
          <cell r="C331" t="str">
            <v>قالب تعمیری</v>
          </cell>
          <cell r="N331" t="str">
            <v>مونتاژ</v>
          </cell>
          <cell r="AC331" t="str">
            <v>1405/04/14</v>
          </cell>
        </row>
        <row r="332">
          <cell r="B332" t="str">
            <v>قالب پخت کلاچ پژو 405</v>
          </cell>
          <cell r="C332" t="str">
            <v>قالب تعمیری</v>
          </cell>
          <cell r="N332" t="str">
            <v>مونتاژ</v>
          </cell>
          <cell r="AC332" t="str">
            <v>1405/04/14</v>
          </cell>
        </row>
        <row r="333">
          <cell r="B333" t="str">
            <v>پخت کلاچ FH</v>
          </cell>
          <cell r="C333" t="str">
            <v>قالب تعمیری</v>
          </cell>
          <cell r="N333" t="str">
            <v>مونتاژ</v>
          </cell>
          <cell r="AC333" t="str">
            <v>1405/04/15</v>
          </cell>
        </row>
        <row r="334">
          <cell r="B334" t="str">
            <v>پخت کلاچ FH</v>
          </cell>
          <cell r="C334" t="str">
            <v>قالب تعمیری</v>
          </cell>
          <cell r="N334" t="str">
            <v>مونتاژ</v>
          </cell>
          <cell r="AC334" t="str">
            <v>1405/04/15</v>
          </cell>
        </row>
        <row r="335">
          <cell r="B335" t="str">
            <v xml:space="preserve">قالب پخت کلاچ پیکان </v>
          </cell>
          <cell r="C335" t="str">
            <v>قالب تعمیری</v>
          </cell>
          <cell r="N335" t="str">
            <v>CNC</v>
          </cell>
          <cell r="AC335" t="str">
            <v>1405/04/15</v>
          </cell>
        </row>
        <row r="336">
          <cell r="B336" t="str">
            <v>صفحه قالب یدک
700*500*65</v>
          </cell>
          <cell r="C336" t="str">
            <v>قطعه نو</v>
          </cell>
          <cell r="N336" t="str">
            <v>فرز</v>
          </cell>
          <cell r="AC336" t="str">
            <v>1405/04/15</v>
          </cell>
        </row>
        <row r="337">
          <cell r="B337" t="str">
            <v>صفحه قالب یدک
700*500*65</v>
          </cell>
          <cell r="C337" t="str">
            <v>قطعه نو</v>
          </cell>
          <cell r="N337" t="str">
            <v>فرز</v>
          </cell>
          <cell r="AC337" t="str">
            <v>1405/04/14</v>
          </cell>
        </row>
        <row r="338">
          <cell r="B338" t="str">
            <v xml:space="preserve">قالب پخت کلاچ پیکان </v>
          </cell>
          <cell r="C338" t="str">
            <v>قالب تعمیری</v>
          </cell>
          <cell r="N338" t="str">
            <v>تراش</v>
          </cell>
          <cell r="AC338" t="str">
            <v>1405/04/15</v>
          </cell>
        </row>
        <row r="339">
          <cell r="B339" t="str">
            <v xml:space="preserve">قالب پخت کلاچ پیکان </v>
          </cell>
          <cell r="C339" t="str">
            <v>قالب تعمیری</v>
          </cell>
          <cell r="N339" t="str">
            <v>تراش</v>
          </cell>
          <cell r="AC339" t="str">
            <v>1405/04/15</v>
          </cell>
        </row>
        <row r="340">
          <cell r="B340" t="str">
            <v>صفحات 50*50 پخت کلاچ</v>
          </cell>
          <cell r="C340" t="str">
            <v>قالب تعمیری</v>
          </cell>
          <cell r="N340" t="str">
            <v>سنگ زنی</v>
          </cell>
          <cell r="AC340" t="str">
            <v>1405/04/15</v>
          </cell>
        </row>
        <row r="341">
          <cell r="B341" t="str">
            <v xml:space="preserve">قالب پخت کلاچ پیکان </v>
          </cell>
          <cell r="C341" t="str">
            <v>قالب تعمیری</v>
          </cell>
          <cell r="N341" t="str">
            <v>سنگ زنی</v>
          </cell>
          <cell r="AC341" t="str">
            <v>1405/04/15</v>
          </cell>
        </row>
        <row r="342">
          <cell r="B342" t="str">
            <v xml:space="preserve">قالب پخت کلاچ پیکان </v>
          </cell>
          <cell r="C342" t="str">
            <v>قالب تعمیری</v>
          </cell>
          <cell r="N342" t="str">
            <v>CNC</v>
          </cell>
          <cell r="AC342" t="str">
            <v>1405/04/15</v>
          </cell>
        </row>
        <row r="343">
          <cell r="B343" t="str">
            <v>قالب پخت کلاچ پژو 405</v>
          </cell>
          <cell r="C343" t="str">
            <v>قالب تعمیری</v>
          </cell>
          <cell r="N343" t="str">
            <v>CNC</v>
          </cell>
          <cell r="AC343" t="str">
            <v>1405/04/15</v>
          </cell>
        </row>
        <row r="344">
          <cell r="B344" t="str">
            <v>سوراخکاری پیلسان</v>
          </cell>
          <cell r="C344" t="str">
            <v>قطعه نو</v>
          </cell>
          <cell r="N344" t="str">
            <v>CNC</v>
          </cell>
          <cell r="AC344" t="str">
            <v>1405/04/15</v>
          </cell>
        </row>
        <row r="345">
          <cell r="B345" t="str">
            <v>دستگاه پرس 600 تن</v>
          </cell>
          <cell r="C345" t="str">
            <v>قطعه نو</v>
          </cell>
          <cell r="N345" t="str">
            <v>CNC</v>
          </cell>
          <cell r="AC345" t="str">
            <v>1405/04/15</v>
          </cell>
        </row>
        <row r="346">
          <cell r="B346" t="str">
            <v>پخت کلاچ FH</v>
          </cell>
          <cell r="C346" t="str">
            <v>قالب تعمیری</v>
          </cell>
          <cell r="N346" t="str">
            <v>مونتاژ</v>
          </cell>
          <cell r="AC346" t="str">
            <v>1405/04/15</v>
          </cell>
        </row>
        <row r="347">
          <cell r="B347" t="str">
            <v xml:space="preserve">قالب پخت کلاچ پیکان </v>
          </cell>
          <cell r="C347" t="str">
            <v>قالب تعمیری</v>
          </cell>
          <cell r="N347" t="str">
            <v>مونتاژ</v>
          </cell>
          <cell r="AC347" t="str">
            <v>1405/04/15</v>
          </cell>
        </row>
        <row r="348">
          <cell r="B348" t="str">
            <v>قالب پخت کلاچ پژو 405</v>
          </cell>
          <cell r="C348" t="str">
            <v>قالب تعمیری</v>
          </cell>
          <cell r="N348" t="str">
            <v>مونتاژ</v>
          </cell>
          <cell r="AC348" t="str">
            <v>1405/04/15</v>
          </cell>
        </row>
        <row r="349">
          <cell r="B349" t="str">
            <v xml:space="preserve">قالب پخت کلاچ پیکان </v>
          </cell>
          <cell r="C349" t="str">
            <v>قالب تعمیری</v>
          </cell>
          <cell r="N349" t="str">
            <v>مونتاژ</v>
          </cell>
          <cell r="AC349" t="str">
            <v>1405/04/15</v>
          </cell>
        </row>
        <row r="350">
          <cell r="B350" t="str">
            <v>قالب پخت کلاچ پژو 405</v>
          </cell>
          <cell r="C350" t="str">
            <v>قالب تعمیری</v>
          </cell>
          <cell r="N350" t="str">
            <v>مونتاژ</v>
          </cell>
          <cell r="AC350" t="str">
            <v>1405/04/15</v>
          </cell>
        </row>
        <row r="351">
          <cell r="B351" t="str">
            <v>قالب ترابوزا</v>
          </cell>
          <cell r="C351" t="str">
            <v>قالب تعمیری</v>
          </cell>
          <cell r="N351" t="str">
            <v>مونتاژ</v>
          </cell>
          <cell r="AC351" t="str">
            <v>1405/04/15</v>
          </cell>
        </row>
        <row r="352">
          <cell r="B352" t="str">
            <v xml:space="preserve">قالب پخت کلاچ پیکان </v>
          </cell>
          <cell r="C352" t="str">
            <v>قالب تعمیری</v>
          </cell>
          <cell r="N352" t="str">
            <v>دریل رادیال</v>
          </cell>
          <cell r="AC352" t="str">
            <v>1405/04/15</v>
          </cell>
        </row>
        <row r="353">
          <cell r="B353" t="str">
            <v>ساب الماسه</v>
          </cell>
          <cell r="C353" t="str">
            <v>قطعه تعمیری</v>
          </cell>
          <cell r="N353" t="str">
            <v>دریل رادیال</v>
          </cell>
          <cell r="AC353" t="str">
            <v>1405/04/15</v>
          </cell>
        </row>
        <row r="354">
          <cell r="B354" t="str">
            <v>ساب الماسه</v>
          </cell>
          <cell r="C354" t="str">
            <v>قطعه تعمیری</v>
          </cell>
          <cell r="N354" t="str">
            <v>مونتاژ</v>
          </cell>
          <cell r="AC354" t="str">
            <v>1405/04/15</v>
          </cell>
        </row>
        <row r="355">
          <cell r="B355" t="str">
            <v>دستگاه پشم فلز</v>
          </cell>
          <cell r="C355" t="str">
            <v>قطعه تعمیری</v>
          </cell>
          <cell r="N355" t="str">
            <v>وایر</v>
          </cell>
          <cell r="AC355" t="str">
            <v>1405/04/15</v>
          </cell>
        </row>
        <row r="356">
          <cell r="B356" t="str">
            <v>دستگاه پشم فلز</v>
          </cell>
          <cell r="C356" t="str">
            <v>قطعه تعمیری</v>
          </cell>
          <cell r="N356" t="str">
            <v>وایر</v>
          </cell>
          <cell r="AC356" t="str">
            <v>1405/04/15</v>
          </cell>
        </row>
        <row r="357">
          <cell r="B357" t="str">
            <v>قالب پخت کلاچ پژو 405</v>
          </cell>
          <cell r="C357" t="str">
            <v>قالب تعمیری</v>
          </cell>
          <cell r="N357" t="str">
            <v>وایر</v>
          </cell>
          <cell r="AC357" t="str">
            <v>1405/04/15</v>
          </cell>
        </row>
        <row r="358">
          <cell r="B358" t="str">
            <v>ویوینگ</v>
          </cell>
          <cell r="C358" t="str">
            <v>قطعه نو</v>
          </cell>
          <cell r="N358" t="str">
            <v>وایر</v>
          </cell>
          <cell r="AC358" t="str">
            <v>1405/04/15</v>
          </cell>
        </row>
        <row r="359">
          <cell r="B359" t="str">
            <v>کلمپ زنی</v>
          </cell>
          <cell r="C359" t="str">
            <v>دستگاه تعمیری</v>
          </cell>
          <cell r="N359" t="str">
            <v>وایر</v>
          </cell>
          <cell r="AC359" t="str">
            <v>1405/04/15</v>
          </cell>
        </row>
        <row r="360">
          <cell r="B360" t="str">
            <v>قالب ترابوزا</v>
          </cell>
          <cell r="C360" t="str">
            <v>قالب تعمیری</v>
          </cell>
          <cell r="N360" t="str">
            <v>تراش</v>
          </cell>
          <cell r="AC360" t="str">
            <v>1405/04/15</v>
          </cell>
        </row>
        <row r="361">
          <cell r="B361" t="str">
            <v>قالب پخت کلاچ پژو 405</v>
          </cell>
          <cell r="C361" t="str">
            <v>قالب تعمیری</v>
          </cell>
          <cell r="N361" t="str">
            <v>تراش</v>
          </cell>
          <cell r="AC361" t="str">
            <v>1405/04/15</v>
          </cell>
        </row>
        <row r="362">
          <cell r="B362" t="str">
            <v>ساب الماسه</v>
          </cell>
          <cell r="C362" t="str">
            <v>قطعه تعمیری</v>
          </cell>
          <cell r="N362" t="str">
            <v>تراش</v>
          </cell>
          <cell r="AC362" t="str">
            <v>1405/04/15</v>
          </cell>
        </row>
        <row r="363">
          <cell r="B363" t="str">
            <v>ساب الماسه</v>
          </cell>
          <cell r="C363" t="str">
            <v>قطعه تعمیری</v>
          </cell>
          <cell r="N363" t="str">
            <v>تراش</v>
          </cell>
          <cell r="AC363" t="str">
            <v>1405/04/15</v>
          </cell>
        </row>
        <row r="364">
          <cell r="B364" t="str">
            <v>ساب الماسه</v>
          </cell>
          <cell r="C364" t="str">
            <v>قطعه نو</v>
          </cell>
          <cell r="N364" t="str">
            <v>تراش</v>
          </cell>
          <cell r="AC364" t="str">
            <v>1405/04/15</v>
          </cell>
        </row>
        <row r="365">
          <cell r="B365" t="str">
            <v>پخت کلاچ FH</v>
          </cell>
          <cell r="C365" t="str">
            <v>قالب تعمیری</v>
          </cell>
          <cell r="N365" t="str">
            <v>مونتاژ</v>
          </cell>
          <cell r="AC365" t="str">
            <v>1405/04/15</v>
          </cell>
        </row>
        <row r="366">
          <cell r="B366" t="str">
            <v>پخت کلاچ FH</v>
          </cell>
          <cell r="C366" t="str">
            <v>قالب تعمیری</v>
          </cell>
          <cell r="N366" t="str">
            <v>مونتاژ</v>
          </cell>
          <cell r="AC366" t="str">
            <v>1405/04/15</v>
          </cell>
        </row>
        <row r="367">
          <cell r="B367" t="str">
            <v>قالب پخت کلاچ پژو 405</v>
          </cell>
          <cell r="C367" t="str">
            <v>قالب تعمیری</v>
          </cell>
          <cell r="N367" t="str">
            <v>مونتاژ</v>
          </cell>
          <cell r="AC367" t="str">
            <v>1405/04/15</v>
          </cell>
        </row>
        <row r="368">
          <cell r="B368" t="str">
            <v>قالب پخت کلاچ پژو 405</v>
          </cell>
          <cell r="C368" t="str">
            <v>قالب تعمیری</v>
          </cell>
          <cell r="N368" t="str">
            <v>مونتاژ</v>
          </cell>
          <cell r="AC368" t="str">
            <v>1405/04/15</v>
          </cell>
        </row>
        <row r="369">
          <cell r="B369" t="str">
            <v>قالب پخت کلاچ پیکان</v>
          </cell>
          <cell r="C369" t="str">
            <v>قالب تعمیری</v>
          </cell>
          <cell r="N369" t="str">
            <v>مونتاژ</v>
          </cell>
          <cell r="AC369" t="str">
            <v>1405/04/15</v>
          </cell>
        </row>
        <row r="370">
          <cell r="B370" t="str">
            <v>پخت کلاچ پراید</v>
          </cell>
          <cell r="C370" t="str">
            <v>قالب تعمیری</v>
          </cell>
          <cell r="N370" t="str">
            <v>CNC</v>
          </cell>
          <cell r="AC370" t="str">
            <v>1405/04/16</v>
          </cell>
        </row>
        <row r="371">
          <cell r="B371" t="str">
            <v>پخت کلاچ پراید</v>
          </cell>
          <cell r="C371" t="str">
            <v>قالب تعمیری</v>
          </cell>
          <cell r="N371" t="str">
            <v>CNC</v>
          </cell>
          <cell r="AC371" t="str">
            <v>1405/04/16</v>
          </cell>
        </row>
        <row r="372">
          <cell r="B372" t="str">
            <v>دستگاه پرس 600 تن</v>
          </cell>
          <cell r="C372" t="str">
            <v>قطعه نو</v>
          </cell>
          <cell r="N372" t="str">
            <v>CNC</v>
          </cell>
          <cell r="AC372" t="str">
            <v>1405/04/16</v>
          </cell>
        </row>
        <row r="373">
          <cell r="B373" t="str">
            <v xml:space="preserve">قالب پخت کلاچ پیکان </v>
          </cell>
          <cell r="C373" t="str">
            <v>قالب تعمیری</v>
          </cell>
          <cell r="N373" t="str">
            <v>CNC</v>
          </cell>
          <cell r="AC373" t="str">
            <v>1405/04/16</v>
          </cell>
        </row>
        <row r="374">
          <cell r="B374" t="str">
            <v>دستگاه پرس 600 تن</v>
          </cell>
          <cell r="C374" t="str">
            <v>قطعه نو</v>
          </cell>
          <cell r="N374" t="str">
            <v>مونتاژ</v>
          </cell>
          <cell r="AC374" t="str">
            <v>1405/04/16</v>
          </cell>
        </row>
        <row r="375">
          <cell r="B375" t="str">
            <v>صفحات 50*50 پخت کلاچ</v>
          </cell>
          <cell r="C375" t="str">
            <v>قالب تعمیری</v>
          </cell>
          <cell r="N375" t="str">
            <v>سنگ زنی</v>
          </cell>
          <cell r="AC375" t="str">
            <v>1405/04/16</v>
          </cell>
        </row>
        <row r="376">
          <cell r="B376" t="str">
            <v>سوراخکاری پیلسان</v>
          </cell>
          <cell r="C376" t="str">
            <v>قطعه نو</v>
          </cell>
          <cell r="N376" t="str">
            <v>سنگ زنی</v>
          </cell>
          <cell r="AC376" t="str">
            <v>1405/04/16</v>
          </cell>
        </row>
        <row r="377">
          <cell r="B377" t="str">
            <v>صفحه قالب یدک
700*500*65</v>
          </cell>
          <cell r="C377" t="str">
            <v>قطعه نو</v>
          </cell>
          <cell r="N377" t="str">
            <v>فرز</v>
          </cell>
          <cell r="AC377" t="str">
            <v>1405/04/16</v>
          </cell>
        </row>
        <row r="378">
          <cell r="B378" t="str">
            <v>دستگاه برش جمعی</v>
          </cell>
          <cell r="C378" t="str">
            <v>دستگاه نو</v>
          </cell>
          <cell r="N378" t="str">
            <v>فرز</v>
          </cell>
          <cell r="AC378" t="str">
            <v>1405/04/16</v>
          </cell>
        </row>
        <row r="379">
          <cell r="B379" t="str">
            <v>دستگاه پرس پخت</v>
          </cell>
          <cell r="C379" t="str">
            <v>قطعه تعمیری</v>
          </cell>
          <cell r="N379" t="str">
            <v>فرز</v>
          </cell>
          <cell r="AC379" t="str">
            <v>1405/04/16</v>
          </cell>
        </row>
        <row r="380">
          <cell r="B380" t="str">
            <v>لیفتراک</v>
          </cell>
          <cell r="C380" t="str">
            <v>قطعه تعمیری</v>
          </cell>
          <cell r="N380" t="str">
            <v>تراش</v>
          </cell>
          <cell r="AC380" t="str">
            <v>1405/04/16</v>
          </cell>
        </row>
        <row r="381">
          <cell r="B381" t="str">
            <v>قالب پخت کلاچ پژو 405</v>
          </cell>
          <cell r="C381" t="str">
            <v>قالب تعمیری</v>
          </cell>
          <cell r="N381" t="str">
            <v>تراش</v>
          </cell>
          <cell r="AC381" t="str">
            <v>1405/04/16</v>
          </cell>
        </row>
        <row r="382">
          <cell r="B382" t="str">
            <v>دستگاه پرس پخت</v>
          </cell>
          <cell r="C382" t="str">
            <v>قطعه تعمیری</v>
          </cell>
          <cell r="N382" t="str">
            <v>تراش</v>
          </cell>
          <cell r="AC382" t="str">
            <v>1405/04/16</v>
          </cell>
        </row>
        <row r="383">
          <cell r="B383" t="str">
            <v xml:space="preserve">قالب پخت کلاچ پیکان </v>
          </cell>
          <cell r="C383" t="str">
            <v>قالب تعمیری</v>
          </cell>
          <cell r="N383" t="str">
            <v>تراش</v>
          </cell>
          <cell r="AC383" t="str">
            <v>1405/04/16</v>
          </cell>
        </row>
        <row r="384">
          <cell r="B384" t="str">
            <v>دستگاه پرس پخت</v>
          </cell>
          <cell r="C384" t="str">
            <v>قطعه تعمیری</v>
          </cell>
          <cell r="N384" t="str">
            <v>تراش</v>
          </cell>
          <cell r="AC384" t="str">
            <v>1405/04/16</v>
          </cell>
        </row>
        <row r="385">
          <cell r="B385" t="str">
            <v>سری نقطه جوش</v>
          </cell>
          <cell r="C385" t="str">
            <v>قطعه تعمیری</v>
          </cell>
          <cell r="N385" t="str">
            <v>تراش</v>
          </cell>
          <cell r="AC385" t="str">
            <v>1405/04/16</v>
          </cell>
        </row>
        <row r="386">
          <cell r="B386" t="str">
            <v>دستگاه پشم فلز</v>
          </cell>
          <cell r="C386" t="str">
            <v>قطعه تعمیری</v>
          </cell>
          <cell r="N386" t="str">
            <v>وایر</v>
          </cell>
          <cell r="AC386" t="str">
            <v>1405/04/16</v>
          </cell>
        </row>
        <row r="387">
          <cell r="B387" t="str">
            <v>قالب پخت کلاچ پژو 405</v>
          </cell>
          <cell r="C387" t="str">
            <v>قالب تعمیری</v>
          </cell>
          <cell r="N387" t="str">
            <v>وایر</v>
          </cell>
          <cell r="AC387" t="str">
            <v>1405/04/16</v>
          </cell>
        </row>
        <row r="388">
          <cell r="B388" t="str">
            <v>کلمپ زنی</v>
          </cell>
          <cell r="C388" t="str">
            <v>دستگاه تعمیری</v>
          </cell>
          <cell r="N388" t="str">
            <v>وایر</v>
          </cell>
          <cell r="AC388" t="str">
            <v>1405/04/16</v>
          </cell>
        </row>
        <row r="389">
          <cell r="B389" t="str">
            <v>دستگاه پشم فلز</v>
          </cell>
          <cell r="C389" t="str">
            <v>قطعه تعمیری</v>
          </cell>
          <cell r="N389" t="str">
            <v>وایر</v>
          </cell>
          <cell r="AC389" t="str">
            <v>1405/04/16</v>
          </cell>
        </row>
        <row r="390">
          <cell r="B390" t="str">
            <v>دستگاه پشم فلز</v>
          </cell>
          <cell r="C390" t="str">
            <v>قطعه تعمیری</v>
          </cell>
          <cell r="N390" t="str">
            <v>وایر</v>
          </cell>
          <cell r="AC390" t="str">
            <v>1405/04/16</v>
          </cell>
        </row>
        <row r="391">
          <cell r="B391" t="str">
            <v>پرچ ریو</v>
          </cell>
          <cell r="C391" t="str">
            <v>قطعه تعمیری</v>
          </cell>
          <cell r="N391" t="str">
            <v>وایر</v>
          </cell>
          <cell r="AC391" t="str">
            <v>1405/04/16</v>
          </cell>
        </row>
        <row r="392">
          <cell r="B392" t="str">
            <v xml:space="preserve">قالب پخت کلاچ پیکان </v>
          </cell>
          <cell r="C392" t="str">
            <v>قالب تعمیری</v>
          </cell>
          <cell r="N392" t="str">
            <v>مونتاژ</v>
          </cell>
          <cell r="AC392" t="str">
            <v>1405/04/16</v>
          </cell>
        </row>
        <row r="393">
          <cell r="B393" t="str">
            <v>پخت کلاچ پراید</v>
          </cell>
          <cell r="C393" t="str">
            <v>قالب تعمیری</v>
          </cell>
          <cell r="N393" t="str">
            <v>مونتاژ</v>
          </cell>
          <cell r="AC393" t="str">
            <v>1405/04/16</v>
          </cell>
        </row>
        <row r="394">
          <cell r="B394" t="str">
            <v>قالب پخت کلاچ پژو 405</v>
          </cell>
          <cell r="C394" t="str">
            <v>قالب تعمیری</v>
          </cell>
          <cell r="N394" t="str">
            <v>مونتاژ</v>
          </cell>
          <cell r="AC394" t="str">
            <v>1405/04/16</v>
          </cell>
        </row>
        <row r="395">
          <cell r="B395" t="str">
            <v>ویوینگ</v>
          </cell>
          <cell r="C395" t="str">
            <v>قطعه نو</v>
          </cell>
          <cell r="N395" t="str">
            <v>مونتاژ</v>
          </cell>
          <cell r="AC395" t="str">
            <v>1405/04/16</v>
          </cell>
        </row>
        <row r="396">
          <cell r="B396" t="str">
            <v>سوراخکاری پیلسان</v>
          </cell>
          <cell r="C396" t="str">
            <v>قطعه نو</v>
          </cell>
          <cell r="N396" t="str">
            <v>دریل رادیال</v>
          </cell>
          <cell r="AC396" t="str">
            <v>1405/04/16</v>
          </cell>
        </row>
        <row r="397">
          <cell r="B397" t="str">
            <v>دستگاه پرس 600 تن</v>
          </cell>
          <cell r="C397" t="str">
            <v>قطعه نو</v>
          </cell>
          <cell r="N397" t="str">
            <v>مونتاژ</v>
          </cell>
          <cell r="AC397" t="str">
            <v>1405/04/16</v>
          </cell>
        </row>
        <row r="398">
          <cell r="B398" t="str">
            <v xml:space="preserve">قالب پخت کلاچ پیکان </v>
          </cell>
          <cell r="C398" t="str">
            <v>قالب تعمیری</v>
          </cell>
          <cell r="N398" t="str">
            <v>مونتاژ</v>
          </cell>
          <cell r="AC398" t="str">
            <v>1405/04/16</v>
          </cell>
        </row>
        <row r="399">
          <cell r="B399" t="str">
            <v>پخت کلاچ پراید</v>
          </cell>
          <cell r="C399" t="str">
            <v>قالب تعمیری</v>
          </cell>
          <cell r="N399" t="str">
            <v>مونتاژ</v>
          </cell>
          <cell r="AC399" t="str">
            <v>1405/04/16</v>
          </cell>
        </row>
        <row r="400">
          <cell r="B400" t="str">
            <v>قالب پخت کلاچ پژو 405</v>
          </cell>
          <cell r="C400" t="str">
            <v>قالب تعمیری</v>
          </cell>
          <cell r="N400" t="str">
            <v>مونتاژ</v>
          </cell>
          <cell r="AC400" t="str">
            <v>1405/04/16</v>
          </cell>
        </row>
        <row r="401">
          <cell r="B401" t="str">
            <v>قالب ترابوزا</v>
          </cell>
          <cell r="C401" t="str">
            <v>قالب تعمیری</v>
          </cell>
          <cell r="N401" t="str">
            <v>مونتاژ</v>
          </cell>
          <cell r="AC401" t="str">
            <v>1405/04/16</v>
          </cell>
        </row>
        <row r="402">
          <cell r="B402" t="str">
            <v>سوراخکاری پیلسان</v>
          </cell>
          <cell r="C402" t="str">
            <v>قطعه نو</v>
          </cell>
          <cell r="N402" t="str">
            <v>دریل رادیال</v>
          </cell>
          <cell r="AC402" t="str">
            <v>1405/04/16</v>
          </cell>
        </row>
        <row r="403">
          <cell r="B403" t="str">
            <v xml:space="preserve">قالب پخت کلاچ پیکان </v>
          </cell>
          <cell r="C403" t="str">
            <v>قالب تعمیری</v>
          </cell>
          <cell r="N403" t="str">
            <v>CNC</v>
          </cell>
          <cell r="AC403" t="str">
            <v>1405/04/17</v>
          </cell>
        </row>
        <row r="404">
          <cell r="B404" t="str">
            <v>دستگاه پرس 600 تن</v>
          </cell>
          <cell r="C404" t="str">
            <v>قطعه نو</v>
          </cell>
          <cell r="N404" t="str">
            <v>مونتاژ</v>
          </cell>
          <cell r="AC404" t="str">
            <v>1405/04/17</v>
          </cell>
        </row>
        <row r="405">
          <cell r="B405" t="str">
            <v>صفحه قالب یدک
700*500*65</v>
          </cell>
          <cell r="C405" t="str">
            <v>قطعه نو</v>
          </cell>
          <cell r="N405" t="str">
            <v>فرز</v>
          </cell>
          <cell r="AC405" t="str">
            <v>1405/04/17</v>
          </cell>
        </row>
        <row r="406">
          <cell r="B406" t="str">
            <v>صفحات 50*50 پخت کلاچ</v>
          </cell>
          <cell r="C406" t="str">
            <v>قالب تعمیری</v>
          </cell>
          <cell r="N406" t="str">
            <v>سنگ زنی</v>
          </cell>
          <cell r="AC406" t="str">
            <v>1405/04/17</v>
          </cell>
        </row>
        <row r="407">
          <cell r="B407" t="str">
            <v>پخت کلاچ پراید</v>
          </cell>
          <cell r="C407" t="str">
            <v>قالب تعمیری</v>
          </cell>
          <cell r="N407" t="str">
            <v>CNC</v>
          </cell>
          <cell r="AC407" t="str">
            <v>1405/04/17</v>
          </cell>
        </row>
        <row r="408">
          <cell r="B408" t="str">
            <v>قالب پخت کلاچ پژو 405</v>
          </cell>
          <cell r="C408" t="str">
            <v>قالب تعمیری</v>
          </cell>
          <cell r="N408" t="str">
            <v>CNC</v>
          </cell>
          <cell r="AC408" t="str">
            <v>1405/04/17</v>
          </cell>
        </row>
        <row r="409">
          <cell r="B409" t="str">
            <v>قالب پخت کلاچ پژو 405</v>
          </cell>
          <cell r="C409" t="str">
            <v>قالب تعمیری</v>
          </cell>
          <cell r="N409" t="str">
            <v>CNC</v>
          </cell>
          <cell r="AC409" t="str">
            <v>1405/04/17</v>
          </cell>
        </row>
        <row r="410">
          <cell r="B410" t="str">
            <v>قالب پخت کلاچ پژو 405</v>
          </cell>
          <cell r="C410" t="str">
            <v>قالب تعمیری</v>
          </cell>
          <cell r="N410" t="str">
            <v>CNC</v>
          </cell>
          <cell r="AC410" t="str">
            <v>1405/04/17</v>
          </cell>
        </row>
        <row r="411">
          <cell r="B411" t="str">
            <v>دستگاه برش جمعی</v>
          </cell>
          <cell r="C411" t="str">
            <v>قطعه تعمیری</v>
          </cell>
          <cell r="N411" t="str">
            <v>تراش</v>
          </cell>
          <cell r="AC411" t="str">
            <v>1405/04/17</v>
          </cell>
        </row>
        <row r="412">
          <cell r="B412" t="str">
            <v>قالب پخت کلاچ پژو 405</v>
          </cell>
          <cell r="C412" t="str">
            <v>قالب تعمیری</v>
          </cell>
          <cell r="N412" t="str">
            <v>تراش</v>
          </cell>
          <cell r="AC412" t="str">
            <v>1405/04/17</v>
          </cell>
        </row>
        <row r="413">
          <cell r="B413" t="str">
            <v>ویوینگ</v>
          </cell>
          <cell r="C413" t="str">
            <v>قطعه نو</v>
          </cell>
          <cell r="N413" t="str">
            <v>تراش</v>
          </cell>
          <cell r="AC413" t="str">
            <v>1405/04/17</v>
          </cell>
        </row>
        <row r="414">
          <cell r="B414" t="str">
            <v>ویوینگ</v>
          </cell>
          <cell r="C414" t="str">
            <v>قطعه نو</v>
          </cell>
          <cell r="N414" t="str">
            <v>دریل رادیال</v>
          </cell>
          <cell r="AC414" t="str">
            <v>1405/04/17</v>
          </cell>
        </row>
        <row r="415">
          <cell r="B415" t="str">
            <v>پخت کلاچ پژو 206 TU5</v>
          </cell>
          <cell r="C415" t="str">
            <v>قالب تعمیری</v>
          </cell>
          <cell r="N415" t="str">
            <v>مونتاژ</v>
          </cell>
          <cell r="AC415" t="str">
            <v>1405/04/17</v>
          </cell>
        </row>
        <row r="416">
          <cell r="B416" t="str">
            <v xml:space="preserve">قالب پخت کلاچ پیکان </v>
          </cell>
          <cell r="C416" t="str">
            <v>قالب تعمیری</v>
          </cell>
          <cell r="N416" t="str">
            <v>مونتاژ</v>
          </cell>
          <cell r="AC416" t="str">
            <v>1405/04/17</v>
          </cell>
        </row>
        <row r="417">
          <cell r="B417" t="str">
            <v>ویوینگ</v>
          </cell>
          <cell r="C417" t="str">
            <v>قطعه نو</v>
          </cell>
          <cell r="N417" t="str">
            <v>مونتاژ</v>
          </cell>
          <cell r="AC417" t="str">
            <v>1405/04/17</v>
          </cell>
        </row>
        <row r="418">
          <cell r="B418" t="str">
            <v>قالب ترابوزا</v>
          </cell>
          <cell r="C418" t="str">
            <v>قالب تعمیری</v>
          </cell>
          <cell r="N418" t="str">
            <v>مونتاژ</v>
          </cell>
          <cell r="AC418" t="str">
            <v>1405/04/17</v>
          </cell>
        </row>
        <row r="419">
          <cell r="B419" t="str">
            <v>قالب پخت کلاچ پژو 405</v>
          </cell>
          <cell r="C419" t="str">
            <v>قالب تعمیری</v>
          </cell>
          <cell r="N419" t="str">
            <v>CNC</v>
          </cell>
          <cell r="AC419" t="str">
            <v>1405/04/18</v>
          </cell>
        </row>
        <row r="420">
          <cell r="B420" t="str">
            <v>قالب پخت کلاچ پژو 405</v>
          </cell>
          <cell r="C420" t="str">
            <v>قالب تعمیری</v>
          </cell>
          <cell r="N420" t="str">
            <v>CNC</v>
          </cell>
          <cell r="AC420" t="str">
            <v>1405/04/18</v>
          </cell>
        </row>
        <row r="421">
          <cell r="B421" t="str">
            <v>قالب پخت SAF</v>
          </cell>
          <cell r="C421" t="str">
            <v>قالب نو</v>
          </cell>
          <cell r="N421" t="str">
            <v>CNC</v>
          </cell>
          <cell r="AC421" t="str">
            <v>1405/04/18</v>
          </cell>
        </row>
        <row r="422">
          <cell r="B422" t="str">
            <v>دستگاه پرس پخت</v>
          </cell>
          <cell r="C422" t="str">
            <v>قطعه تعمیری</v>
          </cell>
          <cell r="N422" t="str">
            <v>فرز</v>
          </cell>
          <cell r="AC422" t="str">
            <v>1405/04/17</v>
          </cell>
        </row>
        <row r="423">
          <cell r="B423" t="str">
            <v>صفحه قالب یدک
700*500*65</v>
          </cell>
          <cell r="C423" t="str">
            <v>قطعه نو</v>
          </cell>
          <cell r="N423" t="str">
            <v>فرز</v>
          </cell>
          <cell r="AC423" t="str">
            <v>1405/04/18</v>
          </cell>
        </row>
        <row r="424">
          <cell r="B424" t="str">
            <v>صفحات 50*50 پخت کلاچ</v>
          </cell>
          <cell r="C424" t="str">
            <v>قالب تعمیری</v>
          </cell>
          <cell r="N424" t="str">
            <v>سنگ زنی</v>
          </cell>
          <cell r="AC424" t="str">
            <v>1405/04/18</v>
          </cell>
        </row>
        <row r="425">
          <cell r="B425" t="str">
            <v>قالب پخت کلاچ پژو 405</v>
          </cell>
          <cell r="C425" t="str">
            <v>قالب تعمیری</v>
          </cell>
          <cell r="N425" t="str">
            <v>سنگ زنی</v>
          </cell>
          <cell r="AC425" t="str">
            <v>1405/04/18</v>
          </cell>
        </row>
        <row r="426">
          <cell r="B426" t="str">
            <v>قالب پخت SAF</v>
          </cell>
          <cell r="C426" t="str">
            <v>قالب نو</v>
          </cell>
          <cell r="N426" t="str">
            <v>مونتاژ</v>
          </cell>
          <cell r="AC426" t="str">
            <v>1405/04/18</v>
          </cell>
        </row>
        <row r="427">
          <cell r="B427" t="str">
            <v>قالب پخت کلاچ پژو 405</v>
          </cell>
          <cell r="C427" t="str">
            <v>قالب تعمیری</v>
          </cell>
          <cell r="N427" t="str">
            <v>مونتاژ</v>
          </cell>
          <cell r="AC427" t="str">
            <v>1405/04/18</v>
          </cell>
        </row>
        <row r="428">
          <cell r="B428" t="str">
            <v>اصول 5S</v>
          </cell>
          <cell r="C428" t="str">
            <v>نظافت</v>
          </cell>
          <cell r="N428" t="str">
            <v>نظافت</v>
          </cell>
          <cell r="AC428" t="str">
            <v>1405/04/18</v>
          </cell>
        </row>
        <row r="429">
          <cell r="B429" t="str">
            <v>قالب پخت کلاچ پژو 405</v>
          </cell>
          <cell r="C429" t="str">
            <v>قالب تعمیری</v>
          </cell>
          <cell r="N429" t="str">
            <v>تراش</v>
          </cell>
          <cell r="AC429" t="str">
            <v>1405/04/18</v>
          </cell>
        </row>
        <row r="430">
          <cell r="B430" t="str">
            <v>قالب ترابوزا</v>
          </cell>
          <cell r="C430" t="str">
            <v>قالب تعمیری</v>
          </cell>
          <cell r="N430" t="str">
            <v>تراش</v>
          </cell>
          <cell r="AC430" t="str">
            <v>1405/04/18</v>
          </cell>
        </row>
        <row r="431">
          <cell r="B431" t="str">
            <v>قالب پخت کلاچ پژو 405</v>
          </cell>
          <cell r="C431" t="str">
            <v>قالب تعمیری</v>
          </cell>
          <cell r="N431" t="str">
            <v>تراش</v>
          </cell>
          <cell r="AC431" t="str">
            <v>1405/04/18</v>
          </cell>
        </row>
        <row r="432">
          <cell r="B432" t="str">
            <v>اصول 5S</v>
          </cell>
          <cell r="C432" t="str">
            <v>نظافت</v>
          </cell>
          <cell r="N432" t="str">
            <v>نظافت</v>
          </cell>
          <cell r="AC432" t="str">
            <v>1405/04/18</v>
          </cell>
        </row>
        <row r="433">
          <cell r="B433" t="str">
            <v>قالب ترابوزا</v>
          </cell>
          <cell r="C433" t="str">
            <v>قالب تعمیری</v>
          </cell>
          <cell r="N433" t="str">
            <v>مونتاژ</v>
          </cell>
          <cell r="AC433" t="str">
            <v>1405/04/18</v>
          </cell>
        </row>
        <row r="434">
          <cell r="B434" t="str">
            <v>قالب پخت کلاچ پژو 405</v>
          </cell>
          <cell r="C434" t="str">
            <v>قالب تعمیری</v>
          </cell>
          <cell r="N434" t="str">
            <v>مونتاژ</v>
          </cell>
          <cell r="AC434" t="str">
            <v>1405/04/18</v>
          </cell>
        </row>
        <row r="435">
          <cell r="B435" t="str">
            <v>پخت کلاچ ایسوزو</v>
          </cell>
          <cell r="C435" t="str">
            <v>قالب تعمیری</v>
          </cell>
          <cell r="N435" t="str">
            <v>مونتاژ</v>
          </cell>
          <cell r="AC435" t="str">
            <v>1405/04/18</v>
          </cell>
        </row>
        <row r="436">
          <cell r="B436" t="str">
            <v>پخت کلاچ پژو 206 TU5</v>
          </cell>
          <cell r="C436" t="str">
            <v>قالب تعمیری</v>
          </cell>
          <cell r="N436" t="str">
            <v>مونتاژ</v>
          </cell>
          <cell r="AC436" t="str">
            <v>1405/04/19</v>
          </cell>
        </row>
        <row r="437">
          <cell r="B437" t="str">
            <v>لیفتراک</v>
          </cell>
          <cell r="C437" t="str">
            <v>قطعه تعمیری</v>
          </cell>
          <cell r="N437" t="str">
            <v>فرز</v>
          </cell>
          <cell r="AC437" t="str">
            <v>1405/04/19</v>
          </cell>
        </row>
        <row r="438">
          <cell r="B438" t="str">
            <v>قالب ترابوزا</v>
          </cell>
          <cell r="C438" t="str">
            <v>قالب تعمیری</v>
          </cell>
          <cell r="N438" t="str">
            <v>مونتاژ</v>
          </cell>
          <cell r="AC438" t="str">
            <v>1405/04/19</v>
          </cell>
        </row>
        <row r="439">
          <cell r="B439" t="str">
            <v>قالب ترابوزا</v>
          </cell>
          <cell r="C439" t="str">
            <v>قالب تعمیری</v>
          </cell>
          <cell r="N439" t="str">
            <v>مونتاژ</v>
          </cell>
          <cell r="AC439" t="str">
            <v>1405/04/18</v>
          </cell>
        </row>
        <row r="440">
          <cell r="B440" t="str">
            <v>پخت کلاچ ایسوزو</v>
          </cell>
          <cell r="C440" t="str">
            <v>قالب تعمیری</v>
          </cell>
          <cell r="N440" t="str">
            <v>دریل رادیال</v>
          </cell>
          <cell r="AC440" t="str">
            <v>1405/04/18</v>
          </cell>
        </row>
        <row r="441">
          <cell r="B441" t="str">
            <v>پخت کلاچ ایسوزو</v>
          </cell>
          <cell r="C441" t="str">
            <v>قالب تعمیری</v>
          </cell>
          <cell r="N441" t="str">
            <v>مونتاژ</v>
          </cell>
          <cell r="AC441" t="str">
            <v>1405/04/18</v>
          </cell>
        </row>
        <row r="442">
          <cell r="B442" t="str">
            <v>قالب پخت کلاچ پژو 405</v>
          </cell>
          <cell r="C442" t="str">
            <v>قالب تعمیری</v>
          </cell>
          <cell r="N442" t="str">
            <v>مونتاژ</v>
          </cell>
          <cell r="AC442" t="str">
            <v>1405/04/18</v>
          </cell>
        </row>
        <row r="443">
          <cell r="B443" t="str">
            <v>دستگاه پرس 600 تن</v>
          </cell>
          <cell r="C443" t="str">
            <v>قطعه نو</v>
          </cell>
          <cell r="N443" t="str">
            <v>تراش</v>
          </cell>
          <cell r="AC443" t="str">
            <v>1405/04/18</v>
          </cell>
        </row>
        <row r="444">
          <cell r="B444" t="str">
            <v>قالب پخت کلاچ پژو 405</v>
          </cell>
          <cell r="C444" t="str">
            <v>قالب تعمیری</v>
          </cell>
          <cell r="N444" t="str">
            <v>تراش</v>
          </cell>
          <cell r="AC444" t="str">
            <v>1405/04/18</v>
          </cell>
        </row>
        <row r="445">
          <cell r="B445" t="str">
            <v>اصول 5S</v>
          </cell>
          <cell r="C445" t="str">
            <v>نظافت</v>
          </cell>
          <cell r="N445" t="str">
            <v>نظافت</v>
          </cell>
          <cell r="AC445" t="str">
            <v>1405/04/18</v>
          </cell>
        </row>
        <row r="446">
          <cell r="B446" t="str">
            <v>دستگاه پشم فلز</v>
          </cell>
          <cell r="C446" t="str">
            <v>قطعه تعمیری</v>
          </cell>
          <cell r="N446" t="str">
            <v>وایر</v>
          </cell>
          <cell r="AC446" t="str">
            <v>1405/04/17</v>
          </cell>
        </row>
        <row r="447">
          <cell r="B447" t="str">
            <v>دستگاه پشم فلز</v>
          </cell>
          <cell r="C447" t="str">
            <v>قطعه تعمیری</v>
          </cell>
          <cell r="N447" t="str">
            <v>وایر</v>
          </cell>
          <cell r="AC447" t="str">
            <v>1405/04/17</v>
          </cell>
        </row>
        <row r="448">
          <cell r="B448" t="str">
            <v>پرچ ریو</v>
          </cell>
          <cell r="C448" t="str">
            <v>قطعه تعمیری</v>
          </cell>
          <cell r="N448" t="str">
            <v>وایر</v>
          </cell>
          <cell r="AC448" t="str">
            <v>1405/04/17</v>
          </cell>
        </row>
        <row r="449">
          <cell r="B449" t="str">
            <v>برشی نیوفیس C&amp;C</v>
          </cell>
          <cell r="C449" t="str">
            <v>قالب نو</v>
          </cell>
          <cell r="N449" t="str">
            <v>وایر</v>
          </cell>
          <cell r="AC449" t="str">
            <v>1405/04/17</v>
          </cell>
        </row>
        <row r="450">
          <cell r="B450" t="str">
            <v>برشی نیوفیس C&amp;C</v>
          </cell>
          <cell r="C450" t="str">
            <v>قالب نو</v>
          </cell>
          <cell r="N450" t="str">
            <v>وایر</v>
          </cell>
          <cell r="AC450" t="str">
            <v>1405/04/17</v>
          </cell>
        </row>
        <row r="451">
          <cell r="B451" t="str">
            <v>برشی نیوفیس C&amp;C</v>
          </cell>
          <cell r="C451" t="str">
            <v>قالب نو</v>
          </cell>
          <cell r="N451" t="str">
            <v>وایر</v>
          </cell>
          <cell r="AC451" t="str">
            <v>1405/04/18</v>
          </cell>
        </row>
        <row r="452">
          <cell r="B452" t="str">
            <v>دستگاه پشم فلز</v>
          </cell>
          <cell r="C452" t="str">
            <v>قطعه تعمیری</v>
          </cell>
          <cell r="N452" t="str">
            <v>وایر</v>
          </cell>
          <cell r="AC452" t="str">
            <v>1405/04/18</v>
          </cell>
        </row>
        <row r="453">
          <cell r="B453" t="str">
            <v>پرچ ریو</v>
          </cell>
          <cell r="C453" t="str">
            <v>قطعه تعمیری</v>
          </cell>
          <cell r="N453" t="str">
            <v>وایر</v>
          </cell>
          <cell r="AC453" t="str">
            <v>1405/04/18</v>
          </cell>
        </row>
        <row r="454">
          <cell r="B454" t="str">
            <v>برشی نیوفیس C&amp;C</v>
          </cell>
          <cell r="C454" t="str">
            <v>قالب نو</v>
          </cell>
          <cell r="N454" t="str">
            <v>وایر</v>
          </cell>
          <cell r="AC454" t="str">
            <v>1405/04/18</v>
          </cell>
        </row>
        <row r="455">
          <cell r="B455" t="str">
            <v>لیفتراک</v>
          </cell>
          <cell r="C455" t="str">
            <v>قطعه تعمیری</v>
          </cell>
          <cell r="N455" t="str">
            <v>تراش</v>
          </cell>
          <cell r="AC455" t="str">
            <v>1405/04/18</v>
          </cell>
        </row>
        <row r="456">
          <cell r="B456" t="str">
            <v>ویوینگ</v>
          </cell>
          <cell r="C456" t="str">
            <v>قطعه نو</v>
          </cell>
          <cell r="N456" t="str">
            <v>تراش</v>
          </cell>
          <cell r="AC456" t="str">
            <v>1405/04/18</v>
          </cell>
        </row>
        <row r="457">
          <cell r="B457" t="str">
            <v>قالب خشاب زنی</v>
          </cell>
          <cell r="C457" t="str">
            <v>قطعه تعمیری</v>
          </cell>
          <cell r="N457" t="str">
            <v>تراش</v>
          </cell>
          <cell r="AC457" t="str">
            <v>1405/04/18</v>
          </cell>
        </row>
        <row r="458">
          <cell r="B458" t="str">
            <v>ساب داخل</v>
          </cell>
          <cell r="C458" t="str">
            <v>قطعه تعمیری</v>
          </cell>
          <cell r="N458" t="str">
            <v>تراش</v>
          </cell>
          <cell r="AC458" t="str">
            <v>1405/04/18</v>
          </cell>
        </row>
        <row r="459">
          <cell r="B459" t="str">
            <v>قالب پخت کلاچ پژو 405</v>
          </cell>
          <cell r="C459" t="str">
            <v>قالب تعمیری</v>
          </cell>
          <cell r="N459" t="str">
            <v>CNC</v>
          </cell>
          <cell r="AC459" t="str">
            <v>1405/04/20</v>
          </cell>
        </row>
        <row r="460">
          <cell r="B460" t="str">
            <v>قالب پخت کلاچ پژو 405</v>
          </cell>
          <cell r="C460" t="str">
            <v>قالب تعمیری</v>
          </cell>
          <cell r="N460" t="str">
            <v>CNC</v>
          </cell>
          <cell r="AC460" t="str">
            <v>1405/04/20</v>
          </cell>
        </row>
        <row r="461">
          <cell r="B461" t="str">
            <v>صفحات 50*50 پخت کلاچ</v>
          </cell>
          <cell r="C461" t="str">
            <v>قالب تعمیری</v>
          </cell>
          <cell r="N461" t="str">
            <v>سنگ زنی</v>
          </cell>
          <cell r="AC461" t="str">
            <v>1405/04/20</v>
          </cell>
        </row>
        <row r="462">
          <cell r="B462" t="str">
            <v>صفحه قالب یدک
700*500*65</v>
          </cell>
          <cell r="C462" t="str">
            <v>قطعه نو</v>
          </cell>
          <cell r="N462" t="str">
            <v>فرز</v>
          </cell>
          <cell r="AC462" t="str">
            <v>1405/04/20</v>
          </cell>
        </row>
        <row r="463">
          <cell r="B463" t="str">
            <v>برشی نیوفیس C&amp;C</v>
          </cell>
          <cell r="C463" t="str">
            <v>قالب نو</v>
          </cell>
          <cell r="N463" t="str">
            <v>فرز</v>
          </cell>
          <cell r="AC463" t="str">
            <v>1405/04/20</v>
          </cell>
        </row>
        <row r="464">
          <cell r="B464" t="str">
            <v>قالب پخت کلاچ پژو 405</v>
          </cell>
          <cell r="C464" t="str">
            <v>قالب تعمیری</v>
          </cell>
          <cell r="N464" t="str">
            <v>تراش</v>
          </cell>
          <cell r="AC464" t="str">
            <v>1405/04/20</v>
          </cell>
        </row>
        <row r="465">
          <cell r="B465" t="str">
            <v>قالب پخت کلاچ پژو 405</v>
          </cell>
          <cell r="C465" t="str">
            <v>قالب تعمیری</v>
          </cell>
          <cell r="N465" t="str">
            <v>تراش</v>
          </cell>
          <cell r="AC465" t="str">
            <v>1405/04/20</v>
          </cell>
        </row>
        <row r="466">
          <cell r="B466" t="str">
            <v>دستگاه پرس پخت</v>
          </cell>
          <cell r="C466" t="str">
            <v>قطعه تعمیری</v>
          </cell>
          <cell r="N466" t="str">
            <v>فرز</v>
          </cell>
          <cell r="AC466" t="str">
            <v>1405/04/20</v>
          </cell>
        </row>
        <row r="467">
          <cell r="B467" t="str">
            <v>آسیاب پشم فلز</v>
          </cell>
          <cell r="C467" t="str">
            <v>قطعه تعمیری</v>
          </cell>
          <cell r="N467" t="str">
            <v>تراش</v>
          </cell>
          <cell r="AC467" t="str">
            <v>1405/04/20</v>
          </cell>
        </row>
        <row r="468">
          <cell r="B468" t="str">
            <v>قالب پخت کلاچ پژو 405</v>
          </cell>
          <cell r="C468" t="str">
            <v>قالب تعمیری</v>
          </cell>
          <cell r="N468" t="str">
            <v>CNC</v>
          </cell>
          <cell r="AC468" t="str">
            <v>1405/04/20</v>
          </cell>
        </row>
        <row r="469">
          <cell r="B469" t="str">
            <v>دستگاه پشم فلز</v>
          </cell>
          <cell r="C469" t="str">
            <v>قطعه تعمیری</v>
          </cell>
          <cell r="N469" t="str">
            <v>وایر</v>
          </cell>
          <cell r="AC469" t="str">
            <v>1405/04/20</v>
          </cell>
        </row>
        <row r="470">
          <cell r="B470" t="str">
            <v>دستگاه پشم فلز</v>
          </cell>
          <cell r="C470" t="str">
            <v>قطعه تعمیری</v>
          </cell>
          <cell r="N470" t="str">
            <v>وایر</v>
          </cell>
          <cell r="AC470" t="str">
            <v>1405/04/20</v>
          </cell>
        </row>
        <row r="471">
          <cell r="B471" t="str">
            <v>برشی نیوفیس C&amp;C</v>
          </cell>
          <cell r="C471" t="str">
            <v>قالب نو</v>
          </cell>
          <cell r="N471" t="str">
            <v>وایر</v>
          </cell>
          <cell r="AC471" t="str">
            <v>1405/04/21</v>
          </cell>
        </row>
        <row r="472">
          <cell r="B472" t="str">
            <v>پخت کلاچ ایسوزو</v>
          </cell>
          <cell r="C472" t="str">
            <v>قالب تعمیری</v>
          </cell>
          <cell r="N472" t="str">
            <v>مونتاژ</v>
          </cell>
          <cell r="AC472" t="str">
            <v>1405/04/20</v>
          </cell>
        </row>
        <row r="473">
          <cell r="B473" t="str">
            <v xml:space="preserve">پخت کلاچ پراید سکو </v>
          </cell>
          <cell r="C473" t="str">
            <v>قالب تعمیری</v>
          </cell>
          <cell r="N473" t="str">
            <v>مونتاژ</v>
          </cell>
          <cell r="AC473" t="str">
            <v>1405/04/20</v>
          </cell>
        </row>
        <row r="474">
          <cell r="B474" t="str">
            <v>قالب پخت کلاچ پژو 405</v>
          </cell>
          <cell r="C474" t="str">
            <v>قالب تعمیری</v>
          </cell>
          <cell r="N474" t="str">
            <v>مونتاژ</v>
          </cell>
          <cell r="AC474" t="str">
            <v>1405/04/20</v>
          </cell>
        </row>
        <row r="475">
          <cell r="B475" t="str">
            <v>دستگاه پرس 600 تن</v>
          </cell>
          <cell r="C475" t="str">
            <v>قطعه نو</v>
          </cell>
          <cell r="N475" t="str">
            <v>مونتاژ</v>
          </cell>
          <cell r="AC475" t="str">
            <v>1405/04/20</v>
          </cell>
        </row>
        <row r="476">
          <cell r="B476" t="str">
            <v>دستگاه پشم فلز</v>
          </cell>
          <cell r="C476" t="str">
            <v>قطعه تعمیری</v>
          </cell>
          <cell r="N476" t="str">
            <v>مونتاژ</v>
          </cell>
          <cell r="AC476" t="str">
            <v>1405/04/20</v>
          </cell>
        </row>
        <row r="477">
          <cell r="B477" t="str">
            <v>قالب پخت کلاچ پژو 405</v>
          </cell>
          <cell r="C477" t="str">
            <v>قالب تعمیری</v>
          </cell>
          <cell r="N477" t="str">
            <v>مونتاژ</v>
          </cell>
          <cell r="AC477" t="str">
            <v>1405/04/20</v>
          </cell>
        </row>
        <row r="478">
          <cell r="B478" t="str">
            <v xml:space="preserve">پخت کلاچ پراید سکو </v>
          </cell>
          <cell r="C478" t="str">
            <v>قالب تعمیری</v>
          </cell>
          <cell r="N478" t="str">
            <v>مونتاژ</v>
          </cell>
          <cell r="AC478" t="str">
            <v>1405/04/20</v>
          </cell>
        </row>
        <row r="479">
          <cell r="B479" t="str">
            <v>قالب پخت کلاچ پژو 405</v>
          </cell>
          <cell r="C479" t="str">
            <v>قالب تعمیری</v>
          </cell>
          <cell r="N479" t="str">
            <v>مونتاژ</v>
          </cell>
          <cell r="AC479" t="str">
            <v>1405/04/20</v>
          </cell>
        </row>
        <row r="480">
          <cell r="B480" t="str">
            <v>قالب پخت کلاچ پژو 405</v>
          </cell>
          <cell r="C480" t="str">
            <v>قالب تعمیری</v>
          </cell>
          <cell r="N480" t="str">
            <v>مونتاژ</v>
          </cell>
          <cell r="AC480" t="str">
            <v>1405/04/20</v>
          </cell>
        </row>
        <row r="481">
          <cell r="B481" t="str">
            <v>قالب قطاری</v>
          </cell>
          <cell r="C481" t="str">
            <v>قالب تعمیری</v>
          </cell>
          <cell r="N481" t="str">
            <v>مونتاژ</v>
          </cell>
          <cell r="AC481" t="str">
            <v>1405/04/20</v>
          </cell>
        </row>
        <row r="482">
          <cell r="B482" t="str">
            <v>پخت کلاچ ایویکو سوراخدار</v>
          </cell>
          <cell r="C482" t="str">
            <v>قالب تعمیری</v>
          </cell>
          <cell r="N482" t="str">
            <v>مونتاژ</v>
          </cell>
          <cell r="AC482" t="str">
            <v>1405/04/20</v>
          </cell>
        </row>
        <row r="483">
          <cell r="B483" t="str">
            <v>دستگاه پشم فلز</v>
          </cell>
          <cell r="C483" t="str">
            <v>قطعه تعمیری</v>
          </cell>
          <cell r="N483" t="str">
            <v>تراش</v>
          </cell>
          <cell r="AC483" t="str">
            <v>1405/04/20</v>
          </cell>
        </row>
        <row r="484">
          <cell r="B484" t="str">
            <v>دستگاه پرس پخت</v>
          </cell>
          <cell r="C484" t="str">
            <v>قطعه تعمیری</v>
          </cell>
          <cell r="N484" t="str">
            <v>تراش</v>
          </cell>
          <cell r="AC484" t="str">
            <v>1405/04/20</v>
          </cell>
        </row>
        <row r="485">
          <cell r="B485" t="str">
            <v>سوپاپ کلاچ</v>
          </cell>
          <cell r="C485" t="str">
            <v>قطعه تعمیری</v>
          </cell>
          <cell r="N485" t="str">
            <v>تراش</v>
          </cell>
          <cell r="AC485" t="str">
            <v>1405/04/20</v>
          </cell>
        </row>
        <row r="486">
          <cell r="B486" t="str">
            <v>دستگاه پرس 600 تن</v>
          </cell>
          <cell r="C486" t="str">
            <v>قطعه نو</v>
          </cell>
          <cell r="N486" t="str">
            <v>تراش</v>
          </cell>
          <cell r="AC486" t="str">
            <v>1405/04/20</v>
          </cell>
        </row>
        <row r="487">
          <cell r="B487" t="str">
            <v>قالب پخت کلاچ پژو 405</v>
          </cell>
          <cell r="C487" t="str">
            <v>قالب تعمیری</v>
          </cell>
          <cell r="N487" t="str">
            <v>تراش</v>
          </cell>
          <cell r="AC487" t="str">
            <v>1405/04/20</v>
          </cell>
        </row>
        <row r="488">
          <cell r="B488" t="str">
            <v>برشی نیوفیس C&amp;C</v>
          </cell>
          <cell r="C488" t="str">
            <v>قالب نو</v>
          </cell>
          <cell r="N488" t="str">
            <v>فرز</v>
          </cell>
          <cell r="AC488" t="str">
            <v>1405/04/21</v>
          </cell>
        </row>
        <row r="489">
          <cell r="B489" t="str">
            <v>قالب پخت کلاچ پژو 405</v>
          </cell>
          <cell r="C489" t="str">
            <v>قالب تعمیری</v>
          </cell>
          <cell r="N489" t="str">
            <v>CNC</v>
          </cell>
          <cell r="AC489" t="str">
            <v>1405/04/21</v>
          </cell>
        </row>
        <row r="490">
          <cell r="B490" t="str">
            <v>قالب پخت کلاچ پژو 405</v>
          </cell>
          <cell r="C490" t="str">
            <v>قالب تعمیری</v>
          </cell>
          <cell r="N490" t="str">
            <v>CNC</v>
          </cell>
          <cell r="AC490" t="str">
            <v>1405/04/21</v>
          </cell>
        </row>
        <row r="491">
          <cell r="B491" t="str">
            <v>قالب پخت کلاچ پژو 405</v>
          </cell>
          <cell r="C491" t="str">
            <v>قالب تعمیری</v>
          </cell>
          <cell r="N491" t="str">
            <v>CNC</v>
          </cell>
          <cell r="AC491" t="str">
            <v>1405/04/21</v>
          </cell>
        </row>
        <row r="492">
          <cell r="B492" t="str">
            <v>قالب عقب F12</v>
          </cell>
          <cell r="C492" t="str">
            <v>قالب نو</v>
          </cell>
          <cell r="N492" t="str">
            <v>CNC</v>
          </cell>
          <cell r="AC492" t="str">
            <v>1405/04/21</v>
          </cell>
        </row>
        <row r="493">
          <cell r="B493" t="str">
            <v>صفحات 50*50 پخت کلاچ</v>
          </cell>
          <cell r="C493" t="str">
            <v>قالب تعمیری</v>
          </cell>
          <cell r="N493" t="str">
            <v>سنگ زنی</v>
          </cell>
          <cell r="AC493" t="str">
            <v>1405/04/21</v>
          </cell>
        </row>
        <row r="494">
          <cell r="B494" t="str">
            <v>پخت کلاچ پراید</v>
          </cell>
          <cell r="C494" t="str">
            <v>قالب تعمیری</v>
          </cell>
          <cell r="N494" t="str">
            <v>سنگ زنی</v>
          </cell>
          <cell r="AC494" t="str">
            <v>1405/04/21</v>
          </cell>
        </row>
        <row r="495">
          <cell r="B495" t="str">
            <v>آسیاب پشم فلز</v>
          </cell>
          <cell r="C495" t="str">
            <v>قطعه تعمیری</v>
          </cell>
          <cell r="N495" t="str">
            <v>تراش</v>
          </cell>
          <cell r="AC495" t="str">
            <v>1405/04/21</v>
          </cell>
        </row>
        <row r="496">
          <cell r="B496" t="str">
            <v>صفحه قالب یدک
700*500*65</v>
          </cell>
          <cell r="C496" t="str">
            <v>قطعه نو</v>
          </cell>
          <cell r="N496" t="str">
            <v>فرز</v>
          </cell>
          <cell r="AC496" t="str">
            <v>1405/04/21</v>
          </cell>
        </row>
        <row r="497">
          <cell r="B497" t="str">
            <v>قالب پخت کلاچ پژو 405</v>
          </cell>
          <cell r="C497" t="str">
            <v>قالب تعمیری</v>
          </cell>
          <cell r="N497" t="str">
            <v>تراش</v>
          </cell>
          <cell r="AC497" t="str">
            <v>1405/04/21</v>
          </cell>
        </row>
        <row r="498">
          <cell r="B498" t="str">
            <v>پخت کلاچ پراید</v>
          </cell>
          <cell r="C498" t="str">
            <v>قالب تعمیری</v>
          </cell>
          <cell r="N498" t="str">
            <v>تراش</v>
          </cell>
          <cell r="AC498" t="str">
            <v>1405/04/21</v>
          </cell>
        </row>
        <row r="499">
          <cell r="B499" t="str">
            <v>سری نقطه جوش</v>
          </cell>
          <cell r="C499" t="str">
            <v>قطعه تعمیری</v>
          </cell>
          <cell r="N499" t="str">
            <v>تراش</v>
          </cell>
          <cell r="AC499" t="str">
            <v>1405/04/21</v>
          </cell>
        </row>
        <row r="500">
          <cell r="B500" t="str">
            <v>قالب پخت کلاچ پژو 405</v>
          </cell>
          <cell r="C500" t="str">
            <v>قالب تعمیری</v>
          </cell>
          <cell r="N500" t="str">
            <v>مونتاژ</v>
          </cell>
          <cell r="AC500" t="str">
            <v>1405/04/21</v>
          </cell>
        </row>
        <row r="501">
          <cell r="B501" t="str">
            <v>پخت کلاچ ایویکو سوراخدار</v>
          </cell>
          <cell r="C501" t="str">
            <v>قالب تعمیری</v>
          </cell>
          <cell r="N501" t="str">
            <v>مونتاژ</v>
          </cell>
          <cell r="AC501" t="str">
            <v>1405/04/21</v>
          </cell>
        </row>
        <row r="502">
          <cell r="B502" t="str">
            <v>قالب قطاری</v>
          </cell>
          <cell r="C502" t="str">
            <v>قالب تعمیری</v>
          </cell>
          <cell r="N502" t="str">
            <v>مونتاژ</v>
          </cell>
          <cell r="AC502" t="str">
            <v>1405/04/21</v>
          </cell>
        </row>
        <row r="503">
          <cell r="B503" t="str">
            <v>قالب پخت کلاچ پژو 405</v>
          </cell>
          <cell r="C503" t="str">
            <v>قالب تعمیری</v>
          </cell>
          <cell r="N503" t="str">
            <v>مونتاژ</v>
          </cell>
          <cell r="AC503" t="str">
            <v>1405/04/21</v>
          </cell>
        </row>
        <row r="504">
          <cell r="B504" t="str">
            <v>پخت کلاچ ایویکو سوراخدار</v>
          </cell>
          <cell r="C504" t="str">
            <v>قالب تعمیری</v>
          </cell>
          <cell r="N504" t="str">
            <v>مونتاژ</v>
          </cell>
          <cell r="AC504" t="str">
            <v>1405/04/21</v>
          </cell>
        </row>
        <row r="505">
          <cell r="B505" t="str">
            <v>قالب قطاری</v>
          </cell>
          <cell r="C505" t="str">
            <v>قالب تعمیری</v>
          </cell>
          <cell r="N505" t="str">
            <v>مونتاژ</v>
          </cell>
          <cell r="AC505" t="str">
            <v>1405/04/21</v>
          </cell>
        </row>
        <row r="506">
          <cell r="B506" t="str">
            <v>قالب قطاری</v>
          </cell>
          <cell r="C506" t="str">
            <v>قالب تعمیری</v>
          </cell>
          <cell r="N506" t="str">
            <v>دریل رادیال</v>
          </cell>
          <cell r="AC506" t="str">
            <v>1405/04/21</v>
          </cell>
        </row>
        <row r="507">
          <cell r="B507" t="str">
            <v>قطعه کار سلمانی</v>
          </cell>
          <cell r="C507" t="str">
            <v>قطعه تعمیری</v>
          </cell>
          <cell r="N507" t="str">
            <v>سوپر دریل</v>
          </cell>
          <cell r="AC507" t="str">
            <v>1405/04/21</v>
          </cell>
        </row>
        <row r="508">
          <cell r="B508" t="str">
            <v>دستگاه پشم فلز</v>
          </cell>
          <cell r="C508" t="str">
            <v>قطعه تعمیری</v>
          </cell>
          <cell r="N508" t="str">
            <v>وایر</v>
          </cell>
          <cell r="AC508" t="str">
            <v>1405/04/21</v>
          </cell>
        </row>
        <row r="509">
          <cell r="B509" t="str">
            <v>ویوینگ</v>
          </cell>
          <cell r="C509" t="str">
            <v>قطعه نو</v>
          </cell>
          <cell r="N509" t="str">
            <v>تراش</v>
          </cell>
          <cell r="AC509" t="str">
            <v>1405/04/21</v>
          </cell>
        </row>
        <row r="510">
          <cell r="B510" t="str">
            <v>دستگاه پرس پخت</v>
          </cell>
          <cell r="C510" t="str">
            <v>قطعه نو</v>
          </cell>
          <cell r="N510" t="str">
            <v>تراش</v>
          </cell>
          <cell r="AC510" t="str">
            <v>1405/04/21</v>
          </cell>
        </row>
        <row r="511">
          <cell r="B511" t="str">
            <v>پخت کلاچ ایویکو سوراخدار</v>
          </cell>
          <cell r="C511" t="str">
            <v>قالب تعمیری</v>
          </cell>
          <cell r="N511" t="str">
            <v>تراش</v>
          </cell>
          <cell r="AC511" t="str">
            <v>1405/04/21</v>
          </cell>
        </row>
        <row r="512">
          <cell r="B512" t="str">
            <v>دستگاه پرس پخت</v>
          </cell>
          <cell r="C512" t="str">
            <v>قطعه تعمیری</v>
          </cell>
          <cell r="N512" t="str">
            <v>تراش</v>
          </cell>
          <cell r="AC512" t="str">
            <v>1405/04/21</v>
          </cell>
        </row>
        <row r="513">
          <cell r="B513" t="str">
            <v>دستگاه پشم فلز</v>
          </cell>
          <cell r="C513" t="str">
            <v>قطعه تعمیری</v>
          </cell>
          <cell r="N513" t="str">
            <v>مونتاژ</v>
          </cell>
          <cell r="AC513" t="str">
            <v>1405/04/21</v>
          </cell>
        </row>
        <row r="514">
          <cell r="B514" t="str">
            <v xml:space="preserve">قالب پخت کلاچ پیکان </v>
          </cell>
          <cell r="C514" t="str">
            <v>قالب تعمیری</v>
          </cell>
          <cell r="N514" t="str">
            <v>اره لنگ</v>
          </cell>
          <cell r="AC514" t="str">
            <v>1405/04/21</v>
          </cell>
        </row>
        <row r="515">
          <cell r="B515" t="str">
            <v>قالب پخت کلاچ پیکان</v>
          </cell>
          <cell r="C515" t="str">
            <v>قالب تعمیری</v>
          </cell>
          <cell r="N515" t="str">
            <v>مونتاژ</v>
          </cell>
          <cell r="AC515" t="str">
            <v>1405/04/21</v>
          </cell>
        </row>
        <row r="516">
          <cell r="B516" t="str">
            <v>پخت کلاچ پراید</v>
          </cell>
          <cell r="C516" t="str">
            <v>قالب تعمیری</v>
          </cell>
          <cell r="N516" t="str">
            <v>سنگ زنی</v>
          </cell>
          <cell r="AC516" t="str">
            <v>1405/04/21</v>
          </cell>
        </row>
        <row r="517">
          <cell r="B517" t="str">
            <v>قالب پخت کلاچ پژو 405</v>
          </cell>
          <cell r="C517" t="str">
            <v>قالب تعمیری</v>
          </cell>
          <cell r="N517" t="str">
            <v>CNC</v>
          </cell>
          <cell r="AC517" t="str">
            <v>1405/04/22</v>
          </cell>
        </row>
        <row r="518">
          <cell r="B518" t="str">
            <v>صفحه قالب یدک
700*500*65</v>
          </cell>
          <cell r="C518" t="str">
            <v>قطعه نو</v>
          </cell>
          <cell r="N518" t="str">
            <v>فرز</v>
          </cell>
          <cell r="AC518" t="str">
            <v>1405/04/22</v>
          </cell>
        </row>
        <row r="519">
          <cell r="B519" t="str">
            <v>قالب پخت کلاچ پژو 405</v>
          </cell>
          <cell r="C519" t="str">
            <v>قالب تعمیری</v>
          </cell>
          <cell r="N519" t="str">
            <v>CNC</v>
          </cell>
          <cell r="AC519" t="str">
            <v>1405/04/22</v>
          </cell>
        </row>
        <row r="520">
          <cell r="B520" t="str">
            <v>قالب پخت کلاچ پژو 405</v>
          </cell>
          <cell r="C520" t="str">
            <v>قالب تعمیری</v>
          </cell>
          <cell r="N520" t="str">
            <v>فرز</v>
          </cell>
          <cell r="AC520" t="str">
            <v>1405/04/22</v>
          </cell>
        </row>
        <row r="521">
          <cell r="B521" t="str">
            <v>قالب پخت کلاچ پژو 405</v>
          </cell>
          <cell r="C521" t="str">
            <v>قالب تعمیری</v>
          </cell>
          <cell r="N521" t="str">
            <v>مونتاژ</v>
          </cell>
          <cell r="AC521" t="str">
            <v>1405/04/22</v>
          </cell>
        </row>
        <row r="522">
          <cell r="B522" t="str">
            <v>پخت کلاچ پراید</v>
          </cell>
          <cell r="C522" t="str">
            <v>قالب تعمیری</v>
          </cell>
          <cell r="N522" t="str">
            <v>سنگ زنی</v>
          </cell>
          <cell r="AC522" t="str">
            <v>1405/04/22</v>
          </cell>
        </row>
        <row r="523">
          <cell r="B523" t="str">
            <v xml:space="preserve">قالب پخت کلاچ پیکان </v>
          </cell>
          <cell r="C523" t="str">
            <v>قالب تعمیری</v>
          </cell>
          <cell r="N523" t="str">
            <v>سنگ زنی</v>
          </cell>
          <cell r="AC523" t="str">
            <v>1405/04/22</v>
          </cell>
        </row>
        <row r="524">
          <cell r="B524" t="str">
            <v>برشی نیوفیس C&amp;C</v>
          </cell>
          <cell r="C524" t="str">
            <v>قالب نو</v>
          </cell>
          <cell r="N524" t="str">
            <v>فرز</v>
          </cell>
          <cell r="AC524" t="str">
            <v>1405/04/22</v>
          </cell>
        </row>
        <row r="525">
          <cell r="B525" t="str">
            <v>ابزار زنی</v>
          </cell>
          <cell r="C525" t="str">
            <v>قطعه تعمیری</v>
          </cell>
          <cell r="N525" t="str">
            <v>فرز</v>
          </cell>
          <cell r="AC525" t="str">
            <v>1405/04/22</v>
          </cell>
        </row>
        <row r="526">
          <cell r="B526" t="str">
            <v>قالب عقب F12</v>
          </cell>
          <cell r="C526" t="str">
            <v>قالب نو</v>
          </cell>
          <cell r="N526" t="str">
            <v>CNC</v>
          </cell>
          <cell r="AC526" t="str">
            <v>1405/04/22</v>
          </cell>
        </row>
        <row r="527">
          <cell r="B527" t="str">
            <v>قالب پخت کلاچ پژو 405</v>
          </cell>
          <cell r="C527" t="str">
            <v>قالب تعمیری</v>
          </cell>
          <cell r="N527" t="str">
            <v>CNC</v>
          </cell>
          <cell r="AC527" t="str">
            <v>1405/04/22</v>
          </cell>
        </row>
        <row r="528">
          <cell r="B528" t="str">
            <v>برشی نیوفیس C&amp;C</v>
          </cell>
          <cell r="C528" t="str">
            <v>قالب نو</v>
          </cell>
          <cell r="N528" t="str">
            <v>وایر</v>
          </cell>
          <cell r="AC528" t="str">
            <v>1405/04/22</v>
          </cell>
        </row>
        <row r="529">
          <cell r="B529" t="str">
            <v>قالب عقب F12</v>
          </cell>
          <cell r="C529" t="str">
            <v>قالب نو</v>
          </cell>
          <cell r="N529" t="str">
            <v>مونتاژ</v>
          </cell>
          <cell r="AC529" t="str">
            <v>1405/04/22</v>
          </cell>
        </row>
        <row r="530">
          <cell r="B530" t="str">
            <v>قالب قطاری</v>
          </cell>
          <cell r="C530" t="str">
            <v>قالب تعمیری</v>
          </cell>
          <cell r="N530" t="str">
            <v>تراش</v>
          </cell>
          <cell r="AC530" t="str">
            <v>1405/04/22</v>
          </cell>
        </row>
        <row r="531">
          <cell r="B531" t="str">
            <v>سری نقطه جوش</v>
          </cell>
          <cell r="C531" t="str">
            <v>قطعه تعمیری</v>
          </cell>
          <cell r="N531" t="str">
            <v>تراش</v>
          </cell>
          <cell r="AC531" t="str">
            <v>1405/04/22</v>
          </cell>
        </row>
        <row r="532">
          <cell r="B532" t="str">
            <v>ویوینگ</v>
          </cell>
          <cell r="C532" t="str">
            <v>قطعه نو</v>
          </cell>
          <cell r="N532" t="str">
            <v>تراش</v>
          </cell>
          <cell r="AC532" t="str">
            <v>1405/04/22</v>
          </cell>
        </row>
        <row r="533">
          <cell r="B533" t="str">
            <v>دستگاه پرس پخت</v>
          </cell>
          <cell r="C533" t="str">
            <v>قطعه تعمیری</v>
          </cell>
          <cell r="N533" t="str">
            <v>تراش</v>
          </cell>
          <cell r="AC533" t="str">
            <v>1405/04/22</v>
          </cell>
        </row>
        <row r="534">
          <cell r="B534" t="str">
            <v>ویوینگ</v>
          </cell>
          <cell r="C534" t="str">
            <v>قطعه نو</v>
          </cell>
          <cell r="N534" t="str">
            <v>تراش</v>
          </cell>
          <cell r="AC534" t="str">
            <v>1405/04/22</v>
          </cell>
        </row>
        <row r="535">
          <cell r="B535" t="str">
            <v>ویوینگ</v>
          </cell>
          <cell r="C535" t="str">
            <v>قطعه نو</v>
          </cell>
          <cell r="N535" t="str">
            <v>تراش</v>
          </cell>
          <cell r="AC535" t="str">
            <v>1405/04/22</v>
          </cell>
        </row>
        <row r="536">
          <cell r="B536" t="str">
            <v>اهرم زنی</v>
          </cell>
          <cell r="C536" t="str">
            <v>قطعه تعمیری</v>
          </cell>
          <cell r="N536" t="str">
            <v>تراش</v>
          </cell>
          <cell r="AC536" t="str">
            <v>1405/04/22</v>
          </cell>
        </row>
        <row r="537">
          <cell r="B537" t="str">
            <v xml:space="preserve">قالب پخت کلاچ پیکان </v>
          </cell>
          <cell r="C537" t="str">
            <v>قالب تعمیری</v>
          </cell>
          <cell r="N537" t="str">
            <v>مونتاژ</v>
          </cell>
          <cell r="AC537" t="str">
            <v>1405/04/22</v>
          </cell>
        </row>
        <row r="538">
          <cell r="B538" t="str">
            <v>پخت کلاچ ده تن</v>
          </cell>
          <cell r="C538" t="str">
            <v>قالب تعمیری</v>
          </cell>
          <cell r="N538" t="str">
            <v>مونتاژ</v>
          </cell>
          <cell r="AC538" t="str">
            <v>1405/04/22</v>
          </cell>
        </row>
        <row r="539">
          <cell r="B539" t="str">
            <v>قالب قطاری</v>
          </cell>
          <cell r="C539" t="str">
            <v>قالب تعمیری</v>
          </cell>
          <cell r="N539" t="str">
            <v>مونتاژ</v>
          </cell>
          <cell r="AC539" t="str">
            <v>1405/04/22</v>
          </cell>
        </row>
        <row r="540">
          <cell r="B540" t="str">
            <v>قالب قطاری</v>
          </cell>
          <cell r="C540" t="str">
            <v>قالب تعمیری</v>
          </cell>
          <cell r="N540" t="str">
            <v>مونتاژ</v>
          </cell>
          <cell r="AC540" t="str">
            <v>1405/04/22</v>
          </cell>
        </row>
        <row r="541">
          <cell r="B541" t="str">
            <v>قالب پخت کلاچ پژو 405</v>
          </cell>
          <cell r="C541" t="str">
            <v>قالب تعمیری</v>
          </cell>
          <cell r="N541" t="str">
            <v>مونتاژ</v>
          </cell>
          <cell r="AC541" t="str">
            <v>1405/04/22</v>
          </cell>
        </row>
        <row r="542">
          <cell r="B542" t="str">
            <v>ویوینگ</v>
          </cell>
          <cell r="C542" t="str">
            <v>قطعه نو</v>
          </cell>
          <cell r="N542" t="str">
            <v>دریل رادیال</v>
          </cell>
          <cell r="AC542" t="str">
            <v>1405/04/22</v>
          </cell>
        </row>
        <row r="543">
          <cell r="B543" t="str">
            <v>ویوینگ</v>
          </cell>
          <cell r="C543" t="str">
            <v>قطعه نو</v>
          </cell>
          <cell r="N543" t="str">
            <v>دریل رادیال</v>
          </cell>
          <cell r="AC543" t="str">
            <v>1405/04/22</v>
          </cell>
        </row>
        <row r="544">
          <cell r="B544" t="str">
            <v xml:space="preserve">قالب پخت کلاچ پیکان </v>
          </cell>
          <cell r="C544" t="str">
            <v>قالب تعمیری</v>
          </cell>
          <cell r="N544" t="str">
            <v>CNC</v>
          </cell>
          <cell r="AC544" t="str">
            <v>1405/04/23</v>
          </cell>
        </row>
        <row r="545">
          <cell r="B545" t="str">
            <v xml:space="preserve">قالب پخت کلاچ پیکان </v>
          </cell>
          <cell r="C545" t="str">
            <v>قالب تعمیری</v>
          </cell>
          <cell r="N545" t="str">
            <v>CNC</v>
          </cell>
          <cell r="AC545" t="str">
            <v>1405/04/23</v>
          </cell>
        </row>
        <row r="546">
          <cell r="B546" t="str">
            <v>دستگاه ساب سمباده ای</v>
          </cell>
          <cell r="C546" t="str">
            <v>قطعه تعمیری</v>
          </cell>
          <cell r="N546" t="str">
            <v>فرز</v>
          </cell>
          <cell r="AC546" t="str">
            <v>1405/04/23</v>
          </cell>
        </row>
        <row r="547">
          <cell r="B547" t="str">
            <v>قالب پخت کلاچ پژو 405</v>
          </cell>
          <cell r="C547" t="str">
            <v>قالب تعمیری</v>
          </cell>
          <cell r="N547" t="str">
            <v>CNC</v>
          </cell>
          <cell r="AC547" t="str">
            <v>1405/04/23</v>
          </cell>
        </row>
        <row r="548">
          <cell r="B548" t="str">
            <v xml:space="preserve">قالب پخت کلاچ پیکان </v>
          </cell>
          <cell r="C548" t="str">
            <v>قالب تعمیری</v>
          </cell>
          <cell r="N548" t="str">
            <v>CNC</v>
          </cell>
          <cell r="AC548" t="str">
            <v>1405/04/23</v>
          </cell>
        </row>
        <row r="549">
          <cell r="B549" t="str">
            <v>ابزار زنی</v>
          </cell>
          <cell r="C549" t="str">
            <v>قطعه تعمیری</v>
          </cell>
          <cell r="N549" t="str">
            <v>فرز</v>
          </cell>
          <cell r="AC549" t="str">
            <v>1405/04/23</v>
          </cell>
        </row>
        <row r="550">
          <cell r="B550" t="str">
            <v>لودر دیسکی  XGL 50</v>
          </cell>
          <cell r="C550" t="str">
            <v>قالب نو</v>
          </cell>
          <cell r="N550" t="str">
            <v>فرز</v>
          </cell>
          <cell r="AC550" t="str">
            <v>1405/04/23</v>
          </cell>
        </row>
        <row r="551">
          <cell r="B551" t="str">
            <v>صفحه قالب یدک
700*500*65</v>
          </cell>
          <cell r="C551" t="str">
            <v>قطعه نو</v>
          </cell>
          <cell r="N551" t="str">
            <v>فرز</v>
          </cell>
          <cell r="AC551" t="str">
            <v>1405/04/23</v>
          </cell>
        </row>
        <row r="552">
          <cell r="B552" t="str">
            <v>برشی نیوفیس C&amp;C</v>
          </cell>
          <cell r="C552" t="str">
            <v>قالب نو</v>
          </cell>
          <cell r="N552" t="str">
            <v>فرز</v>
          </cell>
          <cell r="AC552" t="str">
            <v>1405/04/23</v>
          </cell>
        </row>
        <row r="553">
          <cell r="B553" t="str">
            <v>قالب پخت کلاچ پژو 405</v>
          </cell>
          <cell r="C553" t="str">
            <v>قالب تعمیری</v>
          </cell>
          <cell r="N553" t="str">
            <v>CNC</v>
          </cell>
          <cell r="AC553" t="str">
            <v>1405/04/23</v>
          </cell>
        </row>
        <row r="554">
          <cell r="B554" t="str">
            <v>قالب پخت کلاچ پژو 405</v>
          </cell>
          <cell r="C554" t="str">
            <v>قالب تعمیری</v>
          </cell>
          <cell r="N554" t="str">
            <v>مونتاژ</v>
          </cell>
          <cell r="AC554" t="str">
            <v>1405/04/23</v>
          </cell>
        </row>
        <row r="555">
          <cell r="B555" t="str">
            <v>برش دستی</v>
          </cell>
          <cell r="C555" t="str">
            <v>قطعه تعمیری</v>
          </cell>
          <cell r="N555" t="str">
            <v>تراش</v>
          </cell>
          <cell r="AC555" t="str">
            <v>1405/04/23</v>
          </cell>
        </row>
        <row r="556">
          <cell r="B556" t="str">
            <v>قالب قطاری</v>
          </cell>
          <cell r="C556" t="str">
            <v>قالب تعمیری</v>
          </cell>
          <cell r="N556" t="str">
            <v>تراش</v>
          </cell>
          <cell r="AC556" t="str">
            <v>1405/04/23</v>
          </cell>
        </row>
        <row r="557">
          <cell r="B557" t="str">
            <v>سری نقطه جوش</v>
          </cell>
          <cell r="C557" t="str">
            <v>قطعه تعمیری</v>
          </cell>
          <cell r="N557" t="str">
            <v>تراش</v>
          </cell>
          <cell r="AC557" t="str">
            <v>1405/04/23</v>
          </cell>
        </row>
        <row r="558">
          <cell r="B558" t="str">
            <v>قالب پخت کلاچ پژو 405</v>
          </cell>
          <cell r="C558" t="str">
            <v>قالب تعمیری</v>
          </cell>
          <cell r="N558" t="str">
            <v>تراش</v>
          </cell>
          <cell r="AC558" t="str">
            <v>1405/04/23</v>
          </cell>
        </row>
        <row r="559">
          <cell r="B559" t="str">
            <v>قالب پخت کلاچ پژو 405</v>
          </cell>
          <cell r="C559" t="str">
            <v>قالب تعمیری</v>
          </cell>
          <cell r="N559" t="str">
            <v>تراش</v>
          </cell>
          <cell r="AC559" t="str">
            <v>1405/04/23</v>
          </cell>
        </row>
        <row r="560">
          <cell r="B560" t="str">
            <v>قالب پخت کلاچ پژو 405</v>
          </cell>
          <cell r="C560" t="str">
            <v>قالب تعمیری</v>
          </cell>
          <cell r="N560" t="str">
            <v>تراش</v>
          </cell>
          <cell r="AC560" t="str">
            <v>1405/04/23</v>
          </cell>
        </row>
        <row r="561">
          <cell r="B561" t="str">
            <v>ویوینگ</v>
          </cell>
          <cell r="C561" t="str">
            <v>قطعه تعمیری</v>
          </cell>
          <cell r="N561" t="str">
            <v>تراش</v>
          </cell>
          <cell r="AC561" t="str">
            <v>1405/04/23</v>
          </cell>
        </row>
        <row r="562">
          <cell r="B562" t="str">
            <v>دستگاه پشم فلز</v>
          </cell>
          <cell r="C562" t="str">
            <v>قطعه تعمیری</v>
          </cell>
          <cell r="N562" t="str">
            <v>تراش</v>
          </cell>
          <cell r="AC562" t="str">
            <v>1405/04/23</v>
          </cell>
        </row>
        <row r="563">
          <cell r="B563" t="str">
            <v>پخت کلاچ ده تن</v>
          </cell>
          <cell r="C563" t="str">
            <v>قالب تعمیری</v>
          </cell>
          <cell r="N563" t="str">
            <v>مونتاژ</v>
          </cell>
          <cell r="AC563" t="str">
            <v>1405/04/23</v>
          </cell>
        </row>
        <row r="564">
          <cell r="B564" t="str">
            <v>قالب پخت کلاچ پژو 405</v>
          </cell>
          <cell r="C564" t="str">
            <v>قالب تعمیری</v>
          </cell>
          <cell r="N564" t="str">
            <v>مونتاژ</v>
          </cell>
          <cell r="AC564" t="str">
            <v>1405/04/23</v>
          </cell>
        </row>
        <row r="565">
          <cell r="B565" t="str">
            <v>قالب عقب F12</v>
          </cell>
          <cell r="C565" t="str">
            <v>قالب نو</v>
          </cell>
          <cell r="N565" t="str">
            <v>مونتاژ</v>
          </cell>
          <cell r="AC565" t="str">
            <v>1405/04/23</v>
          </cell>
        </row>
        <row r="566">
          <cell r="B566" t="str">
            <v>قالب عقب F12</v>
          </cell>
          <cell r="C566" t="str">
            <v>قالب نو</v>
          </cell>
          <cell r="N566" t="str">
            <v>مونتاژ</v>
          </cell>
          <cell r="AC566" t="str">
            <v>1405/04/23</v>
          </cell>
        </row>
        <row r="567">
          <cell r="B567" t="str">
            <v>قالب مینی بوس آریا</v>
          </cell>
          <cell r="C567" t="str">
            <v>قالب نو</v>
          </cell>
          <cell r="N567" t="str">
            <v>سنگ زنی</v>
          </cell>
          <cell r="AC567" t="str">
            <v>1405/04/23</v>
          </cell>
        </row>
        <row r="568">
          <cell r="B568" t="str">
            <v>قالب مینی بوس آریا</v>
          </cell>
          <cell r="C568" t="str">
            <v>قالب نو</v>
          </cell>
          <cell r="N568" t="str">
            <v>سنگ زنی</v>
          </cell>
          <cell r="AC568" t="str">
            <v>1405/04/23</v>
          </cell>
        </row>
        <row r="569">
          <cell r="B569" t="str">
            <v>قالب پخت کلاچ پژو 405</v>
          </cell>
          <cell r="C569" t="str">
            <v>قالب تعمیری</v>
          </cell>
          <cell r="N569" t="str">
            <v>سنگ زنی</v>
          </cell>
          <cell r="AC569" t="str">
            <v>1405/04/23</v>
          </cell>
        </row>
        <row r="570">
          <cell r="B570" t="str">
            <v>قالب پخت کلاچ پژو 405</v>
          </cell>
          <cell r="C570" t="str">
            <v>قالب تعمیری</v>
          </cell>
          <cell r="N570" t="str">
            <v>سنگ زنی</v>
          </cell>
          <cell r="AC570" t="str">
            <v>1405/04/23</v>
          </cell>
        </row>
        <row r="571">
          <cell r="B571" t="str">
            <v>قالب توری پگاسوز</v>
          </cell>
          <cell r="C571" t="str">
            <v>قالب تعمیری</v>
          </cell>
          <cell r="N571" t="str">
            <v>سنگ زنی</v>
          </cell>
          <cell r="AC571" t="str">
            <v>1405/04/23</v>
          </cell>
        </row>
        <row r="572">
          <cell r="B572" t="str">
            <v>قالب قطاری</v>
          </cell>
          <cell r="C572" t="str">
            <v>قالب تعمیری</v>
          </cell>
          <cell r="N572" t="str">
            <v>مونتاژ</v>
          </cell>
          <cell r="AC572" t="str">
            <v>1405/04/23</v>
          </cell>
        </row>
        <row r="573">
          <cell r="B573" t="str">
            <v>قالب قطاری</v>
          </cell>
          <cell r="C573" t="str">
            <v>قالب تعمیری</v>
          </cell>
          <cell r="N573" t="str">
            <v>دریل رادیال</v>
          </cell>
          <cell r="AC573" t="str">
            <v>1405/04/23</v>
          </cell>
        </row>
        <row r="574">
          <cell r="B574" t="str">
            <v>قالب پخت کلاچ پژو 405</v>
          </cell>
          <cell r="C574" t="str">
            <v>قالب تعمیری</v>
          </cell>
          <cell r="N574" t="str">
            <v>مونتاژ</v>
          </cell>
          <cell r="AC574" t="str">
            <v>1405/04/23</v>
          </cell>
        </row>
        <row r="575">
          <cell r="B575" t="str">
            <v xml:space="preserve">قالب پخت کلاچ پیکان </v>
          </cell>
          <cell r="C575" t="str">
            <v>قالب تعمیری</v>
          </cell>
          <cell r="N575" t="str">
            <v>مونتاژ</v>
          </cell>
          <cell r="AC575" t="str">
            <v>1405/04/23</v>
          </cell>
        </row>
        <row r="576">
          <cell r="B576" t="str">
            <v xml:space="preserve">قالب پخت کلاچ پیکان </v>
          </cell>
          <cell r="C576" t="str">
            <v>قالب تعمیری</v>
          </cell>
          <cell r="N576" t="str">
            <v>مونتاژ</v>
          </cell>
          <cell r="AC576" t="str">
            <v>1405/04/23</v>
          </cell>
        </row>
        <row r="577">
          <cell r="B577" t="str">
            <v>برشی نیوفیس C&amp;C</v>
          </cell>
          <cell r="C577" t="str">
            <v>قالب نو</v>
          </cell>
          <cell r="N577" t="str">
            <v>فرز</v>
          </cell>
          <cell r="AC577" t="str">
            <v>1405/04/24</v>
          </cell>
        </row>
        <row r="578">
          <cell r="B578" t="str">
            <v xml:space="preserve">قالب پخت کلاچ پیکان </v>
          </cell>
          <cell r="C578" t="str">
            <v>قالب تعمیری</v>
          </cell>
          <cell r="N578" t="str">
            <v>CNC</v>
          </cell>
          <cell r="AC578" t="str">
            <v>1405/04/24</v>
          </cell>
        </row>
        <row r="579">
          <cell r="B579" t="str">
            <v>برشی نیوفیس C&amp;C</v>
          </cell>
          <cell r="C579" t="str">
            <v>قالب نو</v>
          </cell>
          <cell r="N579" t="str">
            <v>فرز</v>
          </cell>
          <cell r="AC579" t="str">
            <v>1405/04/24</v>
          </cell>
        </row>
        <row r="580">
          <cell r="B580" t="str">
            <v xml:space="preserve">قالب پخت کلاچ پیکان </v>
          </cell>
          <cell r="C580" t="str">
            <v>قالب تعمیری</v>
          </cell>
          <cell r="N580" t="str">
            <v>CNC</v>
          </cell>
          <cell r="AC580" t="str">
            <v>1405/04/24</v>
          </cell>
        </row>
        <row r="581">
          <cell r="B581" t="str">
            <v>قالب پخت کلاچ پژو 405</v>
          </cell>
          <cell r="C581" t="str">
            <v>قالب تعمیری</v>
          </cell>
          <cell r="N581" t="str">
            <v>مونتاژ</v>
          </cell>
          <cell r="AC581" t="str">
            <v>1405/04/24</v>
          </cell>
        </row>
        <row r="582">
          <cell r="B582" t="str">
            <v>پخت کلاچ پراید</v>
          </cell>
          <cell r="C582" t="str">
            <v>قالب تعمیری</v>
          </cell>
          <cell r="N582" t="str">
            <v>مونتاژ</v>
          </cell>
          <cell r="AC582" t="str">
            <v>1405/04/24</v>
          </cell>
        </row>
        <row r="583">
          <cell r="B583" t="str">
            <v>قالب مینی بوس آریا</v>
          </cell>
          <cell r="C583" t="str">
            <v>قالب نو</v>
          </cell>
          <cell r="N583" t="str">
            <v>سنگ زنی</v>
          </cell>
          <cell r="AC583" t="str">
            <v>1405/04/24</v>
          </cell>
        </row>
        <row r="584">
          <cell r="B584" t="str">
            <v>برشی نیوفیس C&amp;C</v>
          </cell>
          <cell r="C584" t="str">
            <v>قالب نو</v>
          </cell>
          <cell r="N584" t="str">
            <v>سنگ زنی</v>
          </cell>
          <cell r="AC584" t="str">
            <v>1405/04/24</v>
          </cell>
        </row>
        <row r="585">
          <cell r="B585" t="str">
            <v>اصول 5S
کلاس ایمنی و بهداشت</v>
          </cell>
          <cell r="C585" t="str">
            <v>نظافت</v>
          </cell>
          <cell r="N585" t="str">
            <v>مونتاژ</v>
          </cell>
          <cell r="AC585" t="str">
            <v>1405/04/24</v>
          </cell>
        </row>
        <row r="586">
          <cell r="B586" t="str">
            <v>ویوینگ</v>
          </cell>
          <cell r="C586" t="str">
            <v>قطعه تعمیری</v>
          </cell>
          <cell r="N586" t="str">
            <v>تراش</v>
          </cell>
          <cell r="AC586" t="str">
            <v>1405/04/24</v>
          </cell>
        </row>
        <row r="587">
          <cell r="B587" t="str">
            <v xml:space="preserve">قالب پخت کلاچ پیکان </v>
          </cell>
          <cell r="C587" t="str">
            <v>قالب تعمیری</v>
          </cell>
          <cell r="N587" t="str">
            <v>فرز</v>
          </cell>
          <cell r="AC587" t="str">
            <v>1405/04/24</v>
          </cell>
        </row>
        <row r="588">
          <cell r="B588" t="str">
            <v xml:space="preserve">قالب پخت کلاچ پیکان </v>
          </cell>
          <cell r="C588" t="str">
            <v>قالب تعمیری</v>
          </cell>
          <cell r="N588" t="str">
            <v>مونتاژ</v>
          </cell>
          <cell r="AC588" t="str">
            <v>1405/04/24</v>
          </cell>
        </row>
        <row r="589">
          <cell r="B589" t="str">
            <v>قالب قطاری</v>
          </cell>
          <cell r="C589" t="str">
            <v>قالب تعمیری</v>
          </cell>
          <cell r="N589" t="str">
            <v>مونتاژ</v>
          </cell>
          <cell r="AC589" t="str">
            <v>1405/04/24</v>
          </cell>
        </row>
        <row r="590">
          <cell r="B590" t="str">
            <v xml:space="preserve">قالب پخت کلاچ پیکان </v>
          </cell>
          <cell r="C590" t="str">
            <v>قالب تعمیری</v>
          </cell>
          <cell r="N590" t="str">
            <v>تراش</v>
          </cell>
          <cell r="AC590" t="str">
            <v>1405/04/24</v>
          </cell>
        </row>
        <row r="591">
          <cell r="B591" t="str">
            <v>قالب پخت کلاچ پژو 405</v>
          </cell>
          <cell r="C591" t="str">
            <v>قالب تعمیری</v>
          </cell>
          <cell r="N591" t="str">
            <v>تراش</v>
          </cell>
          <cell r="AC591" t="str">
            <v>1405/04/24</v>
          </cell>
        </row>
        <row r="592">
          <cell r="B592" t="str">
            <v xml:space="preserve">قالب پخت کلاچ پیکان </v>
          </cell>
          <cell r="C592" t="str">
            <v>قالب تعمیری</v>
          </cell>
          <cell r="N592" t="str">
            <v>تراش</v>
          </cell>
          <cell r="AC592" t="str">
            <v>1405/04/24</v>
          </cell>
        </row>
        <row r="593">
          <cell r="B593" t="str">
            <v>سری نقطه جوش</v>
          </cell>
          <cell r="C593" t="str">
            <v>قطعه تعمیری</v>
          </cell>
          <cell r="N593" t="str">
            <v>تراش</v>
          </cell>
          <cell r="AC593" t="str">
            <v>1405/04/24</v>
          </cell>
        </row>
        <row r="594">
          <cell r="B594" t="str">
            <v xml:space="preserve">قالب پخت کلاچ پیکان </v>
          </cell>
          <cell r="C594" t="str">
            <v>قالب تعمیری</v>
          </cell>
          <cell r="N594" t="str">
            <v>مونتاژ</v>
          </cell>
          <cell r="AC594" t="str">
            <v>1405/04/24</v>
          </cell>
        </row>
        <row r="595">
          <cell r="B595" t="str">
            <v>پخت کلاچ پراید</v>
          </cell>
          <cell r="C595" t="str">
            <v>قالب تعمیری</v>
          </cell>
          <cell r="N595" t="str">
            <v>مونتاژ</v>
          </cell>
          <cell r="AC595" t="str">
            <v>1405/04/24</v>
          </cell>
        </row>
        <row r="596">
          <cell r="B596" t="str">
            <v xml:space="preserve">قالب پخت کلاچ پیکان </v>
          </cell>
          <cell r="C596" t="str">
            <v>قالب تعمیری</v>
          </cell>
          <cell r="N596" t="str">
            <v>مونتاژ</v>
          </cell>
          <cell r="AC596" t="str">
            <v>1405/04/24</v>
          </cell>
        </row>
        <row r="597">
          <cell r="B597" t="str">
            <v>قالب قطاری</v>
          </cell>
          <cell r="C597" t="str">
            <v>قالب تعمیری</v>
          </cell>
          <cell r="N597" t="str">
            <v>مونتاژ</v>
          </cell>
          <cell r="AC597" t="str">
            <v>1405/04/24</v>
          </cell>
        </row>
        <row r="598">
          <cell r="B598" t="str">
            <v xml:space="preserve">قالب پخت کلاچ پیکان </v>
          </cell>
          <cell r="C598" t="str">
            <v>قالب تعمیری</v>
          </cell>
          <cell r="N598" t="str">
            <v>CNC</v>
          </cell>
          <cell r="AC598" t="str">
            <v>1405/04/25</v>
          </cell>
        </row>
        <row r="599">
          <cell r="B599" t="str">
            <v>دریل یزدخواستی کلاچ</v>
          </cell>
          <cell r="C599" t="str">
            <v>قطعه نو</v>
          </cell>
          <cell r="N599" t="str">
            <v>CNC</v>
          </cell>
          <cell r="AC599" t="str">
            <v>1405/04/26</v>
          </cell>
        </row>
        <row r="600">
          <cell r="B600" t="str">
            <v xml:space="preserve">قالب پخت کلاچ پیکان </v>
          </cell>
          <cell r="C600" t="str">
            <v>قالب تعمیری</v>
          </cell>
          <cell r="N600" t="str">
            <v>CNC</v>
          </cell>
          <cell r="AC600" t="str">
            <v>1405/04/25</v>
          </cell>
        </row>
        <row r="601">
          <cell r="B601" t="str">
            <v>برشی نیوفیس C&amp;C</v>
          </cell>
          <cell r="C601" t="str">
            <v>قالب نو</v>
          </cell>
          <cell r="N601" t="str">
            <v>فرز</v>
          </cell>
          <cell r="AC601" t="str">
            <v>1405/04/25</v>
          </cell>
        </row>
        <row r="602">
          <cell r="B602" t="str">
            <v>قالب کوبه نک SAF</v>
          </cell>
          <cell r="C602" t="str">
            <v>قالب تعمیری</v>
          </cell>
          <cell r="N602" t="str">
            <v>تراش</v>
          </cell>
          <cell r="AC602" t="str">
            <v>1405/04/25</v>
          </cell>
        </row>
        <row r="603">
          <cell r="B603" t="str">
            <v xml:space="preserve">قالب پخت کلاچ پیکان </v>
          </cell>
          <cell r="C603" t="str">
            <v>قالب تعمیری</v>
          </cell>
          <cell r="N603" t="str">
            <v>تراش</v>
          </cell>
          <cell r="AC603" t="str">
            <v>1405/04/25</v>
          </cell>
        </row>
        <row r="604">
          <cell r="B604" t="str">
            <v>اصول 5S</v>
          </cell>
          <cell r="C604" t="str">
            <v>نظافت</v>
          </cell>
          <cell r="N604" t="str">
            <v>نظافت</v>
          </cell>
          <cell r="AC604" t="str">
            <v>1405/04/25</v>
          </cell>
        </row>
        <row r="605">
          <cell r="B605" t="str">
            <v xml:space="preserve">قالب پخت کلاچ پیکان </v>
          </cell>
          <cell r="C605" t="str">
            <v>قالب تعمیری</v>
          </cell>
          <cell r="N605" t="str">
            <v>مونتاژ</v>
          </cell>
          <cell r="AC605" t="str">
            <v>1405/04/25</v>
          </cell>
        </row>
        <row r="606">
          <cell r="B606" t="str">
            <v xml:space="preserve">قالب پخت کلاچ پیکان </v>
          </cell>
          <cell r="C606" t="str">
            <v>قالب تعمیری</v>
          </cell>
          <cell r="N606" t="str">
            <v>فرز</v>
          </cell>
          <cell r="AC606" t="str">
            <v>1405/04/25</v>
          </cell>
        </row>
        <row r="607">
          <cell r="B607" t="str">
            <v>ویوینگ</v>
          </cell>
          <cell r="C607" t="str">
            <v>قطعه تعمیری</v>
          </cell>
          <cell r="N607" t="str">
            <v>تراش</v>
          </cell>
          <cell r="AC607" t="str">
            <v>1405/04/25</v>
          </cell>
        </row>
        <row r="608">
          <cell r="B608" t="str">
            <v xml:space="preserve">قالب پخت کلاچ پیکان </v>
          </cell>
          <cell r="C608" t="str">
            <v>قالب تعمیری</v>
          </cell>
          <cell r="N608" t="str">
            <v>تراش</v>
          </cell>
          <cell r="AC608" t="str">
            <v>1405/04/25</v>
          </cell>
        </row>
        <row r="609">
          <cell r="B609" t="str">
            <v>اصول 5S</v>
          </cell>
          <cell r="C609" t="str">
            <v>نظافت</v>
          </cell>
          <cell r="N609" t="str">
            <v>نظافت</v>
          </cell>
          <cell r="AC609" t="str">
            <v>1405/04/25</v>
          </cell>
        </row>
        <row r="610">
          <cell r="B610" t="str">
            <v>قالب پخت SAF</v>
          </cell>
          <cell r="C610" t="str">
            <v>قالب تعمیری</v>
          </cell>
          <cell r="N610" t="str">
            <v>مونتاژ</v>
          </cell>
          <cell r="AC610" t="str">
            <v>1405/04/25</v>
          </cell>
        </row>
        <row r="611">
          <cell r="B611" t="str">
            <v>پخت کلاچ پراید</v>
          </cell>
          <cell r="C611" t="str">
            <v>قالب تعمیری</v>
          </cell>
          <cell r="N611" t="str">
            <v>سنگ زنی</v>
          </cell>
          <cell r="AC611" t="str">
            <v>1405/04/25</v>
          </cell>
        </row>
        <row r="612">
          <cell r="B612" t="str">
            <v>اصول 5S</v>
          </cell>
          <cell r="C612" t="str">
            <v>نظافت</v>
          </cell>
          <cell r="N612" t="str">
            <v>نظافت</v>
          </cell>
          <cell r="AC612" t="str">
            <v>1405/04/25</v>
          </cell>
        </row>
        <row r="613">
          <cell r="B613" t="str">
            <v>قالب پخت SAF</v>
          </cell>
          <cell r="C613" t="str">
            <v>قالب تعمیری</v>
          </cell>
          <cell r="N613" t="str">
            <v>مونتاژ</v>
          </cell>
          <cell r="AC613" t="str">
            <v>1405/04/25</v>
          </cell>
        </row>
        <row r="614">
          <cell r="B614" t="str">
            <v xml:space="preserve">قالب پخت کلاچ پیکان </v>
          </cell>
          <cell r="C614" t="str">
            <v>قالب تعمیری</v>
          </cell>
          <cell r="N614" t="str">
            <v>مونتاژ</v>
          </cell>
          <cell r="AC614" t="str">
            <v>1405/04/25</v>
          </cell>
        </row>
        <row r="615">
          <cell r="B615" t="str">
            <v>قالب پخت کلاچ پژو 405</v>
          </cell>
          <cell r="C615" t="str">
            <v>قالب تعمیری</v>
          </cell>
          <cell r="N615" t="str">
            <v>مونتاژ</v>
          </cell>
          <cell r="AC615" t="str">
            <v>1405/04/25</v>
          </cell>
        </row>
        <row r="616">
          <cell r="B616" t="str">
            <v>اصول 5S</v>
          </cell>
          <cell r="C616" t="str">
            <v>نظافت</v>
          </cell>
          <cell r="N616" t="str">
            <v>نظافت</v>
          </cell>
          <cell r="AC616" t="str">
            <v>1405/04/25</v>
          </cell>
        </row>
        <row r="617">
          <cell r="B617" t="str">
            <v>قالب مینی بوس آریا</v>
          </cell>
          <cell r="C617" t="str">
            <v>قالب نو</v>
          </cell>
          <cell r="N617" t="str">
            <v>سنگ زنی</v>
          </cell>
          <cell r="AC617" t="str">
            <v>1405/04/25</v>
          </cell>
        </row>
        <row r="618">
          <cell r="B618" t="str">
            <v xml:space="preserve">قالب پخت کلاچ پیکان </v>
          </cell>
          <cell r="C618" t="str">
            <v>قالب تعمیری</v>
          </cell>
          <cell r="N618" t="str">
            <v>سنگ زنی</v>
          </cell>
          <cell r="AC618" t="str">
            <v>1405/04/25</v>
          </cell>
        </row>
        <row r="619">
          <cell r="B619" t="str">
            <v>برشی نیوفیس C&amp;C</v>
          </cell>
          <cell r="C619" t="str">
            <v>قالب نو</v>
          </cell>
          <cell r="N619" t="str">
            <v>سنگ زنی</v>
          </cell>
          <cell r="AC619" t="str">
            <v>1405/04/25</v>
          </cell>
        </row>
        <row r="620">
          <cell r="B620" t="str">
            <v>پخت کلاچ پراید</v>
          </cell>
          <cell r="C620" t="str">
            <v>قالب تعمیری</v>
          </cell>
          <cell r="N620" t="str">
            <v>سنگ زنی</v>
          </cell>
          <cell r="AC620" t="str">
            <v>1405/04/25</v>
          </cell>
        </row>
        <row r="621">
          <cell r="B621" t="str">
            <v>قالب پخت کلاچ پژو 405</v>
          </cell>
          <cell r="C621" t="str">
            <v>قالب تعمیری</v>
          </cell>
          <cell r="N621" t="str">
            <v>وایر</v>
          </cell>
          <cell r="AC621" t="str">
            <v>1405/04/25</v>
          </cell>
        </row>
        <row r="622">
          <cell r="B622" t="str">
            <v>قالب عقب F12</v>
          </cell>
          <cell r="C622" t="str">
            <v>قالب نو</v>
          </cell>
          <cell r="N622" t="str">
            <v>وایر</v>
          </cell>
          <cell r="AC622" t="str">
            <v>1405/04/25</v>
          </cell>
        </row>
        <row r="623">
          <cell r="B623" t="str">
            <v>لودر دیسکی  XGL 50</v>
          </cell>
          <cell r="C623" t="str">
            <v>قالب نو</v>
          </cell>
          <cell r="N623" t="str">
            <v>وایر</v>
          </cell>
          <cell r="AC623" t="str">
            <v>1405/04/25</v>
          </cell>
        </row>
        <row r="624">
          <cell r="B624" t="str">
            <v>برشی نیوفیس C&amp;C</v>
          </cell>
          <cell r="C624" t="str">
            <v>قالب نو</v>
          </cell>
          <cell r="N624" t="str">
            <v>وایر</v>
          </cell>
          <cell r="AC624" t="str">
            <v>1405/04/25</v>
          </cell>
        </row>
        <row r="625">
          <cell r="B625" t="str">
            <v>قالب مینی بوس آریا</v>
          </cell>
          <cell r="C625" t="str">
            <v>قالب نو</v>
          </cell>
          <cell r="N625" t="str">
            <v>سوپر دریل</v>
          </cell>
          <cell r="AC625" t="str">
            <v>1405/04/25</v>
          </cell>
        </row>
        <row r="626">
          <cell r="B626" t="str">
            <v>لنت ترمز دیسكی جلو دیما(خم)</v>
          </cell>
          <cell r="C626" t="str">
            <v>قالب نو</v>
          </cell>
          <cell r="N626" t="str">
            <v>وایر</v>
          </cell>
          <cell r="AC626" t="str">
            <v>1405/04/26</v>
          </cell>
        </row>
        <row r="627">
          <cell r="B627" t="str">
            <v>قالب پخت کلاچ پژو 405</v>
          </cell>
          <cell r="C627" t="str">
            <v>قالب تعمیری</v>
          </cell>
          <cell r="N627" t="str">
            <v>وایر</v>
          </cell>
          <cell r="AC627" t="str">
            <v>1405/04/26</v>
          </cell>
        </row>
        <row r="628">
          <cell r="B628" t="str">
            <v>قالب عقب F12</v>
          </cell>
          <cell r="C628" t="str">
            <v>قالب نو</v>
          </cell>
          <cell r="N628" t="str">
            <v>وایر</v>
          </cell>
          <cell r="AC628" t="str">
            <v>1405/04/26</v>
          </cell>
        </row>
        <row r="629">
          <cell r="B629" t="str">
            <v>برشی نیوفیس C&amp;C</v>
          </cell>
          <cell r="C629" t="str">
            <v>قالب نو</v>
          </cell>
          <cell r="N629" t="str">
            <v>وایر</v>
          </cell>
          <cell r="AC629" t="str">
            <v>1405/04/26</v>
          </cell>
        </row>
        <row r="630">
          <cell r="B630" t="str">
            <v>قالب مینی بوس آریا</v>
          </cell>
          <cell r="C630" t="str">
            <v>قالب نو</v>
          </cell>
          <cell r="N630" t="str">
            <v>سوپر دریل</v>
          </cell>
          <cell r="AC630" t="str">
            <v>1405/04/26</v>
          </cell>
        </row>
        <row r="631">
          <cell r="B631" t="str">
            <v>قالب پخت کلاچ پژو 405</v>
          </cell>
          <cell r="C631" t="str">
            <v>قالب تعمیری</v>
          </cell>
          <cell r="N631" t="str">
            <v>مونتاژ</v>
          </cell>
          <cell r="AC631" t="str">
            <v>1405/04/26</v>
          </cell>
        </row>
        <row r="632">
          <cell r="B632" t="str">
            <v>پخت کلاچ پراید</v>
          </cell>
          <cell r="C632" t="str">
            <v>قالب تعمیری</v>
          </cell>
          <cell r="N632" t="str">
            <v>مونتاژ</v>
          </cell>
          <cell r="AC632" t="str">
            <v>1405/04/26</v>
          </cell>
        </row>
        <row r="633">
          <cell r="B633" t="str">
            <v>برشی نیوفیس C&amp;C</v>
          </cell>
          <cell r="C633" t="str">
            <v>قالب نو</v>
          </cell>
          <cell r="N633" t="str">
            <v>فرز</v>
          </cell>
          <cell r="AC633" t="str">
            <v>1405/04/27</v>
          </cell>
        </row>
        <row r="634">
          <cell r="B634" t="str">
            <v>دریل یزدخواستی کلاچ</v>
          </cell>
          <cell r="C634" t="str">
            <v>قطعه نو</v>
          </cell>
          <cell r="N634" t="str">
            <v>CNC</v>
          </cell>
          <cell r="AC634" t="str">
            <v>1405/04/27</v>
          </cell>
        </row>
        <row r="635">
          <cell r="B635" t="str">
            <v>دریل یزدخواستی کلاچ</v>
          </cell>
          <cell r="C635" t="str">
            <v>قطعه نو</v>
          </cell>
          <cell r="N635" t="str">
            <v>CNC</v>
          </cell>
          <cell r="AC635" t="str">
            <v>1405/04/27</v>
          </cell>
        </row>
        <row r="636">
          <cell r="B636" t="str">
            <v>پخت کلاچ پراید</v>
          </cell>
          <cell r="C636" t="str">
            <v>قالب تعمیری</v>
          </cell>
          <cell r="N636" t="str">
            <v>سنگ زنی</v>
          </cell>
          <cell r="AC636" t="str">
            <v>1405/04/27</v>
          </cell>
        </row>
        <row r="637">
          <cell r="B637" t="str">
            <v>برشی نیوفیس C&amp;C</v>
          </cell>
          <cell r="C637" t="str">
            <v>قالب نو</v>
          </cell>
          <cell r="N637" t="str">
            <v>سنگ زنی</v>
          </cell>
          <cell r="AC637" t="str">
            <v>1405/04/27</v>
          </cell>
        </row>
        <row r="638">
          <cell r="B638" t="str">
            <v>پخت کلاچ پراید</v>
          </cell>
          <cell r="C638" t="str">
            <v>قالب تعمیری</v>
          </cell>
          <cell r="N638" t="str">
            <v>CNC</v>
          </cell>
          <cell r="AC638" t="str">
            <v>1405/04/27</v>
          </cell>
        </row>
        <row r="639">
          <cell r="B639" t="str">
            <v>پخت کلاچ پراید</v>
          </cell>
          <cell r="C639" t="str">
            <v>قالب تعمیری</v>
          </cell>
          <cell r="N639" t="str">
            <v>CNC</v>
          </cell>
          <cell r="AC639" t="str">
            <v>1405/04/27</v>
          </cell>
        </row>
        <row r="640">
          <cell r="B640" t="str">
            <v xml:space="preserve">قالب پخت کلاچ پیکان </v>
          </cell>
          <cell r="C640" t="str">
            <v>قالب تعمیری</v>
          </cell>
          <cell r="N640" t="str">
            <v>فرز</v>
          </cell>
          <cell r="AC640" t="str">
            <v>1405/04/27</v>
          </cell>
        </row>
        <row r="641">
          <cell r="B641" t="str">
            <v>دسته پران لنت</v>
          </cell>
          <cell r="C641" t="str">
            <v>قطعه نو</v>
          </cell>
          <cell r="N641" t="str">
            <v>مونتاژ</v>
          </cell>
          <cell r="AC641" t="str">
            <v>1405/04/27</v>
          </cell>
        </row>
        <row r="642">
          <cell r="B642" t="str">
            <v>پخت کلاچ پراید</v>
          </cell>
          <cell r="C642" t="str">
            <v>قالب تعمیری</v>
          </cell>
          <cell r="N642" t="str">
            <v>مونتاژ</v>
          </cell>
          <cell r="AC642" t="str">
            <v>1405/04/27</v>
          </cell>
        </row>
        <row r="643">
          <cell r="B643" t="str">
            <v>سری نقطه جوش</v>
          </cell>
          <cell r="C643" t="str">
            <v>قطعه تعمیری</v>
          </cell>
          <cell r="N643" t="str">
            <v>تراش</v>
          </cell>
          <cell r="AC643" t="str">
            <v>1405/04/27</v>
          </cell>
        </row>
        <row r="644">
          <cell r="B644" t="str">
            <v>پخت کلاچ پراید</v>
          </cell>
          <cell r="C644" t="str">
            <v>قالب تعمیری</v>
          </cell>
          <cell r="N644" t="str">
            <v>تراش</v>
          </cell>
          <cell r="AC644" t="str">
            <v>1405/04/27</v>
          </cell>
        </row>
        <row r="645">
          <cell r="B645" t="str">
            <v>پخت کلاچ پراید</v>
          </cell>
          <cell r="C645" t="str">
            <v>قالب تعمیری</v>
          </cell>
          <cell r="N645" t="str">
            <v>تراش</v>
          </cell>
          <cell r="AC645" t="str">
            <v>1405/04/27</v>
          </cell>
        </row>
        <row r="646">
          <cell r="B646" t="str">
            <v>برشی نیوفیس C&amp;C</v>
          </cell>
          <cell r="C646" t="str">
            <v>قالب نو</v>
          </cell>
          <cell r="N646" t="str">
            <v>فرز</v>
          </cell>
          <cell r="AC646" t="str">
            <v>1405/04/27</v>
          </cell>
        </row>
        <row r="647">
          <cell r="B647" t="str">
            <v>لودر دیسکی  XGL 50</v>
          </cell>
          <cell r="C647" t="str">
            <v>قالب نو</v>
          </cell>
          <cell r="N647" t="str">
            <v>فرز</v>
          </cell>
          <cell r="AC647" t="str">
            <v>1405/04/27</v>
          </cell>
        </row>
        <row r="648">
          <cell r="B648" t="str">
            <v>لودر دیسکی  XGL 50</v>
          </cell>
          <cell r="C648" t="str">
            <v>قالب نو</v>
          </cell>
          <cell r="N648" t="str">
            <v>فرز</v>
          </cell>
          <cell r="AC648" t="str">
            <v>1405/04/27</v>
          </cell>
        </row>
        <row r="649">
          <cell r="B649" t="str">
            <v>Hammer Mill Machine</v>
          </cell>
          <cell r="C649" t="str">
            <v>قطعه تعمیری</v>
          </cell>
          <cell r="N649" t="str">
            <v>تراش</v>
          </cell>
          <cell r="AC649" t="str">
            <v>1405/04/27</v>
          </cell>
        </row>
        <row r="650">
          <cell r="B650" t="str">
            <v>دستگاه پرس پخت</v>
          </cell>
          <cell r="C650" t="str">
            <v>قطعه تعمیری</v>
          </cell>
          <cell r="N650" t="str">
            <v>تراش</v>
          </cell>
          <cell r="AC650" t="str">
            <v>1405/04/27</v>
          </cell>
        </row>
        <row r="651">
          <cell r="B651" t="str">
            <v>قالب پخت SAF</v>
          </cell>
          <cell r="C651" t="str">
            <v>قالب تعمیری</v>
          </cell>
          <cell r="N651" t="str">
            <v>تراش</v>
          </cell>
          <cell r="AC651" t="str">
            <v>1405/04/27</v>
          </cell>
        </row>
        <row r="652">
          <cell r="B652" t="str">
            <v>پخت کلاچ پراید</v>
          </cell>
          <cell r="C652" t="str">
            <v>قالب تعمیری</v>
          </cell>
          <cell r="N652" t="str">
            <v>مونتاژ</v>
          </cell>
          <cell r="AC652" t="str">
            <v>1405/04/27</v>
          </cell>
        </row>
        <row r="653">
          <cell r="B653" t="str">
            <v xml:space="preserve">قالب پخت کلاچ پیکان </v>
          </cell>
          <cell r="C653" t="str">
            <v>قالب تعمیری</v>
          </cell>
          <cell r="N653" t="str">
            <v>مونتاژ</v>
          </cell>
          <cell r="AC653" t="str">
            <v>1405/04/27</v>
          </cell>
        </row>
        <row r="654">
          <cell r="B654" t="str">
            <v>پخت کلاچ پراید</v>
          </cell>
          <cell r="C654" t="str">
            <v>قالب تعمیری</v>
          </cell>
          <cell r="N654" t="str">
            <v>مونتاژ</v>
          </cell>
          <cell r="AC654" t="str">
            <v>1405/04/27</v>
          </cell>
        </row>
        <row r="655">
          <cell r="B655" t="str">
            <v>دسته پران لنت</v>
          </cell>
          <cell r="C655" t="str">
            <v>قطعه نو</v>
          </cell>
          <cell r="N655" t="str">
            <v>مونتاژ</v>
          </cell>
          <cell r="AC655" t="str">
            <v>1405/04/27</v>
          </cell>
        </row>
        <row r="656">
          <cell r="B656" t="str">
            <v>پخت کلاچ پراید</v>
          </cell>
          <cell r="C656" t="str">
            <v>قالب تعمیری</v>
          </cell>
          <cell r="N656" t="str">
            <v>دریل رادیال</v>
          </cell>
          <cell r="AC656" t="str">
            <v>1405/04/27</v>
          </cell>
        </row>
        <row r="657">
          <cell r="B657" t="str">
            <v>پخت کلاچ پراید</v>
          </cell>
          <cell r="C657" t="str">
            <v>قالب تعمیری</v>
          </cell>
          <cell r="N657" t="str">
            <v>مونتاژ</v>
          </cell>
          <cell r="AC657" t="str">
            <v>1405/04/27</v>
          </cell>
        </row>
        <row r="658">
          <cell r="B658" t="str">
            <v>پخت کلاچ پراید</v>
          </cell>
          <cell r="C658" t="str">
            <v>قالب تعمیری</v>
          </cell>
          <cell r="N658" t="str">
            <v>مونتاژ</v>
          </cell>
          <cell r="AC658" t="str">
            <v>1405/04/27</v>
          </cell>
        </row>
        <row r="659">
          <cell r="B659" t="str">
            <v>پخت کلاچ پراید</v>
          </cell>
          <cell r="C659" t="str">
            <v>قالب تعمیری</v>
          </cell>
          <cell r="N659" t="str">
            <v>اره لنگ</v>
          </cell>
          <cell r="AC659" t="str">
            <v>1405/04/27</v>
          </cell>
        </row>
        <row r="660">
          <cell r="B660" t="str">
            <v>پخت کلاچ پراید</v>
          </cell>
          <cell r="C660" t="str">
            <v>قالب تعمیری</v>
          </cell>
          <cell r="N660" t="str">
            <v>مونتاژ</v>
          </cell>
          <cell r="AC660" t="str">
            <v>1405/04/27</v>
          </cell>
        </row>
        <row r="661">
          <cell r="B661" t="str">
            <v>قالب پخت کلاچ پژو 405</v>
          </cell>
          <cell r="C661" t="str">
            <v>قالب تعمیری</v>
          </cell>
          <cell r="N661" t="str">
            <v>وایر</v>
          </cell>
          <cell r="AC661" t="str">
            <v>1405/04/27</v>
          </cell>
        </row>
        <row r="662">
          <cell r="B662" t="str">
            <v>برشی نیوفیس C&amp;C</v>
          </cell>
          <cell r="C662" t="str">
            <v>قالب نو</v>
          </cell>
          <cell r="N662" t="str">
            <v>وایر</v>
          </cell>
          <cell r="AC662" t="str">
            <v>1405/04/27</v>
          </cell>
        </row>
        <row r="663">
          <cell r="B663" t="str">
            <v>دستگاه فرز</v>
          </cell>
          <cell r="C663" t="str">
            <v>قطعه تعمیری</v>
          </cell>
          <cell r="N663" t="str">
            <v>وایر</v>
          </cell>
          <cell r="AC663" t="str">
            <v>1405/04/27</v>
          </cell>
        </row>
        <row r="664">
          <cell r="B664" t="str">
            <v>لنت ترمز دیسكی جلو دیما(خم)</v>
          </cell>
          <cell r="C664" t="str">
            <v>قالب نو</v>
          </cell>
          <cell r="N664" t="str">
            <v>وایر</v>
          </cell>
          <cell r="AC664" t="str">
            <v>1405/04/27</v>
          </cell>
        </row>
        <row r="665">
          <cell r="B665" t="str">
            <v>قالب عقب F12</v>
          </cell>
          <cell r="C665" t="str">
            <v>قالب نو</v>
          </cell>
          <cell r="N665" t="str">
            <v>وایر</v>
          </cell>
          <cell r="AC665" t="str">
            <v>1405/04/27</v>
          </cell>
        </row>
        <row r="666">
          <cell r="B666" t="str">
            <v>قالب مینی بوس آریا</v>
          </cell>
          <cell r="C666" t="str">
            <v>قالب نو</v>
          </cell>
          <cell r="N666" t="str">
            <v>سوپر دریل</v>
          </cell>
          <cell r="AC666" t="str">
            <v>1405/04/27</v>
          </cell>
        </row>
        <row r="667">
          <cell r="B667" t="str">
            <v>پخت کلاچ پراید</v>
          </cell>
          <cell r="C667" t="str">
            <v>قالب تعمیری</v>
          </cell>
          <cell r="N667" t="str">
            <v>CNC</v>
          </cell>
          <cell r="AC667" t="str">
            <v>1405/04/28</v>
          </cell>
        </row>
        <row r="668">
          <cell r="B668" t="str">
            <v>لودر دیسکی  XGL 50</v>
          </cell>
          <cell r="C668" t="str">
            <v>قالب نو</v>
          </cell>
          <cell r="N668" t="str">
            <v>فرز</v>
          </cell>
          <cell r="AC668" t="str">
            <v>1405/04/28</v>
          </cell>
        </row>
        <row r="669">
          <cell r="B669" t="str">
            <v>برشی نیوفیس C&amp;C</v>
          </cell>
          <cell r="C669" t="str">
            <v>قالب نو</v>
          </cell>
          <cell r="N669" t="str">
            <v>فرز</v>
          </cell>
          <cell r="AC669" t="str">
            <v>1405/04/28</v>
          </cell>
        </row>
        <row r="670">
          <cell r="B670" t="str">
            <v>برشی نیوفیس C&amp;C</v>
          </cell>
          <cell r="C670" t="str">
            <v>قالب نو</v>
          </cell>
          <cell r="N670" t="str">
            <v>فرز</v>
          </cell>
          <cell r="AC670" t="str">
            <v>1405/04/28</v>
          </cell>
        </row>
        <row r="671">
          <cell r="B671" t="str">
            <v>دریل یزدخواستی کلاچ</v>
          </cell>
          <cell r="C671" t="str">
            <v>قطعه نو</v>
          </cell>
          <cell r="N671" t="str">
            <v>CNC</v>
          </cell>
          <cell r="AC671" t="str">
            <v>1405/04/28</v>
          </cell>
        </row>
        <row r="672">
          <cell r="B672" t="str">
            <v>برشی نیوفیس C&amp;C</v>
          </cell>
          <cell r="C672" t="str">
            <v>قالب نو</v>
          </cell>
          <cell r="N672" t="str">
            <v>CNC</v>
          </cell>
          <cell r="AC672" t="str">
            <v>1405/04/28</v>
          </cell>
        </row>
        <row r="673">
          <cell r="B673" t="str">
            <v xml:space="preserve">قالب پخت کلاچ پیکان </v>
          </cell>
          <cell r="C673" t="str">
            <v>قالب تعمیری</v>
          </cell>
          <cell r="N673" t="str">
            <v>فرز</v>
          </cell>
          <cell r="AC673" t="str">
            <v>1405/04/28</v>
          </cell>
        </row>
        <row r="674">
          <cell r="B674" t="str">
            <v xml:space="preserve">قالب پخت کلاچ پیکان </v>
          </cell>
          <cell r="C674" t="str">
            <v>قالب تعمیری</v>
          </cell>
          <cell r="N674" t="str">
            <v>تراش</v>
          </cell>
          <cell r="AC674" t="str">
            <v>1405/04/28</v>
          </cell>
        </row>
        <row r="675">
          <cell r="B675" t="str">
            <v>دستگاه پشم فلز آلمانی</v>
          </cell>
          <cell r="C675" t="str">
            <v>قطعه تعمیری</v>
          </cell>
          <cell r="N675" t="str">
            <v>تراش</v>
          </cell>
          <cell r="AC675" t="str">
            <v>1405/04/28</v>
          </cell>
        </row>
        <row r="676">
          <cell r="B676" t="str">
            <v>پخت کلاچ پراید</v>
          </cell>
          <cell r="C676" t="str">
            <v>قالب تعمیری</v>
          </cell>
          <cell r="N676" t="str">
            <v>مونتاژ</v>
          </cell>
          <cell r="AC676" t="str">
            <v>1405/04/28</v>
          </cell>
        </row>
        <row r="677">
          <cell r="B677" t="str">
            <v>قالب BPW تاجدار</v>
          </cell>
          <cell r="C677" t="str">
            <v>قالب تعمیری</v>
          </cell>
          <cell r="N677" t="str">
            <v>مونتاژ</v>
          </cell>
          <cell r="AC677" t="str">
            <v>1405/04/28</v>
          </cell>
        </row>
        <row r="678">
          <cell r="B678" t="str">
            <v>پخت کلاچ ایویکو سوراخدار</v>
          </cell>
          <cell r="C678" t="str">
            <v>قالب تعمیری</v>
          </cell>
          <cell r="N678" t="str">
            <v>مونتاژ</v>
          </cell>
          <cell r="AC678" t="str">
            <v>1405/04/28</v>
          </cell>
        </row>
        <row r="679">
          <cell r="B679" t="str">
            <v>پخت کلاچ پراید</v>
          </cell>
          <cell r="C679" t="str">
            <v>قالب تعمیری</v>
          </cell>
          <cell r="N679" t="str">
            <v>مونتاژ</v>
          </cell>
          <cell r="AC679" t="str">
            <v>1405/04/28</v>
          </cell>
        </row>
        <row r="680">
          <cell r="B680" t="str">
            <v>قالب ولوو سوپر</v>
          </cell>
          <cell r="C680" t="str">
            <v>قالب تعمیری</v>
          </cell>
          <cell r="N680" t="str">
            <v>مونتاژ</v>
          </cell>
          <cell r="AC680" t="str">
            <v>1405/04/28</v>
          </cell>
        </row>
        <row r="681">
          <cell r="B681" t="str">
            <v>ویوینگ</v>
          </cell>
          <cell r="C681" t="str">
            <v>قطعه تعمیری</v>
          </cell>
          <cell r="N681" t="str">
            <v>دریل رادیال</v>
          </cell>
          <cell r="AC681" t="str">
            <v>1405/04/28</v>
          </cell>
        </row>
        <row r="682">
          <cell r="B682" t="str">
            <v>پخت کلاچ پراید</v>
          </cell>
          <cell r="C682" t="str">
            <v>قالب تعمیری</v>
          </cell>
          <cell r="N682" t="str">
            <v>مونتاژ</v>
          </cell>
          <cell r="AC682" t="str">
            <v>1405/04/28</v>
          </cell>
        </row>
        <row r="683">
          <cell r="B683" t="str">
            <v>قالب ولوو سوپر</v>
          </cell>
          <cell r="C683" t="str">
            <v>قالب تعمیری</v>
          </cell>
          <cell r="N683" t="str">
            <v>مونتاژ</v>
          </cell>
          <cell r="AC683" t="str">
            <v>1405/04/28</v>
          </cell>
        </row>
        <row r="684">
          <cell r="B684" t="str">
            <v>پخت کلاچ پراید</v>
          </cell>
          <cell r="C684" t="str">
            <v>قالب تعمیری</v>
          </cell>
          <cell r="N684" t="str">
            <v>دریل رادیال</v>
          </cell>
          <cell r="AC684" t="str">
            <v>1405/04/28</v>
          </cell>
        </row>
        <row r="685">
          <cell r="B685" t="str">
            <v>پخت کلاچ پراید</v>
          </cell>
          <cell r="C685" t="str">
            <v>قالب تعمیری</v>
          </cell>
          <cell r="N685" t="str">
            <v>سنگ زنی</v>
          </cell>
          <cell r="AC685" t="str">
            <v>1405/04/28</v>
          </cell>
        </row>
        <row r="686">
          <cell r="B686" t="str">
            <v>قالب BPW تاجدار</v>
          </cell>
          <cell r="C686" t="str">
            <v>قالب تعمیری</v>
          </cell>
          <cell r="N686" t="str">
            <v>سنگ زنی</v>
          </cell>
          <cell r="AC686" t="str">
            <v>1405/04/28</v>
          </cell>
        </row>
        <row r="687">
          <cell r="B687" t="str">
            <v>قالب BPW تاجدار</v>
          </cell>
          <cell r="C687" t="str">
            <v>قالب تعمیری</v>
          </cell>
          <cell r="N687" t="str">
            <v>سنگ زنی</v>
          </cell>
          <cell r="AC687" t="str">
            <v>1405/04/28</v>
          </cell>
        </row>
        <row r="688">
          <cell r="B688" t="str">
            <v>برشی نیوفیس C&amp;C</v>
          </cell>
          <cell r="C688" t="str">
            <v>قالب نو</v>
          </cell>
          <cell r="N688" t="str">
            <v>سنگ زنی</v>
          </cell>
          <cell r="AC688" t="str">
            <v>1405/04/28</v>
          </cell>
        </row>
        <row r="689">
          <cell r="B689" t="str">
            <v>قالب توری SAF قدیم</v>
          </cell>
          <cell r="C689" t="str">
            <v>قالب تعمیری</v>
          </cell>
          <cell r="N689" t="str">
            <v>سنگ زنی</v>
          </cell>
          <cell r="AC689" t="str">
            <v>1405/04/28</v>
          </cell>
        </row>
        <row r="690">
          <cell r="B690" t="str">
            <v>قالب توری SAF قدیم</v>
          </cell>
          <cell r="C690" t="str">
            <v>قالب تعمیری</v>
          </cell>
          <cell r="N690" t="str">
            <v>سنگ زنی</v>
          </cell>
          <cell r="AC690" t="str">
            <v>1405/04/28</v>
          </cell>
        </row>
        <row r="691">
          <cell r="B691" t="str">
            <v>لنت ترمز دیسكی جلو دیما(خم)</v>
          </cell>
          <cell r="C691" t="str">
            <v>قالب نو</v>
          </cell>
          <cell r="N691" t="str">
            <v>سنگ زنی</v>
          </cell>
          <cell r="AC691" t="str">
            <v>1405/04/28</v>
          </cell>
        </row>
        <row r="692">
          <cell r="B692" t="str">
            <v>دستگاه پرس پخت</v>
          </cell>
          <cell r="C692" t="str">
            <v>قطعه تعمیری</v>
          </cell>
          <cell r="N692" t="str">
            <v>تراش</v>
          </cell>
          <cell r="AC692" t="str">
            <v>1405/04/28</v>
          </cell>
        </row>
        <row r="693">
          <cell r="B693" t="str">
            <v>دستگاه پشم فلز آلمانی</v>
          </cell>
          <cell r="C693" t="str">
            <v>قطعه تعمیری</v>
          </cell>
          <cell r="N693" t="str">
            <v>تراش</v>
          </cell>
          <cell r="AC693" t="str">
            <v>1405/04/28</v>
          </cell>
        </row>
        <row r="694">
          <cell r="B694" t="str">
            <v>دستگاه پشم فلز آلمانی</v>
          </cell>
          <cell r="C694" t="str">
            <v>قطعه نو</v>
          </cell>
          <cell r="N694" t="str">
            <v>تراش</v>
          </cell>
          <cell r="AC694" t="str">
            <v>1405/04/28</v>
          </cell>
        </row>
        <row r="695">
          <cell r="B695" t="str">
            <v>دستگاه پشم فلز آلمانی</v>
          </cell>
          <cell r="C695" t="str">
            <v>قطعه نو</v>
          </cell>
          <cell r="N695" t="str">
            <v>مونتاژ</v>
          </cell>
          <cell r="AC695" t="str">
            <v>1405/04/28</v>
          </cell>
        </row>
        <row r="696">
          <cell r="B696" t="str">
            <v>قالب پخت کلاچ پژو 405</v>
          </cell>
          <cell r="C696" t="str">
            <v>قالب تعمیری</v>
          </cell>
          <cell r="N696" t="str">
            <v>وایر</v>
          </cell>
          <cell r="AC696" t="str">
            <v>1405/04/28</v>
          </cell>
        </row>
        <row r="697">
          <cell r="B697" t="str">
            <v>قالب مینی بوس آریا</v>
          </cell>
          <cell r="C697" t="str">
            <v>قالب نو</v>
          </cell>
          <cell r="N697" t="str">
            <v>وایر</v>
          </cell>
          <cell r="AC697" t="str">
            <v>1405/04/28</v>
          </cell>
        </row>
        <row r="698">
          <cell r="B698" t="str">
            <v>لنت ترمز دیسكی جلو دیما(خم)</v>
          </cell>
          <cell r="C698" t="str">
            <v>قالب نو</v>
          </cell>
          <cell r="N698" t="str">
            <v>وایر</v>
          </cell>
          <cell r="AC698" t="str">
            <v>1405/04/28</v>
          </cell>
        </row>
        <row r="699">
          <cell r="B699" t="str">
            <v>قالب عقب F12</v>
          </cell>
          <cell r="C699" t="str">
            <v>قالب نو</v>
          </cell>
          <cell r="N699" t="str">
            <v>وایر</v>
          </cell>
          <cell r="AC699" t="str">
            <v>1405/04/28</v>
          </cell>
        </row>
        <row r="700">
          <cell r="B700" t="str">
            <v>قالب مینی بوس آریا</v>
          </cell>
          <cell r="C700" t="str">
            <v>قالب نو</v>
          </cell>
          <cell r="N700" t="str">
            <v>وایر</v>
          </cell>
          <cell r="AC700" t="str">
            <v>1405/04/28</v>
          </cell>
        </row>
        <row r="701">
          <cell r="B701" t="str">
            <v>لودر دیسکی  XGL 50</v>
          </cell>
          <cell r="C701" t="str">
            <v>قالب نو</v>
          </cell>
          <cell r="N701" t="str">
            <v>وایر</v>
          </cell>
          <cell r="AC701" t="str">
            <v>1405/04/28</v>
          </cell>
        </row>
        <row r="702">
          <cell r="B702" t="str">
            <v>لودر دیسکی  XGL 50</v>
          </cell>
          <cell r="C702" t="str">
            <v>قالب نو</v>
          </cell>
          <cell r="N702" t="str">
            <v>فرز</v>
          </cell>
          <cell r="AC702" t="str">
            <v>1405/04/29</v>
          </cell>
        </row>
        <row r="703">
          <cell r="B703" t="str">
            <v>برشی نیوفیس C&amp;C</v>
          </cell>
          <cell r="C703" t="str">
            <v>قالب نو</v>
          </cell>
          <cell r="N703" t="str">
            <v>CNC</v>
          </cell>
          <cell r="AC703" t="str">
            <v>1405/04/29</v>
          </cell>
        </row>
        <row r="704">
          <cell r="B704" t="str">
            <v>برشی نیوفیس C&amp;C</v>
          </cell>
          <cell r="C704" t="str">
            <v>قالب نو</v>
          </cell>
          <cell r="N704" t="str">
            <v>CNC</v>
          </cell>
          <cell r="AC704" t="str">
            <v>1405/04/29</v>
          </cell>
        </row>
        <row r="705">
          <cell r="B705" t="str">
            <v>پخت کلاچ پراید</v>
          </cell>
          <cell r="C705" t="str">
            <v>قالب تعمیری</v>
          </cell>
          <cell r="N705" t="str">
            <v>CNC</v>
          </cell>
          <cell r="AC705" t="str">
            <v>1405/04/29</v>
          </cell>
        </row>
        <row r="706">
          <cell r="B706" t="str">
            <v>پخت کلاچ پراید</v>
          </cell>
          <cell r="C706" t="str">
            <v>قالب تعمیری</v>
          </cell>
          <cell r="N706" t="str">
            <v>CNC</v>
          </cell>
          <cell r="AC706" t="str">
            <v>1405/04/29</v>
          </cell>
        </row>
        <row r="707">
          <cell r="B707" t="str">
            <v>دستگاه پشم فلز آلمانی</v>
          </cell>
          <cell r="C707" t="str">
            <v>قطعه تعمیری</v>
          </cell>
          <cell r="N707" t="str">
            <v>تراش</v>
          </cell>
          <cell r="AC707" t="str">
            <v>1405/04/29</v>
          </cell>
        </row>
        <row r="708">
          <cell r="B708" t="str">
            <v>دستگاه پرس پخت</v>
          </cell>
          <cell r="C708" t="str">
            <v>قطعه تعمیری</v>
          </cell>
          <cell r="N708" t="str">
            <v>تراش</v>
          </cell>
          <cell r="AC708" t="str">
            <v>1405/04/29</v>
          </cell>
        </row>
        <row r="709">
          <cell r="B709" t="str">
            <v>پخت کلاچ ایویکو سوراخدار</v>
          </cell>
          <cell r="C709" t="str">
            <v>قالب تعمیری</v>
          </cell>
          <cell r="N709" t="str">
            <v>مونتاژ</v>
          </cell>
          <cell r="AC709" t="str">
            <v>1405/04/29</v>
          </cell>
        </row>
        <row r="710">
          <cell r="B710" t="str">
            <v>قالب ولوو سوپر</v>
          </cell>
          <cell r="C710" t="str">
            <v>قالب تعمیری</v>
          </cell>
          <cell r="N710" t="str">
            <v>مونتاژ</v>
          </cell>
          <cell r="AC710" t="str">
            <v>1405/04/29</v>
          </cell>
        </row>
        <row r="711">
          <cell r="B711" t="str">
            <v xml:space="preserve">قالب پخت کلاچ پیکان </v>
          </cell>
          <cell r="C711" t="str">
            <v>قالب تعمیری</v>
          </cell>
          <cell r="N711" t="str">
            <v>فرز</v>
          </cell>
          <cell r="AC711" t="str">
            <v>1405/04/29</v>
          </cell>
        </row>
        <row r="712">
          <cell r="B712" t="str">
            <v>قالب ولوو سوپر</v>
          </cell>
          <cell r="C712" t="str">
            <v>قالب تعمیری</v>
          </cell>
          <cell r="N712" t="str">
            <v>مونتاژ</v>
          </cell>
          <cell r="AC712" t="str">
            <v>1405/04/29</v>
          </cell>
        </row>
        <row r="713">
          <cell r="B713" t="str">
            <v>برشی نیوفیس C&amp;C</v>
          </cell>
          <cell r="C713" t="str">
            <v>قالب نو</v>
          </cell>
          <cell r="N713" t="str">
            <v>سنگ زنی</v>
          </cell>
          <cell r="AC713" t="str">
            <v>1405/04/29</v>
          </cell>
        </row>
        <row r="714">
          <cell r="B714" t="str">
            <v>پخت کلاچ پراید</v>
          </cell>
          <cell r="C714" t="str">
            <v>قالب تعمیری</v>
          </cell>
          <cell r="N714" t="str">
            <v>مونتاژ</v>
          </cell>
          <cell r="AC714" t="str">
            <v>1405/04/29</v>
          </cell>
        </row>
        <row r="715">
          <cell r="B715" t="str">
            <v>قالب مینی بوس آریا</v>
          </cell>
          <cell r="C715" t="str">
            <v>قالب نو</v>
          </cell>
          <cell r="N715" t="str">
            <v>وایر</v>
          </cell>
          <cell r="AC715" t="str">
            <v>1405/04/29</v>
          </cell>
        </row>
        <row r="716">
          <cell r="B716" t="str">
            <v>لنت ترمز دیسكی جلو دیما(خم)</v>
          </cell>
          <cell r="C716" t="str">
            <v>قالب نو</v>
          </cell>
          <cell r="N716" t="str">
            <v>وایر</v>
          </cell>
          <cell r="AC716" t="str">
            <v>1405/04/29</v>
          </cell>
        </row>
        <row r="717">
          <cell r="B717" t="str">
            <v>قالب عقب F12</v>
          </cell>
          <cell r="C717" t="str">
            <v>قالب نو</v>
          </cell>
          <cell r="N717" t="str">
            <v>وایر</v>
          </cell>
          <cell r="AC717" t="str">
            <v>1405/04/29</v>
          </cell>
        </row>
        <row r="718">
          <cell r="B718" t="str">
            <v>Hammer Mill Machine</v>
          </cell>
          <cell r="C718" t="str">
            <v>قطعه تعمیری</v>
          </cell>
          <cell r="N718" t="str">
            <v>تراش</v>
          </cell>
          <cell r="AC718" t="str">
            <v>1405/04/29</v>
          </cell>
        </row>
        <row r="719">
          <cell r="B719" t="str">
            <v>دستگاه پرس پخت</v>
          </cell>
          <cell r="C719" t="str">
            <v>قطعه تعمیری</v>
          </cell>
          <cell r="N719" t="str">
            <v>تراش</v>
          </cell>
          <cell r="AC719" t="str">
            <v>1405/04/29</v>
          </cell>
        </row>
        <row r="720">
          <cell r="B720" t="str">
            <v>ویوینگ</v>
          </cell>
          <cell r="C720" t="str">
            <v>قطعه تعمیری</v>
          </cell>
          <cell r="N720" t="str">
            <v>تراش</v>
          </cell>
          <cell r="AC720" t="str">
            <v>1405/04/29</v>
          </cell>
        </row>
        <row r="721">
          <cell r="B721" t="str">
            <v>قالب ولوو سوپر</v>
          </cell>
          <cell r="C721" t="str">
            <v>قالب تعمیری</v>
          </cell>
          <cell r="N721" t="str">
            <v>مونتاژ</v>
          </cell>
          <cell r="AC721" t="str">
            <v>1405/04/29</v>
          </cell>
        </row>
        <row r="722">
          <cell r="B722" t="str">
            <v>برشی نیوفیس C&amp;C</v>
          </cell>
          <cell r="C722" t="str">
            <v>قالب نو</v>
          </cell>
          <cell r="N722" t="str">
            <v>سنگ زنی</v>
          </cell>
          <cell r="AC722" t="str">
            <v>1405/04/29</v>
          </cell>
        </row>
        <row r="723">
          <cell r="B723" t="str">
            <v>Hammer Mill Machine</v>
          </cell>
          <cell r="C723" t="str">
            <v>قطعه تعمیری</v>
          </cell>
          <cell r="N723" t="str">
            <v>دریل رادیال</v>
          </cell>
          <cell r="AC723" t="str">
            <v>1405/04/29</v>
          </cell>
        </row>
        <row r="724">
          <cell r="B724" t="str">
            <v>پخت کلاچ پراید</v>
          </cell>
          <cell r="C724" t="str">
            <v>قالب تعمیری</v>
          </cell>
          <cell r="N724" t="str">
            <v>مونتاژ</v>
          </cell>
          <cell r="AC724" t="str">
            <v>1405/04/29</v>
          </cell>
        </row>
        <row r="725">
          <cell r="B725" t="str">
            <v>برشی نیوفیس C&amp;C</v>
          </cell>
          <cell r="C725" t="str">
            <v>قالب نو</v>
          </cell>
          <cell r="N725" t="str">
            <v>سنگ زنی</v>
          </cell>
          <cell r="AC725" t="str">
            <v>1405/04/29</v>
          </cell>
        </row>
        <row r="726">
          <cell r="B726" t="str">
            <v>قالب ولوو سوپر</v>
          </cell>
          <cell r="C726" t="str">
            <v>قالب تعمیری</v>
          </cell>
          <cell r="N726" t="str">
            <v>سنگ زنی</v>
          </cell>
          <cell r="AC726" t="str">
            <v>1405/04/29</v>
          </cell>
        </row>
        <row r="727">
          <cell r="B727" t="str">
            <v>پخت کلاچ پراید</v>
          </cell>
          <cell r="C727" t="str">
            <v>قالب تعمیری</v>
          </cell>
          <cell r="N727" t="str">
            <v>سنگ زنی</v>
          </cell>
          <cell r="AC727" t="str">
            <v>1405/04/29</v>
          </cell>
        </row>
        <row r="728">
          <cell r="B728" t="str">
            <v>برشی نیوفیس C&amp;C</v>
          </cell>
          <cell r="C728" t="str">
            <v>قالب نو</v>
          </cell>
          <cell r="N728" t="str">
            <v>سنگ زنی</v>
          </cell>
          <cell r="AC728" t="str">
            <v>1405/04/29</v>
          </cell>
        </row>
        <row r="729">
          <cell r="B729" t="str">
            <v xml:space="preserve">قالب پخت کلاچ پیکان </v>
          </cell>
          <cell r="C729" t="str">
            <v>قالب تعمیری</v>
          </cell>
          <cell r="N729" t="str">
            <v>CNC</v>
          </cell>
          <cell r="AC729" t="str">
            <v>1405/04/30</v>
          </cell>
        </row>
        <row r="730">
          <cell r="B730" t="str">
            <v>Hammer Mill Machine</v>
          </cell>
          <cell r="C730" t="str">
            <v>قطعه نو</v>
          </cell>
          <cell r="N730" t="str">
            <v>فرز</v>
          </cell>
          <cell r="AC730" t="str">
            <v>1405/04/30</v>
          </cell>
        </row>
        <row r="731">
          <cell r="B731" t="str">
            <v>Hammer Mill Machine</v>
          </cell>
          <cell r="C731" t="str">
            <v>قطعه نو</v>
          </cell>
          <cell r="N731" t="str">
            <v>فرز</v>
          </cell>
          <cell r="AC731" t="str">
            <v>1405/04/30</v>
          </cell>
        </row>
        <row r="732">
          <cell r="B732" t="str">
            <v>Hammer Mill Machine</v>
          </cell>
          <cell r="C732" t="str">
            <v>قطعه نو</v>
          </cell>
          <cell r="N732" t="str">
            <v>فرز</v>
          </cell>
          <cell r="AC732" t="str">
            <v>1405/04/30</v>
          </cell>
        </row>
        <row r="733">
          <cell r="B733" t="str">
            <v>برشی نیوفیس C&amp;C</v>
          </cell>
          <cell r="C733" t="str">
            <v>قالب نو</v>
          </cell>
          <cell r="N733" t="str">
            <v>CNC</v>
          </cell>
          <cell r="AC733" t="str">
            <v>1405/04/30</v>
          </cell>
        </row>
        <row r="734">
          <cell r="B734" t="str">
            <v>برشی نیوفیس C&amp;C</v>
          </cell>
          <cell r="C734" t="str">
            <v>قالب نو</v>
          </cell>
          <cell r="N734" t="str">
            <v>CNC</v>
          </cell>
          <cell r="AC734" t="str">
            <v>1405/04/30</v>
          </cell>
        </row>
        <row r="735">
          <cell r="B735" t="str">
            <v>دستگاه پرس پخت</v>
          </cell>
          <cell r="C735" t="str">
            <v>قطعه تعمیری</v>
          </cell>
          <cell r="N735" t="str">
            <v>تراش</v>
          </cell>
          <cell r="AC735" t="str">
            <v>1405/04/30</v>
          </cell>
        </row>
        <row r="736">
          <cell r="B736" t="str">
            <v>ویوینگ</v>
          </cell>
          <cell r="C736" t="str">
            <v>قطعه تعمیری</v>
          </cell>
          <cell r="N736" t="str">
            <v>تراش</v>
          </cell>
          <cell r="AC736" t="str">
            <v>1405/04/30</v>
          </cell>
        </row>
        <row r="737">
          <cell r="B737" t="str">
            <v>دستگاه پرس پخت</v>
          </cell>
          <cell r="C737" t="str">
            <v>قطعه نو</v>
          </cell>
          <cell r="N737" t="str">
            <v>تراش</v>
          </cell>
          <cell r="AC737" t="str">
            <v>1405/04/30</v>
          </cell>
        </row>
        <row r="738">
          <cell r="B738" t="str">
            <v>ایسوزو 6 تن</v>
          </cell>
          <cell r="C738" t="str">
            <v>قالب تعمیری</v>
          </cell>
          <cell r="N738" t="str">
            <v>تراش</v>
          </cell>
          <cell r="AC738" t="str">
            <v>1405/04/30</v>
          </cell>
        </row>
        <row r="739">
          <cell r="B739" t="str">
            <v>ایسوزو 6 تن</v>
          </cell>
          <cell r="C739" t="str">
            <v>قالب تعمیری</v>
          </cell>
          <cell r="N739" t="str">
            <v>تراش</v>
          </cell>
          <cell r="AC739" t="str">
            <v>1405/04/30</v>
          </cell>
        </row>
        <row r="740">
          <cell r="B740" t="str">
            <v xml:space="preserve">قالب پخت کلاچ پیکان </v>
          </cell>
          <cell r="C740" t="str">
            <v>قالب تعمیری</v>
          </cell>
          <cell r="N740" t="str">
            <v>فرز</v>
          </cell>
          <cell r="AC740" t="str">
            <v>1405/04/30</v>
          </cell>
        </row>
        <row r="741">
          <cell r="B741" t="str">
            <v>پایه پرچ لنت نیسان</v>
          </cell>
          <cell r="C741" t="str">
            <v>قطعه نو</v>
          </cell>
          <cell r="N741" t="str">
            <v>اره لنگ</v>
          </cell>
          <cell r="AC741" t="str">
            <v>1405/04/30</v>
          </cell>
        </row>
        <row r="742">
          <cell r="B742" t="str">
            <v>Hammer Mill Machine</v>
          </cell>
          <cell r="C742" t="str">
            <v>قطعه نو</v>
          </cell>
          <cell r="N742" t="str">
            <v>اره لنگ</v>
          </cell>
          <cell r="AC742" t="str">
            <v>1405/04/30</v>
          </cell>
        </row>
        <row r="743">
          <cell r="B743" t="str">
            <v>Hammer Mill Machine</v>
          </cell>
          <cell r="C743" t="str">
            <v>قطعه نو</v>
          </cell>
          <cell r="N743" t="str">
            <v>مونتاژ</v>
          </cell>
          <cell r="AC743" t="str">
            <v>1405/04/30</v>
          </cell>
        </row>
        <row r="744">
          <cell r="B744" t="str">
            <v>ده تن سوراخدار</v>
          </cell>
          <cell r="C744" t="str">
            <v>قالب تعمیری</v>
          </cell>
          <cell r="N744" t="str">
            <v>مونتاژ</v>
          </cell>
          <cell r="AC744" t="str">
            <v>1405/04/30</v>
          </cell>
        </row>
        <row r="745">
          <cell r="B745" t="str">
            <v>پخت کلاچ اینترکولر</v>
          </cell>
          <cell r="C745" t="str">
            <v>قالب تعمیری</v>
          </cell>
          <cell r="N745" t="str">
            <v>مونتاژ</v>
          </cell>
          <cell r="AC745" t="str">
            <v>1405/04/30</v>
          </cell>
        </row>
        <row r="746">
          <cell r="B746" t="str">
            <v>پخت کلاچ پراید</v>
          </cell>
          <cell r="C746" t="str">
            <v>قالب تعمیری</v>
          </cell>
          <cell r="N746" t="str">
            <v>مونتاژ</v>
          </cell>
          <cell r="AC746" t="str">
            <v>1405/04/30</v>
          </cell>
        </row>
        <row r="747">
          <cell r="B747" t="str">
            <v>پخت کلاچ پراید</v>
          </cell>
          <cell r="C747" t="str">
            <v>قالب تعمیری</v>
          </cell>
          <cell r="N747" t="str">
            <v>مونتاژ</v>
          </cell>
          <cell r="AC747" t="str">
            <v>1405/04/30</v>
          </cell>
        </row>
        <row r="748">
          <cell r="B748" t="str">
            <v>جلو ریو</v>
          </cell>
          <cell r="C748" t="str">
            <v>قالب تعمیری</v>
          </cell>
          <cell r="N748" t="str">
            <v>مونتاژ</v>
          </cell>
          <cell r="AC748" t="str">
            <v>1405/04/30</v>
          </cell>
        </row>
        <row r="749">
          <cell r="B749" t="str">
            <v>Hammer Mill Machine</v>
          </cell>
          <cell r="C749" t="str">
            <v>قطعه نو</v>
          </cell>
          <cell r="N749" t="str">
            <v>مونتاژ</v>
          </cell>
          <cell r="AC749" t="str">
            <v>1405/04/30</v>
          </cell>
        </row>
        <row r="750">
          <cell r="B750" t="str">
            <v>ایسوزو 6 تن</v>
          </cell>
          <cell r="C750" t="str">
            <v>قالب تعمیری</v>
          </cell>
          <cell r="N750" t="str">
            <v>مونتاژ</v>
          </cell>
          <cell r="AC750" t="str">
            <v>1405/04/30</v>
          </cell>
        </row>
        <row r="751">
          <cell r="B751" t="str">
            <v>ایسوزو 6 تن</v>
          </cell>
          <cell r="C751" t="str">
            <v>قالب تعمیری</v>
          </cell>
          <cell r="N751" t="str">
            <v>دریل رادیال</v>
          </cell>
          <cell r="AC751" t="str">
            <v>1405/04/30</v>
          </cell>
        </row>
        <row r="752">
          <cell r="B752" t="str">
            <v>ایسوزو 6 تن</v>
          </cell>
          <cell r="C752" t="str">
            <v>قالب تعمیری</v>
          </cell>
          <cell r="N752" t="str">
            <v>دریل رادیال</v>
          </cell>
          <cell r="AC752" t="str">
            <v>1405/04/30</v>
          </cell>
        </row>
        <row r="753">
          <cell r="B753" t="str">
            <v>ده تن سوراخدار</v>
          </cell>
          <cell r="C753" t="str">
            <v>قالب تعمیری</v>
          </cell>
          <cell r="N753" t="str">
            <v>مونتاژ</v>
          </cell>
          <cell r="AC753" t="str">
            <v>1405/04/30</v>
          </cell>
        </row>
        <row r="754">
          <cell r="B754" t="str">
            <v>پخت کلاچ اینترکولر</v>
          </cell>
          <cell r="C754" t="str">
            <v>قالب تعمیری</v>
          </cell>
          <cell r="N754" t="str">
            <v>مونتاژ</v>
          </cell>
          <cell r="AC754" t="str">
            <v>1405/04/30</v>
          </cell>
        </row>
        <row r="755">
          <cell r="B755" t="str">
            <v>برشی نیوفیس C&amp;C</v>
          </cell>
          <cell r="C755" t="str">
            <v>قالب نو</v>
          </cell>
          <cell r="N755" t="str">
            <v>سنگ زنی</v>
          </cell>
          <cell r="AC755" t="str">
            <v>1405/04/30</v>
          </cell>
        </row>
        <row r="756">
          <cell r="B756" t="str">
            <v>برشی نیوفیس C&amp;C</v>
          </cell>
          <cell r="C756" t="str">
            <v>قالب نو</v>
          </cell>
          <cell r="N756" t="str">
            <v>سنگ زنی</v>
          </cell>
          <cell r="AC756" t="str">
            <v>1405/04/30</v>
          </cell>
        </row>
        <row r="757">
          <cell r="B757" t="str">
            <v>قالب توری SAF قدیم</v>
          </cell>
          <cell r="C757" t="str">
            <v>قالب تعمیری</v>
          </cell>
          <cell r="N757" t="str">
            <v>سنگ زنی</v>
          </cell>
          <cell r="AC757" t="str">
            <v>1405/04/30</v>
          </cell>
        </row>
        <row r="758">
          <cell r="B758" t="str">
            <v>قالب توری SAF قدیم</v>
          </cell>
          <cell r="C758" t="str">
            <v>قالب تعمیری</v>
          </cell>
          <cell r="N758" t="str">
            <v>سنگ زنی</v>
          </cell>
          <cell r="AC758" t="str">
            <v>1405/04/30</v>
          </cell>
        </row>
        <row r="759">
          <cell r="B759" t="str">
            <v>پخت کلاچ پراید</v>
          </cell>
          <cell r="C759" t="str">
            <v>قالب تعمیری</v>
          </cell>
          <cell r="N759" t="str">
            <v>سنگ زنی</v>
          </cell>
          <cell r="AC759" t="str">
            <v>1405/04/30</v>
          </cell>
        </row>
        <row r="760">
          <cell r="B760" t="str">
            <v>Hammer Mill Machine</v>
          </cell>
          <cell r="C760" t="str">
            <v>قطعه نو</v>
          </cell>
          <cell r="N760" t="str">
            <v>فرز</v>
          </cell>
          <cell r="AC760" t="str">
            <v>1405/04/31</v>
          </cell>
        </row>
        <row r="761">
          <cell r="B761" t="str">
            <v>Hammer Mill Machine</v>
          </cell>
          <cell r="C761" t="str">
            <v>قطعه تعمیری</v>
          </cell>
          <cell r="N761" t="str">
            <v>تراش</v>
          </cell>
          <cell r="AC761" t="str">
            <v>1405/04/31</v>
          </cell>
        </row>
        <row r="762">
          <cell r="B762" t="str">
            <v xml:space="preserve">قالب پخت کلاچ پیکان </v>
          </cell>
          <cell r="C762" t="str">
            <v>قالب تعمیری</v>
          </cell>
          <cell r="N762" t="str">
            <v>CNC</v>
          </cell>
          <cell r="AC762" t="str">
            <v>1405/04/31</v>
          </cell>
        </row>
        <row r="763">
          <cell r="B763" t="str">
            <v xml:space="preserve">قالب پخت کلاچ پیکان </v>
          </cell>
          <cell r="C763" t="str">
            <v>قالب تعمیری</v>
          </cell>
          <cell r="N763" t="str">
            <v>CNC</v>
          </cell>
          <cell r="AC763" t="str">
            <v>1405/04/31</v>
          </cell>
        </row>
        <row r="764">
          <cell r="B764" t="str">
            <v>برشی نیوفیس C&amp;C</v>
          </cell>
          <cell r="C764" t="str">
            <v>قالب نو</v>
          </cell>
          <cell r="N764" t="str">
            <v>CNC</v>
          </cell>
          <cell r="AC764" t="str">
            <v>1405/04/31</v>
          </cell>
        </row>
        <row r="765">
          <cell r="B765" t="str">
            <v>سوراخکاری پیلسان</v>
          </cell>
          <cell r="C765" t="str">
            <v>قطعه نو</v>
          </cell>
          <cell r="N765" t="str">
            <v>CNC</v>
          </cell>
          <cell r="AC765" t="str">
            <v>1405/04/31</v>
          </cell>
        </row>
        <row r="766">
          <cell r="B766" t="str">
            <v>ویوینگ</v>
          </cell>
          <cell r="C766" t="str">
            <v>قطعه تعمیری</v>
          </cell>
          <cell r="N766" t="str">
            <v>فرز</v>
          </cell>
          <cell r="AC766" t="str">
            <v>1405/04/31</v>
          </cell>
        </row>
        <row r="767">
          <cell r="B767" t="str">
            <v>دستگاه پشم فلز</v>
          </cell>
          <cell r="C767" t="str">
            <v>قطعه تعمیری</v>
          </cell>
          <cell r="N767" t="str">
            <v>فرز</v>
          </cell>
          <cell r="AC767" t="str">
            <v>1405/04/31</v>
          </cell>
        </row>
        <row r="768">
          <cell r="B768" t="str">
            <v>پخت کلاچ اینترکولر</v>
          </cell>
          <cell r="C768" t="str">
            <v>قالب تعمیری</v>
          </cell>
          <cell r="N768" t="str">
            <v>مونتاژ</v>
          </cell>
          <cell r="AC768" t="str">
            <v>1405/04/31</v>
          </cell>
        </row>
        <row r="769">
          <cell r="B769" t="str">
            <v>قالب ولوو سوپر</v>
          </cell>
          <cell r="C769" t="str">
            <v>قالب تعمیری</v>
          </cell>
          <cell r="N769" t="str">
            <v>اره لنگ</v>
          </cell>
          <cell r="AC769" t="str">
            <v>1405/04/31</v>
          </cell>
        </row>
        <row r="770">
          <cell r="B770" t="str">
            <v xml:space="preserve">قالب پخت کلاچ پیکان </v>
          </cell>
          <cell r="C770" t="str">
            <v>قالب تعمیری</v>
          </cell>
          <cell r="N770" t="str">
            <v>مونتاژ</v>
          </cell>
          <cell r="AC770" t="str">
            <v>1405/04/31</v>
          </cell>
        </row>
        <row r="771">
          <cell r="B771" t="str">
            <v>ایسوزو 6 تن</v>
          </cell>
          <cell r="C771" t="str">
            <v>قالب تعمیری</v>
          </cell>
          <cell r="N771" t="str">
            <v>مونتاژ</v>
          </cell>
          <cell r="AC771" t="str">
            <v>1405/04/31</v>
          </cell>
        </row>
        <row r="772">
          <cell r="B772" t="str">
            <v>شمش پراید</v>
          </cell>
          <cell r="C772" t="str">
            <v>قالب نو</v>
          </cell>
          <cell r="N772" t="str">
            <v>دریل رادیال</v>
          </cell>
          <cell r="AC772" t="str">
            <v>1405/04/31</v>
          </cell>
        </row>
        <row r="773">
          <cell r="B773" t="str">
            <v>دریل یزدخواستی کلاچ</v>
          </cell>
          <cell r="C773" t="str">
            <v>قطعه نو</v>
          </cell>
          <cell r="N773" t="str">
            <v>دریل رادیال</v>
          </cell>
          <cell r="AC773" t="str">
            <v>1405/04/31</v>
          </cell>
        </row>
        <row r="774">
          <cell r="B774" t="str">
            <v xml:space="preserve">قالب پخت کلاچ پیکان </v>
          </cell>
          <cell r="C774" t="str">
            <v>قالب تعمیری</v>
          </cell>
          <cell r="N774" t="str">
            <v>مونتاژ</v>
          </cell>
          <cell r="AC774" t="str">
            <v>1405/04/31</v>
          </cell>
        </row>
        <row r="775">
          <cell r="B775" t="str">
            <v>ایسوزو 6 تن</v>
          </cell>
          <cell r="C775" t="str">
            <v>قالب تعمیری</v>
          </cell>
          <cell r="N775" t="str">
            <v>تراش</v>
          </cell>
          <cell r="AC775" t="str">
            <v>1405/04/31</v>
          </cell>
        </row>
        <row r="776">
          <cell r="B776" t="str">
            <v>شمش پراید</v>
          </cell>
          <cell r="C776" t="str">
            <v>قالب نو</v>
          </cell>
          <cell r="N776" t="str">
            <v>تراش</v>
          </cell>
          <cell r="AC776" t="str">
            <v>1405/04/31</v>
          </cell>
        </row>
        <row r="777">
          <cell r="B777" t="str">
            <v>Hammer Mill Machine</v>
          </cell>
          <cell r="C777" t="str">
            <v>قطعه نو</v>
          </cell>
          <cell r="N777" t="str">
            <v>تراش</v>
          </cell>
          <cell r="AC777" t="str">
            <v>1405/04/31</v>
          </cell>
        </row>
        <row r="778">
          <cell r="B778" t="str">
            <v xml:space="preserve">قالب پخت کلاچ پیکان </v>
          </cell>
          <cell r="C778" t="str">
            <v>قالب تعمیری</v>
          </cell>
          <cell r="N778" t="str">
            <v>تراش</v>
          </cell>
          <cell r="AC778" t="str">
            <v>1405/04/31</v>
          </cell>
        </row>
        <row r="779">
          <cell r="B779" t="str">
            <v>قالب مینی بوس آریا</v>
          </cell>
          <cell r="C779" t="str">
            <v>قالب نو</v>
          </cell>
          <cell r="N779" t="str">
            <v>وایر</v>
          </cell>
          <cell r="AC779" t="str">
            <v>1405/04/31</v>
          </cell>
        </row>
        <row r="780">
          <cell r="B780" t="str">
            <v>برشی نیوفیس C&amp;C</v>
          </cell>
          <cell r="C780" t="str">
            <v>قالب نو</v>
          </cell>
          <cell r="N780" t="str">
            <v>وایر</v>
          </cell>
          <cell r="AC780" t="str">
            <v>1405/04/31</v>
          </cell>
        </row>
        <row r="781">
          <cell r="B781" t="str">
            <v>قالب کوبه نک SAF</v>
          </cell>
          <cell r="C781" t="str">
            <v>قالب تعمیری</v>
          </cell>
          <cell r="N781" t="str">
            <v>وایر</v>
          </cell>
          <cell r="AC781" t="str">
            <v>1405/04/31</v>
          </cell>
        </row>
        <row r="782">
          <cell r="B782" t="str">
            <v>قالب پخت کلاچ پژو 405</v>
          </cell>
          <cell r="C782" t="str">
            <v>قالب تعمیری</v>
          </cell>
          <cell r="N782" t="str">
            <v>وایر</v>
          </cell>
          <cell r="AC782" t="str">
            <v>1405/04/31</v>
          </cell>
        </row>
        <row r="783">
          <cell r="B783" t="str">
            <v>دستگاه فرز</v>
          </cell>
          <cell r="C783" t="str">
            <v>قطعه تعمیری</v>
          </cell>
          <cell r="N783" t="str">
            <v>وایر</v>
          </cell>
          <cell r="AC783" t="str">
            <v>1405/04/31</v>
          </cell>
        </row>
        <row r="784">
          <cell r="B784" t="str">
            <v>قالب عقب F12</v>
          </cell>
          <cell r="C784" t="str">
            <v>قالب نو</v>
          </cell>
          <cell r="N784" t="str">
            <v>وایر</v>
          </cell>
          <cell r="AC784" t="str">
            <v>1405/04/31</v>
          </cell>
        </row>
        <row r="785">
          <cell r="B785" t="str">
            <v>دستگاه پرس پخت</v>
          </cell>
          <cell r="C785" t="str">
            <v>قطعه تعمیری</v>
          </cell>
          <cell r="N785" t="str">
            <v>تراش</v>
          </cell>
          <cell r="AC785" t="str">
            <v>1405/04/31</v>
          </cell>
        </row>
        <row r="786">
          <cell r="B786" t="str">
            <v>ویوینگ</v>
          </cell>
          <cell r="C786" t="str">
            <v>قطعه تعمیری</v>
          </cell>
          <cell r="N786" t="str">
            <v>تراش</v>
          </cell>
          <cell r="AC786" t="str">
            <v>1405/04/31</v>
          </cell>
        </row>
        <row r="787">
          <cell r="B787" t="str">
            <v>ویوینگ</v>
          </cell>
          <cell r="C787" t="str">
            <v>قطعه تعمیری</v>
          </cell>
          <cell r="N787" t="str">
            <v>مونتاژ</v>
          </cell>
          <cell r="AC787" t="str">
            <v>1405/04/31</v>
          </cell>
        </row>
        <row r="788">
          <cell r="B788" t="str">
            <v>دستگاه پرس پخت</v>
          </cell>
          <cell r="C788" t="str">
            <v>قطعه تعمیری</v>
          </cell>
          <cell r="N788" t="str">
            <v>تراش</v>
          </cell>
          <cell r="AC788" t="str">
            <v>1405/04/31</v>
          </cell>
        </row>
        <row r="789">
          <cell r="B789" t="str">
            <v>دستگاه پرس پخت</v>
          </cell>
          <cell r="C789" t="str">
            <v>قطعه تعمیری</v>
          </cell>
          <cell r="N789" t="str">
            <v>تراش</v>
          </cell>
          <cell r="AC789" t="str">
            <v>1405/04/31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/>
      <sheetData sheetId="1"/>
      <sheetData sheetId="2"/>
      <sheetData sheetId="3"/>
      <sheetData sheetId="4">
        <row r="4">
          <cell r="B4" t="str">
            <v>شمش پراید</v>
          </cell>
          <cell r="C4" t="str">
            <v>قالب نو</v>
          </cell>
          <cell r="AC4" t="str">
            <v>1405/05/01</v>
          </cell>
        </row>
        <row r="5">
          <cell r="B5" t="str">
            <v xml:space="preserve">قالب پخت کلاچ پیکان </v>
          </cell>
          <cell r="C5" t="str">
            <v>قالب تعمیری</v>
          </cell>
          <cell r="AC5" t="str">
            <v>1405/05/01</v>
          </cell>
        </row>
        <row r="6">
          <cell r="B6" t="str">
            <v>قالب ولوو سوپر</v>
          </cell>
          <cell r="C6" t="str">
            <v>قالب تعمیری</v>
          </cell>
          <cell r="AC6" t="str">
            <v>1405/05/01</v>
          </cell>
        </row>
        <row r="7">
          <cell r="B7" t="str">
            <v>اصول 5S</v>
          </cell>
          <cell r="C7" t="str">
            <v>نظافت</v>
          </cell>
          <cell r="AC7" t="str">
            <v>1405/05/01</v>
          </cell>
        </row>
        <row r="8">
          <cell r="B8" t="str">
            <v>اصول 5S</v>
          </cell>
          <cell r="C8" t="str">
            <v>نظافت</v>
          </cell>
          <cell r="AC8" t="str">
            <v>1405/05/01</v>
          </cell>
        </row>
        <row r="9">
          <cell r="B9" t="str">
            <v xml:space="preserve">قالب پخت کلاچ پیکان </v>
          </cell>
          <cell r="C9" t="str">
            <v>قالب تعمیری</v>
          </cell>
          <cell r="AC9" t="str">
            <v>1405/05/01</v>
          </cell>
        </row>
        <row r="10">
          <cell r="B10" t="str">
            <v xml:space="preserve">قالب پخت کلاچ پیکان </v>
          </cell>
          <cell r="C10" t="str">
            <v>قالب تعمیری</v>
          </cell>
          <cell r="AC10" t="str">
            <v>1405/05/01</v>
          </cell>
        </row>
        <row r="11">
          <cell r="B11" t="str">
            <v xml:space="preserve">قالب پخت کلاچ پیکان </v>
          </cell>
          <cell r="C11" t="str">
            <v>قالب تعمیری</v>
          </cell>
          <cell r="AC11" t="str">
            <v>1405/05/01</v>
          </cell>
        </row>
        <row r="12">
          <cell r="B12" t="str">
            <v xml:space="preserve">قالب پخت کلاچ پیکان </v>
          </cell>
          <cell r="C12" t="str">
            <v>قالب تعمیری</v>
          </cell>
          <cell r="AC12" t="str">
            <v>1405/05/01</v>
          </cell>
        </row>
        <row r="13">
          <cell r="B13" t="str">
            <v>اصول 5S</v>
          </cell>
          <cell r="C13" t="str">
            <v>نظافت</v>
          </cell>
          <cell r="AC13" t="str">
            <v>1405/05/01</v>
          </cell>
        </row>
        <row r="14">
          <cell r="B14" t="str">
            <v>ایسوزو 6 تن</v>
          </cell>
          <cell r="C14" t="str">
            <v>قالب تعمیری</v>
          </cell>
          <cell r="AC14" t="str">
            <v>1405/05/01</v>
          </cell>
        </row>
        <row r="15">
          <cell r="B15" t="str">
            <v>سری نقطه جوش</v>
          </cell>
          <cell r="C15" t="str">
            <v>قطعه تعمیری</v>
          </cell>
          <cell r="AC15" t="str">
            <v>1405/05/01</v>
          </cell>
        </row>
        <row r="16">
          <cell r="B16" t="str">
            <v>اصول 5S</v>
          </cell>
          <cell r="C16" t="str">
            <v>نظافت</v>
          </cell>
          <cell r="AC16" t="str">
            <v>1405/05/01</v>
          </cell>
        </row>
        <row r="17">
          <cell r="B17" t="str">
            <v>دستگاه پرس پخت</v>
          </cell>
          <cell r="C17" t="str">
            <v>قطعه تعمیری</v>
          </cell>
          <cell r="AC17" t="str">
            <v>1405/05/01</v>
          </cell>
        </row>
        <row r="18">
          <cell r="B18" t="str">
            <v>دیتگاه وایر</v>
          </cell>
          <cell r="C18" t="str">
            <v>قطعه نو</v>
          </cell>
          <cell r="AC18" t="str">
            <v>1405/05/01</v>
          </cell>
        </row>
        <row r="19">
          <cell r="B19" t="str">
            <v>قالب پخت کلاچ پژو 405</v>
          </cell>
          <cell r="C19" t="str">
            <v>قالب تعمیری</v>
          </cell>
          <cell r="AC19" t="str">
            <v>1405/05/01</v>
          </cell>
        </row>
        <row r="20">
          <cell r="B20" t="str">
            <v>اصول 5S</v>
          </cell>
          <cell r="C20" t="str">
            <v>نظافت</v>
          </cell>
          <cell r="AC20" t="str">
            <v>1405/05/01</v>
          </cell>
        </row>
        <row r="21">
          <cell r="B21" t="str">
            <v>قالب مینی بوس آریا</v>
          </cell>
          <cell r="C21" t="str">
            <v>قالب نو</v>
          </cell>
          <cell r="AC21" t="str">
            <v>1405/05/01</v>
          </cell>
        </row>
        <row r="22">
          <cell r="B22" t="str">
            <v>قالب پخت کلاچ پژو 405</v>
          </cell>
          <cell r="C22" t="str">
            <v>قالب تعمیری</v>
          </cell>
          <cell r="AC22" t="str">
            <v>1405/05/01</v>
          </cell>
        </row>
        <row r="23">
          <cell r="B23" t="str">
            <v>قلم پژو 405</v>
          </cell>
          <cell r="C23" t="str">
            <v>قطعه تعمیری</v>
          </cell>
          <cell r="AC23" t="str">
            <v>1405/05/01</v>
          </cell>
        </row>
        <row r="24">
          <cell r="B24" t="str">
            <v>قالب عقب F12</v>
          </cell>
          <cell r="C24" t="str">
            <v>قالب تعمیری</v>
          </cell>
          <cell r="AC24" t="str">
            <v>1405/05/01</v>
          </cell>
        </row>
        <row r="25">
          <cell r="B25" t="str">
            <v xml:space="preserve">قالب پخت کلاچ پیکان </v>
          </cell>
          <cell r="C25" t="str">
            <v>قالب تعمیری</v>
          </cell>
          <cell r="AC25" t="str">
            <v>1405/05/01</v>
          </cell>
        </row>
        <row r="26">
          <cell r="B26" t="str">
            <v>رادیاتور آغشته کاری</v>
          </cell>
          <cell r="C26" t="str">
            <v>قطعه تعمیری</v>
          </cell>
          <cell r="AC26" t="str">
            <v>1405/05/01</v>
          </cell>
        </row>
        <row r="27">
          <cell r="B27" t="str">
            <v>ویوینگ</v>
          </cell>
          <cell r="C27" t="str">
            <v>قطعه تعمیری</v>
          </cell>
          <cell r="AC27" t="str">
            <v>1405/05/01</v>
          </cell>
        </row>
        <row r="28">
          <cell r="B28" t="str">
            <v>ایسوزو 6 تن</v>
          </cell>
          <cell r="C28" t="str">
            <v>قالب تعمیری</v>
          </cell>
          <cell r="AC28" t="str">
            <v>1405/05/01</v>
          </cell>
        </row>
        <row r="29">
          <cell r="B29" t="str">
            <v>برشی نیوفیس C&amp;C</v>
          </cell>
          <cell r="C29" t="str">
            <v>قالب نو</v>
          </cell>
          <cell r="AC29" t="str">
            <v>1405/05/01</v>
          </cell>
        </row>
        <row r="30">
          <cell r="B30" t="str">
            <v>قالب ولوو سوپر</v>
          </cell>
          <cell r="C30" t="str">
            <v>قالب تعمیری</v>
          </cell>
          <cell r="AC30" t="str">
            <v>1405/05/03</v>
          </cell>
        </row>
        <row r="31">
          <cell r="B31" t="str">
            <v>قالب ولوو سوپر</v>
          </cell>
          <cell r="C31" t="str">
            <v>قالب تعمیری</v>
          </cell>
          <cell r="AC31" t="str">
            <v>1405/05/03</v>
          </cell>
        </row>
        <row r="32">
          <cell r="B32" t="str">
            <v>برشی نیوفیس C&amp;C</v>
          </cell>
          <cell r="C32" t="str">
            <v>قالب نو</v>
          </cell>
          <cell r="AC32" t="str">
            <v>1405/05/03</v>
          </cell>
        </row>
        <row r="33">
          <cell r="B33" t="str">
            <v>ویوینگ</v>
          </cell>
          <cell r="C33" t="str">
            <v>قالب تعمیری</v>
          </cell>
          <cell r="AC33" t="str">
            <v>1405/05/03</v>
          </cell>
        </row>
        <row r="34">
          <cell r="B34" t="str">
            <v>Hammer Mill Machine</v>
          </cell>
          <cell r="C34" t="str">
            <v>قطعه تعمیری</v>
          </cell>
          <cell r="AC34" t="str">
            <v>1405/05/03</v>
          </cell>
        </row>
        <row r="35">
          <cell r="B35" t="str">
            <v>ویوینگ</v>
          </cell>
          <cell r="C35" t="str">
            <v>قالب تعمیری</v>
          </cell>
          <cell r="AC35" t="str">
            <v>1405/05/03</v>
          </cell>
        </row>
        <row r="36">
          <cell r="B36" t="str">
            <v>جلو سمند سورن</v>
          </cell>
          <cell r="C36" t="str">
            <v>قالب تعمیری</v>
          </cell>
          <cell r="AC36" t="str">
            <v>1405/05/03</v>
          </cell>
        </row>
        <row r="37">
          <cell r="B37" t="str">
            <v>جلو ریو</v>
          </cell>
          <cell r="C37" t="str">
            <v>قالب تعمیری</v>
          </cell>
          <cell r="AC37" t="str">
            <v>1405/05/03</v>
          </cell>
        </row>
        <row r="38">
          <cell r="B38" t="str">
            <v>جلو ریو</v>
          </cell>
          <cell r="C38" t="str">
            <v>قالب تعمیری</v>
          </cell>
          <cell r="AC38" t="str">
            <v>1405/05/03</v>
          </cell>
        </row>
        <row r="39">
          <cell r="B39" t="str">
            <v>قالب مینی بوس آریا</v>
          </cell>
          <cell r="C39" t="str">
            <v>قالب نو</v>
          </cell>
          <cell r="AC39" t="str">
            <v>1405/05/03</v>
          </cell>
        </row>
        <row r="40">
          <cell r="B40" t="str">
            <v>قالب پخت کلاچ پژو 405</v>
          </cell>
          <cell r="C40" t="str">
            <v>قالب تعمیری</v>
          </cell>
          <cell r="AC40" t="str">
            <v>1405/05/03</v>
          </cell>
        </row>
        <row r="41">
          <cell r="B41" t="str">
            <v>قالب مینی بوس آریا</v>
          </cell>
          <cell r="C41" t="str">
            <v>قالب نو</v>
          </cell>
          <cell r="AC41" t="str">
            <v>1405/05/03</v>
          </cell>
        </row>
        <row r="42">
          <cell r="B42" t="str">
            <v>قالب عقب F12</v>
          </cell>
          <cell r="C42" t="str">
            <v>قالب تعمیری</v>
          </cell>
          <cell r="AC42" t="str">
            <v>1405/05/03</v>
          </cell>
        </row>
        <row r="43">
          <cell r="B43" t="str">
            <v>Hammer Mill Machine</v>
          </cell>
          <cell r="C43" t="str">
            <v>قطعه تعمیری</v>
          </cell>
          <cell r="AC43" t="str">
            <v>1405/05/03</v>
          </cell>
        </row>
        <row r="44">
          <cell r="B44" t="str">
            <v>قالب ولوو سوپر</v>
          </cell>
          <cell r="C44" t="str">
            <v>قالب تعمیری</v>
          </cell>
          <cell r="AC44" t="str">
            <v>1405/05/03</v>
          </cell>
        </row>
        <row r="45">
          <cell r="B45" t="str">
            <v>سوراخکاری پیلسان</v>
          </cell>
          <cell r="C45" t="str">
            <v>قطعه نو</v>
          </cell>
          <cell r="AC45" t="str">
            <v>1405/05/03</v>
          </cell>
        </row>
        <row r="46">
          <cell r="B46" t="str">
            <v>کوبه برش پراید</v>
          </cell>
          <cell r="C46" t="str">
            <v>قطعه تعمیری</v>
          </cell>
          <cell r="AC46" t="str">
            <v>1405/05/03</v>
          </cell>
        </row>
        <row r="47">
          <cell r="B47" t="str">
            <v>جلو ریو</v>
          </cell>
          <cell r="C47" t="str">
            <v>قالب تعمیری</v>
          </cell>
          <cell r="AC47" t="str">
            <v>1405/05/03</v>
          </cell>
        </row>
        <row r="48">
          <cell r="B48" t="str">
            <v>دریل یزدخواستی کلاچ</v>
          </cell>
          <cell r="C48" t="str">
            <v>قطعه نو</v>
          </cell>
          <cell r="AC48" t="str">
            <v>1405/05/03</v>
          </cell>
        </row>
        <row r="49">
          <cell r="B49" t="str">
            <v>پخت کلاچ پراید</v>
          </cell>
          <cell r="C49" t="str">
            <v>قالب تعمیری</v>
          </cell>
          <cell r="AC49" t="str">
            <v>1405/05/03</v>
          </cell>
        </row>
        <row r="50">
          <cell r="B50" t="str">
            <v>پخت کلاچ 309 سوراخدار</v>
          </cell>
          <cell r="C50" t="str">
            <v>قالب تعمیری</v>
          </cell>
          <cell r="AC50" t="str">
            <v>1405/05/03</v>
          </cell>
        </row>
        <row r="51">
          <cell r="B51" t="str">
            <v>شمش پراید</v>
          </cell>
          <cell r="C51" t="str">
            <v>قالب نو</v>
          </cell>
          <cell r="AC51" t="str">
            <v>1405/05/03</v>
          </cell>
        </row>
        <row r="52">
          <cell r="B52" t="str">
            <v>لنت ترمز دیسكی جلو دیما(خم)</v>
          </cell>
          <cell r="C52" t="str">
            <v>قالب نو</v>
          </cell>
          <cell r="AC52" t="str">
            <v>1405/05/03</v>
          </cell>
        </row>
        <row r="53">
          <cell r="B53" t="str">
            <v>پخت کلاچ 309 سوراخدار</v>
          </cell>
          <cell r="C53" t="str">
            <v>قالب تعمیری</v>
          </cell>
          <cell r="AC53" t="str">
            <v>1405/05/03</v>
          </cell>
        </row>
        <row r="54">
          <cell r="B54" t="str">
            <v>پخت کلاچ 309 سوراخدار</v>
          </cell>
          <cell r="C54" t="str">
            <v>قالب تعمیری</v>
          </cell>
          <cell r="AC54" t="str">
            <v>1405/05/03</v>
          </cell>
        </row>
        <row r="55">
          <cell r="B55" t="str">
            <v>ایسوزو 6 تن</v>
          </cell>
          <cell r="C55" t="str">
            <v>قالب تعمیری</v>
          </cell>
          <cell r="AC55" t="str">
            <v>1405/05/03</v>
          </cell>
        </row>
        <row r="56">
          <cell r="B56" t="str">
            <v>برشی نیوفیس C&amp;C</v>
          </cell>
          <cell r="C56" t="str">
            <v>قالب نو</v>
          </cell>
          <cell r="AC56" t="str">
            <v>1405/05/03</v>
          </cell>
        </row>
        <row r="57">
          <cell r="B57" t="str">
            <v>جلو سمند سورن</v>
          </cell>
          <cell r="C57" t="str">
            <v>قالب تعمیری</v>
          </cell>
          <cell r="AC57" t="str">
            <v>1405/05/03</v>
          </cell>
        </row>
        <row r="58">
          <cell r="B58" t="str">
            <v>جلو ریو</v>
          </cell>
          <cell r="C58" t="str">
            <v>قالب تعمیری</v>
          </cell>
          <cell r="AC58" t="str">
            <v>1405/05/03</v>
          </cell>
        </row>
        <row r="59">
          <cell r="B59" t="str">
            <v>پخت کلاچ 309 سوراخدار</v>
          </cell>
          <cell r="C59" t="str">
            <v>قالب تعمیری</v>
          </cell>
          <cell r="AC59" t="str">
            <v>1405/05/03</v>
          </cell>
        </row>
        <row r="60">
          <cell r="B60" t="str">
            <v>دستگاه رولینگ</v>
          </cell>
          <cell r="C60" t="str">
            <v>قطعه نو</v>
          </cell>
          <cell r="AC60" t="str">
            <v>1405/05/03</v>
          </cell>
        </row>
        <row r="61">
          <cell r="B61" t="str">
            <v>قالب پخت کلاچ پژو 405</v>
          </cell>
          <cell r="C61" t="str">
            <v>قالب تعمیری</v>
          </cell>
          <cell r="AC61" t="str">
            <v>1405/05/03</v>
          </cell>
        </row>
        <row r="62">
          <cell r="B62" t="str">
            <v xml:space="preserve">قالب پخت کلاچ پیکان </v>
          </cell>
          <cell r="C62" t="str">
            <v>قالب تعمیری</v>
          </cell>
          <cell r="AC62" t="str">
            <v>1405/05/03</v>
          </cell>
        </row>
        <row r="63">
          <cell r="B63" t="str">
            <v>جلو ریو</v>
          </cell>
          <cell r="C63" t="str">
            <v>قالب تعمیری</v>
          </cell>
          <cell r="AC63" t="str">
            <v>1405/05/03</v>
          </cell>
        </row>
        <row r="64">
          <cell r="B64" t="str">
            <v>دستگاه پشم فلز</v>
          </cell>
          <cell r="C64" t="str">
            <v>قطعه تعمیری</v>
          </cell>
          <cell r="AC64" t="str">
            <v>1405/05/04</v>
          </cell>
        </row>
        <row r="65">
          <cell r="B65" t="str">
            <v>پخت عقب پژو 405 شمشی پایه کوتاه</v>
          </cell>
          <cell r="C65" t="str">
            <v>قالب نو</v>
          </cell>
          <cell r="AC65" t="str">
            <v>1405/05/04</v>
          </cell>
        </row>
        <row r="66">
          <cell r="B66" t="str">
            <v xml:space="preserve">قالب پخت کلاچ پیکان </v>
          </cell>
          <cell r="C66" t="str">
            <v>قالب تعمیری</v>
          </cell>
          <cell r="AC66" t="str">
            <v>1405/05/04</v>
          </cell>
        </row>
        <row r="67">
          <cell r="B67" t="str">
            <v xml:space="preserve">قالب پخت کلاچ پیکان </v>
          </cell>
          <cell r="C67" t="str">
            <v>قالب تعمیری</v>
          </cell>
          <cell r="AC67" t="str">
            <v>1405/05/04</v>
          </cell>
        </row>
        <row r="68">
          <cell r="B68" t="str">
            <v>ویوینگ</v>
          </cell>
          <cell r="C68" t="str">
            <v>قطعه تعمیری</v>
          </cell>
          <cell r="AC68" t="str">
            <v>1405/05/04</v>
          </cell>
        </row>
        <row r="69">
          <cell r="B69" t="str">
            <v>ساب ترابوزا</v>
          </cell>
          <cell r="C69" t="str">
            <v>قطعه تعمیری</v>
          </cell>
          <cell r="AC69" t="str">
            <v>1405/05/04</v>
          </cell>
        </row>
        <row r="70">
          <cell r="B70" t="str">
            <v>پخت کلاچ ایسوزو</v>
          </cell>
          <cell r="C70" t="str">
            <v>قالب تعمیری</v>
          </cell>
          <cell r="AC70" t="str">
            <v>1405/05/04</v>
          </cell>
        </row>
        <row r="71">
          <cell r="B71" t="str">
            <v>پخت کلاچ 309 سوراخدار</v>
          </cell>
          <cell r="C71" t="str">
            <v>قالب تعمیری</v>
          </cell>
          <cell r="AC71" t="str">
            <v>1405/05/04</v>
          </cell>
        </row>
        <row r="72">
          <cell r="B72" t="str">
            <v xml:space="preserve">قالب پخت کلاچ پیکان </v>
          </cell>
          <cell r="C72" t="str">
            <v>قالب تعمیری</v>
          </cell>
          <cell r="AC72" t="str">
            <v>1405/05/04</v>
          </cell>
        </row>
        <row r="73">
          <cell r="B73" t="str">
            <v xml:space="preserve">قالب پخت کلاچ پیکان </v>
          </cell>
          <cell r="C73" t="str">
            <v>قالب تعمیری</v>
          </cell>
          <cell r="AC73" t="str">
            <v>1405/05/04</v>
          </cell>
        </row>
        <row r="74">
          <cell r="B74" t="str">
            <v>ویوینگ</v>
          </cell>
          <cell r="C74" t="str">
            <v>قطعه تعمیری</v>
          </cell>
          <cell r="AC74" t="str">
            <v>1405/05/04</v>
          </cell>
        </row>
        <row r="75">
          <cell r="B75" t="str">
            <v>سوراخکاری پیلسان</v>
          </cell>
          <cell r="C75" t="str">
            <v>قطعه نو</v>
          </cell>
          <cell r="AC75" t="str">
            <v>1405/05/04</v>
          </cell>
        </row>
        <row r="76">
          <cell r="B76" t="str">
            <v>ویوینگ</v>
          </cell>
          <cell r="C76" t="str">
            <v>قطعه تعمیری</v>
          </cell>
          <cell r="AC76" t="str">
            <v>1405/05/04</v>
          </cell>
        </row>
        <row r="77">
          <cell r="B77" t="str">
            <v>پخت کلاچ 309 سوراخدار</v>
          </cell>
          <cell r="C77" t="str">
            <v>قالب تعمیری</v>
          </cell>
          <cell r="AC77" t="str">
            <v>1405/05/04</v>
          </cell>
        </row>
        <row r="78">
          <cell r="B78" t="str">
            <v>برشی نیوفیس C&amp;C</v>
          </cell>
          <cell r="C78" t="str">
            <v>قالب نو</v>
          </cell>
          <cell r="AC78" t="str">
            <v>1405/05/04</v>
          </cell>
        </row>
        <row r="79">
          <cell r="B79" t="str">
            <v>لنت ترمز دیسكی جلو دیما(خم)</v>
          </cell>
          <cell r="C79" t="str">
            <v>قالب نو</v>
          </cell>
          <cell r="AC79" t="str">
            <v>1405/05/04</v>
          </cell>
        </row>
        <row r="80">
          <cell r="B80" t="str">
            <v>Hammer Mill Machine</v>
          </cell>
          <cell r="C80" t="str">
            <v>قطعه تعمیری</v>
          </cell>
          <cell r="AC80" t="str">
            <v>1405/05/04</v>
          </cell>
        </row>
        <row r="81">
          <cell r="B81" t="str">
            <v>سری نقطه جوش</v>
          </cell>
          <cell r="C81" t="str">
            <v>قطعه تعمیری</v>
          </cell>
          <cell r="AC81" t="str">
            <v>1405/05/04</v>
          </cell>
        </row>
        <row r="82">
          <cell r="B82" t="str">
            <v xml:space="preserve">قالب پخت کلاچ پیکان </v>
          </cell>
          <cell r="C82" t="str">
            <v>قالب تعمیری</v>
          </cell>
          <cell r="AC82" t="str">
            <v>1405/05/04</v>
          </cell>
        </row>
        <row r="83">
          <cell r="B83" t="str">
            <v>قالب مینی بوس آریا</v>
          </cell>
          <cell r="C83" t="str">
            <v>قالب نو</v>
          </cell>
          <cell r="AC83" t="str">
            <v>1405/05/04</v>
          </cell>
        </row>
        <row r="84">
          <cell r="B84" t="str">
            <v xml:space="preserve">قالب پخت کلاچ پیکان </v>
          </cell>
          <cell r="C84" t="str">
            <v>قالب تعمیری</v>
          </cell>
          <cell r="AC84" t="str">
            <v>1405/05/04</v>
          </cell>
        </row>
        <row r="85">
          <cell r="B85" t="str">
            <v>قالب مینی بوس آریا</v>
          </cell>
          <cell r="C85" t="str">
            <v>قالب نو</v>
          </cell>
          <cell r="AC85" t="str">
            <v>1405/05/04</v>
          </cell>
        </row>
        <row r="86">
          <cell r="B86" t="str">
            <v>قالب عقب F12</v>
          </cell>
          <cell r="C86" t="str">
            <v>قالب تعمیری</v>
          </cell>
          <cell r="AC86" t="str">
            <v>1405/05/04</v>
          </cell>
        </row>
        <row r="87">
          <cell r="B87" t="str">
            <v>جلو سمند سورن</v>
          </cell>
          <cell r="C87" t="str">
            <v>قالب تعمیری</v>
          </cell>
          <cell r="AC87" t="str">
            <v>1405/05/04</v>
          </cell>
        </row>
        <row r="88">
          <cell r="B88" t="str">
            <v>جلو سمند سورن</v>
          </cell>
          <cell r="C88" t="str">
            <v>قالب تعمیری</v>
          </cell>
          <cell r="AC88" t="str">
            <v>1405/05/04</v>
          </cell>
        </row>
        <row r="89">
          <cell r="B89" t="str">
            <v>پخت کلاچ 309 سوراخدار</v>
          </cell>
          <cell r="C89" t="str">
            <v>قالب تعمیری</v>
          </cell>
          <cell r="AC89" t="str">
            <v>1405/05/04</v>
          </cell>
        </row>
        <row r="90">
          <cell r="B90" t="str">
            <v>پخت کلاچ 309 سوراخدار</v>
          </cell>
          <cell r="C90" t="str">
            <v>قالب تعمیری</v>
          </cell>
          <cell r="AC90" t="str">
            <v>1405/05/04</v>
          </cell>
        </row>
        <row r="91">
          <cell r="B91" t="str">
            <v>پخت کلاچ 309 سوراخدار</v>
          </cell>
          <cell r="C91" t="str">
            <v>قالب تعمیری</v>
          </cell>
          <cell r="AC91" t="str">
            <v>1405/05/04</v>
          </cell>
        </row>
        <row r="92">
          <cell r="B92" t="str">
            <v>جلو ریو</v>
          </cell>
          <cell r="C92" t="str">
            <v>قالب تعمیری</v>
          </cell>
          <cell r="AC92" t="str">
            <v>1405/05/04</v>
          </cell>
        </row>
        <row r="93">
          <cell r="B93" t="str">
            <v>جلو ریو</v>
          </cell>
          <cell r="C93" t="str">
            <v>قالب تعمیری</v>
          </cell>
          <cell r="AC93" t="str">
            <v>1405/05/04</v>
          </cell>
        </row>
        <row r="94">
          <cell r="B94" t="str">
            <v xml:space="preserve">قالب پخت کلاچ پیکان </v>
          </cell>
          <cell r="C94" t="str">
            <v>قالب تعمیری</v>
          </cell>
          <cell r="AC94" t="str">
            <v>1405/05/04</v>
          </cell>
        </row>
        <row r="95">
          <cell r="B95" t="str">
            <v>قالب ولوو سوپر</v>
          </cell>
          <cell r="C95" t="str">
            <v>قالب تعمیری</v>
          </cell>
          <cell r="AC95" t="str">
            <v>1405/05/04</v>
          </cell>
        </row>
        <row r="96">
          <cell r="B96" t="str">
            <v>پخت کلاچ 309 سوراخدار</v>
          </cell>
          <cell r="C96" t="str">
            <v>قالب تعمیری</v>
          </cell>
          <cell r="AC96" t="str">
            <v>1405/05/04</v>
          </cell>
        </row>
        <row r="97">
          <cell r="B97" t="str">
            <v>پخت کلاچ ایسوزو</v>
          </cell>
          <cell r="C97" t="str">
            <v>قالب تعمیری</v>
          </cell>
          <cell r="AC97" t="str">
            <v>1405/05/04</v>
          </cell>
        </row>
        <row r="98">
          <cell r="B98" t="str">
            <v>ویوینگ</v>
          </cell>
          <cell r="C98" t="str">
            <v>قطعه تعمیری</v>
          </cell>
          <cell r="AC98" t="str">
            <v>1405/05/04</v>
          </cell>
        </row>
        <row r="99">
          <cell r="B99" t="str">
            <v>پخت عقب پژو 405 شمشی پایه کوتاه</v>
          </cell>
          <cell r="C99" t="str">
            <v>قالب نو</v>
          </cell>
          <cell r="AC99" t="str">
            <v>1405/05/05</v>
          </cell>
        </row>
        <row r="100">
          <cell r="B100" t="str">
            <v>دستگاه پشم فلز</v>
          </cell>
          <cell r="C100" t="str">
            <v>قطعه تعمیری</v>
          </cell>
          <cell r="AC100" t="str">
            <v>1405/05/05</v>
          </cell>
        </row>
        <row r="101">
          <cell r="B101" t="str">
            <v>آسیاب پشم فلز</v>
          </cell>
          <cell r="C101" t="str">
            <v>قطعه تعمیری</v>
          </cell>
          <cell r="AC101" t="str">
            <v>1405/05/05</v>
          </cell>
        </row>
        <row r="102">
          <cell r="B102" t="str">
            <v>قالب ولوو سوپر</v>
          </cell>
          <cell r="C102" t="str">
            <v>قالب تعمیری</v>
          </cell>
          <cell r="AC102" t="str">
            <v>1405/05/05</v>
          </cell>
        </row>
        <row r="103">
          <cell r="B103" t="str">
            <v>ویوینگ</v>
          </cell>
          <cell r="C103" t="str">
            <v>قطعه تعمیری</v>
          </cell>
          <cell r="AC103" t="str">
            <v>1405/05/05</v>
          </cell>
        </row>
        <row r="104">
          <cell r="B104" t="str">
            <v>برشی نیوفیس C&amp;C</v>
          </cell>
          <cell r="C104" t="str">
            <v>قالب نو</v>
          </cell>
          <cell r="AC104" t="str">
            <v>1405/05/05</v>
          </cell>
        </row>
        <row r="105">
          <cell r="B105" t="str">
            <v>برشی نیوفیس C&amp;C</v>
          </cell>
          <cell r="C105" t="str">
            <v>قالب نو</v>
          </cell>
          <cell r="AC105" t="str">
            <v>1405/05/05</v>
          </cell>
        </row>
        <row r="106">
          <cell r="B106" t="str">
            <v>ویوینگ</v>
          </cell>
          <cell r="C106" t="str">
            <v>قطعه تعمیری</v>
          </cell>
          <cell r="AC106" t="str">
            <v>1405/05/05</v>
          </cell>
        </row>
        <row r="107">
          <cell r="B107" t="str">
            <v>کولر</v>
          </cell>
          <cell r="C107" t="str">
            <v>دستگاه تعمیری</v>
          </cell>
          <cell r="AC107" t="str">
            <v>1405/05/05</v>
          </cell>
        </row>
        <row r="108">
          <cell r="B108" t="str">
            <v>دستگاه چسب زنی</v>
          </cell>
          <cell r="C108" t="str">
            <v>قطعه تعمیری</v>
          </cell>
          <cell r="AC108" t="str">
            <v>1405/05/05</v>
          </cell>
        </row>
        <row r="109">
          <cell r="B109" t="str">
            <v xml:space="preserve">قالب پخت کلاچ پیکان </v>
          </cell>
          <cell r="C109" t="str">
            <v>قالب تعمیری</v>
          </cell>
          <cell r="AC109" t="str">
            <v>1405/05/05</v>
          </cell>
        </row>
        <row r="110">
          <cell r="B110" t="str">
            <v xml:space="preserve">قالب پخت کلاچ پیکان </v>
          </cell>
          <cell r="C110" t="str">
            <v>قالب تعمیری</v>
          </cell>
          <cell r="AC110" t="str">
            <v>1405/05/05</v>
          </cell>
        </row>
        <row r="111">
          <cell r="B111" t="str">
            <v>قالب توری پگاسوز</v>
          </cell>
          <cell r="C111" t="str">
            <v>قالب تعمیری</v>
          </cell>
          <cell r="AC111" t="str">
            <v>1405/05/05</v>
          </cell>
        </row>
        <row r="112">
          <cell r="B112" t="str">
            <v>پخت کلاچ پراید</v>
          </cell>
          <cell r="C112" t="str">
            <v>قالب تعمیری</v>
          </cell>
          <cell r="AC112" t="str">
            <v>1405/05/05</v>
          </cell>
        </row>
        <row r="113">
          <cell r="B113" t="str">
            <v>Hammer Mill Machine</v>
          </cell>
          <cell r="C113" t="str">
            <v>قطعه نو</v>
          </cell>
          <cell r="AC113" t="str">
            <v>1405/05/05</v>
          </cell>
        </row>
        <row r="114">
          <cell r="B114" t="str">
            <v>پخت کلاچ پراید</v>
          </cell>
          <cell r="C114" t="str">
            <v>قالب تعمیری</v>
          </cell>
          <cell r="AC114" t="str">
            <v>1405/05/05</v>
          </cell>
        </row>
        <row r="115">
          <cell r="B115" t="str">
            <v>سری نقطه جوش</v>
          </cell>
          <cell r="C115" t="str">
            <v>قطعه تعمیری</v>
          </cell>
          <cell r="AC115" t="str">
            <v>1405/05/05</v>
          </cell>
        </row>
        <row r="116">
          <cell r="B116" t="str">
            <v>پخت کلاچ پراید</v>
          </cell>
          <cell r="C116" t="str">
            <v>قالب تعمیری</v>
          </cell>
          <cell r="AC116" t="str">
            <v>1405/05/05</v>
          </cell>
        </row>
        <row r="117">
          <cell r="B117" t="str">
            <v>پخت کلاچ 309 سوراخدار</v>
          </cell>
          <cell r="C117" t="str">
            <v>قالب تعمیری</v>
          </cell>
          <cell r="AC117" t="str">
            <v>1405/05/05</v>
          </cell>
        </row>
        <row r="118">
          <cell r="B118" t="str">
            <v>برشی نیوفیس C&amp;C</v>
          </cell>
          <cell r="C118" t="str">
            <v>قالب نو</v>
          </cell>
          <cell r="AC118" t="str">
            <v>1405/05/05</v>
          </cell>
        </row>
        <row r="119">
          <cell r="B119" t="str">
            <v>لنت ترمز دیسكی جلو دیما(خم)</v>
          </cell>
          <cell r="C119" t="str">
            <v>قالب نو</v>
          </cell>
          <cell r="AC119" t="str">
            <v>1405/05/05</v>
          </cell>
        </row>
        <row r="120">
          <cell r="B120" t="str">
            <v>پخت کلاچ 309 سوراخدار</v>
          </cell>
          <cell r="C120" t="str">
            <v>قالب تعمیری</v>
          </cell>
          <cell r="AC120" t="str">
            <v>1405/05/06</v>
          </cell>
        </row>
        <row r="121">
          <cell r="B121" t="str">
            <v>قالب توری پگاسوز</v>
          </cell>
          <cell r="C121" t="str">
            <v>قالب تعمیری</v>
          </cell>
          <cell r="AC121" t="str">
            <v>1405/05/06</v>
          </cell>
        </row>
        <row r="122">
          <cell r="B122" t="str">
            <v xml:space="preserve">قالب پخت کلاچ پیکان </v>
          </cell>
          <cell r="C122" t="str">
            <v>قالب تعمیری</v>
          </cell>
          <cell r="AC122" t="str">
            <v>1405/05/05</v>
          </cell>
        </row>
        <row r="123">
          <cell r="B123" t="str">
            <v>قالب ولوو سوپر</v>
          </cell>
          <cell r="C123" t="str">
            <v>قالب تعمیری</v>
          </cell>
          <cell r="AC123" t="str">
            <v>1405/05/05</v>
          </cell>
        </row>
        <row r="124">
          <cell r="B124" t="str">
            <v>قالب مینی بوس آریا</v>
          </cell>
          <cell r="C124" t="str">
            <v>قالب نو</v>
          </cell>
          <cell r="AC124" t="str">
            <v>1405/05/05</v>
          </cell>
        </row>
        <row r="125">
          <cell r="B125" t="str">
            <v>جلو سمند سورن</v>
          </cell>
          <cell r="C125" t="str">
            <v>قالب تعمیری</v>
          </cell>
          <cell r="AC125" t="str">
            <v>1405/05/05</v>
          </cell>
        </row>
        <row r="126">
          <cell r="B126" t="str">
            <v>جلو سمند سورن</v>
          </cell>
          <cell r="C126" t="str">
            <v>قالب تعمیری</v>
          </cell>
          <cell r="AC126" t="str">
            <v>1405/05/05</v>
          </cell>
        </row>
        <row r="127">
          <cell r="B127" t="str">
            <v>قالب عقب F12</v>
          </cell>
          <cell r="C127" t="str">
            <v>قالب نو</v>
          </cell>
          <cell r="AC127" t="str">
            <v>1405/05/05</v>
          </cell>
        </row>
        <row r="128">
          <cell r="B128" t="str">
            <v>ویوینگ</v>
          </cell>
          <cell r="C128" t="str">
            <v>قطعه تعمیری</v>
          </cell>
          <cell r="AC128" t="str">
            <v>1405/05/05</v>
          </cell>
        </row>
        <row r="129">
          <cell r="B129" t="str">
            <v>ویوینگ</v>
          </cell>
          <cell r="C129" t="str">
            <v>قطعه تعمیری</v>
          </cell>
          <cell r="AC129" t="str">
            <v>1405/05/05</v>
          </cell>
        </row>
        <row r="130">
          <cell r="B130" t="str">
            <v>قالب ولوو سوپر</v>
          </cell>
          <cell r="C130" t="str">
            <v>قالب تعمیری</v>
          </cell>
          <cell r="AC130" t="str">
            <v>1405/05/04</v>
          </cell>
        </row>
        <row r="131">
          <cell r="B131" t="str">
            <v>لنت ترمز دیسكی جلو دیما(خم)</v>
          </cell>
          <cell r="C131" t="str">
            <v>قالب نو</v>
          </cell>
          <cell r="AC131" t="str">
            <v>1405/05/05</v>
          </cell>
        </row>
        <row r="132">
          <cell r="B132" t="str">
            <v>پخت کلاچ پراید</v>
          </cell>
          <cell r="C132" t="str">
            <v>قالب تعمیری</v>
          </cell>
          <cell r="AC132" t="str">
            <v>1405/05/05</v>
          </cell>
        </row>
        <row r="133">
          <cell r="B133" t="str">
            <v>پخت عقب پژو 405 شمشی پایه کوتاه</v>
          </cell>
          <cell r="C133" t="str">
            <v>قالب نو</v>
          </cell>
          <cell r="AC133" t="str">
            <v>1405/05/06</v>
          </cell>
        </row>
        <row r="134">
          <cell r="B134" t="str">
            <v>دستگاه پشم فلز</v>
          </cell>
          <cell r="C134" t="str">
            <v>قطعه تعمیری</v>
          </cell>
          <cell r="AC134" t="str">
            <v>1405/05/06</v>
          </cell>
        </row>
        <row r="135">
          <cell r="B135" t="str">
            <v>قالب ولوو سوپر</v>
          </cell>
          <cell r="C135" t="str">
            <v>قالب تعمیری</v>
          </cell>
          <cell r="AC135" t="str">
            <v>1405/05/06</v>
          </cell>
        </row>
        <row r="136">
          <cell r="B136" t="str">
            <v>قالب پخت کلاچ پژو 405</v>
          </cell>
          <cell r="C136" t="str">
            <v>قالب تعمیری</v>
          </cell>
          <cell r="AC136" t="str">
            <v>1405/05/06</v>
          </cell>
        </row>
        <row r="137">
          <cell r="B137" t="str">
            <v>پخت کلاچ پراید</v>
          </cell>
          <cell r="C137" t="str">
            <v>قالب تعمیری</v>
          </cell>
          <cell r="AC137" t="str">
            <v>1405/05/06</v>
          </cell>
        </row>
        <row r="138">
          <cell r="B138" t="str">
            <v>ویوینگ</v>
          </cell>
          <cell r="C138" t="str">
            <v>قطعه تعمیری</v>
          </cell>
          <cell r="AC138" t="str">
            <v>1405/05/06</v>
          </cell>
        </row>
        <row r="139">
          <cell r="B139" t="str">
            <v>ویوینگ</v>
          </cell>
          <cell r="C139" t="str">
            <v>قطعه تعمیری</v>
          </cell>
          <cell r="AC139" t="str">
            <v>1405/05/06</v>
          </cell>
        </row>
        <row r="140">
          <cell r="B140" t="str">
            <v>دستگاه پرچ زنی</v>
          </cell>
          <cell r="C140" t="str">
            <v>قطعه تعمیری</v>
          </cell>
          <cell r="AC140" t="str">
            <v>1405/05/06</v>
          </cell>
        </row>
        <row r="141">
          <cell r="B141" t="str">
            <v>دستگاه پرچ زنی</v>
          </cell>
          <cell r="C141" t="str">
            <v>قطعه تعمیری</v>
          </cell>
          <cell r="AC141" t="str">
            <v>1405/05/06</v>
          </cell>
        </row>
        <row r="142">
          <cell r="B142" t="str">
            <v>لنت ترمز دیسكی جلو دیما(خم)</v>
          </cell>
          <cell r="C142" t="str">
            <v>قالب نو</v>
          </cell>
          <cell r="AC142" t="str">
            <v>1405/05/06</v>
          </cell>
        </row>
        <row r="143">
          <cell r="B143" t="str">
            <v>پخت کلاچ 309 سوراخدار</v>
          </cell>
          <cell r="C143" t="str">
            <v>قالب تعمیری</v>
          </cell>
          <cell r="AC143" t="str">
            <v>1405/05/06</v>
          </cell>
        </row>
        <row r="144">
          <cell r="B144" t="str">
            <v>جلو سمند سورن</v>
          </cell>
          <cell r="C144" t="str">
            <v>قالب تعمیری</v>
          </cell>
          <cell r="AC144" t="str">
            <v>1405/05/06</v>
          </cell>
        </row>
        <row r="145">
          <cell r="B145" t="str">
            <v>پخت کلاچ 309 سوراخدار</v>
          </cell>
          <cell r="C145" t="str">
            <v>قالب تعمیری</v>
          </cell>
          <cell r="AC145" t="str">
            <v>1405/05/06</v>
          </cell>
        </row>
        <row r="146">
          <cell r="B146" t="str">
            <v>قالب پخت کلاچ پژو 405</v>
          </cell>
          <cell r="C146" t="str">
            <v>قالب تعمیری</v>
          </cell>
          <cell r="AC146" t="str">
            <v>1405/05/06</v>
          </cell>
        </row>
        <row r="147">
          <cell r="B147" t="str">
            <v>سری نقطه جوش</v>
          </cell>
          <cell r="C147" t="str">
            <v>قطعه تعمیری</v>
          </cell>
          <cell r="AC147" t="str">
            <v>1405/05/06</v>
          </cell>
        </row>
        <row r="148">
          <cell r="B148" t="str">
            <v>برشی نیوفیس C&amp;C</v>
          </cell>
          <cell r="C148" t="str">
            <v>قالب نو</v>
          </cell>
          <cell r="AC148" t="str">
            <v>1405/05/06</v>
          </cell>
        </row>
        <row r="149">
          <cell r="B149" t="str">
            <v>لودر دیسکی XGL 50</v>
          </cell>
          <cell r="C149" t="str">
            <v>قالب نو</v>
          </cell>
          <cell r="AC149" t="str">
            <v>1405/05/06</v>
          </cell>
        </row>
        <row r="150">
          <cell r="B150" t="str">
            <v>لنت ترمز دیسكی جلو دیما(خم)</v>
          </cell>
          <cell r="C150" t="str">
            <v>قالب نو</v>
          </cell>
          <cell r="AC150" t="str">
            <v>1405/05/06</v>
          </cell>
        </row>
        <row r="151">
          <cell r="B151" t="str">
            <v>دستگاه پرچ زنی</v>
          </cell>
          <cell r="C151" t="str">
            <v>قطعه تعمیری</v>
          </cell>
          <cell r="AC151" t="str">
            <v>1405/05/06</v>
          </cell>
        </row>
        <row r="152">
          <cell r="B152" t="str">
            <v>ساب ترابوزا</v>
          </cell>
          <cell r="C152" t="str">
            <v>قطعه نو</v>
          </cell>
          <cell r="AC152" t="str">
            <v>1405/05/06</v>
          </cell>
        </row>
        <row r="153">
          <cell r="B153" t="str">
            <v>Hammer Mill Machine</v>
          </cell>
          <cell r="C153" t="str">
            <v>قطعه نو</v>
          </cell>
          <cell r="AC153" t="str">
            <v>1405/05/06</v>
          </cell>
        </row>
        <row r="154">
          <cell r="B154" t="str">
            <v>دستگاه پرس پخت</v>
          </cell>
          <cell r="C154" t="str">
            <v>قطعه نو</v>
          </cell>
          <cell r="AC154" t="str">
            <v>1405/05/06</v>
          </cell>
        </row>
        <row r="155">
          <cell r="B155" t="str">
            <v>دستگاه پرس پخت</v>
          </cell>
          <cell r="C155" t="str">
            <v>قطعه تعمیری</v>
          </cell>
          <cell r="AC155" t="str">
            <v>1405/05/06</v>
          </cell>
        </row>
        <row r="156">
          <cell r="B156" t="str">
            <v>قالب پخت SAF</v>
          </cell>
          <cell r="C156" t="str">
            <v>قالب تعمیری</v>
          </cell>
          <cell r="AC156" t="str">
            <v>1405/05/06</v>
          </cell>
        </row>
        <row r="157">
          <cell r="B157" t="str">
            <v>جلو سمند سورن</v>
          </cell>
          <cell r="C157" t="str">
            <v>قالب تعمیری</v>
          </cell>
          <cell r="AC157" t="str">
            <v>1405/05/06</v>
          </cell>
        </row>
        <row r="158">
          <cell r="B158" t="str">
            <v>فیکسچر کفشک پژو 405</v>
          </cell>
          <cell r="C158" t="str">
            <v>قطعه نو</v>
          </cell>
          <cell r="AC158" t="str">
            <v>1405/05/06</v>
          </cell>
        </row>
        <row r="159">
          <cell r="B159" t="str">
            <v>جلو سمند سورن</v>
          </cell>
          <cell r="C159" t="str">
            <v>قالب تعمیری</v>
          </cell>
          <cell r="AC159" t="str">
            <v>1405/05/06</v>
          </cell>
        </row>
        <row r="160">
          <cell r="B160" t="str">
            <v>لنت ترمز دیسكی جلو دیما(خم)</v>
          </cell>
          <cell r="C160" t="str">
            <v>قالب نو</v>
          </cell>
          <cell r="AC160" t="str">
            <v>1405/05/06</v>
          </cell>
        </row>
        <row r="161">
          <cell r="B161" t="str">
            <v>برشی نیوفیس C&amp;C</v>
          </cell>
          <cell r="C161" t="str">
            <v>قالب نو</v>
          </cell>
          <cell r="AC161" t="str">
            <v>1405/05/06</v>
          </cell>
        </row>
        <row r="162">
          <cell r="B162" t="str">
            <v>پخت کلاچ ده تن</v>
          </cell>
          <cell r="C162" t="str">
            <v>قالب تعمیری</v>
          </cell>
          <cell r="AC162" t="str">
            <v>1405/05/06</v>
          </cell>
        </row>
        <row r="163">
          <cell r="B163" t="str">
            <v>پخت عقب پژو 405 شمشی پایه کوتاه</v>
          </cell>
          <cell r="C163" t="str">
            <v>قالب نو</v>
          </cell>
          <cell r="AC163" t="str">
            <v>1405/05/06</v>
          </cell>
        </row>
        <row r="164">
          <cell r="B164" t="str">
            <v>پخت عقب پژو 405 شمشی پایه کوتاه</v>
          </cell>
          <cell r="C164" t="str">
            <v>قالب نو</v>
          </cell>
          <cell r="AC164" t="str">
            <v>1405/05/07</v>
          </cell>
        </row>
        <row r="165">
          <cell r="B165" t="str">
            <v>پخت کلاچ پراید</v>
          </cell>
          <cell r="C165" t="str">
            <v>قالب تعمیری</v>
          </cell>
          <cell r="AC165" t="str">
            <v>1405/05/07</v>
          </cell>
        </row>
        <row r="166">
          <cell r="B166" t="str">
            <v>قالب ولوو سوپر</v>
          </cell>
          <cell r="C166" t="str">
            <v>قالب تعمیری</v>
          </cell>
          <cell r="AC166" t="str">
            <v>1405/05/07</v>
          </cell>
        </row>
        <row r="167">
          <cell r="B167" t="str">
            <v>لنت ترمز دیسكی جلو دیما(خم)</v>
          </cell>
          <cell r="C167" t="str">
            <v>قالب نو</v>
          </cell>
          <cell r="AC167" t="str">
            <v>1405/05/07</v>
          </cell>
        </row>
        <row r="168">
          <cell r="B168" t="str">
            <v>برشی نیوفیس C&amp;C</v>
          </cell>
          <cell r="C168" t="str">
            <v>قالب نو</v>
          </cell>
          <cell r="AC168" t="str">
            <v>1405/05/07</v>
          </cell>
        </row>
        <row r="169">
          <cell r="B169" t="str">
            <v>دستگاه پرس پخت</v>
          </cell>
          <cell r="C169" t="str">
            <v>قطعه نو</v>
          </cell>
          <cell r="AC169" t="str">
            <v>1405/05/07</v>
          </cell>
        </row>
        <row r="170">
          <cell r="B170" t="str">
            <v>دستگاه پرس پخت</v>
          </cell>
          <cell r="C170" t="str">
            <v>قطعه تعمیری</v>
          </cell>
          <cell r="AC170" t="str">
            <v>1405/05/07</v>
          </cell>
        </row>
        <row r="171">
          <cell r="B171" t="str">
            <v>دستگاه پرس 400 تن</v>
          </cell>
          <cell r="C171" t="str">
            <v>قطعه تعمیری</v>
          </cell>
          <cell r="AC171" t="str">
            <v>1405/05/07</v>
          </cell>
        </row>
        <row r="172">
          <cell r="B172" t="str">
            <v>دستگاه پرس 400 تن</v>
          </cell>
          <cell r="C172" t="str">
            <v>قطعه تعمیری</v>
          </cell>
          <cell r="AC172" t="str">
            <v>1405/05/07</v>
          </cell>
        </row>
        <row r="173">
          <cell r="B173" t="str">
            <v>دستگاه پرس 400 تن</v>
          </cell>
          <cell r="C173" t="str">
            <v>قطعه تعمیری</v>
          </cell>
          <cell r="AC173" t="str">
            <v>1405/05/07</v>
          </cell>
        </row>
        <row r="174">
          <cell r="B174" t="str">
            <v>دستگاه پرس 400 تن</v>
          </cell>
          <cell r="C174" t="str">
            <v>قطعه نو</v>
          </cell>
          <cell r="AC174" t="str">
            <v>1405/05/07</v>
          </cell>
        </row>
        <row r="175">
          <cell r="B175" t="str">
            <v>قالب مینی بوس آریا</v>
          </cell>
          <cell r="C175" t="str">
            <v>قالب نو</v>
          </cell>
          <cell r="AC175" t="str">
            <v>1405/05/07</v>
          </cell>
        </row>
        <row r="176">
          <cell r="B176" t="str">
            <v>قالب مینی بوس آریا</v>
          </cell>
          <cell r="C176" t="str">
            <v>قالب نو</v>
          </cell>
          <cell r="AC176" t="str">
            <v>1405/05/07</v>
          </cell>
        </row>
        <row r="177">
          <cell r="B177" t="str">
            <v>شمش پراید</v>
          </cell>
          <cell r="C177" t="str">
            <v>قالب نو</v>
          </cell>
          <cell r="AC177" t="str">
            <v>1405/05/07</v>
          </cell>
        </row>
        <row r="178">
          <cell r="B178" t="str">
            <v>ویوینگ</v>
          </cell>
          <cell r="C178" t="str">
            <v>قطعه تعمیری</v>
          </cell>
          <cell r="AC178" t="str">
            <v>1405/05/07</v>
          </cell>
        </row>
        <row r="179">
          <cell r="B179" t="str">
            <v>ویوینگ</v>
          </cell>
          <cell r="C179" t="str">
            <v>قطعه تعمیری</v>
          </cell>
          <cell r="AC179" t="str">
            <v>1405/05/07</v>
          </cell>
        </row>
        <row r="180">
          <cell r="B180" t="str">
            <v>برشی نیوفیس C&amp;C</v>
          </cell>
          <cell r="C180" t="str">
            <v>قالب نو</v>
          </cell>
          <cell r="AC180" t="str">
            <v>1405/05/07</v>
          </cell>
        </row>
        <row r="181">
          <cell r="B181" t="str">
            <v>برشی نیوفیس C&amp;C</v>
          </cell>
          <cell r="C181" t="str">
            <v>قالب نو</v>
          </cell>
          <cell r="AC181" t="str">
            <v>1405/05/07</v>
          </cell>
        </row>
        <row r="182">
          <cell r="B182" t="str">
            <v>قالب پخت SAF</v>
          </cell>
          <cell r="C182" t="str">
            <v>قالب تعمیری</v>
          </cell>
          <cell r="AC182" t="str">
            <v>1405/05/07</v>
          </cell>
        </row>
        <row r="183">
          <cell r="B183" t="str">
            <v>سری تراش</v>
          </cell>
          <cell r="C183" t="str">
            <v>قطعه تعمیری</v>
          </cell>
          <cell r="AC183" t="str">
            <v>1405/05/07</v>
          </cell>
        </row>
        <row r="184">
          <cell r="B184" t="str">
            <v>قالب مینی بوس آریا</v>
          </cell>
          <cell r="C184" t="str">
            <v>قالب نو</v>
          </cell>
          <cell r="AC184" t="str">
            <v>1405/05/07</v>
          </cell>
        </row>
        <row r="185">
          <cell r="B185" t="str">
            <v>دسنگاه چسب زنی</v>
          </cell>
          <cell r="C185" t="str">
            <v>قطعه نو</v>
          </cell>
          <cell r="AC185" t="str">
            <v>1405/05/07</v>
          </cell>
        </row>
        <row r="186">
          <cell r="B186" t="str">
            <v>لنت ترمز دیسكی جلو دیما(خم)</v>
          </cell>
          <cell r="C186" t="str">
            <v>قالب نو</v>
          </cell>
          <cell r="AC186" t="str">
            <v>1405/05/07</v>
          </cell>
        </row>
        <row r="187">
          <cell r="B187" t="str">
            <v>دسنگاه چسب زنی</v>
          </cell>
          <cell r="C187" t="str">
            <v>قطعه نو</v>
          </cell>
          <cell r="AC187" t="str">
            <v>1405/05/07</v>
          </cell>
        </row>
        <row r="188">
          <cell r="B188" t="str">
            <v>فیکسچر کفشک پژو 405</v>
          </cell>
          <cell r="C188" t="str">
            <v>قطعه نو</v>
          </cell>
          <cell r="AC188" t="str">
            <v>1405/05/07</v>
          </cell>
        </row>
        <row r="189">
          <cell r="B189" t="str">
            <v>قالب کوبه نک SAF</v>
          </cell>
          <cell r="C189" t="str">
            <v>قالب تعمیری</v>
          </cell>
          <cell r="AC189" t="str">
            <v>1405/05/07</v>
          </cell>
        </row>
        <row r="190">
          <cell r="B190" t="str">
            <v>جلو سمند سورن</v>
          </cell>
          <cell r="C190" t="str">
            <v>قالب تعمیری</v>
          </cell>
          <cell r="AC190" t="str">
            <v>1405/05/07</v>
          </cell>
        </row>
        <row r="191">
          <cell r="B191" t="str">
            <v>پخت کلاچ ایسوزو</v>
          </cell>
          <cell r="C191" t="str">
            <v>قالب تعمیری</v>
          </cell>
          <cell r="AC191" t="str">
            <v>1405/05/07</v>
          </cell>
        </row>
        <row r="192">
          <cell r="B192" t="str">
            <v>پخت کلاچ ایسوزو</v>
          </cell>
          <cell r="C192" t="str">
            <v>قالب تعمیری</v>
          </cell>
          <cell r="AC192" t="str">
            <v>1405/05/08</v>
          </cell>
        </row>
        <row r="193">
          <cell r="B193" t="str">
            <v>قالب مینی بوس آریا</v>
          </cell>
          <cell r="C193" t="str">
            <v>قالب نو</v>
          </cell>
          <cell r="AC193" t="str">
            <v>1405/05/07</v>
          </cell>
        </row>
        <row r="194">
          <cell r="B194" t="str">
            <v>شمش پراید</v>
          </cell>
          <cell r="C194" t="str">
            <v>قالب نو</v>
          </cell>
          <cell r="AC194" t="str">
            <v>1405/05/07</v>
          </cell>
        </row>
        <row r="195">
          <cell r="B195" t="str">
            <v>ویوینگ</v>
          </cell>
          <cell r="C195" t="str">
            <v>قطعه تعمیری</v>
          </cell>
          <cell r="AC195" t="str">
            <v>1405/05/07</v>
          </cell>
        </row>
        <row r="196">
          <cell r="B196" t="str">
            <v>ویوینگ</v>
          </cell>
          <cell r="C196" t="str">
            <v>قطعه تعمیری</v>
          </cell>
          <cell r="AC196" t="str">
            <v>1405/05/07</v>
          </cell>
        </row>
        <row r="197">
          <cell r="B197" t="str">
            <v>برشی نیوفیس C&amp;C</v>
          </cell>
          <cell r="C197" t="str">
            <v>قالب نو</v>
          </cell>
          <cell r="AC197" t="str">
            <v>1405/05/07</v>
          </cell>
        </row>
        <row r="198">
          <cell r="B198" t="str">
            <v>برشی نیوفیس C&amp;C</v>
          </cell>
          <cell r="C198" t="str">
            <v>قالب نو</v>
          </cell>
          <cell r="AC198" t="str">
            <v>1405/05/07</v>
          </cell>
        </row>
        <row r="199">
          <cell r="B199" t="str">
            <v>شمش پراید</v>
          </cell>
          <cell r="C199" t="str">
            <v>قالب نو</v>
          </cell>
          <cell r="AC199" t="str">
            <v>1405/05/08</v>
          </cell>
        </row>
        <row r="200">
          <cell r="B200" t="str">
            <v xml:space="preserve">قالب پخت کلاچ پیکان </v>
          </cell>
          <cell r="C200" t="str">
            <v>قالب تعمیری</v>
          </cell>
          <cell r="AC200" t="str">
            <v>1405/05/08</v>
          </cell>
        </row>
        <row r="201">
          <cell r="B201" t="str">
            <v>برشی نیوفیس C&amp;C</v>
          </cell>
          <cell r="C201" t="str">
            <v>قالب نو</v>
          </cell>
          <cell r="AC201" t="str">
            <v>1405/05/08</v>
          </cell>
        </row>
        <row r="202">
          <cell r="B202" t="str">
            <v>دستگاه پشم فلز</v>
          </cell>
          <cell r="C202" t="str">
            <v>قطعه تعمیری</v>
          </cell>
          <cell r="AC202" t="str">
            <v>1405/05/07</v>
          </cell>
        </row>
        <row r="203">
          <cell r="B203" t="str">
            <v>لنت ترمز دیسكی جلو دیما(خم)</v>
          </cell>
          <cell r="C203" t="str">
            <v>قالب نو</v>
          </cell>
          <cell r="AC203" t="str">
            <v>1405/05/08</v>
          </cell>
        </row>
        <row r="204">
          <cell r="B204" t="str">
            <v>شمش پراید</v>
          </cell>
          <cell r="C204" t="str">
            <v>قالب نو</v>
          </cell>
          <cell r="AC204" t="str">
            <v>1405/05/08</v>
          </cell>
        </row>
        <row r="205">
          <cell r="B205" t="str">
            <v xml:space="preserve">قالب پخت کلاچ پیکان </v>
          </cell>
          <cell r="C205" t="str">
            <v>قالب تعمیری</v>
          </cell>
          <cell r="AC205" t="str">
            <v>1405/05/08</v>
          </cell>
        </row>
        <row r="206">
          <cell r="B206" t="str">
            <v>اصول 5S</v>
          </cell>
          <cell r="C206" t="str">
            <v>نظافت</v>
          </cell>
          <cell r="AC206" t="str">
            <v>1405/05/08</v>
          </cell>
        </row>
        <row r="207">
          <cell r="B207" t="str">
            <v>شمش پراید</v>
          </cell>
          <cell r="C207" t="str">
            <v>قالب نو</v>
          </cell>
          <cell r="AC207" t="str">
            <v>1405/05/08</v>
          </cell>
        </row>
        <row r="208">
          <cell r="B208" t="str">
            <v xml:space="preserve">قالب پخت کلاچ پیکان </v>
          </cell>
          <cell r="C208" t="str">
            <v>قالب تعمیری</v>
          </cell>
          <cell r="AC208" t="str">
            <v>1405/05/08</v>
          </cell>
        </row>
        <row r="209">
          <cell r="B209" t="str">
            <v>پخت کلاچ ایسوزو</v>
          </cell>
          <cell r="C209" t="str">
            <v>قالب تعمیری</v>
          </cell>
          <cell r="AC209" t="str">
            <v>1405/05/08</v>
          </cell>
        </row>
        <row r="210">
          <cell r="B210" t="str">
            <v>اصول 5S</v>
          </cell>
          <cell r="C210" t="str">
            <v>نظافت</v>
          </cell>
          <cell r="AC210" t="str">
            <v>1405/05/08</v>
          </cell>
        </row>
        <row r="211">
          <cell r="B211" t="str">
            <v>قالب پخت SAF</v>
          </cell>
          <cell r="C211" t="str">
            <v>قالب تعمیری</v>
          </cell>
          <cell r="AC211" t="str">
            <v>1405/05/08</v>
          </cell>
        </row>
        <row r="212">
          <cell r="B212" t="str">
            <v>قالب مینی بوس آریا</v>
          </cell>
          <cell r="C212" t="str">
            <v>قالب نو</v>
          </cell>
          <cell r="AC212" t="str">
            <v>1405/05/08</v>
          </cell>
        </row>
        <row r="213">
          <cell r="B213" t="str">
            <v>دسنگاه چسب زنی</v>
          </cell>
          <cell r="C213" t="str">
            <v>قطعه نو</v>
          </cell>
          <cell r="AC213" t="str">
            <v>1405/05/08</v>
          </cell>
        </row>
        <row r="214">
          <cell r="B214" t="str">
            <v>دسنگاه چسب زنی</v>
          </cell>
          <cell r="C214" t="str">
            <v>قطعه نو</v>
          </cell>
          <cell r="AC214" t="str">
            <v>1405/05/08</v>
          </cell>
        </row>
        <row r="215">
          <cell r="B215" t="str">
            <v>ابزار زنی</v>
          </cell>
          <cell r="C215" t="str">
            <v>قطعه نو</v>
          </cell>
          <cell r="AC215" t="str">
            <v>1405/05/08</v>
          </cell>
        </row>
        <row r="216">
          <cell r="B216" t="str">
            <v>جک ترمز کلاچ</v>
          </cell>
          <cell r="C216" t="str">
            <v>قطعه تعمیری</v>
          </cell>
          <cell r="AC216" t="str">
            <v>1405/05/08</v>
          </cell>
        </row>
        <row r="217">
          <cell r="B217" t="str">
            <v>دستگاه پرس 400 تن</v>
          </cell>
          <cell r="C217" t="str">
            <v>قطعه نو</v>
          </cell>
          <cell r="AC217" t="str">
            <v>1405/05/08</v>
          </cell>
        </row>
        <row r="218">
          <cell r="B218" t="str">
            <v>اصول 5S</v>
          </cell>
          <cell r="C218" t="str">
            <v>نظافت</v>
          </cell>
          <cell r="AC218" t="str">
            <v>1405/05/08</v>
          </cell>
        </row>
        <row r="219">
          <cell r="B219" t="str">
            <v>شمش پراید</v>
          </cell>
          <cell r="C219" t="str">
            <v>قالب نو</v>
          </cell>
          <cell r="AC219" t="str">
            <v>1405/05/08</v>
          </cell>
        </row>
        <row r="220">
          <cell r="B220" t="str">
            <v>شمش پراید</v>
          </cell>
          <cell r="C220" t="str">
            <v>قالب نو</v>
          </cell>
          <cell r="AC220" t="str">
            <v>1405/05/08</v>
          </cell>
        </row>
        <row r="221">
          <cell r="B221" t="str">
            <v>قالب ولوو سوپر</v>
          </cell>
          <cell r="C221" t="str">
            <v>قالب تعمیری</v>
          </cell>
          <cell r="AC221" t="str">
            <v>1405/05/08</v>
          </cell>
        </row>
        <row r="222">
          <cell r="B222" t="str">
            <v>اصول 5S</v>
          </cell>
          <cell r="C222" t="str">
            <v>نظافت</v>
          </cell>
          <cell r="AC222" t="str">
            <v>1405/05/08</v>
          </cell>
        </row>
        <row r="223">
          <cell r="B223" t="str">
            <v>پخت کلاچ پراید</v>
          </cell>
          <cell r="C223" t="str">
            <v>قالب تعمیری</v>
          </cell>
          <cell r="AC223" t="str">
            <v>1405/05/10</v>
          </cell>
        </row>
        <row r="224">
          <cell r="B224" t="str">
            <v>پخت کلاچ 309 سوراخدار</v>
          </cell>
          <cell r="C224" t="str">
            <v>قالب تعمیری</v>
          </cell>
          <cell r="AC224" t="str">
            <v>1405/05/10</v>
          </cell>
        </row>
        <row r="225">
          <cell r="B225" t="str">
            <v>پخت عقب پژو 405 شمشی پایه کوتاه</v>
          </cell>
          <cell r="C225" t="str">
            <v>قالب نو</v>
          </cell>
          <cell r="AC225" t="str">
            <v>1405/05/10</v>
          </cell>
        </row>
        <row r="226">
          <cell r="B226" t="str">
            <v>برشی نیوفیس C&amp;C</v>
          </cell>
          <cell r="C226" t="str">
            <v>قالب نو</v>
          </cell>
          <cell r="AC226" t="str">
            <v>1405/05/10</v>
          </cell>
        </row>
        <row r="227">
          <cell r="B227" t="str">
            <v>لودر دیسکی XGL 50</v>
          </cell>
          <cell r="C227" t="str">
            <v>قالب نو</v>
          </cell>
          <cell r="AC227" t="str">
            <v>1405/05/11</v>
          </cell>
        </row>
        <row r="228">
          <cell r="B228" t="str">
            <v xml:space="preserve">قالب پخت کلاچ پیکان </v>
          </cell>
          <cell r="C228" t="str">
            <v>قالب تعمیری</v>
          </cell>
          <cell r="AC228" t="str">
            <v>1405/05/10</v>
          </cell>
        </row>
        <row r="229">
          <cell r="B229" t="str">
            <v xml:space="preserve">قالب پخت کلاچ پیکان </v>
          </cell>
          <cell r="C229" t="str">
            <v>قالب تعمیری</v>
          </cell>
          <cell r="AC229" t="str">
            <v>1405/05/11</v>
          </cell>
        </row>
        <row r="230">
          <cell r="B230" t="str">
            <v>پخت کلاچ ایسوزو</v>
          </cell>
          <cell r="C230" t="str">
            <v>قالب تعمیری</v>
          </cell>
          <cell r="AC230" t="str">
            <v>1405/05/10</v>
          </cell>
        </row>
        <row r="231">
          <cell r="B231" t="str">
            <v>پخت کلاچ ایسوزو</v>
          </cell>
          <cell r="C231" t="str">
            <v>قالب تعمیری</v>
          </cell>
          <cell r="AC231" t="str">
            <v>1405/05/10</v>
          </cell>
        </row>
        <row r="232">
          <cell r="B232" t="str">
            <v>پخت کلاچ تیبا چپ</v>
          </cell>
          <cell r="C232" t="str">
            <v>قالب نو</v>
          </cell>
          <cell r="AC232" t="str">
            <v>1405/05/11</v>
          </cell>
        </row>
        <row r="233">
          <cell r="B233" t="str">
            <v>پخت کلاچ تیبا چپ</v>
          </cell>
          <cell r="C233" t="str">
            <v>قالب نو</v>
          </cell>
          <cell r="AC233" t="str">
            <v>1405/05/11</v>
          </cell>
        </row>
        <row r="234">
          <cell r="B234" t="str">
            <v>دستگاه پشم فلز</v>
          </cell>
          <cell r="C234" t="str">
            <v>قطعه تعمیری</v>
          </cell>
          <cell r="AC234" t="str">
            <v>1405/05/10</v>
          </cell>
        </row>
        <row r="235">
          <cell r="B235" t="str">
            <v>دستگاه پشم فلز</v>
          </cell>
          <cell r="C235" t="str">
            <v>قطعه تعمیری</v>
          </cell>
          <cell r="AC235" t="str">
            <v>1405/05/10</v>
          </cell>
        </row>
        <row r="236">
          <cell r="B236" t="str">
            <v>دستگاه پشم فلز</v>
          </cell>
          <cell r="C236" t="str">
            <v>قطعه تعمیری</v>
          </cell>
          <cell r="AC236" t="str">
            <v>1405/05/11</v>
          </cell>
        </row>
        <row r="237">
          <cell r="B237" t="str">
            <v>پخت کلاچ پراید</v>
          </cell>
          <cell r="C237" t="str">
            <v>قالب تعمیری</v>
          </cell>
          <cell r="AC237" t="str">
            <v>1405/05/10</v>
          </cell>
        </row>
        <row r="238">
          <cell r="B238" t="str">
            <v>دستگاه پرس پخت</v>
          </cell>
          <cell r="C238" t="str">
            <v>قطعه تعمیری</v>
          </cell>
          <cell r="AC238" t="str">
            <v>1405/05/10</v>
          </cell>
        </row>
        <row r="239">
          <cell r="B239" t="str">
            <v>شمش پراید</v>
          </cell>
          <cell r="C239" t="str">
            <v>قالب نو</v>
          </cell>
          <cell r="AC239" t="str">
            <v>1405/05/10</v>
          </cell>
        </row>
        <row r="240">
          <cell r="B240" t="str">
            <v xml:space="preserve">قالب پخت کلاچ پیکان </v>
          </cell>
          <cell r="C240" t="str">
            <v>قالب تعمیری</v>
          </cell>
          <cell r="AC240" t="str">
            <v>1405/05/10</v>
          </cell>
        </row>
        <row r="241">
          <cell r="B241" t="str">
            <v>ابزار زنی</v>
          </cell>
          <cell r="C241" t="str">
            <v>قطعه نو</v>
          </cell>
          <cell r="AC241" t="str">
            <v>1405/05/10</v>
          </cell>
        </row>
        <row r="242">
          <cell r="B242" t="str">
            <v>آغشته کاری</v>
          </cell>
          <cell r="C242" t="str">
            <v>قطعه تعمیری</v>
          </cell>
          <cell r="AC242" t="str">
            <v>1405/05/10</v>
          </cell>
        </row>
        <row r="243">
          <cell r="B243" t="str">
            <v>آغشته کاری</v>
          </cell>
          <cell r="C243" t="str">
            <v>قطعه تعمیری</v>
          </cell>
          <cell r="AC243" t="str">
            <v>1405/05/11</v>
          </cell>
        </row>
        <row r="244">
          <cell r="B244" t="str">
            <v>بسته بندی</v>
          </cell>
          <cell r="C244" t="str">
            <v>قطعه نو</v>
          </cell>
          <cell r="AC244" t="str">
            <v>1405/05/11</v>
          </cell>
        </row>
        <row r="245">
          <cell r="B245" t="str">
            <v>ابزار زنی</v>
          </cell>
          <cell r="C245" t="str">
            <v>قطعه نو</v>
          </cell>
          <cell r="AC245" t="str">
            <v>1405/05/11</v>
          </cell>
        </row>
        <row r="246">
          <cell r="B246" t="str">
            <v>پخت کلاچ ایویکو سوراخدار</v>
          </cell>
          <cell r="C246" t="str">
            <v>قالب تعمیری</v>
          </cell>
          <cell r="AC246" t="str">
            <v>1405/05/10</v>
          </cell>
        </row>
        <row r="247">
          <cell r="B247" t="str">
            <v>پخت کلاچ ایویکو سوراخدار</v>
          </cell>
          <cell r="C247" t="str">
            <v>قالب تعمیری</v>
          </cell>
          <cell r="AC247" t="str">
            <v>1405/05/10</v>
          </cell>
        </row>
        <row r="248">
          <cell r="B248" t="str">
            <v xml:space="preserve">قالب پخت کلاچ پیکان </v>
          </cell>
          <cell r="C248" t="str">
            <v>قالب تعمیری</v>
          </cell>
          <cell r="AC248" t="str">
            <v>1405/05/10</v>
          </cell>
        </row>
        <row r="249">
          <cell r="B249" t="str">
            <v xml:space="preserve">قالب پخت کلاچ پیکان </v>
          </cell>
          <cell r="C249" t="str">
            <v>قالب تعمیری</v>
          </cell>
          <cell r="AC249" t="str">
            <v>1405/05/10</v>
          </cell>
        </row>
        <row r="250">
          <cell r="B250" t="str">
            <v>بسته بندی</v>
          </cell>
          <cell r="C250" t="str">
            <v>قطعه تعمیری</v>
          </cell>
          <cell r="AC250" t="str">
            <v>1405/05/11</v>
          </cell>
        </row>
        <row r="251">
          <cell r="B251" t="str">
            <v>پخت کلاچ 309 سوراخدار</v>
          </cell>
          <cell r="C251" t="str">
            <v>قالب تعمیری</v>
          </cell>
          <cell r="AC251" t="str">
            <v>1405/05/11</v>
          </cell>
        </row>
        <row r="252">
          <cell r="B252" t="str">
            <v>دستگاه پرس پخت</v>
          </cell>
          <cell r="C252" t="str">
            <v>قطعه تعمیری</v>
          </cell>
          <cell r="AC252" t="str">
            <v>1405/05/11</v>
          </cell>
        </row>
        <row r="253">
          <cell r="B253" t="str">
            <v xml:space="preserve">قالب پخت کلاچ پیکان </v>
          </cell>
          <cell r="C253" t="str">
            <v>قالب تعمیری</v>
          </cell>
          <cell r="AC253" t="str">
            <v>1405/05/11</v>
          </cell>
        </row>
        <row r="254">
          <cell r="B254" t="str">
            <v>پخت عقب پژو 405 شمشی پایه کوتاه</v>
          </cell>
          <cell r="C254" t="str">
            <v>قالب نو</v>
          </cell>
          <cell r="AC254" t="str">
            <v>1405/05/12</v>
          </cell>
        </row>
        <row r="255">
          <cell r="B255" t="str">
            <v xml:space="preserve">قالب پخت کلاچ پیکان </v>
          </cell>
          <cell r="C255" t="str">
            <v>قالب تعمیری</v>
          </cell>
          <cell r="AC255" t="str">
            <v>1405/05/10</v>
          </cell>
        </row>
        <row r="256">
          <cell r="B256" t="str">
            <v xml:space="preserve">قالب پخت کلاچ پیکان </v>
          </cell>
          <cell r="C256" t="str">
            <v>قالب تعمیری</v>
          </cell>
          <cell r="AC256" t="str">
            <v>1405/05/11</v>
          </cell>
        </row>
        <row r="257">
          <cell r="B257" t="str">
            <v>پخت کلاچ تیبا راست</v>
          </cell>
          <cell r="C257" t="str">
            <v>قالب نو</v>
          </cell>
          <cell r="AC257" t="str">
            <v>1405/05/12</v>
          </cell>
        </row>
        <row r="258">
          <cell r="B258" t="str">
            <v>قالب پخت کلاچ پژو 405</v>
          </cell>
          <cell r="C258" t="str">
            <v>قالب تعمیری</v>
          </cell>
          <cell r="AC258" t="str">
            <v>1405/05/12</v>
          </cell>
        </row>
        <row r="259">
          <cell r="B259" t="str">
            <v>قالب پخت کلاچ پژو 405</v>
          </cell>
          <cell r="C259" t="str">
            <v>قالب تعمیری</v>
          </cell>
          <cell r="AC259" t="str">
            <v>1405/05/12</v>
          </cell>
        </row>
        <row r="260">
          <cell r="B260" t="str">
            <v>لودر دیسکی XGL 50</v>
          </cell>
          <cell r="C260" t="str">
            <v>قالب نو</v>
          </cell>
          <cell r="AC260" t="str">
            <v>1405/05/12</v>
          </cell>
        </row>
        <row r="261">
          <cell r="B261" t="str">
            <v>لودر دیسکی XGL 50</v>
          </cell>
          <cell r="C261" t="str">
            <v>قالب نو</v>
          </cell>
          <cell r="AC261" t="str">
            <v>1405/05/13</v>
          </cell>
        </row>
        <row r="262">
          <cell r="B262" t="str">
            <v>قالب پخت کلاچ پژو 405</v>
          </cell>
          <cell r="C262" t="str">
            <v>قالب تعمیری</v>
          </cell>
          <cell r="AC262" t="str">
            <v>1405/05/12</v>
          </cell>
        </row>
        <row r="263">
          <cell r="B263" t="str">
            <v>قالب پخت کلاچ پژو 405</v>
          </cell>
          <cell r="C263" t="str">
            <v>قالب تعمیری</v>
          </cell>
          <cell r="AC263" t="str">
            <v>1405/05/12</v>
          </cell>
        </row>
        <row r="264">
          <cell r="B264" t="str">
            <v>پخت کلاچ پراید</v>
          </cell>
          <cell r="C264" t="str">
            <v>قالب تعمیری</v>
          </cell>
          <cell r="AC264" t="str">
            <v>1405/05/12</v>
          </cell>
        </row>
        <row r="265">
          <cell r="B265" t="str">
            <v>ابزار زنی</v>
          </cell>
          <cell r="C265" t="str">
            <v>قطعه نو</v>
          </cell>
          <cell r="AC265" t="str">
            <v>1405/05/12</v>
          </cell>
        </row>
        <row r="266">
          <cell r="B266" t="str">
            <v>دستگاه پشم فلز</v>
          </cell>
          <cell r="C266" t="str">
            <v>قطعه تعمیری</v>
          </cell>
          <cell r="AC266" t="str">
            <v>1405/05/12</v>
          </cell>
        </row>
        <row r="267">
          <cell r="B267" t="str">
            <v>قالب پخت کلاچ پژو 405</v>
          </cell>
          <cell r="C267" t="str">
            <v>قالب تعمیری</v>
          </cell>
          <cell r="AC267" t="str">
            <v>1405/05/12</v>
          </cell>
        </row>
        <row r="268">
          <cell r="B268" t="str">
            <v>قالب پخت کلاچ پژو 405</v>
          </cell>
          <cell r="C268" t="str">
            <v>قالب تعمیری</v>
          </cell>
          <cell r="AC268" t="str">
            <v>1405/05/12</v>
          </cell>
        </row>
        <row r="269">
          <cell r="B269" t="str">
            <v>پخت کلاچ پراید</v>
          </cell>
          <cell r="C269" t="str">
            <v>قالب تعمیری</v>
          </cell>
          <cell r="AC269" t="str">
            <v>1405/05/13</v>
          </cell>
        </row>
        <row r="270">
          <cell r="B270" t="str">
            <v>لودر دیسکی XGL 50</v>
          </cell>
          <cell r="C270" t="str">
            <v>قالب نو</v>
          </cell>
          <cell r="AC270" t="str">
            <v>1405/05/13</v>
          </cell>
        </row>
        <row r="271">
          <cell r="B271" t="str">
            <v>قالب شمشی عقب پیکان</v>
          </cell>
          <cell r="C271" t="str">
            <v>قالب نو</v>
          </cell>
          <cell r="AC271" t="str">
            <v>1405/05/13</v>
          </cell>
        </row>
        <row r="272">
          <cell r="B272" t="str">
            <v>پخت عقب پژو 405 شمشی پایه کوتاه</v>
          </cell>
          <cell r="C272" t="str">
            <v>قالب نو</v>
          </cell>
          <cell r="AC272" t="str">
            <v>1405/05/13</v>
          </cell>
        </row>
        <row r="273">
          <cell r="B273" t="str">
            <v>دستگاه پشم فلز</v>
          </cell>
          <cell r="C273" t="str">
            <v>قطعه تعمیری</v>
          </cell>
          <cell r="AC273" t="str">
            <v>1405/05/13</v>
          </cell>
        </row>
        <row r="274">
          <cell r="B274" t="str">
            <v>قالب پخت کلاچ پژو 405</v>
          </cell>
          <cell r="C274" t="str">
            <v>قالب تعمیری</v>
          </cell>
          <cell r="AC274" t="str">
            <v>1405/05/13</v>
          </cell>
        </row>
        <row r="275">
          <cell r="B275" t="str">
            <v>ترابوزا</v>
          </cell>
          <cell r="C275" t="str">
            <v>قالب تعمیری</v>
          </cell>
          <cell r="AC275" t="str">
            <v>1405/05/16</v>
          </cell>
        </row>
        <row r="276">
          <cell r="B276" t="str">
            <v>پخت کلاچ لندکروز</v>
          </cell>
          <cell r="C276" t="str">
            <v>قالب تعمیری</v>
          </cell>
          <cell r="AC276" t="str">
            <v>1405/05/16</v>
          </cell>
        </row>
        <row r="277">
          <cell r="B277" t="str">
            <v>فوتون 107</v>
          </cell>
          <cell r="C277" t="str">
            <v>قالب تعمیری</v>
          </cell>
          <cell r="AC277" t="str">
            <v>1405/05/16</v>
          </cell>
        </row>
        <row r="278">
          <cell r="B278" t="str">
            <v>قالب پخت کلاچ پژو 405</v>
          </cell>
          <cell r="C278" t="str">
            <v>قالب تعمیری</v>
          </cell>
          <cell r="AC278" t="str">
            <v>1405/05/16</v>
          </cell>
        </row>
        <row r="279">
          <cell r="B279" t="str">
            <v>قالب پخت کلاچ پژو 405</v>
          </cell>
          <cell r="C279" t="str">
            <v>قالب تعمیری</v>
          </cell>
          <cell r="AC279" t="str">
            <v>1405/05/16</v>
          </cell>
        </row>
        <row r="280">
          <cell r="B280" t="str">
            <v>پخت عقب پژو 405 شمشی پایه کوتاه</v>
          </cell>
          <cell r="C280" t="str">
            <v>قالب نو</v>
          </cell>
          <cell r="AC280" t="str">
            <v>1405/05/16</v>
          </cell>
        </row>
        <row r="281">
          <cell r="B281" t="str">
            <v>قالب پخت کلاچ پژو 405</v>
          </cell>
          <cell r="C281" t="str">
            <v>قالب تعمیری</v>
          </cell>
          <cell r="AC281" t="str">
            <v>1405/05/16</v>
          </cell>
        </row>
        <row r="282">
          <cell r="B282" t="str">
            <v>برشی نیوفیس C&amp;C</v>
          </cell>
          <cell r="C282" t="str">
            <v>قالب نو</v>
          </cell>
          <cell r="AC282" t="str">
            <v>1405/05/16</v>
          </cell>
        </row>
        <row r="283">
          <cell r="B283" t="str">
            <v>پخت کلاچ تیبا راست</v>
          </cell>
          <cell r="C283" t="str">
            <v>قالب نو</v>
          </cell>
          <cell r="AC283" t="str">
            <v>1405/05/14</v>
          </cell>
        </row>
        <row r="284">
          <cell r="B284" t="str">
            <v>قالب پخت کلاچ پژو 405</v>
          </cell>
          <cell r="C284" t="str">
            <v>قالب تعمیری</v>
          </cell>
          <cell r="AC284" t="str">
            <v>1405/05/14</v>
          </cell>
        </row>
        <row r="285">
          <cell r="B285" t="str">
            <v>پخت کلاچ تیبا راست</v>
          </cell>
          <cell r="C285" t="str">
            <v>قالب نو</v>
          </cell>
          <cell r="AC285" t="str">
            <v>1405/05/17</v>
          </cell>
        </row>
        <row r="286">
          <cell r="B286" t="str">
            <v>برشی نیوفیس C&amp;C</v>
          </cell>
          <cell r="C286" t="str">
            <v>قالب نو</v>
          </cell>
          <cell r="AC286" t="str">
            <v>1405/05/17</v>
          </cell>
        </row>
        <row r="287">
          <cell r="B287" t="str">
            <v>جک ترمز کلاچ</v>
          </cell>
          <cell r="C287" t="str">
            <v>قطعه تعمیری</v>
          </cell>
          <cell r="AC287" t="str">
            <v>1405/05/17</v>
          </cell>
        </row>
        <row r="288">
          <cell r="B288" t="str">
            <v>پخت کلاچ تیبا راست</v>
          </cell>
          <cell r="C288" t="str">
            <v>قالب نو</v>
          </cell>
          <cell r="AC288" t="str">
            <v>1405/05/14</v>
          </cell>
        </row>
        <row r="289">
          <cell r="B289" t="str">
            <v>پخت کلاچ تیبا راست</v>
          </cell>
          <cell r="C289" t="str">
            <v>قالب نو</v>
          </cell>
          <cell r="AC289" t="str">
            <v>1405/05/17</v>
          </cell>
        </row>
        <row r="290">
          <cell r="B290" t="str">
            <v>ترابوزا</v>
          </cell>
          <cell r="C290" t="str">
            <v>قالب تعمیری</v>
          </cell>
          <cell r="AC290" t="str">
            <v>1405/05/14</v>
          </cell>
        </row>
        <row r="291">
          <cell r="B291" t="str">
            <v>فوتون 107</v>
          </cell>
          <cell r="C291" t="str">
            <v>قالب تعمیری</v>
          </cell>
          <cell r="AC291" t="str">
            <v>1405/05/15</v>
          </cell>
        </row>
        <row r="292">
          <cell r="B292" t="str">
            <v>اصول 5S</v>
          </cell>
          <cell r="C292" t="str">
            <v>نظافت</v>
          </cell>
          <cell r="AC292" t="str">
            <v>1405/05/15</v>
          </cell>
        </row>
        <row r="293">
          <cell r="B293" t="str">
            <v>لودر دیسکی XGL 50</v>
          </cell>
          <cell r="C293" t="str">
            <v>قالب نو</v>
          </cell>
          <cell r="AC293" t="str">
            <v>1405/05/14</v>
          </cell>
        </row>
        <row r="294">
          <cell r="B294" t="str">
            <v>قالب شمشی عقب پیکان</v>
          </cell>
          <cell r="C294" t="str">
            <v>قالب نو</v>
          </cell>
          <cell r="AC294" t="str">
            <v>1405/05/14</v>
          </cell>
        </row>
        <row r="295">
          <cell r="B295" t="str">
            <v>برشی نیوفیس C&amp;C</v>
          </cell>
          <cell r="C295" t="str">
            <v>قالب نو</v>
          </cell>
          <cell r="AC295" t="str">
            <v>1405/05/15</v>
          </cell>
        </row>
        <row r="296">
          <cell r="B296" t="str">
            <v>برشی نیوفیس C&amp;C</v>
          </cell>
          <cell r="C296" t="str">
            <v>قالب نو</v>
          </cell>
          <cell r="AC296" t="str">
            <v>1405/05/17</v>
          </cell>
        </row>
        <row r="297">
          <cell r="B297" t="str">
            <v>قالب شمشی عقب پیکان</v>
          </cell>
          <cell r="C297" t="str">
            <v>قالب نو</v>
          </cell>
          <cell r="AC297" t="str">
            <v>1405/05/17</v>
          </cell>
        </row>
        <row r="298">
          <cell r="B298" t="str">
            <v>لودر دیسکی XGL 50</v>
          </cell>
          <cell r="C298" t="str">
            <v>قالب نو</v>
          </cell>
          <cell r="AC298" t="str">
            <v>1405/05/15</v>
          </cell>
        </row>
        <row r="299">
          <cell r="B299" t="str">
            <v>برشی نیوفیس C&amp;C</v>
          </cell>
          <cell r="C299" t="str">
            <v>قالب نو</v>
          </cell>
          <cell r="AC299" t="str">
            <v>1405/05/16</v>
          </cell>
        </row>
        <row r="300">
          <cell r="B300" t="str">
            <v>لودر دیسکی XGL 50</v>
          </cell>
          <cell r="C300" t="str">
            <v>قالب نو</v>
          </cell>
          <cell r="AC300" t="str">
            <v>1405/05/17</v>
          </cell>
        </row>
        <row r="301">
          <cell r="B301" t="str">
            <v>قالب پخت SAF</v>
          </cell>
          <cell r="C301" t="str">
            <v>قالب تعمیری</v>
          </cell>
          <cell r="AC301" t="str">
            <v>1405/05/15</v>
          </cell>
        </row>
        <row r="302">
          <cell r="B302" t="str">
            <v>دسنگاه چسب زنی</v>
          </cell>
          <cell r="C302" t="str">
            <v>قطعه نو</v>
          </cell>
          <cell r="AC302" t="str">
            <v>1405/05/15</v>
          </cell>
        </row>
        <row r="303">
          <cell r="B303" t="str">
            <v>دسنگاه چسب زنی</v>
          </cell>
          <cell r="C303" t="str">
            <v>قطعه نو</v>
          </cell>
          <cell r="AC303" t="str">
            <v>1405/05/15</v>
          </cell>
        </row>
        <row r="304">
          <cell r="B304" t="str">
            <v>دسنگاه چسب زنی</v>
          </cell>
          <cell r="C304" t="str">
            <v>قطعه نو</v>
          </cell>
          <cell r="AC304" t="str">
            <v>1405/05/15</v>
          </cell>
        </row>
        <row r="305">
          <cell r="B305" t="str">
            <v>لودر دیسکی XGL 50</v>
          </cell>
          <cell r="C305" t="str">
            <v>قالب نو</v>
          </cell>
          <cell r="AC305" t="str">
            <v>1405/05/15</v>
          </cell>
        </row>
        <row r="306">
          <cell r="B306" t="str">
            <v>قطعه بیرونی</v>
          </cell>
          <cell r="C306" t="str">
            <v>قطعه تعمیری</v>
          </cell>
          <cell r="AC306" t="str">
            <v>1405/05/15</v>
          </cell>
        </row>
        <row r="307">
          <cell r="B307" t="str">
            <v>فوتون 107</v>
          </cell>
          <cell r="C307" t="str">
            <v>قالب تعمیری</v>
          </cell>
          <cell r="AC307" t="str">
            <v>1405/05/17</v>
          </cell>
        </row>
        <row r="308">
          <cell r="B308" t="str">
            <v>پایه پرچ عقب نیسان</v>
          </cell>
          <cell r="C308" t="str">
            <v>قطعه نو</v>
          </cell>
          <cell r="AC308" t="str">
            <v>1405/05/15</v>
          </cell>
        </row>
        <row r="309">
          <cell r="B309" t="str">
            <v>اصول 5S</v>
          </cell>
          <cell r="C309" t="str">
            <v>نظافت</v>
          </cell>
          <cell r="AC309" t="str">
            <v>1405/05/15</v>
          </cell>
        </row>
        <row r="310">
          <cell r="B310" t="str">
            <v>پایه پرچ عقب نیسان</v>
          </cell>
          <cell r="C310" t="str">
            <v>قطعه نو</v>
          </cell>
          <cell r="AC310" t="str">
            <v>1405/05/17</v>
          </cell>
        </row>
        <row r="311">
          <cell r="B311" t="str">
            <v>برشی نیوفیس C&amp;C</v>
          </cell>
          <cell r="C311" t="str">
            <v>قالب نو</v>
          </cell>
          <cell r="AC311" t="str">
            <v>1405/05/17</v>
          </cell>
        </row>
        <row r="312">
          <cell r="B312" t="str">
            <v>دستگاه ساب سمباده ای</v>
          </cell>
          <cell r="C312" t="str">
            <v>قطعه تعمیری</v>
          </cell>
          <cell r="AC312" t="str">
            <v>1405/05/17</v>
          </cell>
        </row>
        <row r="313">
          <cell r="B313" t="str">
            <v>ساب ترابوزا</v>
          </cell>
          <cell r="C313" t="str">
            <v>قطعه نو</v>
          </cell>
          <cell r="AC313" t="str">
            <v>1405/05/17</v>
          </cell>
        </row>
        <row r="314">
          <cell r="B314" t="str">
            <v>قالب عقب F12</v>
          </cell>
          <cell r="C314" t="str">
            <v>قالب نو</v>
          </cell>
          <cell r="AC314" t="str">
            <v>1405/05/17</v>
          </cell>
        </row>
        <row r="315">
          <cell r="B315" t="str">
            <v>پخت عقب پژو 405 شمشی پایه کوتاه</v>
          </cell>
          <cell r="C315" t="str">
            <v>قالب نو</v>
          </cell>
          <cell r="AC315" t="str">
            <v>1405/05/17</v>
          </cell>
        </row>
        <row r="316">
          <cell r="B316" t="str">
            <v>قالب شمشی عقب پیکان</v>
          </cell>
          <cell r="C316" t="str">
            <v>قالب نو</v>
          </cell>
          <cell r="AC316" t="str">
            <v>1405/05/18</v>
          </cell>
        </row>
        <row r="317">
          <cell r="B317" t="str">
            <v>پخت کلاچ تیبا چپ</v>
          </cell>
          <cell r="C317" t="str">
            <v>قالب نو</v>
          </cell>
          <cell r="AC317" t="str">
            <v>1405/05/18</v>
          </cell>
        </row>
        <row r="318">
          <cell r="B318" t="str">
            <v>پخت عقب پژو 405 شمشی پایه کوتاه</v>
          </cell>
          <cell r="C318" t="str">
            <v>قالب نو</v>
          </cell>
          <cell r="AC318" t="str">
            <v>1405/05/18</v>
          </cell>
        </row>
        <row r="319">
          <cell r="B319" t="str">
            <v>برشی نیوفیس C&amp;C</v>
          </cell>
          <cell r="C319" t="str">
            <v>قالب نو</v>
          </cell>
          <cell r="AC319" t="str">
            <v>1405/05/18</v>
          </cell>
        </row>
        <row r="320">
          <cell r="B320" t="str">
            <v>قالب پخت SAF</v>
          </cell>
          <cell r="C320" t="str">
            <v>قالب تعمیری</v>
          </cell>
          <cell r="AC320" t="str">
            <v>1405/05/18</v>
          </cell>
        </row>
        <row r="321">
          <cell r="B321" t="str">
            <v>دسنگاه چسب زنی</v>
          </cell>
          <cell r="C321" t="str">
            <v>قطعه نو</v>
          </cell>
          <cell r="AC321" t="str">
            <v>1405/05/18</v>
          </cell>
        </row>
        <row r="322">
          <cell r="B322" t="str">
            <v>ترابوزا</v>
          </cell>
          <cell r="C322" t="str">
            <v>قالب تعمیری</v>
          </cell>
          <cell r="AC322" t="str">
            <v>1405/05/18</v>
          </cell>
        </row>
        <row r="323">
          <cell r="B323" t="str">
            <v>قطعه بیرونی</v>
          </cell>
          <cell r="C323" t="str">
            <v>قطعه تعمیری</v>
          </cell>
          <cell r="AC323" t="str">
            <v>1405/05/18</v>
          </cell>
        </row>
        <row r="324">
          <cell r="B324" t="str">
            <v>ویوینگ</v>
          </cell>
          <cell r="C324" t="str">
            <v>قطعه تعمیری</v>
          </cell>
          <cell r="AC324" t="str">
            <v>1405/05/18</v>
          </cell>
        </row>
        <row r="325">
          <cell r="B325" t="str">
            <v>ساب ترابوزا</v>
          </cell>
          <cell r="C325" t="str">
            <v>قطعه نو</v>
          </cell>
          <cell r="AC325" t="str">
            <v>1405/05/18</v>
          </cell>
        </row>
        <row r="326">
          <cell r="B326" t="str">
            <v>ابزار زنی</v>
          </cell>
          <cell r="C326" t="str">
            <v>قطعه تعمیری</v>
          </cell>
          <cell r="AC326" t="str">
            <v>1405/05/18</v>
          </cell>
        </row>
        <row r="327">
          <cell r="B327" t="str">
            <v>میکس</v>
          </cell>
          <cell r="C327" t="str">
            <v>قطعه نو</v>
          </cell>
          <cell r="AC327" t="str">
            <v>1405/05/18</v>
          </cell>
        </row>
        <row r="328">
          <cell r="B328" t="str">
            <v>آغشته کاری</v>
          </cell>
          <cell r="C328" t="str">
            <v>قطعه نو</v>
          </cell>
          <cell r="AC328" t="str">
            <v>1405/05/18</v>
          </cell>
        </row>
        <row r="329">
          <cell r="B329" t="str">
            <v>سری تراش</v>
          </cell>
          <cell r="C329" t="str">
            <v>قطعه نو</v>
          </cell>
          <cell r="AC329" t="str">
            <v>1405/05/17</v>
          </cell>
        </row>
        <row r="330">
          <cell r="B330" t="str">
            <v>سری تراش</v>
          </cell>
          <cell r="C330" t="str">
            <v>قطعه نو</v>
          </cell>
          <cell r="AC330" t="str">
            <v>1405/05/18</v>
          </cell>
        </row>
        <row r="331">
          <cell r="B331" t="str">
            <v>پایه پرچ عقب نیسان</v>
          </cell>
          <cell r="C331" t="str">
            <v>قطعه تعمیری</v>
          </cell>
          <cell r="AC331" t="str">
            <v>1405/05/18</v>
          </cell>
        </row>
        <row r="332">
          <cell r="B332" t="str">
            <v>ساب کف گرگی</v>
          </cell>
          <cell r="C332" t="str">
            <v>قطعه تعمیری</v>
          </cell>
          <cell r="AC332" t="str">
            <v>1405/05/18</v>
          </cell>
        </row>
        <row r="333">
          <cell r="B333" t="str">
            <v>سری تراش</v>
          </cell>
          <cell r="C333" t="str">
            <v>قطعه نو</v>
          </cell>
          <cell r="AC333" t="str">
            <v>1405/05/18</v>
          </cell>
        </row>
        <row r="334">
          <cell r="B334" t="str">
            <v>پخت عقب پژو 405 شمشی پایه کوتاه</v>
          </cell>
          <cell r="C334" t="str">
            <v>قالب نو</v>
          </cell>
          <cell r="AC334" t="str">
            <v>1405/05/18</v>
          </cell>
        </row>
        <row r="335">
          <cell r="B335" t="str">
            <v xml:space="preserve">پخت کلاچ پراید سکو </v>
          </cell>
          <cell r="C335" t="str">
            <v>قالب تعمیری</v>
          </cell>
          <cell r="AC335" t="str">
            <v>1405/05/18</v>
          </cell>
        </row>
        <row r="336">
          <cell r="B336" t="str">
            <v>فوتون 107</v>
          </cell>
          <cell r="C336" t="str">
            <v>قالب تعمیری</v>
          </cell>
          <cell r="AC336" t="str">
            <v>1405/05/18</v>
          </cell>
        </row>
        <row r="337">
          <cell r="B337" t="str">
            <v>فوتون 107</v>
          </cell>
          <cell r="C337" t="str">
            <v>قالب تعمیری</v>
          </cell>
          <cell r="AC337" t="str">
            <v>1405/05/18</v>
          </cell>
        </row>
        <row r="338">
          <cell r="B338" t="str">
            <v xml:space="preserve">پخت کلاچ پراید سکو </v>
          </cell>
          <cell r="C338" t="str">
            <v>قالب تعمیری</v>
          </cell>
          <cell r="AC338" t="str">
            <v>1405/05/18</v>
          </cell>
        </row>
        <row r="339">
          <cell r="B339" t="str">
            <v>پخت کلاچ تیبا چپ</v>
          </cell>
          <cell r="C339" t="str">
            <v>قالب نو</v>
          </cell>
          <cell r="AC339" t="str">
            <v>1405/05/18</v>
          </cell>
        </row>
        <row r="340">
          <cell r="B340" t="str">
            <v>پخت کلاچ لندکروز</v>
          </cell>
          <cell r="C340" t="str">
            <v>قالب تعمیری</v>
          </cell>
          <cell r="AC340" t="str">
            <v>1405/05/18</v>
          </cell>
        </row>
        <row r="341">
          <cell r="B341" t="str">
            <v>پخت کلاچ لندکروز</v>
          </cell>
          <cell r="C341" t="str">
            <v>قالب تعمیری</v>
          </cell>
          <cell r="AC341" t="str">
            <v>1405/05/18</v>
          </cell>
        </row>
        <row r="342">
          <cell r="B342" t="str">
            <v>دستگاه ساب سمباده ای</v>
          </cell>
          <cell r="C342" t="str">
            <v>قطعه تعمیری</v>
          </cell>
          <cell r="AC342" t="str">
            <v>1405/05/18</v>
          </cell>
        </row>
        <row r="343">
          <cell r="B343" t="str">
            <v>قالب پخت SAF</v>
          </cell>
          <cell r="C343" t="str">
            <v>قالب نو</v>
          </cell>
          <cell r="AC343" t="str">
            <v>1405/05/18</v>
          </cell>
        </row>
        <row r="344">
          <cell r="B344" t="str">
            <v>پخت کلاچ تیبا چپ</v>
          </cell>
          <cell r="C344" t="str">
            <v>قالب نو</v>
          </cell>
          <cell r="AC344" t="str">
            <v>1405/05/19</v>
          </cell>
        </row>
        <row r="345">
          <cell r="B345" t="str">
            <v>لودر دیسکی XGL 50</v>
          </cell>
          <cell r="C345" t="str">
            <v>قالب نو</v>
          </cell>
          <cell r="AC345" t="str">
            <v>1405/05/19</v>
          </cell>
        </row>
        <row r="346">
          <cell r="B346" t="str">
            <v>اصول 5S</v>
          </cell>
          <cell r="C346" t="str">
            <v>نظافت</v>
          </cell>
          <cell r="AC346" t="str">
            <v>1405/05/19</v>
          </cell>
        </row>
        <row r="347">
          <cell r="B347" t="str">
            <v>پخت عقب پژو 405 شمشی پایه کوتاه</v>
          </cell>
          <cell r="C347" t="str">
            <v>قالب نو</v>
          </cell>
          <cell r="AC347" t="str">
            <v>1405/05/19</v>
          </cell>
        </row>
        <row r="348">
          <cell r="B348" t="str">
            <v>قالب عقب F12</v>
          </cell>
          <cell r="C348" t="str">
            <v>قالب نو</v>
          </cell>
          <cell r="AC348" t="str">
            <v>1405/05/19</v>
          </cell>
        </row>
        <row r="349">
          <cell r="B349" t="str">
            <v>قالب شمشی عقب پیکان</v>
          </cell>
          <cell r="C349" t="str">
            <v>قالب نو</v>
          </cell>
          <cell r="AC349" t="str">
            <v>1405/05/19</v>
          </cell>
        </row>
        <row r="350">
          <cell r="B350" t="str">
            <v>پخت عقب پژو 405 شمشی پایه کوتاه</v>
          </cell>
          <cell r="C350" t="str">
            <v>قالب نو</v>
          </cell>
          <cell r="AC350" t="str">
            <v>1405/05/19</v>
          </cell>
        </row>
        <row r="351">
          <cell r="B351" t="str">
            <v>سری تراش</v>
          </cell>
          <cell r="C351" t="str">
            <v>قطعه نو</v>
          </cell>
          <cell r="AC351" t="str">
            <v>1405/05/19</v>
          </cell>
        </row>
        <row r="352">
          <cell r="B352" t="str">
            <v>لنت ترمز دیسكی جلو دیما(خم)</v>
          </cell>
          <cell r="C352" t="str">
            <v>قالب نو</v>
          </cell>
          <cell r="AC352" t="str">
            <v>1405/05/19</v>
          </cell>
        </row>
        <row r="353">
          <cell r="B353" t="str">
            <v>برشی نیوفیس C&amp;C</v>
          </cell>
          <cell r="C353" t="str">
            <v>قالب نو</v>
          </cell>
          <cell r="AC353" t="str">
            <v>1405/05/19</v>
          </cell>
        </row>
        <row r="354">
          <cell r="B354" t="str">
            <v>دستگاه پشم فلز</v>
          </cell>
          <cell r="C354" t="str">
            <v>قطعه تعمیری</v>
          </cell>
          <cell r="AC354" t="str">
            <v>1405/05/19</v>
          </cell>
        </row>
        <row r="355">
          <cell r="B355" t="str">
            <v>برشی نیوفیس C&amp;C</v>
          </cell>
          <cell r="C355" t="str">
            <v>قالب نو</v>
          </cell>
          <cell r="AC355" t="str">
            <v>1405/05/19</v>
          </cell>
        </row>
        <row r="356">
          <cell r="B356" t="str">
            <v>برشی نیوفیس C&amp;C</v>
          </cell>
          <cell r="C356" t="str">
            <v>قالب نو</v>
          </cell>
          <cell r="AC356" t="str">
            <v>1405/05/19</v>
          </cell>
        </row>
        <row r="357">
          <cell r="B357" t="str">
            <v xml:space="preserve">پخت کلاچ پراید سکو </v>
          </cell>
          <cell r="C357" t="str">
            <v>قالب تعمیری</v>
          </cell>
          <cell r="AC357" t="str">
            <v>1405/05/19</v>
          </cell>
        </row>
        <row r="358">
          <cell r="B358" t="str">
            <v xml:space="preserve">پخت کلاچ پراید سکو </v>
          </cell>
          <cell r="C358" t="str">
            <v>قالب تعمیری</v>
          </cell>
          <cell r="AC358" t="str">
            <v>1405/05/19</v>
          </cell>
        </row>
        <row r="359">
          <cell r="B359" t="str">
            <v xml:space="preserve">پخت کلاچ پراید سکو </v>
          </cell>
          <cell r="C359" t="str">
            <v>قالب تعمیری</v>
          </cell>
          <cell r="AC359" t="str">
            <v>1405/05/19</v>
          </cell>
        </row>
        <row r="360">
          <cell r="B360" t="str">
            <v xml:space="preserve">پخت کلاچ پراید سکو </v>
          </cell>
          <cell r="C360" t="str">
            <v>قالب تعمیری</v>
          </cell>
          <cell r="AC360" t="str">
            <v>1405/05/19</v>
          </cell>
        </row>
        <row r="361">
          <cell r="B361" t="str">
            <v>ویوینگ</v>
          </cell>
          <cell r="C361" t="str">
            <v>قطعه تعمیری</v>
          </cell>
          <cell r="AC361" t="str">
            <v>1405/05/19</v>
          </cell>
        </row>
        <row r="362">
          <cell r="B362" t="str">
            <v>پخت عقب پژو 405 شمشی پایه کوتاه</v>
          </cell>
          <cell r="C362" t="str">
            <v>قالب نو</v>
          </cell>
          <cell r="AC362" t="str">
            <v>1405/05/19</v>
          </cell>
        </row>
        <row r="363">
          <cell r="B363" t="str">
            <v>پخت کلاچ تیبا چپ</v>
          </cell>
          <cell r="C363" t="str">
            <v>قالب نو</v>
          </cell>
          <cell r="AC363" t="str">
            <v>1405/05/19</v>
          </cell>
        </row>
        <row r="364">
          <cell r="B364" t="str">
            <v>پخت کلاچ لندکروز</v>
          </cell>
          <cell r="C364" t="str">
            <v>قالب تعمیری</v>
          </cell>
          <cell r="AC364" t="str">
            <v>1405/05/19</v>
          </cell>
        </row>
        <row r="365">
          <cell r="B365" t="str">
            <v>برشی نیوفیس C&amp;C</v>
          </cell>
          <cell r="C365" t="str">
            <v>قالب نو</v>
          </cell>
          <cell r="AC365" t="str">
            <v>1405/05/19</v>
          </cell>
        </row>
        <row r="366">
          <cell r="B366" t="str">
            <v>پخت کلاچ تیبا راست</v>
          </cell>
          <cell r="C366" t="str">
            <v>قالب نو</v>
          </cell>
          <cell r="AC366" t="str">
            <v>1405/05/19</v>
          </cell>
        </row>
        <row r="367">
          <cell r="B367" t="str">
            <v>قالب پخت SAF</v>
          </cell>
          <cell r="C367" t="str">
            <v>قالب تعمیری</v>
          </cell>
          <cell r="AC367" t="str">
            <v>1405/05/19</v>
          </cell>
        </row>
        <row r="368">
          <cell r="B368" t="str">
            <v>ترابوزا</v>
          </cell>
          <cell r="C368" t="str">
            <v>قالب تعمیری</v>
          </cell>
          <cell r="AC368" t="str">
            <v>1405/05/19</v>
          </cell>
        </row>
        <row r="369">
          <cell r="B369" t="str">
            <v>دستگاه پشم فلز</v>
          </cell>
          <cell r="C369" t="str">
            <v>قطعه تعمیری</v>
          </cell>
          <cell r="AC369" t="str">
            <v>1405/05/19</v>
          </cell>
        </row>
        <row r="370">
          <cell r="B370" t="str">
            <v>دستگاه فرز</v>
          </cell>
          <cell r="C370" t="str">
            <v>قطعه تعمیری</v>
          </cell>
          <cell r="AC370" t="str">
            <v>1405/05/19</v>
          </cell>
        </row>
        <row r="371">
          <cell r="B371" t="str">
            <v>میکس</v>
          </cell>
          <cell r="C371" t="str">
            <v>قطعه تعمیری</v>
          </cell>
          <cell r="AC371" t="str">
            <v>1405/05/19</v>
          </cell>
        </row>
        <row r="372">
          <cell r="B372" t="str">
            <v>سری تراش</v>
          </cell>
          <cell r="C372" t="str">
            <v>قطعه نو</v>
          </cell>
          <cell r="AC372" t="str">
            <v>1405/05/19</v>
          </cell>
        </row>
        <row r="373">
          <cell r="B373" t="str">
            <v>قالب پخت SAF</v>
          </cell>
          <cell r="C373" t="str">
            <v>قالب نو</v>
          </cell>
          <cell r="AC373" t="str">
            <v>1405/05/19</v>
          </cell>
        </row>
        <row r="374">
          <cell r="B374" t="str">
            <v>پخت عقب پژو 405 شمشی پایه کوتاه</v>
          </cell>
          <cell r="C374" t="str">
            <v>قالب نو</v>
          </cell>
          <cell r="AC374" t="str">
            <v>1405/05/20</v>
          </cell>
        </row>
        <row r="375">
          <cell r="B375" t="str">
            <v>پخت کلاچ لندکروز</v>
          </cell>
          <cell r="C375" t="str">
            <v>قالب تعمیری</v>
          </cell>
          <cell r="AC375" t="str">
            <v>1405/05/20</v>
          </cell>
        </row>
        <row r="376">
          <cell r="B376" t="str">
            <v>قالب شمشی عقب پیکان</v>
          </cell>
          <cell r="C376" t="str">
            <v>قالب نو</v>
          </cell>
          <cell r="AC376" t="str">
            <v>1405/05/20</v>
          </cell>
        </row>
        <row r="377">
          <cell r="B377" t="str">
            <v>قالب پخت SAF</v>
          </cell>
          <cell r="C377" t="str">
            <v>قالب نو</v>
          </cell>
          <cell r="AC377" t="str">
            <v>1405/05/20</v>
          </cell>
        </row>
        <row r="378">
          <cell r="B378" t="str">
            <v>قالب پخت SAF</v>
          </cell>
          <cell r="C378" t="str">
            <v>قالب تعمیری</v>
          </cell>
          <cell r="AC378" t="str">
            <v>1405/05/20</v>
          </cell>
        </row>
        <row r="379">
          <cell r="B379" t="str">
            <v>عقب لیفتراک</v>
          </cell>
          <cell r="C379" t="str">
            <v>قطعه نو</v>
          </cell>
          <cell r="AC379" t="str">
            <v>1405/05/20</v>
          </cell>
        </row>
        <row r="380">
          <cell r="B380" t="str">
            <v>قالب پخت SAF</v>
          </cell>
          <cell r="C380" t="str">
            <v>قالب نو</v>
          </cell>
          <cell r="AC380" t="str">
            <v>1405/05/21</v>
          </cell>
        </row>
        <row r="381">
          <cell r="B381" t="str">
            <v>قالب پخت SAF</v>
          </cell>
          <cell r="C381" t="str">
            <v>قالب تعمیری</v>
          </cell>
          <cell r="AC381" t="str">
            <v>1405/05/21</v>
          </cell>
        </row>
        <row r="382">
          <cell r="B382" t="str">
            <v>نگهدارنده پلاک قالب</v>
          </cell>
          <cell r="C382" t="str">
            <v>قطعه نو</v>
          </cell>
          <cell r="AC382" t="str">
            <v>1405/05/21</v>
          </cell>
        </row>
        <row r="383">
          <cell r="B383" t="str">
            <v>دستگاه پرس 600 تن</v>
          </cell>
          <cell r="C383" t="str">
            <v>قطعه نو</v>
          </cell>
          <cell r="AC383" t="str">
            <v>1405/05/21</v>
          </cell>
        </row>
        <row r="384">
          <cell r="B384" t="str">
            <v>پخت عقب پژو 405 شمشی پایه کوتاه</v>
          </cell>
          <cell r="C384" t="str">
            <v>قالب نو</v>
          </cell>
          <cell r="AC384" t="str">
            <v>1405/05/20</v>
          </cell>
        </row>
        <row r="385">
          <cell r="B385" t="str">
            <v>پین عقب پژو 405</v>
          </cell>
          <cell r="C385" t="str">
            <v>قطعه نو</v>
          </cell>
          <cell r="AC385" t="str">
            <v>1405/05/20</v>
          </cell>
        </row>
        <row r="386">
          <cell r="B386" t="str">
            <v>فوتون 107</v>
          </cell>
          <cell r="C386" t="str">
            <v>قالب تعمیری</v>
          </cell>
          <cell r="AC386" t="str">
            <v>1405/05/20</v>
          </cell>
        </row>
        <row r="387">
          <cell r="B387" t="str">
            <v>فوتون 107</v>
          </cell>
          <cell r="C387" t="str">
            <v>قالب تعمیری</v>
          </cell>
          <cell r="AC387" t="str">
            <v>1405/05/21</v>
          </cell>
        </row>
        <row r="388">
          <cell r="B388" t="str">
            <v>پین عقب پژو 405</v>
          </cell>
          <cell r="C388" t="str">
            <v>قطعه نو</v>
          </cell>
          <cell r="AC388" t="str">
            <v>1405/05/21</v>
          </cell>
        </row>
        <row r="389">
          <cell r="B389" t="str">
            <v>پین عقب پژو 405</v>
          </cell>
          <cell r="C389" t="str">
            <v>قطعه نو</v>
          </cell>
          <cell r="AC389" t="str">
            <v>1405/05/22</v>
          </cell>
        </row>
        <row r="390">
          <cell r="B390" t="str">
            <v>دسنگاه چسب زنی</v>
          </cell>
          <cell r="C390" t="str">
            <v>قطعه نو</v>
          </cell>
          <cell r="AC390" t="str">
            <v>1405/05/20</v>
          </cell>
        </row>
        <row r="391">
          <cell r="B391" t="str">
            <v>قالب شمشی عقب پیکان</v>
          </cell>
          <cell r="C391" t="str">
            <v>قالب نو</v>
          </cell>
          <cell r="AC391" t="str">
            <v>1405/05/20</v>
          </cell>
        </row>
        <row r="392">
          <cell r="B392" t="str">
            <v>فیکسچر کفشک پژو 405</v>
          </cell>
          <cell r="C392" t="str">
            <v>قطعه نو</v>
          </cell>
          <cell r="AC392" t="str">
            <v>1405/05/21</v>
          </cell>
        </row>
        <row r="393">
          <cell r="B393" t="str">
            <v>پایه پرچ عقب نیسان</v>
          </cell>
          <cell r="C393" t="str">
            <v>قطعه تعمیری</v>
          </cell>
          <cell r="AC393" t="str">
            <v>1405/05/22</v>
          </cell>
        </row>
        <row r="394">
          <cell r="B394" t="str">
            <v>پخت کلاچ تیبا چپ</v>
          </cell>
          <cell r="C394" t="str">
            <v>قالب نو</v>
          </cell>
          <cell r="AC394" t="str">
            <v>1405/05/20</v>
          </cell>
        </row>
        <row r="395">
          <cell r="B395" t="str">
            <v>پخت عقب پژو 405 شمشی پایه کوتاه</v>
          </cell>
          <cell r="C395" t="str">
            <v>قالب نو</v>
          </cell>
          <cell r="AC395" t="str">
            <v>1405/05/20</v>
          </cell>
        </row>
        <row r="396">
          <cell r="B396" t="str">
            <v>پخت عقب پژو 405 شمشی پایه کوتاه</v>
          </cell>
          <cell r="C396" t="str">
            <v>قالب نو</v>
          </cell>
          <cell r="AC396" t="str">
            <v>1405/05/21</v>
          </cell>
        </row>
        <row r="397">
          <cell r="B397" t="str">
            <v>پخت کلاچ تیبا چپ</v>
          </cell>
          <cell r="C397" t="str">
            <v>قالب نو</v>
          </cell>
          <cell r="AC397" t="str">
            <v>1405/05/20</v>
          </cell>
        </row>
        <row r="398">
          <cell r="B398" t="str">
            <v>پخت کلاچ تیبا راست</v>
          </cell>
          <cell r="C398" t="str">
            <v>قالب نو</v>
          </cell>
          <cell r="AC398" t="str">
            <v>1405/05/20</v>
          </cell>
        </row>
        <row r="399">
          <cell r="B399" t="str">
            <v>پخت عقب پژو 405 شمشی پایه کوتاه</v>
          </cell>
          <cell r="C399" t="str">
            <v>قالب نو</v>
          </cell>
          <cell r="AC399" t="str">
            <v>1405/05/20</v>
          </cell>
        </row>
        <row r="400">
          <cell r="B400" t="str">
            <v>پخت کلاچ لندکروز</v>
          </cell>
          <cell r="C400" t="str">
            <v>قالب تعمیری</v>
          </cell>
          <cell r="AC400" t="str">
            <v>1405/05/20</v>
          </cell>
        </row>
        <row r="401">
          <cell r="B401" t="str">
            <v>فوتون 107</v>
          </cell>
          <cell r="C401" t="str">
            <v>قالب تعمیری</v>
          </cell>
          <cell r="AC401" t="str">
            <v>1405/05/20</v>
          </cell>
        </row>
        <row r="402">
          <cell r="B402" t="str">
            <v xml:space="preserve">قالب پخت کلاچ پیکان </v>
          </cell>
          <cell r="C402" t="str">
            <v>قالب تعمیری</v>
          </cell>
          <cell r="AC402" t="str">
            <v>1405/05/21</v>
          </cell>
        </row>
        <row r="403">
          <cell r="B403" t="str">
            <v>قالب پخت کلاچ پژو 405</v>
          </cell>
          <cell r="C403" t="str">
            <v>قالب تعمیری</v>
          </cell>
          <cell r="AC403" t="str">
            <v>1405/05/21</v>
          </cell>
        </row>
        <row r="404">
          <cell r="B404" t="str">
            <v>پخت کلاچ ایسوزو</v>
          </cell>
          <cell r="C404" t="str">
            <v>قالب تعمیری</v>
          </cell>
          <cell r="AC404" t="str">
            <v>1405/05/21</v>
          </cell>
        </row>
        <row r="405">
          <cell r="B405" t="str">
            <v>فوتون 107</v>
          </cell>
          <cell r="C405" t="str">
            <v>قالب تعمیری</v>
          </cell>
          <cell r="AC405" t="str">
            <v>1405/05/21</v>
          </cell>
        </row>
        <row r="406">
          <cell r="B406" t="str">
            <v>شمش پراید</v>
          </cell>
          <cell r="C406" t="str">
            <v>قالب نو</v>
          </cell>
          <cell r="AC406" t="str">
            <v>1405/05/20</v>
          </cell>
        </row>
        <row r="407">
          <cell r="B407" t="str">
            <v>قالب پخت کلاچ پژو 405</v>
          </cell>
          <cell r="C407" t="str">
            <v>قالب تعمیری</v>
          </cell>
          <cell r="AC407" t="str">
            <v>1405/05/20</v>
          </cell>
        </row>
        <row r="408">
          <cell r="B408" t="str">
            <v xml:space="preserve">قالب پخت کلاچ پیکان </v>
          </cell>
          <cell r="C408" t="str">
            <v>قالب تعمیری</v>
          </cell>
          <cell r="AC408" t="str">
            <v>1405/05/20</v>
          </cell>
        </row>
        <row r="409">
          <cell r="B409" t="str">
            <v xml:space="preserve">قالب پخت کلاچ پیکان </v>
          </cell>
          <cell r="C409" t="str">
            <v>قالب تعمیری</v>
          </cell>
          <cell r="AC409" t="str">
            <v>1405/05/21</v>
          </cell>
        </row>
        <row r="410">
          <cell r="B410" t="str">
            <v>قالب پخت کلاچ پژو 405</v>
          </cell>
          <cell r="C410" t="str">
            <v>قالب تعمیری</v>
          </cell>
          <cell r="AC410" t="str">
            <v>1405/05/21</v>
          </cell>
        </row>
        <row r="411">
          <cell r="B411" t="str">
            <v>سری تراش</v>
          </cell>
          <cell r="C411" t="str">
            <v>قطعه نو</v>
          </cell>
          <cell r="AC411" t="str">
            <v>1405/05/20</v>
          </cell>
        </row>
        <row r="412">
          <cell r="B412" t="str">
            <v>ویوینگ</v>
          </cell>
          <cell r="C412" t="str">
            <v>قطعه نو</v>
          </cell>
          <cell r="AC412" t="str">
            <v>1405/05/20</v>
          </cell>
        </row>
        <row r="413">
          <cell r="B413" t="str">
            <v>ترابوزا</v>
          </cell>
          <cell r="C413" t="str">
            <v>قالب تعمیری</v>
          </cell>
          <cell r="AC413" t="str">
            <v>1405/05/20</v>
          </cell>
        </row>
        <row r="414">
          <cell r="B414" t="str">
            <v>پایه پرچ عقب نیسان</v>
          </cell>
          <cell r="C414" t="str">
            <v>قطعه تعمیری</v>
          </cell>
          <cell r="AC414" t="str">
            <v>1405/05/20</v>
          </cell>
        </row>
        <row r="415">
          <cell r="B415" t="str">
            <v>ترابوزا</v>
          </cell>
          <cell r="C415" t="str">
            <v>قالب تعمیری</v>
          </cell>
          <cell r="AC415" t="str">
            <v>1405/05/20</v>
          </cell>
        </row>
        <row r="416">
          <cell r="B416" t="str">
            <v>ترابوزا</v>
          </cell>
          <cell r="C416" t="str">
            <v>قالب تعمیری</v>
          </cell>
          <cell r="AC416" t="str">
            <v>1405/05/20</v>
          </cell>
        </row>
        <row r="417">
          <cell r="B417" t="str">
            <v>ترابوزا</v>
          </cell>
          <cell r="C417" t="str">
            <v>قالب تعمیری</v>
          </cell>
          <cell r="AC417" t="str">
            <v>1405/05/20</v>
          </cell>
        </row>
        <row r="418">
          <cell r="B418" t="str">
            <v>ویوینگ</v>
          </cell>
          <cell r="C418" t="str">
            <v>قطعه تعمیری</v>
          </cell>
          <cell r="AC418" t="str">
            <v>1405/05/20</v>
          </cell>
        </row>
        <row r="419">
          <cell r="B419" t="str">
            <v>هواکش</v>
          </cell>
          <cell r="C419" t="str">
            <v>قطعه تعمیری</v>
          </cell>
          <cell r="AC419" t="str">
            <v>1405/05/20</v>
          </cell>
        </row>
        <row r="420">
          <cell r="B420" t="str">
            <v>پخت عقب پژو 405 شمشی پایه کوتاه</v>
          </cell>
          <cell r="C420" t="str">
            <v>قالب نو</v>
          </cell>
          <cell r="AC420" t="str">
            <v>1405/05/21</v>
          </cell>
        </row>
        <row r="421">
          <cell r="B421" t="str">
            <v>ویوینگ</v>
          </cell>
          <cell r="C421" t="str">
            <v>قطعه تعمیری</v>
          </cell>
          <cell r="AC421" t="str">
            <v>1405/05/21</v>
          </cell>
        </row>
        <row r="422">
          <cell r="B422" t="str">
            <v>پخت کلاچ لندکروز</v>
          </cell>
          <cell r="C422" t="str">
            <v>قالب تعمیری</v>
          </cell>
          <cell r="AC422" t="str">
            <v>1405/05/21</v>
          </cell>
        </row>
        <row r="423">
          <cell r="B423" t="str">
            <v>پخت کلاچ لندکروز</v>
          </cell>
          <cell r="C423" t="str">
            <v>قالب تعمیری</v>
          </cell>
          <cell r="AC423" t="str">
            <v>1405/05/22</v>
          </cell>
        </row>
        <row r="424">
          <cell r="B424" t="str">
            <v>پخت عقب پژو 405 شمشی پایه کوتاه</v>
          </cell>
          <cell r="C424" t="str">
            <v>قالب نو</v>
          </cell>
          <cell r="AC424" t="str">
            <v>1405/05/24</v>
          </cell>
        </row>
        <row r="425">
          <cell r="B425" t="str">
            <v>پخت کلاچ تیبا راست</v>
          </cell>
          <cell r="C425" t="str">
            <v>قالب نو</v>
          </cell>
          <cell r="AC425" t="str">
            <v>1405/05/24</v>
          </cell>
        </row>
        <row r="426">
          <cell r="B426" t="str">
            <v>پین عقب پژو 405</v>
          </cell>
          <cell r="C426" t="str">
            <v>قطعه نو</v>
          </cell>
          <cell r="AC426" t="str">
            <v>1405/05/24</v>
          </cell>
        </row>
        <row r="427">
          <cell r="B427" t="str">
            <v>پخت کلاچ لندکروز</v>
          </cell>
          <cell r="C427" t="str">
            <v>قالب تعمیری</v>
          </cell>
          <cell r="AC427" t="str">
            <v>1405/05/24</v>
          </cell>
        </row>
        <row r="428">
          <cell r="B428" t="str">
            <v>قالب پخت کلاچ پژو 405</v>
          </cell>
          <cell r="C428" t="str">
            <v>قالب تعمیری</v>
          </cell>
          <cell r="AC428" t="str">
            <v>1405/05/24</v>
          </cell>
        </row>
        <row r="429">
          <cell r="B429" t="str">
            <v>قالب پخت کلاچ پژو 405</v>
          </cell>
          <cell r="C429" t="str">
            <v>قالب تعمیری</v>
          </cell>
          <cell r="AC429" t="str">
            <v>1405/05/24</v>
          </cell>
        </row>
        <row r="430">
          <cell r="B430" t="str">
            <v>فوتون 107</v>
          </cell>
          <cell r="C430" t="str">
            <v>قالب تعمیری</v>
          </cell>
          <cell r="AC430" t="str">
            <v>1405/05/24</v>
          </cell>
        </row>
        <row r="431">
          <cell r="B431" t="str">
            <v>ترابوزا</v>
          </cell>
          <cell r="C431" t="str">
            <v>قالب تعمیری</v>
          </cell>
          <cell r="AC431" t="str">
            <v>1405/05/24</v>
          </cell>
        </row>
        <row r="432">
          <cell r="B432" t="str">
            <v>ترابوزا</v>
          </cell>
          <cell r="C432" t="str">
            <v>قالب تعمیری</v>
          </cell>
          <cell r="AC432" t="str">
            <v>1405/05/24</v>
          </cell>
        </row>
        <row r="433">
          <cell r="B433" t="str">
            <v>ترابوزا</v>
          </cell>
          <cell r="C433" t="str">
            <v>قالب تعمیری</v>
          </cell>
          <cell r="AC433" t="str">
            <v>1405/05/24</v>
          </cell>
        </row>
        <row r="434">
          <cell r="B434" t="str">
            <v>قالب پخت SAF</v>
          </cell>
          <cell r="C434" t="str">
            <v>قالب نو</v>
          </cell>
          <cell r="AC434" t="str">
            <v>1405/05/24</v>
          </cell>
        </row>
        <row r="435">
          <cell r="B435" t="str">
            <v>قالب پخت SAF</v>
          </cell>
          <cell r="C435" t="str">
            <v>قالب تعمیری</v>
          </cell>
          <cell r="AC435" t="str">
            <v>1405/05/24</v>
          </cell>
        </row>
        <row r="436">
          <cell r="B436" t="str">
            <v>نگهدارنده پلاک قالب</v>
          </cell>
          <cell r="C436" t="str">
            <v>قطعه نو</v>
          </cell>
          <cell r="AC436" t="str">
            <v>1405/05/24</v>
          </cell>
        </row>
        <row r="437">
          <cell r="B437" t="str">
            <v>دستگاه پرس 600 تن</v>
          </cell>
          <cell r="C437" t="str">
            <v>قطعه نو</v>
          </cell>
          <cell r="AC437" t="str">
            <v>1405/05/24</v>
          </cell>
        </row>
        <row r="438">
          <cell r="B438" t="str">
            <v>پایه پرچ عقب نیسان</v>
          </cell>
          <cell r="C438" t="str">
            <v>قطعه تعمیری</v>
          </cell>
          <cell r="AC438" t="str">
            <v>1405/05/24</v>
          </cell>
        </row>
        <row r="439">
          <cell r="B439" t="str">
            <v>ترابوزا</v>
          </cell>
          <cell r="C439" t="str">
            <v>قالب تعمیری</v>
          </cell>
          <cell r="AC439" t="str">
            <v>1405/05/24</v>
          </cell>
        </row>
        <row r="440">
          <cell r="B440" t="str">
            <v>پخت عقب پژو 405 شمشی پایه کوتاه</v>
          </cell>
          <cell r="C440" t="str">
            <v>قالب نو</v>
          </cell>
          <cell r="AC440" t="str">
            <v>1405/05/24</v>
          </cell>
        </row>
        <row r="441">
          <cell r="B441" t="str">
            <v>پخت عقب پژو 405 شمشی پایه کوتاه</v>
          </cell>
          <cell r="C441" t="str">
            <v>قالب نو</v>
          </cell>
          <cell r="AC441" t="str">
            <v>1405/05/24</v>
          </cell>
        </row>
        <row r="442">
          <cell r="B442" t="str">
            <v>پخت عقب پژو 405 شمشی پایه کوتاه</v>
          </cell>
          <cell r="C442" t="str">
            <v>قالب نو</v>
          </cell>
          <cell r="AC442" t="str">
            <v>1405/05/24</v>
          </cell>
        </row>
        <row r="443">
          <cell r="B443" t="str">
            <v>نگهدارنده پلاک قالب</v>
          </cell>
          <cell r="C443" t="str">
            <v>قطعه نو</v>
          </cell>
          <cell r="AC443" t="str">
            <v>1405/05/24</v>
          </cell>
        </row>
        <row r="444">
          <cell r="B444" t="str">
            <v>پخت عقب پژو 405 شمشی پایه کوتاه</v>
          </cell>
          <cell r="C444" t="str">
            <v>قالب نو</v>
          </cell>
          <cell r="AC444" t="str">
            <v>1405/05/24</v>
          </cell>
        </row>
        <row r="445">
          <cell r="B445" t="str">
            <v>پایه پرچ عقب نیسان</v>
          </cell>
          <cell r="C445" t="str">
            <v>قطعه تعمیری</v>
          </cell>
          <cell r="AC445" t="str">
            <v>1405/05/24</v>
          </cell>
        </row>
        <row r="446">
          <cell r="B446" t="str">
            <v>پایه پرچ عقب نیسان</v>
          </cell>
          <cell r="C446" t="str">
            <v>قطعه تعمیری</v>
          </cell>
          <cell r="AC446" t="str">
            <v>1405/05/24</v>
          </cell>
        </row>
        <row r="447">
          <cell r="B447" t="str">
            <v>سری نقطه جوش</v>
          </cell>
          <cell r="C447" t="str">
            <v>قطعه تعمیری</v>
          </cell>
          <cell r="AC447" t="str">
            <v>1405/05/24</v>
          </cell>
        </row>
        <row r="448">
          <cell r="B448" t="str">
            <v>قالب پخت کلاچ پژو 405</v>
          </cell>
          <cell r="C448" t="str">
            <v>قالب تعمیری</v>
          </cell>
          <cell r="AC448" t="str">
            <v>1405/05/24</v>
          </cell>
        </row>
        <row r="449">
          <cell r="B449" t="str">
            <v>پخت کلاچ لندکروز</v>
          </cell>
          <cell r="C449" t="str">
            <v>قالب تعمیری</v>
          </cell>
          <cell r="AC449" t="str">
            <v>1405/05/24</v>
          </cell>
        </row>
        <row r="450">
          <cell r="B450" t="str">
            <v>پخت کلاچ ایسوزو</v>
          </cell>
          <cell r="C450" t="str">
            <v>قالب تعمیری</v>
          </cell>
          <cell r="AC450" t="str">
            <v>1405/05/24</v>
          </cell>
        </row>
        <row r="451">
          <cell r="B451" t="str">
            <v>پخت عقب پژو 405 شمشی پایه کوتاه</v>
          </cell>
          <cell r="C451" t="str">
            <v>قالب نو</v>
          </cell>
          <cell r="AC451" t="str">
            <v>1405/05/24</v>
          </cell>
        </row>
        <row r="452">
          <cell r="B452" t="str">
            <v>فوتون 107</v>
          </cell>
          <cell r="C452" t="str">
            <v>قالب تعمیری</v>
          </cell>
          <cell r="AC452" t="str">
            <v>1405/05/24</v>
          </cell>
        </row>
        <row r="453">
          <cell r="B453" t="str">
            <v>قالب پخت کلاچ پژو 405</v>
          </cell>
          <cell r="C453" t="str">
            <v>قالب تعمیری</v>
          </cell>
          <cell r="AC453" t="str">
            <v>1405/05/24</v>
          </cell>
        </row>
        <row r="454">
          <cell r="B454" t="str">
            <v>پخت کلاچ 302 سوراخدار</v>
          </cell>
          <cell r="C454" t="str">
            <v>قالب تعمیری</v>
          </cell>
          <cell r="AC454" t="str">
            <v>1405/05/25</v>
          </cell>
        </row>
        <row r="455">
          <cell r="B455" t="str">
            <v>پخت کلاچ 302 سوراخدار</v>
          </cell>
          <cell r="C455" t="str">
            <v>قالب تعمیری</v>
          </cell>
          <cell r="AC455" t="str">
            <v>1405/05/25</v>
          </cell>
        </row>
        <row r="456">
          <cell r="B456" t="str">
            <v>پخت کلاچ 302 سوراخدار</v>
          </cell>
          <cell r="C456" t="str">
            <v>قالب تعمیری</v>
          </cell>
          <cell r="AC456" t="str">
            <v>1405/05/25</v>
          </cell>
        </row>
        <row r="457">
          <cell r="B457" t="str">
            <v>پخت کلاچ ایویکو سوراخدار</v>
          </cell>
          <cell r="C457" t="str">
            <v>قالب تعمیری</v>
          </cell>
          <cell r="AC457" t="str">
            <v>1405/05/25</v>
          </cell>
        </row>
        <row r="458">
          <cell r="B458" t="str">
            <v>دستگاه پرس 600 تن</v>
          </cell>
          <cell r="C458" t="str">
            <v>قطعه نو</v>
          </cell>
          <cell r="AC458" t="str">
            <v>1405/05/25</v>
          </cell>
        </row>
        <row r="459">
          <cell r="B459" t="str">
            <v>پخت عقب پژو 405 شمشی پایه کوتاه</v>
          </cell>
          <cell r="C459" t="str">
            <v>قالب نو</v>
          </cell>
          <cell r="AC459" t="str">
            <v>1405/05/25</v>
          </cell>
        </row>
        <row r="460">
          <cell r="B460" t="str">
            <v>پخت کلاچ 302 سوراخدار</v>
          </cell>
          <cell r="C460" t="str">
            <v>قالب تعمیری</v>
          </cell>
          <cell r="AC460" t="str">
            <v>1405/05/25</v>
          </cell>
        </row>
        <row r="461">
          <cell r="B461" t="str">
            <v>قالب پخت کلاچ پژو 405</v>
          </cell>
          <cell r="C461" t="str">
            <v>قالب تعمیری</v>
          </cell>
          <cell r="AC461" t="str">
            <v>1405/05/25</v>
          </cell>
        </row>
        <row r="462">
          <cell r="B462" t="str">
            <v>پخت کلاچ 302 سوراخدار</v>
          </cell>
          <cell r="C462" t="str">
            <v>قالب تعمیری</v>
          </cell>
          <cell r="AC462" t="str">
            <v>1405/05/25</v>
          </cell>
        </row>
        <row r="463">
          <cell r="B463" t="str">
            <v>پخت کلاچ ایویکو سوراخدار</v>
          </cell>
          <cell r="C463" t="str">
            <v>قالب تعمیری</v>
          </cell>
          <cell r="AC463" t="str">
            <v>1405/05/25</v>
          </cell>
        </row>
        <row r="464">
          <cell r="B464" t="str">
            <v>قالب پخت SAF</v>
          </cell>
          <cell r="C464" t="str">
            <v>قالب نو</v>
          </cell>
          <cell r="AC464" t="str">
            <v>1405/05/25</v>
          </cell>
        </row>
        <row r="465">
          <cell r="B465" t="str">
            <v>پخت کلاچ تیبا راست</v>
          </cell>
          <cell r="C465" t="str">
            <v>قالب نو</v>
          </cell>
          <cell r="AC465" t="str">
            <v>1405/05/25</v>
          </cell>
        </row>
        <row r="466">
          <cell r="B466" t="str">
            <v>فوتون 107</v>
          </cell>
          <cell r="C466" t="str">
            <v>قالب تعمیری</v>
          </cell>
          <cell r="AC466" t="str">
            <v>1405/05/25</v>
          </cell>
        </row>
        <row r="467">
          <cell r="B467" t="str">
            <v>قالب پخت کلاچ پژو 405</v>
          </cell>
          <cell r="C467" t="str">
            <v>قالب تعمیری</v>
          </cell>
          <cell r="AC467" t="str">
            <v>1405/05/25</v>
          </cell>
        </row>
        <row r="468">
          <cell r="B468" t="str">
            <v>پخت عقب پژو 405 شمشی پایه کوتاه</v>
          </cell>
          <cell r="C468" t="str">
            <v>قالب نو</v>
          </cell>
          <cell r="AC468" t="str">
            <v>1405/05/25</v>
          </cell>
        </row>
        <row r="469">
          <cell r="B469" t="str">
            <v>فوتون 107</v>
          </cell>
          <cell r="C469" t="str">
            <v>قالب تعمیری</v>
          </cell>
          <cell r="AC469" t="str">
            <v>1405/05/25</v>
          </cell>
        </row>
        <row r="470">
          <cell r="B470" t="str">
            <v>دستگاه پرس 600 تن</v>
          </cell>
          <cell r="C470" t="str">
            <v>قطعه نو</v>
          </cell>
          <cell r="AC470" t="str">
            <v>1405/05/25</v>
          </cell>
        </row>
        <row r="471">
          <cell r="B471" t="str">
            <v>فوتون 107</v>
          </cell>
          <cell r="C471" t="str">
            <v>قالب تعمیری</v>
          </cell>
          <cell r="AC471" t="str">
            <v>1405/05/25</v>
          </cell>
        </row>
        <row r="472">
          <cell r="B472" t="str">
            <v>پین عقب پژو 405</v>
          </cell>
          <cell r="C472" t="str">
            <v>قطعه نو</v>
          </cell>
          <cell r="AC472" t="str">
            <v>1405/05/25</v>
          </cell>
        </row>
        <row r="473">
          <cell r="B473" t="str">
            <v>پخت کلاچ تیبا راست</v>
          </cell>
          <cell r="C473" t="str">
            <v>قالب نو</v>
          </cell>
          <cell r="AC473" t="str">
            <v>1405/05/25</v>
          </cell>
        </row>
        <row r="474">
          <cell r="B474" t="str">
            <v>فوتون 107</v>
          </cell>
          <cell r="C474" t="str">
            <v>قالب تعمیری</v>
          </cell>
          <cell r="AC474" t="str">
            <v>1405/05/25</v>
          </cell>
        </row>
        <row r="475">
          <cell r="B475" t="str">
            <v>پخت کلاچ ایسوزو</v>
          </cell>
          <cell r="C475" t="str">
            <v>قالب تعمیری</v>
          </cell>
          <cell r="AC475" t="str">
            <v>1405/05/25</v>
          </cell>
        </row>
        <row r="476">
          <cell r="B476" t="str">
            <v>پخت کلاچ لندکروز</v>
          </cell>
          <cell r="C476" t="str">
            <v>قالب تعمیری</v>
          </cell>
          <cell r="AC476" t="str">
            <v>1405/05/25</v>
          </cell>
        </row>
        <row r="477">
          <cell r="B477" t="str">
            <v>قالب پخت SAF</v>
          </cell>
          <cell r="C477" t="str">
            <v>قالب تعمیری</v>
          </cell>
          <cell r="AC477" t="str">
            <v>1405/05/25</v>
          </cell>
        </row>
        <row r="478">
          <cell r="B478" t="str">
            <v>نگهدارنده پلاک قالب</v>
          </cell>
          <cell r="C478" t="str">
            <v>قطعه نو</v>
          </cell>
          <cell r="AC478" t="str">
            <v>1405/05/25</v>
          </cell>
        </row>
        <row r="479">
          <cell r="B479" t="str">
            <v>عقب لیفتراک</v>
          </cell>
          <cell r="C479" t="str">
            <v>قطعه نو</v>
          </cell>
          <cell r="AC479" t="str">
            <v>1405/05/25</v>
          </cell>
        </row>
        <row r="480">
          <cell r="B480" t="str">
            <v>دستگاه فرز</v>
          </cell>
          <cell r="C480" t="str">
            <v>قطعه تعمیری</v>
          </cell>
          <cell r="AC480" t="str">
            <v>1405/05/25</v>
          </cell>
        </row>
        <row r="481">
          <cell r="B481" t="str">
            <v>فوتون 107</v>
          </cell>
          <cell r="C481" t="str">
            <v>قالب تعمیری</v>
          </cell>
          <cell r="AC481" t="str">
            <v>1405/05/25</v>
          </cell>
        </row>
        <row r="482">
          <cell r="B482" t="str">
            <v>قالب پخت کلاچ پژو 405</v>
          </cell>
          <cell r="C482" t="str">
            <v>قالب تعمیری</v>
          </cell>
          <cell r="AC482" t="str">
            <v>1405/05/25</v>
          </cell>
        </row>
        <row r="483">
          <cell r="B483" t="str">
            <v>پایه پرچ عقب نیسان</v>
          </cell>
          <cell r="C483" t="str">
            <v>قطعه تعمیری</v>
          </cell>
          <cell r="AC483" t="str">
            <v>1405/05/25</v>
          </cell>
        </row>
        <row r="484">
          <cell r="B484" t="str">
            <v>دریل یزدخواستی کلاچ</v>
          </cell>
          <cell r="C484" t="str">
            <v>قطعه نو</v>
          </cell>
          <cell r="AC484" t="str">
            <v>1405/05/25</v>
          </cell>
        </row>
        <row r="485">
          <cell r="B485" t="str">
            <v>دریل یزدخواستی کلاچ</v>
          </cell>
          <cell r="C485" t="str">
            <v>قطعه نو</v>
          </cell>
          <cell r="AC485" t="str">
            <v>1405/05/25</v>
          </cell>
        </row>
        <row r="486">
          <cell r="B486" t="str">
            <v>آغشته کاری</v>
          </cell>
          <cell r="C486" t="str">
            <v>قطعه تعمیری</v>
          </cell>
          <cell r="AC486" t="str">
            <v>1405/05/25</v>
          </cell>
        </row>
        <row r="487">
          <cell r="B487" t="str">
            <v>ساب ترابوزا</v>
          </cell>
          <cell r="C487" t="str">
            <v>قطعه نو</v>
          </cell>
          <cell r="AC487" t="str">
            <v>1405/05/25</v>
          </cell>
        </row>
        <row r="488">
          <cell r="B488" t="str">
            <v>پخت کلاچ تیبا راست</v>
          </cell>
          <cell r="C488" t="str">
            <v>قالب نو</v>
          </cell>
          <cell r="AC488" t="str">
            <v>1405/05/26</v>
          </cell>
        </row>
        <row r="489">
          <cell r="B489" t="str">
            <v>قالب پخت SAF</v>
          </cell>
          <cell r="C489" t="str">
            <v>قالب نو</v>
          </cell>
          <cell r="AC489" t="str">
            <v>1405/05/26</v>
          </cell>
        </row>
        <row r="490">
          <cell r="B490" t="str">
            <v>پخت کلاچ لندکروز</v>
          </cell>
          <cell r="C490" t="str">
            <v>قالب تعمیری</v>
          </cell>
          <cell r="AC490" t="str">
            <v>1405/05/26</v>
          </cell>
        </row>
        <row r="491">
          <cell r="B491" t="str">
            <v>قالب پخت SAF</v>
          </cell>
          <cell r="C491" t="str">
            <v>قالب نو</v>
          </cell>
          <cell r="AC491" t="str">
            <v>1405/05/27</v>
          </cell>
        </row>
        <row r="492">
          <cell r="B492" t="str">
            <v>پخت کلاچ ایسوزو</v>
          </cell>
          <cell r="C492" t="str">
            <v>قالب تعمیری</v>
          </cell>
          <cell r="AC492" t="str">
            <v>1405/05/26</v>
          </cell>
        </row>
        <row r="493">
          <cell r="B493" t="str">
            <v>پخت کلاچ ایسوزو</v>
          </cell>
          <cell r="C493" t="str">
            <v>قالب تعمیری</v>
          </cell>
          <cell r="AC493" t="str">
            <v>1405/05/27</v>
          </cell>
        </row>
        <row r="494">
          <cell r="B494" t="str">
            <v>فوتون 107</v>
          </cell>
          <cell r="C494" t="str">
            <v>قالب تعمیری</v>
          </cell>
          <cell r="AC494" t="str">
            <v>1405/05/26</v>
          </cell>
        </row>
        <row r="495">
          <cell r="B495" t="str">
            <v>فوتون 107</v>
          </cell>
          <cell r="C495" t="str">
            <v>قالب تعمیری</v>
          </cell>
          <cell r="AC495" t="str">
            <v>1405/05/27</v>
          </cell>
        </row>
        <row r="496">
          <cell r="B496" t="str">
            <v>دریل یزدخواستی کلاچ</v>
          </cell>
          <cell r="C496" t="str">
            <v>قطعه نو</v>
          </cell>
          <cell r="AC496" t="str">
            <v>1405/05/26</v>
          </cell>
        </row>
        <row r="497">
          <cell r="B497" t="str">
            <v>دریل یزدخواستی کلاچ</v>
          </cell>
          <cell r="C497" t="str">
            <v>قطعه نو</v>
          </cell>
          <cell r="AC497" t="str">
            <v>1405/05/27</v>
          </cell>
        </row>
        <row r="498">
          <cell r="B498" t="str">
            <v>آغشته کاری</v>
          </cell>
          <cell r="C498" t="str">
            <v>قطعه تعمیری</v>
          </cell>
          <cell r="AC498" t="str">
            <v>1405/05/26</v>
          </cell>
        </row>
        <row r="499">
          <cell r="B499" t="str">
            <v>سری تراش</v>
          </cell>
          <cell r="C499" t="str">
            <v>قطعه نو</v>
          </cell>
          <cell r="AC499" t="str">
            <v>1405/05/26</v>
          </cell>
        </row>
        <row r="500">
          <cell r="B500" t="str">
            <v>دستگاه پشم فلز</v>
          </cell>
          <cell r="C500" t="str">
            <v>قطعه تعمیری</v>
          </cell>
          <cell r="AC500" t="str">
            <v>1405/05/26</v>
          </cell>
        </row>
        <row r="501">
          <cell r="B501" t="str">
            <v>Pin zob ahan</v>
          </cell>
          <cell r="C501" t="str">
            <v>قطعه نو</v>
          </cell>
          <cell r="AC501" t="str">
            <v>1405/05/26</v>
          </cell>
        </row>
        <row r="502">
          <cell r="B502" t="str">
            <v>Pin zob ahan</v>
          </cell>
          <cell r="C502" t="str">
            <v>قطعه نو</v>
          </cell>
          <cell r="AC502" t="str">
            <v>1405/05/27</v>
          </cell>
        </row>
        <row r="503">
          <cell r="B503" t="str">
            <v>فوتون 107</v>
          </cell>
          <cell r="C503" t="str">
            <v>قالب تعمیری</v>
          </cell>
          <cell r="AC503" t="str">
            <v>1405/05/26</v>
          </cell>
        </row>
        <row r="504">
          <cell r="B504" t="str">
            <v>پخت عقب پژو 405 شمشی پایه کوتاه</v>
          </cell>
          <cell r="C504" t="str">
            <v>قالب نو</v>
          </cell>
          <cell r="AC504" t="str">
            <v>1405/05/26</v>
          </cell>
        </row>
        <row r="505">
          <cell r="B505" t="str">
            <v>قالب پخت SAF</v>
          </cell>
          <cell r="C505" t="str">
            <v>قالب تعمیری</v>
          </cell>
          <cell r="AC505" t="str">
            <v>1405/05/26</v>
          </cell>
        </row>
        <row r="506">
          <cell r="B506" t="str">
            <v>قالب پخت SAF</v>
          </cell>
          <cell r="C506" t="str">
            <v>قالب تعمیری</v>
          </cell>
          <cell r="AC506" t="str">
            <v>1405/05/27</v>
          </cell>
        </row>
        <row r="507">
          <cell r="B507" t="str">
            <v>پخت کلاچ پژو 206 TU5</v>
          </cell>
          <cell r="C507" t="str">
            <v>قالب تعمیری</v>
          </cell>
          <cell r="AC507" t="str">
            <v>1405/05/27</v>
          </cell>
        </row>
        <row r="508">
          <cell r="B508" t="str">
            <v>فوتون 107</v>
          </cell>
          <cell r="C508" t="str">
            <v>قالب تعمیری</v>
          </cell>
          <cell r="AC508" t="str">
            <v>1405/05/27</v>
          </cell>
        </row>
        <row r="509">
          <cell r="B509" t="str">
            <v>قالب پخت کلاچ پژو 405</v>
          </cell>
          <cell r="C509" t="str">
            <v>قالب تعمیری</v>
          </cell>
          <cell r="AC509" t="str">
            <v>1405/05/26</v>
          </cell>
        </row>
        <row r="510">
          <cell r="B510" t="str">
            <v>دستگاه پرس 600 تن</v>
          </cell>
          <cell r="C510" t="str">
            <v>قطعه نو</v>
          </cell>
          <cell r="AC510" t="str">
            <v>1405/05/26</v>
          </cell>
        </row>
        <row r="511">
          <cell r="B511" t="str">
            <v>پخت کلاچ پژو 206 TU5</v>
          </cell>
          <cell r="C511" t="str">
            <v>قالب تعمیری</v>
          </cell>
          <cell r="AC511" t="str">
            <v>1405/05/26</v>
          </cell>
        </row>
        <row r="512">
          <cell r="B512" t="str">
            <v>قالب عقب F12</v>
          </cell>
          <cell r="C512" t="str">
            <v>قالب نو</v>
          </cell>
          <cell r="AC512" t="str">
            <v>1405/05/27</v>
          </cell>
        </row>
        <row r="513">
          <cell r="B513" t="str">
            <v>قالب شمشی عقب پیکان</v>
          </cell>
          <cell r="C513" t="str">
            <v>قالب نو</v>
          </cell>
          <cell r="AC513" t="str">
            <v>1405/05/27</v>
          </cell>
        </row>
        <row r="514">
          <cell r="B514" t="str">
            <v>قالب شمشی عقب پیکان</v>
          </cell>
          <cell r="C514" t="str">
            <v>قالب نو</v>
          </cell>
          <cell r="AC514" t="str">
            <v>1405/05/27</v>
          </cell>
        </row>
        <row r="515">
          <cell r="B515" t="str">
            <v>قالب پخت کلاچ پژو 405</v>
          </cell>
          <cell r="C515" t="str">
            <v>قالب تعمیری</v>
          </cell>
          <cell r="AC515" t="str">
            <v>1405/05/27</v>
          </cell>
        </row>
        <row r="516">
          <cell r="B516" t="str">
            <v>قالب مترو مشهد</v>
          </cell>
          <cell r="C516" t="str">
            <v>قالب تعمیری</v>
          </cell>
          <cell r="AC516" t="str">
            <v>1405/05/27</v>
          </cell>
        </row>
        <row r="517">
          <cell r="B517" t="str">
            <v>ساب ترابوزا</v>
          </cell>
          <cell r="C517" t="str">
            <v>قطعه نو</v>
          </cell>
          <cell r="AC517" t="str">
            <v>1405/05/26</v>
          </cell>
        </row>
        <row r="518">
          <cell r="B518" t="str">
            <v>آغشته کاری</v>
          </cell>
          <cell r="C518" t="str">
            <v>قطعه تعمیری</v>
          </cell>
          <cell r="AC518" t="str">
            <v>1405/05/26</v>
          </cell>
        </row>
        <row r="519">
          <cell r="B519" t="str">
            <v>ساب سمباده ای</v>
          </cell>
          <cell r="C519" t="str">
            <v>قطعه تعمیری</v>
          </cell>
          <cell r="AC519" t="str">
            <v>1405/05/26</v>
          </cell>
        </row>
        <row r="520">
          <cell r="B520" t="str">
            <v>ویوینگ</v>
          </cell>
          <cell r="C520" t="str">
            <v>قطعه نو</v>
          </cell>
          <cell r="AC520" t="str">
            <v>1405/05/26</v>
          </cell>
        </row>
        <row r="521">
          <cell r="B521" t="str">
            <v>ویوینگ</v>
          </cell>
          <cell r="C521" t="str">
            <v>قطعه تعمیری</v>
          </cell>
          <cell r="AC521" t="str">
            <v>1405/05/27</v>
          </cell>
        </row>
        <row r="522">
          <cell r="B522" t="str">
            <v>دستگاه پرس 600 تن</v>
          </cell>
          <cell r="C522" t="str">
            <v>قطعه نو</v>
          </cell>
          <cell r="AC522" t="str">
            <v>1405/05/27</v>
          </cell>
        </row>
        <row r="523">
          <cell r="B523" t="str">
            <v>ویوینگ</v>
          </cell>
          <cell r="C523" t="str">
            <v>قطعه تعمیری</v>
          </cell>
          <cell r="AC523" t="str">
            <v>1405/05/26</v>
          </cell>
        </row>
        <row r="524">
          <cell r="B524" t="str">
            <v>آغشته کاری</v>
          </cell>
          <cell r="C524" t="str">
            <v>قطعه تعمیری</v>
          </cell>
          <cell r="AC524" t="str">
            <v>1405/05/26</v>
          </cell>
        </row>
        <row r="525">
          <cell r="B525" t="str">
            <v>قالب پخت کلاچ پژو 405</v>
          </cell>
          <cell r="C525" t="str">
            <v>قالب تعمیری</v>
          </cell>
          <cell r="AC525" t="str">
            <v>1405/05/26</v>
          </cell>
        </row>
        <row r="526">
          <cell r="B526" t="str">
            <v>پخت کلاچ پژو 206 TU5</v>
          </cell>
          <cell r="C526" t="str">
            <v>قالب تعمیری</v>
          </cell>
          <cell r="AC526" t="str">
            <v>1405/05/26</v>
          </cell>
        </row>
        <row r="527">
          <cell r="B527" t="str">
            <v>آغشته کاری</v>
          </cell>
          <cell r="C527" t="str">
            <v>قطعه تعمیری</v>
          </cell>
          <cell r="AC527" t="str">
            <v>1405/05/27</v>
          </cell>
        </row>
        <row r="528">
          <cell r="B528" t="str">
            <v>ویوینگ</v>
          </cell>
          <cell r="C528" t="str">
            <v>قطعه تعمیری</v>
          </cell>
          <cell r="AC528" t="str">
            <v>1405/05/27</v>
          </cell>
        </row>
        <row r="529">
          <cell r="B529" t="str">
            <v>قالب پخت کلاچ پژو 405</v>
          </cell>
          <cell r="C529" t="str">
            <v>قالب تعمیری</v>
          </cell>
          <cell r="AC529" t="str">
            <v>1405/05/27</v>
          </cell>
        </row>
        <row r="530">
          <cell r="B530" t="str">
            <v>قالب شمشی عقب پیکان</v>
          </cell>
          <cell r="C530" t="str">
            <v>قالب نو</v>
          </cell>
          <cell r="AC530" t="str">
            <v>1405/05/27</v>
          </cell>
        </row>
        <row r="531">
          <cell r="B531" t="str">
            <v>قالب عقب F12</v>
          </cell>
          <cell r="C531" t="str">
            <v>قالب نو</v>
          </cell>
          <cell r="AC531" t="str">
            <v>1405/05/27</v>
          </cell>
        </row>
        <row r="532">
          <cell r="B532" t="str">
            <v>قالب پخت کلاچ پژو 405</v>
          </cell>
          <cell r="C532" t="str">
            <v>قالب تعمیری</v>
          </cell>
          <cell r="AC532" t="str">
            <v>1405/05/27</v>
          </cell>
        </row>
        <row r="533">
          <cell r="B533" t="str">
            <v>قالب پخت SAF</v>
          </cell>
          <cell r="C533" t="str">
            <v>قالب تعمیری</v>
          </cell>
          <cell r="AC533" t="str">
            <v>1405/05/26</v>
          </cell>
        </row>
        <row r="534">
          <cell r="B534" t="str">
            <v>نگهدارنده پلاک قالب</v>
          </cell>
          <cell r="C534" t="str">
            <v>قطعه نو</v>
          </cell>
          <cell r="AC534" t="str">
            <v>1405/05/26</v>
          </cell>
        </row>
        <row r="535">
          <cell r="B535" t="str">
            <v>Pin zob ahan</v>
          </cell>
          <cell r="C535" t="str">
            <v>قطعه نو</v>
          </cell>
          <cell r="AC535" t="str">
            <v>1405/05/26</v>
          </cell>
        </row>
        <row r="536">
          <cell r="B536" t="str">
            <v>قلم ریو</v>
          </cell>
          <cell r="C536" t="str">
            <v>قطعه تعمیری</v>
          </cell>
          <cell r="AC536" t="str">
            <v>1405/05/26</v>
          </cell>
        </row>
        <row r="537">
          <cell r="B537" t="str">
            <v>قالب پخت کلاچ پژو 405</v>
          </cell>
          <cell r="C537" t="str">
            <v>قالب تعمیری</v>
          </cell>
          <cell r="AC537" t="str">
            <v>1405/05/26</v>
          </cell>
        </row>
        <row r="538">
          <cell r="B538" t="str">
            <v>دستگاه پرس 600 تن</v>
          </cell>
          <cell r="C538" t="str">
            <v>قطعه نو</v>
          </cell>
          <cell r="AC538" t="str">
            <v>1405/05/26</v>
          </cell>
        </row>
        <row r="539">
          <cell r="B539" t="str">
            <v>فوتون 107</v>
          </cell>
          <cell r="C539" t="str">
            <v>قالب تعمیری</v>
          </cell>
          <cell r="AC539" t="str">
            <v>1405/05/27</v>
          </cell>
        </row>
        <row r="540">
          <cell r="B540" t="str">
            <v>فوتون 107</v>
          </cell>
          <cell r="C540" t="str">
            <v>قالب تعمیری</v>
          </cell>
          <cell r="AC540" t="str">
            <v>1405/05/27</v>
          </cell>
        </row>
        <row r="541">
          <cell r="B541" t="str">
            <v>قلم ریو</v>
          </cell>
          <cell r="C541" t="str">
            <v>قطعه تعمیری</v>
          </cell>
          <cell r="AC541" t="str">
            <v>1405/05/27</v>
          </cell>
        </row>
        <row r="542">
          <cell r="B542" t="str">
            <v>قالب پخت کلاچ پژو 405</v>
          </cell>
          <cell r="C542" t="str">
            <v>قالب تعمیری</v>
          </cell>
          <cell r="AC542" t="str">
            <v>1405/05/27</v>
          </cell>
        </row>
        <row r="543">
          <cell r="B543" t="str">
            <v>عقب لیفتراک</v>
          </cell>
          <cell r="C543" t="str">
            <v>قطعه نو</v>
          </cell>
          <cell r="AC543" t="str">
            <v>1405/05/27</v>
          </cell>
        </row>
        <row r="544">
          <cell r="B544" t="str">
            <v>نگهدارنده پلاک قالب</v>
          </cell>
          <cell r="C544" t="str">
            <v>قطعه نو</v>
          </cell>
          <cell r="AC544" t="str">
            <v>1405/05/27</v>
          </cell>
        </row>
        <row r="545">
          <cell r="B545" t="str">
            <v>پین عقب پژو 405</v>
          </cell>
          <cell r="C545" t="str">
            <v>قطعه نو</v>
          </cell>
          <cell r="AC545" t="str">
            <v>1405/05/26</v>
          </cell>
        </row>
        <row r="546">
          <cell r="B546" t="str">
            <v>فوتون 107</v>
          </cell>
          <cell r="C546" t="str">
            <v>قالب تعمیری</v>
          </cell>
          <cell r="AC546" t="str">
            <v>1405/05/28</v>
          </cell>
        </row>
        <row r="547">
          <cell r="B547" t="str">
            <v>دستگاه پرس 600 تن</v>
          </cell>
          <cell r="C547" t="str">
            <v>قطعه نو</v>
          </cell>
          <cell r="AC547" t="str">
            <v>1405/05/28</v>
          </cell>
        </row>
        <row r="548">
          <cell r="B548" t="str">
            <v>بک پلیت ذوب آهن</v>
          </cell>
          <cell r="C548" t="str">
            <v>قطعه تعمیری</v>
          </cell>
          <cell r="AC548" t="str">
            <v>1405/05/28</v>
          </cell>
        </row>
        <row r="549">
          <cell r="B549" t="str">
            <v>پرس لودری 70021</v>
          </cell>
          <cell r="C549" t="str">
            <v>قالب تعمیری</v>
          </cell>
          <cell r="AC549" t="str">
            <v>1405/05/28</v>
          </cell>
        </row>
        <row r="550">
          <cell r="B550" t="str">
            <v>Pin zob ahan</v>
          </cell>
          <cell r="C550" t="str">
            <v>قطعه نو</v>
          </cell>
          <cell r="AC550" t="str">
            <v>1405/05/28</v>
          </cell>
        </row>
        <row r="551">
          <cell r="B551" t="str">
            <v>پخت عقب پژو 405 شمشی پایه کوتاه</v>
          </cell>
          <cell r="C551" t="str">
            <v>قالب نو</v>
          </cell>
          <cell r="AC551" t="str">
            <v>1405/05/28</v>
          </cell>
        </row>
        <row r="552">
          <cell r="B552" t="str">
            <v>ساب سمباده ای</v>
          </cell>
          <cell r="C552" t="str">
            <v>قطعه تعمیری</v>
          </cell>
          <cell r="AC552" t="str">
            <v>1405/05/28</v>
          </cell>
        </row>
        <row r="553">
          <cell r="B553" t="str">
            <v>پخت کلاچ ایسوزو</v>
          </cell>
          <cell r="C553" t="str">
            <v>قالب تعمیری</v>
          </cell>
          <cell r="AC553" t="str">
            <v>1405/05/28</v>
          </cell>
        </row>
        <row r="554">
          <cell r="B554" t="str">
            <v>قالب پخت SAF</v>
          </cell>
          <cell r="C554" t="str">
            <v>قالب نو</v>
          </cell>
          <cell r="AC554" t="str">
            <v>1405/05/28</v>
          </cell>
        </row>
        <row r="555">
          <cell r="B555" t="str">
            <v>پخت عقب پژو 405 شمشی پایه کوتاه</v>
          </cell>
          <cell r="C555" t="str">
            <v>قالب نو</v>
          </cell>
          <cell r="AC555" t="str">
            <v>1405/05/28</v>
          </cell>
        </row>
        <row r="556">
          <cell r="B556" t="str">
            <v>دریل یزدخواستی کلاچ</v>
          </cell>
          <cell r="C556" t="str">
            <v>قطعه نو</v>
          </cell>
          <cell r="AC556" t="str">
            <v>1405/05/28</v>
          </cell>
        </row>
        <row r="557">
          <cell r="B557" t="str">
            <v>سوراخکاری پیلسان</v>
          </cell>
          <cell r="C557" t="str">
            <v>قطعه نو</v>
          </cell>
          <cell r="AC557" t="str">
            <v>1405/05/28</v>
          </cell>
        </row>
        <row r="558">
          <cell r="B558" t="str">
            <v>دریل یزدخواستی کلاچ</v>
          </cell>
          <cell r="C558" t="str">
            <v>قطعه نو</v>
          </cell>
          <cell r="AC558" t="str">
            <v>1405/05/28</v>
          </cell>
        </row>
        <row r="559">
          <cell r="B559" t="str">
            <v>قالب پخت SAF</v>
          </cell>
          <cell r="C559" t="str">
            <v>قالب نو</v>
          </cell>
          <cell r="AC559" t="str">
            <v>1405/05/28</v>
          </cell>
        </row>
        <row r="560">
          <cell r="B560" t="str">
            <v>قالب مترو مشهد</v>
          </cell>
          <cell r="C560" t="str">
            <v>قالب تعمیری</v>
          </cell>
          <cell r="AC560" t="str">
            <v>1405/05/28</v>
          </cell>
        </row>
        <row r="561">
          <cell r="B561" t="str">
            <v>قالب مترو مشهد</v>
          </cell>
          <cell r="C561" t="str">
            <v>قالب تعمیری</v>
          </cell>
          <cell r="AC561" t="str">
            <v>1405/05/28</v>
          </cell>
        </row>
        <row r="562">
          <cell r="B562" t="str">
            <v>فوتون 107</v>
          </cell>
          <cell r="C562" t="str">
            <v>قالب تعمیری</v>
          </cell>
          <cell r="AC562" t="str">
            <v>1405/05/28</v>
          </cell>
        </row>
        <row r="563">
          <cell r="B563" t="str">
            <v>نک آرایش BPW تاجدار</v>
          </cell>
          <cell r="C563" t="str">
            <v>قالب تعمیری</v>
          </cell>
          <cell r="AC563" t="str">
            <v>1405/05/28</v>
          </cell>
        </row>
        <row r="564">
          <cell r="B564" t="str">
            <v>میکس</v>
          </cell>
          <cell r="C564" t="str">
            <v>قطعه تعمیری</v>
          </cell>
          <cell r="AC564" t="str">
            <v>1405/05/28</v>
          </cell>
        </row>
        <row r="565">
          <cell r="B565" t="str">
            <v>ساب کونیک</v>
          </cell>
          <cell r="C565" t="str">
            <v>قطعه تعمیری</v>
          </cell>
          <cell r="AC565" t="str">
            <v>1405/05/28</v>
          </cell>
        </row>
        <row r="566">
          <cell r="B566" t="str">
            <v>ویوینگ</v>
          </cell>
          <cell r="C566" t="str">
            <v>قطعه تعمیری</v>
          </cell>
          <cell r="AC566" t="str">
            <v>1405/05/25</v>
          </cell>
        </row>
        <row r="567">
          <cell r="B567" t="str">
            <v>ساب کونیک</v>
          </cell>
          <cell r="C567" t="str">
            <v>قطعه تعمیری</v>
          </cell>
          <cell r="AC567" t="str">
            <v>1405/05/28</v>
          </cell>
        </row>
        <row r="568">
          <cell r="B568" t="str">
            <v>ساب سمباده ای</v>
          </cell>
          <cell r="C568" t="str">
            <v>قطعه تعمیری</v>
          </cell>
          <cell r="AC568" t="str">
            <v>1405/05/28</v>
          </cell>
        </row>
        <row r="569">
          <cell r="B569" t="str">
            <v>فوتون 107</v>
          </cell>
          <cell r="C569" t="str">
            <v>قالب تعمیری</v>
          </cell>
          <cell r="AC569" t="str">
            <v>1405/05/28</v>
          </cell>
        </row>
        <row r="570">
          <cell r="B570" t="str">
            <v>فوتون 107</v>
          </cell>
          <cell r="C570" t="str">
            <v>قالب تعمیری</v>
          </cell>
          <cell r="AC570" t="str">
            <v>1405/05/28</v>
          </cell>
        </row>
        <row r="571">
          <cell r="B571" t="str">
            <v>نگهدارنده پلاک قالب</v>
          </cell>
          <cell r="C571" t="str">
            <v>قطعه نو</v>
          </cell>
          <cell r="AC571" t="str">
            <v>1405/05/28</v>
          </cell>
        </row>
        <row r="572">
          <cell r="B572" t="str">
            <v>عقب لیفتراک</v>
          </cell>
          <cell r="C572" t="str">
            <v>قطعه نو</v>
          </cell>
          <cell r="AC572" t="str">
            <v>1405/05/28</v>
          </cell>
        </row>
        <row r="573">
          <cell r="B573" t="str">
            <v>قالب عقب F12</v>
          </cell>
          <cell r="C573" t="str">
            <v>قالب نو</v>
          </cell>
          <cell r="AC573" t="str">
            <v>1405/05/28</v>
          </cell>
        </row>
        <row r="574">
          <cell r="B574" t="str">
            <v>پخت عقب پژو 405 شمشی پایه کوتاه</v>
          </cell>
          <cell r="C574" t="str">
            <v>قالب نو</v>
          </cell>
          <cell r="AC574" t="str">
            <v>1405/05/28</v>
          </cell>
        </row>
        <row r="575">
          <cell r="B575" t="str">
            <v>قالب عقب F12</v>
          </cell>
          <cell r="C575" t="str">
            <v>قالب نو</v>
          </cell>
          <cell r="AC575" t="str">
            <v>1405/05/29</v>
          </cell>
        </row>
        <row r="576">
          <cell r="B576" t="str">
            <v>کفشک قطاری</v>
          </cell>
          <cell r="C576" t="str">
            <v>قطعه تعمیری</v>
          </cell>
          <cell r="AC576" t="str">
            <v>1405/05/28</v>
          </cell>
        </row>
        <row r="577">
          <cell r="B577" t="str">
            <v>کفشک قطاری</v>
          </cell>
          <cell r="C577" t="str">
            <v>قطعه تعمیری</v>
          </cell>
          <cell r="AC577" t="str">
            <v>1405/05/29</v>
          </cell>
        </row>
        <row r="578">
          <cell r="B578" t="str">
            <v>پخت کلاچ ایویکو سوراخدار</v>
          </cell>
          <cell r="C578" t="str">
            <v>قالب تعمیری</v>
          </cell>
          <cell r="AC578" t="str">
            <v>1405/05/29</v>
          </cell>
        </row>
        <row r="579">
          <cell r="B579" t="str">
            <v>قالب پخت کلاچ</v>
          </cell>
          <cell r="C579" t="str">
            <v>قالب تعمیری</v>
          </cell>
          <cell r="AC579" t="str">
            <v>1405/05/29</v>
          </cell>
        </row>
        <row r="580">
          <cell r="B580" t="str">
            <v>قالب پخت SAF</v>
          </cell>
          <cell r="C580" t="str">
            <v>قالب نو</v>
          </cell>
          <cell r="AC580" t="str">
            <v>1405/05/29</v>
          </cell>
        </row>
        <row r="581">
          <cell r="B581" t="str">
            <v>پخت کلاچ پژو 206 TU5</v>
          </cell>
          <cell r="C581" t="str">
            <v>قالب تعمیری</v>
          </cell>
          <cell r="AC581" t="str">
            <v>1405/05/29</v>
          </cell>
        </row>
        <row r="582">
          <cell r="B582" t="str">
            <v>قالب پخت SAF</v>
          </cell>
          <cell r="C582" t="str">
            <v>قالب تعمیری</v>
          </cell>
          <cell r="AC582" t="str">
            <v>1405/05/29</v>
          </cell>
        </row>
        <row r="583">
          <cell r="B583" t="str">
            <v>قالب پخت SAF</v>
          </cell>
          <cell r="C583" t="str">
            <v>قالب تعمیری</v>
          </cell>
          <cell r="AC583" t="str">
            <v>1405/05/29</v>
          </cell>
        </row>
        <row r="584">
          <cell r="B584" t="str">
            <v>قالب پخت SAF</v>
          </cell>
          <cell r="C584" t="str">
            <v>قالب تعمیری</v>
          </cell>
          <cell r="AC584" t="str">
            <v>1405/05/29</v>
          </cell>
        </row>
        <row r="585">
          <cell r="B585" t="str">
            <v>فوتون 107</v>
          </cell>
          <cell r="C585" t="str">
            <v>قالب تعمیری</v>
          </cell>
          <cell r="AC585" t="str">
            <v>1405/05/29</v>
          </cell>
        </row>
        <row r="586">
          <cell r="B586" t="str">
            <v>قطعه بیرونی</v>
          </cell>
          <cell r="C586" t="str">
            <v>قطعه تعمیری</v>
          </cell>
          <cell r="AC586" t="str">
            <v>1405/05/29</v>
          </cell>
        </row>
        <row r="587">
          <cell r="B587" t="str">
            <v>پخت عقب پژو 405 شمشی پایه کوتاه</v>
          </cell>
          <cell r="C587" t="str">
            <v>قالب نو</v>
          </cell>
          <cell r="AC587" t="str">
            <v>1405/05/29</v>
          </cell>
        </row>
        <row r="588">
          <cell r="B588" t="str">
            <v>پخت کلاچ ایسوزو</v>
          </cell>
          <cell r="C588" t="str">
            <v>قالب تعمیری</v>
          </cell>
          <cell r="AC588" t="str">
            <v>1405/05/29</v>
          </cell>
        </row>
        <row r="589">
          <cell r="B589" t="str">
            <v>دستگاه پرس 600 تن</v>
          </cell>
          <cell r="C589" t="str">
            <v>قطعه نو</v>
          </cell>
          <cell r="AC589" t="str">
            <v>1405/05/29</v>
          </cell>
        </row>
        <row r="590">
          <cell r="B590" t="str">
            <v>نوار نقاله</v>
          </cell>
          <cell r="C590" t="str">
            <v>قطعه نو</v>
          </cell>
          <cell r="AC590" t="str">
            <v>1405/05/29</v>
          </cell>
        </row>
        <row r="591">
          <cell r="B591" t="str">
            <v>نوار نقاله</v>
          </cell>
          <cell r="C591" t="str">
            <v>قطعه نو</v>
          </cell>
          <cell r="AC591" t="str">
            <v>1405/05/29</v>
          </cell>
        </row>
        <row r="592">
          <cell r="B592" t="str">
            <v>میکس</v>
          </cell>
          <cell r="C592" t="str">
            <v>قطعه تعمیری</v>
          </cell>
          <cell r="AC592" t="str">
            <v>1405/05/29</v>
          </cell>
        </row>
        <row r="593">
          <cell r="B593" t="str">
            <v>Pin zob ahan</v>
          </cell>
          <cell r="C593" t="str">
            <v>قطعه نو</v>
          </cell>
          <cell r="AC593" t="str">
            <v>1405/05/29</v>
          </cell>
        </row>
        <row r="594">
          <cell r="B594" t="str">
            <v>پخت کلاچ پراید</v>
          </cell>
          <cell r="C594" t="str">
            <v>قالب تعمیری</v>
          </cell>
          <cell r="AC594" t="str">
            <v>1405/05/29</v>
          </cell>
        </row>
        <row r="595">
          <cell r="B595" t="str">
            <v>پخت عقب پژو 405 شمشی پایه کوتاه</v>
          </cell>
          <cell r="C595" t="str">
            <v>قالب نو</v>
          </cell>
          <cell r="AC595" t="str">
            <v>1405/05/29</v>
          </cell>
        </row>
        <row r="596">
          <cell r="B596" t="str">
            <v>پخت عقب پژو 405 شمشی پایه کوتاه</v>
          </cell>
          <cell r="C596" t="str">
            <v>قالب نو</v>
          </cell>
          <cell r="AC596" t="str">
            <v>1405/05/29</v>
          </cell>
        </row>
        <row r="597">
          <cell r="B597" t="str">
            <v>پخت کلاچ ایویکو سوراخدار</v>
          </cell>
          <cell r="C597" t="str">
            <v>قالب تعمیری</v>
          </cell>
          <cell r="AC597" t="str">
            <v>1405/05/29</v>
          </cell>
        </row>
        <row r="598">
          <cell r="B598" t="str">
            <v>پخت عقب پژو 405 شمشی پایه کوتاه</v>
          </cell>
          <cell r="C598" t="str">
            <v>قالب نو</v>
          </cell>
          <cell r="AC598" t="str">
            <v>1405/05/30</v>
          </cell>
        </row>
        <row r="599">
          <cell r="B599" t="str">
            <v>پخت عقب پژو 405 شمشی پایه کوتاه</v>
          </cell>
          <cell r="C599" t="str">
            <v>قالب نو</v>
          </cell>
          <cell r="AC599" t="str">
            <v>1405/05/31</v>
          </cell>
        </row>
        <row r="600">
          <cell r="B600" t="str">
            <v>پخت کلاچ تیبا راست</v>
          </cell>
          <cell r="C600" t="str">
            <v>قالب نو</v>
          </cell>
          <cell r="AC600" t="str">
            <v>1405/05/31</v>
          </cell>
        </row>
        <row r="601">
          <cell r="B601" t="str">
            <v>قالب پخت کلاچ</v>
          </cell>
          <cell r="C601" t="str">
            <v>قالب تعمیری</v>
          </cell>
          <cell r="AC601" t="str">
            <v>1405/05/31</v>
          </cell>
        </row>
        <row r="602">
          <cell r="B602" t="str">
            <v>قالب مینی بوس آریا</v>
          </cell>
          <cell r="C602" t="str">
            <v>قالب نو</v>
          </cell>
          <cell r="AC602" t="str">
            <v>1405/05/31</v>
          </cell>
        </row>
        <row r="603">
          <cell r="B603" t="str">
            <v>فوتون 107</v>
          </cell>
          <cell r="C603" t="str">
            <v>قالب تعمیری</v>
          </cell>
          <cell r="AC603" t="str">
            <v>1405/05/31</v>
          </cell>
        </row>
        <row r="604">
          <cell r="B604" t="str">
            <v>قالب پخت کلاچ</v>
          </cell>
          <cell r="C604" t="str">
            <v>قالب تعمیری</v>
          </cell>
          <cell r="AC604" t="str">
            <v>1405/05/31</v>
          </cell>
        </row>
        <row r="605">
          <cell r="B605" t="str">
            <v>پخت کلاچ لندکروز</v>
          </cell>
          <cell r="C605" t="str">
            <v>قالب تعمیری</v>
          </cell>
          <cell r="AC605" t="str">
            <v>1405/05/31</v>
          </cell>
        </row>
        <row r="606">
          <cell r="B606" t="str">
            <v>Pin zob ahan</v>
          </cell>
          <cell r="C606" t="str">
            <v>قطعه نو</v>
          </cell>
          <cell r="AC606" t="str">
            <v>1405/05/31</v>
          </cell>
        </row>
        <row r="607">
          <cell r="B607" t="str">
            <v>پخت 300 تن</v>
          </cell>
          <cell r="C607" t="str">
            <v>قطعه نو</v>
          </cell>
          <cell r="AC607" t="str">
            <v>1405/05/31</v>
          </cell>
        </row>
        <row r="608">
          <cell r="B608" t="str">
            <v>پخت 300 تن</v>
          </cell>
          <cell r="C608" t="str">
            <v>قطعه نو</v>
          </cell>
          <cell r="AC608" t="str">
            <v>1405/05/31</v>
          </cell>
        </row>
        <row r="609">
          <cell r="B609" t="str">
            <v>پخت کلاچ پژو 206 TU5</v>
          </cell>
          <cell r="C609" t="str">
            <v>قالب تعمیری</v>
          </cell>
          <cell r="AC609" t="str">
            <v>1405/05/31</v>
          </cell>
        </row>
        <row r="610">
          <cell r="B610" t="str">
            <v>توری میدل باس</v>
          </cell>
          <cell r="C610" t="str">
            <v>قالب تعمیری</v>
          </cell>
          <cell r="AC610" t="str">
            <v>1405/05/31</v>
          </cell>
        </row>
        <row r="611">
          <cell r="B611" t="str">
            <v>توری میدل باس</v>
          </cell>
          <cell r="C611" t="str">
            <v>قالب تعمیری</v>
          </cell>
          <cell r="AC611" t="str">
            <v>1405/05/31</v>
          </cell>
        </row>
        <row r="612">
          <cell r="B612" t="str">
            <v>پخت کلاچ لندکروز</v>
          </cell>
          <cell r="C612" t="str">
            <v>قالب تعمیری</v>
          </cell>
          <cell r="AC612" t="str">
            <v>1405/05/31</v>
          </cell>
        </row>
        <row r="613">
          <cell r="B613" t="str">
            <v>قالب شمشی عقب پیکان</v>
          </cell>
          <cell r="C613" t="str">
            <v>قالب نو</v>
          </cell>
          <cell r="AC613" t="str">
            <v>1405/05/31</v>
          </cell>
        </row>
        <row r="614">
          <cell r="B614" t="str">
            <v>فوتون 107</v>
          </cell>
          <cell r="C614" t="str">
            <v>قالب تعمیری</v>
          </cell>
          <cell r="AC614" t="str">
            <v>1405/05/31</v>
          </cell>
        </row>
        <row r="615">
          <cell r="B615" t="str">
            <v>دستگاه CNC</v>
          </cell>
          <cell r="C615" t="str">
            <v>قطعه نو</v>
          </cell>
          <cell r="AC615" t="str">
            <v>1405/05/31</v>
          </cell>
        </row>
        <row r="616">
          <cell r="B616" t="str">
            <v>ساب کف گرگی</v>
          </cell>
          <cell r="C616" t="str">
            <v>قطعه تعمیری</v>
          </cell>
          <cell r="AC616" t="str">
            <v>1405/05/31</v>
          </cell>
        </row>
        <row r="617">
          <cell r="B617" t="str">
            <v>نوار نقاله</v>
          </cell>
          <cell r="C617" t="str">
            <v>قطعه نو</v>
          </cell>
          <cell r="AC617" t="str">
            <v>1405/05/31</v>
          </cell>
        </row>
        <row r="618">
          <cell r="B618" t="str">
            <v>نوار نقاله</v>
          </cell>
          <cell r="C618" t="str">
            <v>قطعه نو</v>
          </cell>
          <cell r="AC618" t="str">
            <v>1405/05/31</v>
          </cell>
        </row>
        <row r="619">
          <cell r="B619" t="str">
            <v>دستگاه پرس 600 تن</v>
          </cell>
          <cell r="C619" t="str">
            <v>قطعه نو</v>
          </cell>
          <cell r="AC619" t="str">
            <v>1405/05/31</v>
          </cell>
        </row>
        <row r="620">
          <cell r="B620" t="str">
            <v>کمپرسور باد</v>
          </cell>
          <cell r="C620" t="str">
            <v>قطعه نو</v>
          </cell>
          <cell r="AC620" t="str">
            <v>1405/05/31</v>
          </cell>
        </row>
        <row r="621">
          <cell r="B621" t="str">
            <v>قالب عقب F12</v>
          </cell>
          <cell r="C621" t="str">
            <v>قالب نو</v>
          </cell>
          <cell r="AC621" t="str">
            <v>1405/05/31</v>
          </cell>
        </row>
        <row r="622">
          <cell r="B622" t="str">
            <v>نوار نقاله</v>
          </cell>
          <cell r="C622" t="str">
            <v>قطعه نو</v>
          </cell>
          <cell r="AC622" t="str">
            <v>1405/05/31</v>
          </cell>
        </row>
        <row r="623">
          <cell r="B623" t="str">
            <v>پین عقب پژو 405</v>
          </cell>
          <cell r="C623" t="str">
            <v>قطعه نو</v>
          </cell>
          <cell r="AC623" t="str">
            <v>1405/05/31</v>
          </cell>
        </row>
        <row r="624">
          <cell r="B624" t="str">
            <v>اصول 5S</v>
          </cell>
          <cell r="C624" t="str">
            <v>نظافت</v>
          </cell>
          <cell r="AC624" t="str">
            <v>1405/05/31</v>
          </cell>
        </row>
        <row r="625">
          <cell r="B625" t="str">
            <v>کلمپ زنی</v>
          </cell>
          <cell r="C625" t="str">
            <v>قطعه تعمیری</v>
          </cell>
          <cell r="AC625" t="str">
            <v>1405/05/31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پخت کلاچ تیبا راست</v>
          </cell>
          <cell r="C4" t="str">
            <v>قالب نو</v>
          </cell>
          <cell r="N4" t="str">
            <v>CNC</v>
          </cell>
          <cell r="AC4" t="str">
            <v>1405/06/01</v>
          </cell>
        </row>
        <row r="5">
          <cell r="B5" t="str">
            <v>قالب پخت کلاچ</v>
          </cell>
          <cell r="C5" t="str">
            <v>قالب تعمیری</v>
          </cell>
          <cell r="N5" t="str">
            <v>فرز</v>
          </cell>
          <cell r="AC5" t="str">
            <v>1405/06/01</v>
          </cell>
        </row>
        <row r="6">
          <cell r="B6" t="str">
            <v>قالب پخت کلاچ</v>
          </cell>
          <cell r="C6" t="str">
            <v>قالب تعمیری</v>
          </cell>
          <cell r="N6" t="str">
            <v>فرز</v>
          </cell>
          <cell r="AC6" t="str">
            <v>1405/06/01</v>
          </cell>
        </row>
        <row r="7">
          <cell r="B7" t="str">
            <v>ساب ترابوزا</v>
          </cell>
          <cell r="C7" t="str">
            <v>قطعه نو</v>
          </cell>
          <cell r="N7" t="str">
            <v>تراش</v>
          </cell>
          <cell r="AC7" t="str">
            <v>1405/06/02</v>
          </cell>
        </row>
        <row r="8">
          <cell r="B8" t="str">
            <v>قالب پخت کلاچ</v>
          </cell>
          <cell r="C8" t="str">
            <v>قالب تعمیری</v>
          </cell>
          <cell r="N8" t="str">
            <v>فرز</v>
          </cell>
          <cell r="AC8" t="str">
            <v>1405/06/02</v>
          </cell>
        </row>
        <row r="9">
          <cell r="B9" t="str">
            <v>پخت عقب پژو 405 شمشی پایه کوتاه</v>
          </cell>
          <cell r="C9" t="str">
            <v>قالب نو</v>
          </cell>
          <cell r="N9" t="str">
            <v>CNC</v>
          </cell>
          <cell r="AC9" t="str">
            <v>1405/06/01</v>
          </cell>
        </row>
        <row r="10">
          <cell r="B10" t="str">
            <v>پخت کلاچ پژو 206 TU5</v>
          </cell>
          <cell r="C10" t="str">
            <v>قالب تعمیری</v>
          </cell>
          <cell r="N10" t="str">
            <v>CNC</v>
          </cell>
          <cell r="AC10" t="str">
            <v>1405/06/01</v>
          </cell>
        </row>
        <row r="11">
          <cell r="B11" t="str">
            <v>پخت کلاچ پژو 206 TU5</v>
          </cell>
          <cell r="C11" t="str">
            <v>قالب تعمیری</v>
          </cell>
          <cell r="N11" t="str">
            <v>CNC</v>
          </cell>
          <cell r="AC11" t="str">
            <v>1405/06/02</v>
          </cell>
        </row>
        <row r="12">
          <cell r="B12" t="str">
            <v>دستگاه پرس پخت</v>
          </cell>
          <cell r="C12" t="str">
            <v>قطعه نو</v>
          </cell>
          <cell r="N12" t="str">
            <v>تراش</v>
          </cell>
          <cell r="AC12" t="str">
            <v>1405/06/01</v>
          </cell>
        </row>
        <row r="13">
          <cell r="B13" t="str">
            <v>پخت کلاچ پژو 206 TU5</v>
          </cell>
          <cell r="C13" t="str">
            <v>قالب تعمیری</v>
          </cell>
          <cell r="N13" t="str">
            <v>تراش</v>
          </cell>
          <cell r="AC13" t="str">
            <v>1405/06/01</v>
          </cell>
        </row>
        <row r="14">
          <cell r="B14" t="str">
            <v>پخت کلاچ پژو 206 TU5</v>
          </cell>
          <cell r="C14" t="str">
            <v>قالب تعمیری</v>
          </cell>
          <cell r="N14" t="str">
            <v>تراش</v>
          </cell>
          <cell r="AC14" t="str">
            <v>1405/06/02</v>
          </cell>
        </row>
        <row r="15">
          <cell r="B15" t="str">
            <v>ساب کف گرگی</v>
          </cell>
          <cell r="C15" t="str">
            <v>قطعه نو</v>
          </cell>
          <cell r="N15" t="str">
            <v>تراش</v>
          </cell>
          <cell r="AC15" t="str">
            <v>1405/06/01</v>
          </cell>
        </row>
        <row r="16">
          <cell r="B16" t="str">
            <v>دستگاه پرس پخت</v>
          </cell>
          <cell r="C16" t="str">
            <v>قطعه تعمیری</v>
          </cell>
          <cell r="N16" t="str">
            <v>تراش</v>
          </cell>
          <cell r="AC16" t="str">
            <v>1405/06/01</v>
          </cell>
        </row>
        <row r="17">
          <cell r="B17" t="str">
            <v>دستگاه پرس پخت</v>
          </cell>
          <cell r="C17" t="str">
            <v>قطعه نو</v>
          </cell>
          <cell r="N17" t="str">
            <v>تراش</v>
          </cell>
          <cell r="AC17" t="str">
            <v>1405/06/01</v>
          </cell>
        </row>
        <row r="18">
          <cell r="B18" t="str">
            <v>دستگاه ساب الماسه</v>
          </cell>
          <cell r="C18" t="str">
            <v>قطعه تعمیری</v>
          </cell>
          <cell r="N18" t="str">
            <v>تراش</v>
          </cell>
          <cell r="AC18" t="str">
            <v>1405/06/01</v>
          </cell>
        </row>
        <row r="19">
          <cell r="B19" t="str">
            <v>دستگاه پرس پخت</v>
          </cell>
          <cell r="C19" t="str">
            <v>قطعه تعمیری</v>
          </cell>
          <cell r="N19" t="str">
            <v>مونتاژ</v>
          </cell>
          <cell r="AC19" t="str">
            <v>1405/06/01</v>
          </cell>
        </row>
        <row r="20">
          <cell r="B20" t="str">
            <v>پشم فلز آلمانی</v>
          </cell>
          <cell r="C20" t="str">
            <v>قطعه نو</v>
          </cell>
          <cell r="N20" t="str">
            <v>تراش</v>
          </cell>
          <cell r="AC20" t="str">
            <v>1405/06/02</v>
          </cell>
        </row>
        <row r="21">
          <cell r="B21" t="str">
            <v>دستگاه پرس 600 تن</v>
          </cell>
          <cell r="C21" t="str">
            <v>قطعه نو</v>
          </cell>
          <cell r="N21" t="str">
            <v>تراش</v>
          </cell>
          <cell r="AC21" t="str">
            <v>1405/06/02</v>
          </cell>
        </row>
        <row r="22">
          <cell r="B22" t="str">
            <v>ساب کف گرگی</v>
          </cell>
          <cell r="C22" t="str">
            <v>قطعه نو</v>
          </cell>
          <cell r="N22" t="str">
            <v>مونتاژ</v>
          </cell>
          <cell r="AC22" t="str">
            <v>1405/06/02</v>
          </cell>
        </row>
        <row r="23">
          <cell r="B23" t="str">
            <v>دستگاه پرس 600 تن</v>
          </cell>
          <cell r="C23" t="str">
            <v>قطعه نو</v>
          </cell>
          <cell r="N23" t="str">
            <v>مونتاژ</v>
          </cell>
          <cell r="AC23" t="str">
            <v>1405/06/02</v>
          </cell>
        </row>
        <row r="24">
          <cell r="B24" t="str">
            <v>قالب شمشی عقب پیکان</v>
          </cell>
          <cell r="C24" t="str">
            <v>قالب نو</v>
          </cell>
          <cell r="N24" t="str">
            <v>وایر</v>
          </cell>
          <cell r="AC24" t="str">
            <v>1405/06/02</v>
          </cell>
        </row>
        <row r="25">
          <cell r="B25" t="str">
            <v>نگهدارنده پلاک قالب</v>
          </cell>
          <cell r="C25" t="str">
            <v>قطعه نو</v>
          </cell>
          <cell r="N25" t="str">
            <v>وایر</v>
          </cell>
          <cell r="AC25" t="str">
            <v>1405/06/02</v>
          </cell>
        </row>
        <row r="26">
          <cell r="B26" t="str">
            <v>ویوینگ</v>
          </cell>
          <cell r="C26" t="str">
            <v>قطعه تعمیری</v>
          </cell>
          <cell r="N26" t="str">
            <v>وایر</v>
          </cell>
          <cell r="AC26" t="str">
            <v>1405/06/02</v>
          </cell>
        </row>
        <row r="27">
          <cell r="B27" t="str">
            <v>فوتون 107</v>
          </cell>
          <cell r="C27" t="str">
            <v>قالب تعمیری</v>
          </cell>
          <cell r="N27" t="str">
            <v>وایر</v>
          </cell>
          <cell r="AC27" t="str">
            <v>1405/06/02</v>
          </cell>
        </row>
        <row r="28">
          <cell r="B28" t="str">
            <v>پخت کلاچ لندکروز</v>
          </cell>
          <cell r="C28" t="str">
            <v>قالب تعمیری</v>
          </cell>
          <cell r="N28" t="str">
            <v>سنگ زنی</v>
          </cell>
          <cell r="AC28" t="str">
            <v>1405/06/01</v>
          </cell>
        </row>
        <row r="29">
          <cell r="B29" t="str">
            <v>پخت کلاچ لندکروز</v>
          </cell>
          <cell r="C29" t="str">
            <v>قالب تعمیری</v>
          </cell>
          <cell r="N29" t="str">
            <v>سنگ زنی</v>
          </cell>
          <cell r="AC29" t="str">
            <v>1405/06/01</v>
          </cell>
        </row>
        <row r="30">
          <cell r="B30" t="str">
            <v>فوتون 107</v>
          </cell>
          <cell r="C30" t="str">
            <v>قالب تعمیری</v>
          </cell>
          <cell r="N30" t="str">
            <v>سنگ زنی</v>
          </cell>
          <cell r="AC30" t="str">
            <v>1405/06/01</v>
          </cell>
        </row>
        <row r="31">
          <cell r="B31" t="str">
            <v>فوتون 107</v>
          </cell>
          <cell r="C31" t="str">
            <v>قالب تعمیری</v>
          </cell>
          <cell r="N31" t="str">
            <v>سنگ زنی</v>
          </cell>
          <cell r="AC31" t="str">
            <v>1405/06/02</v>
          </cell>
        </row>
        <row r="32">
          <cell r="B32" t="str">
            <v>قالب پخت کلاچ</v>
          </cell>
          <cell r="C32" t="str">
            <v>قالب تعمیری</v>
          </cell>
          <cell r="N32" t="str">
            <v>سنگ زنی</v>
          </cell>
          <cell r="AC32" t="str">
            <v>1405/06/02</v>
          </cell>
        </row>
        <row r="33">
          <cell r="B33" t="str">
            <v>اصول 5S</v>
          </cell>
          <cell r="C33" t="str">
            <v>نظافت</v>
          </cell>
          <cell r="N33" t="str">
            <v>مونتاژ</v>
          </cell>
          <cell r="AC33" t="str">
            <v>1405/06/02</v>
          </cell>
        </row>
        <row r="34">
          <cell r="B34" t="str">
            <v>دستگاه پرس پخت</v>
          </cell>
          <cell r="C34" t="str">
            <v>قطعه تعمیری</v>
          </cell>
          <cell r="N34" t="str">
            <v>مونتاژ</v>
          </cell>
          <cell r="AC34" t="str">
            <v>1405/06/02</v>
          </cell>
        </row>
        <row r="35">
          <cell r="B35" t="str">
            <v>برشی نیوفیس C&amp;C</v>
          </cell>
          <cell r="C35" t="str">
            <v>قالب نو</v>
          </cell>
          <cell r="N35" t="str">
            <v>تراش</v>
          </cell>
          <cell r="AC35" t="str">
            <v>1405/06/01</v>
          </cell>
        </row>
        <row r="36">
          <cell r="B36" t="str">
            <v>برشی نیوفیس C&amp;C</v>
          </cell>
          <cell r="C36" t="str">
            <v>قالب نو</v>
          </cell>
          <cell r="N36" t="str">
            <v>مونتاژ</v>
          </cell>
          <cell r="AC36" t="str">
            <v>1405/06/02</v>
          </cell>
        </row>
        <row r="37">
          <cell r="B37" t="str">
            <v>قالب پخت کلاچ</v>
          </cell>
          <cell r="C37" t="str">
            <v>قالب تعمیری</v>
          </cell>
          <cell r="N37" t="str">
            <v>فرز</v>
          </cell>
          <cell r="AC37" t="str">
            <v>1405/06/01</v>
          </cell>
        </row>
        <row r="38">
          <cell r="B38" t="str">
            <v>پخت کلاچ ایسوزو</v>
          </cell>
          <cell r="C38" t="str">
            <v>قالب تعمیری</v>
          </cell>
          <cell r="N38" t="str">
            <v>فرز</v>
          </cell>
          <cell r="AC38" t="str">
            <v>1405/06/01</v>
          </cell>
        </row>
        <row r="39">
          <cell r="B39" t="str">
            <v>قالب پخت کلاچ</v>
          </cell>
          <cell r="C39" t="str">
            <v>قالب تعمیری</v>
          </cell>
          <cell r="N39" t="str">
            <v>فرز</v>
          </cell>
          <cell r="AC39" t="str">
            <v>1405/06/01</v>
          </cell>
        </row>
        <row r="40">
          <cell r="B40" t="str">
            <v>قالب پخت کلاچ</v>
          </cell>
          <cell r="C40" t="str">
            <v>قالب تعمیری</v>
          </cell>
          <cell r="N40" t="str">
            <v>فرز</v>
          </cell>
          <cell r="AC40" t="str">
            <v>1405/06/02</v>
          </cell>
        </row>
        <row r="41">
          <cell r="B41" t="str">
            <v>قالب پخت کلاچ</v>
          </cell>
          <cell r="C41" t="str">
            <v>قالب تعمیری</v>
          </cell>
          <cell r="N41" t="str">
            <v>فرز</v>
          </cell>
          <cell r="AC41" t="str">
            <v>1405/06/02</v>
          </cell>
        </row>
        <row r="42">
          <cell r="B42" t="str">
            <v>قالب پخت کلاچ</v>
          </cell>
          <cell r="C42" t="str">
            <v>قالب تعمیری</v>
          </cell>
          <cell r="N42" t="str">
            <v>فرز</v>
          </cell>
          <cell r="AC42" t="str">
            <v>1405/06/02</v>
          </cell>
        </row>
        <row r="43">
          <cell r="B43" t="str">
            <v>اصول 5S</v>
          </cell>
          <cell r="C43" t="str">
            <v>نظافت</v>
          </cell>
          <cell r="N43" t="str">
            <v>مونتاژ</v>
          </cell>
          <cell r="AC43" t="str">
            <v>1405/06/01</v>
          </cell>
        </row>
        <row r="44">
          <cell r="B44" t="str">
            <v>نوار نقاله</v>
          </cell>
          <cell r="C44" t="str">
            <v>قطعه نو</v>
          </cell>
          <cell r="N44" t="str">
            <v>دریل رادیال</v>
          </cell>
          <cell r="AC44" t="str">
            <v>1405/06/01</v>
          </cell>
        </row>
        <row r="45">
          <cell r="B45" t="str">
            <v>نوار نقاله</v>
          </cell>
          <cell r="C45" t="str">
            <v>قطعه نو</v>
          </cell>
          <cell r="N45" t="str">
            <v>دریل رادیال</v>
          </cell>
          <cell r="AC45" t="str">
            <v>1405/06/01</v>
          </cell>
        </row>
        <row r="46">
          <cell r="B46" t="str">
            <v>پخت عقب پژو 405 شمشی پایه کوتاه</v>
          </cell>
          <cell r="C46" t="str">
            <v>قالب نو</v>
          </cell>
          <cell r="N46" t="str">
            <v>مونتاژ</v>
          </cell>
          <cell r="AC46" t="str">
            <v>1405/06/01</v>
          </cell>
        </row>
        <row r="47">
          <cell r="B47" t="str">
            <v>اصول 5S</v>
          </cell>
          <cell r="C47" t="str">
            <v>نظافت</v>
          </cell>
          <cell r="N47" t="str">
            <v>مونتاژ</v>
          </cell>
          <cell r="AC47" t="str">
            <v>1405/06/01</v>
          </cell>
        </row>
        <row r="48">
          <cell r="B48" t="str">
            <v>قالب عقب F12</v>
          </cell>
          <cell r="C48" t="str">
            <v>قالب نو</v>
          </cell>
          <cell r="N48" t="str">
            <v>مونتاژ</v>
          </cell>
          <cell r="AC48" t="str">
            <v>1405/06/01</v>
          </cell>
        </row>
        <row r="49">
          <cell r="B49" t="str">
            <v>برشی نیوفیس C&amp;C</v>
          </cell>
          <cell r="C49" t="str">
            <v>قالب نو</v>
          </cell>
          <cell r="N49" t="str">
            <v>اره لنگ</v>
          </cell>
          <cell r="AC49" t="str">
            <v>1405/06/01</v>
          </cell>
        </row>
        <row r="50">
          <cell r="B50" t="str">
            <v>دستگاه پرس پخت</v>
          </cell>
          <cell r="C50" t="str">
            <v>قطعه تعمیری</v>
          </cell>
          <cell r="N50" t="str">
            <v>مونتاژ</v>
          </cell>
          <cell r="AC50" t="str">
            <v>1405/06/01</v>
          </cell>
        </row>
        <row r="51">
          <cell r="B51" t="str">
            <v>کلمپ زنی</v>
          </cell>
          <cell r="C51" t="str">
            <v>قطعه تعمیری</v>
          </cell>
          <cell r="N51" t="str">
            <v>دریل رادیال</v>
          </cell>
          <cell r="AC51" t="str">
            <v>1405/06/03</v>
          </cell>
        </row>
        <row r="52">
          <cell r="B52" t="str">
            <v>قالب پخت کلاچ پژو 405</v>
          </cell>
          <cell r="C52" t="str">
            <v>قالب تعمیری</v>
          </cell>
          <cell r="N52" t="str">
            <v>دریل رادیال</v>
          </cell>
          <cell r="AC52" t="str">
            <v>1405/06/03</v>
          </cell>
        </row>
        <row r="53">
          <cell r="B53" t="str">
            <v>شمش پراید</v>
          </cell>
          <cell r="C53" t="str">
            <v>قالب نو</v>
          </cell>
          <cell r="N53" t="str">
            <v>مونتاژ</v>
          </cell>
          <cell r="AC53" t="str">
            <v>1405/06/04</v>
          </cell>
        </row>
        <row r="54">
          <cell r="B54" t="str">
            <v>کلمپ زنی</v>
          </cell>
          <cell r="C54" t="str">
            <v>قطعه تعمیری</v>
          </cell>
          <cell r="N54" t="str">
            <v>مونتاژ</v>
          </cell>
          <cell r="AC54" t="str">
            <v>1405/06/04</v>
          </cell>
        </row>
        <row r="55">
          <cell r="B55" t="str">
            <v>آسانسور</v>
          </cell>
          <cell r="C55" t="str">
            <v>قطعه تعمیری</v>
          </cell>
          <cell r="N55" t="str">
            <v>مونتاژ</v>
          </cell>
          <cell r="AC55" t="str">
            <v>1405/06/03</v>
          </cell>
        </row>
        <row r="56">
          <cell r="B56" t="str">
            <v>پین عقب پژو 405</v>
          </cell>
          <cell r="C56" t="str">
            <v>قطعه نو</v>
          </cell>
          <cell r="N56" t="str">
            <v>مونتاژ</v>
          </cell>
          <cell r="AC56" t="str">
            <v>1405/06/03</v>
          </cell>
        </row>
        <row r="57">
          <cell r="B57" t="str">
            <v>جلو ساب دیسکی</v>
          </cell>
          <cell r="C57" t="str">
            <v>قطعه نو</v>
          </cell>
          <cell r="N57" t="str">
            <v>اره لنگ</v>
          </cell>
          <cell r="AC57" t="str">
            <v>1405/06/03</v>
          </cell>
        </row>
        <row r="58">
          <cell r="B58" t="str">
            <v>پخت کلاچ ایسوزو</v>
          </cell>
          <cell r="C58" t="str">
            <v>قالب تعمیری</v>
          </cell>
          <cell r="N58" t="str">
            <v>مونتاژ</v>
          </cell>
          <cell r="AC58" t="str">
            <v>1405/06/03</v>
          </cell>
        </row>
        <row r="59">
          <cell r="B59" t="str">
            <v>شمش پراید</v>
          </cell>
          <cell r="C59" t="str">
            <v>قالب نو</v>
          </cell>
          <cell r="N59" t="str">
            <v>مونتاژ</v>
          </cell>
          <cell r="AC59" t="str">
            <v>1405/06/04</v>
          </cell>
        </row>
        <row r="60">
          <cell r="B60" t="str">
            <v>قالب پخت کلاچ</v>
          </cell>
          <cell r="C60" t="str">
            <v>قالب تعمیری</v>
          </cell>
          <cell r="N60" t="str">
            <v>سنگ زنی</v>
          </cell>
          <cell r="AC60" t="str">
            <v>1405/06/03</v>
          </cell>
        </row>
        <row r="61">
          <cell r="B61" t="str">
            <v>قالب شمشی عقب پیکان</v>
          </cell>
          <cell r="C61" t="str">
            <v>قالب نو</v>
          </cell>
          <cell r="N61" t="str">
            <v>سنگ زنی</v>
          </cell>
          <cell r="AC61" t="str">
            <v>1405/06/03</v>
          </cell>
        </row>
        <row r="62">
          <cell r="B62" t="str">
            <v>قالب پخت کلاچ</v>
          </cell>
          <cell r="C62" t="str">
            <v>قالب تعمیری</v>
          </cell>
          <cell r="N62" t="str">
            <v>سنگ زنی</v>
          </cell>
          <cell r="AC62" t="str">
            <v>1405/06/04</v>
          </cell>
        </row>
        <row r="63">
          <cell r="B63" t="str">
            <v>قالب شمشی عقب پیکان</v>
          </cell>
          <cell r="C63" t="str">
            <v>قالب نو</v>
          </cell>
          <cell r="N63" t="str">
            <v>سنگ زنی</v>
          </cell>
          <cell r="AC63" t="str">
            <v>1405/06/04</v>
          </cell>
        </row>
        <row r="64">
          <cell r="B64" t="str">
            <v>برشی نیوفیس C&amp;C</v>
          </cell>
          <cell r="C64" t="str">
            <v>قالب نو</v>
          </cell>
          <cell r="N64" t="str">
            <v>سنگ زنی</v>
          </cell>
          <cell r="AC64" t="str">
            <v>1405/06/04</v>
          </cell>
        </row>
        <row r="65">
          <cell r="B65" t="str">
            <v>برشی نیوفیس C&amp;C</v>
          </cell>
          <cell r="C65" t="str">
            <v>قالب نو</v>
          </cell>
          <cell r="N65" t="str">
            <v>سنگ زنی</v>
          </cell>
          <cell r="AC65" t="str">
            <v>1405/06/04</v>
          </cell>
        </row>
        <row r="66">
          <cell r="B66" t="str">
            <v>قالب پخت کلاچ</v>
          </cell>
          <cell r="C66" t="str">
            <v>قالب تعمیری</v>
          </cell>
          <cell r="N66" t="str">
            <v>فرز</v>
          </cell>
          <cell r="AC66" t="str">
            <v>1405/06/03</v>
          </cell>
        </row>
        <row r="67">
          <cell r="B67" t="str">
            <v>قالب پخت کلاچ</v>
          </cell>
          <cell r="C67" t="str">
            <v>قالب تعمیری</v>
          </cell>
          <cell r="N67" t="str">
            <v>فرز</v>
          </cell>
          <cell r="AC67" t="str">
            <v>1405/06/03</v>
          </cell>
        </row>
        <row r="68">
          <cell r="B68" t="str">
            <v>پشم فلز آلمانی</v>
          </cell>
          <cell r="C68" t="str">
            <v>قطعه نو</v>
          </cell>
          <cell r="N68" t="str">
            <v>فرز</v>
          </cell>
          <cell r="AC68" t="str">
            <v>1405/06/03</v>
          </cell>
        </row>
        <row r="69">
          <cell r="B69" t="str">
            <v>پشم فلز آلمانی</v>
          </cell>
          <cell r="C69" t="str">
            <v>قطعه نو</v>
          </cell>
          <cell r="N69" t="str">
            <v>فرز</v>
          </cell>
          <cell r="AC69" t="str">
            <v>1405/06/04</v>
          </cell>
        </row>
        <row r="70">
          <cell r="B70" t="str">
            <v>جلو ساب دیسکی</v>
          </cell>
          <cell r="C70" t="str">
            <v>قطعه نو</v>
          </cell>
          <cell r="N70" t="str">
            <v>فرز</v>
          </cell>
          <cell r="AC70" t="str">
            <v>1405/06/04</v>
          </cell>
        </row>
        <row r="71">
          <cell r="B71" t="str">
            <v>پخت عقب پژو 405 شمشی پایه کوتاه</v>
          </cell>
          <cell r="C71" t="str">
            <v>قالب نو</v>
          </cell>
          <cell r="N71" t="str">
            <v>فرز</v>
          </cell>
          <cell r="AC71" t="str">
            <v>1405/06/04</v>
          </cell>
        </row>
        <row r="72">
          <cell r="B72" t="str">
            <v>قالب پخت کلاچ</v>
          </cell>
          <cell r="C72" t="str">
            <v>قالب تعمیری</v>
          </cell>
          <cell r="N72" t="str">
            <v>فرز</v>
          </cell>
          <cell r="AC72" t="str">
            <v>1405/06/04</v>
          </cell>
        </row>
        <row r="73">
          <cell r="B73" t="str">
            <v>قالب پخت کلاچ</v>
          </cell>
          <cell r="C73" t="str">
            <v>قالب تعمیری</v>
          </cell>
          <cell r="N73" t="str">
            <v>فرز</v>
          </cell>
          <cell r="AC73" t="str">
            <v>1405/06/03</v>
          </cell>
        </row>
        <row r="74">
          <cell r="B74" t="str">
            <v>قالب پخت کلاچ</v>
          </cell>
          <cell r="C74" t="str">
            <v>قالب تعمیری</v>
          </cell>
          <cell r="N74" t="str">
            <v>فرز</v>
          </cell>
          <cell r="AC74" t="str">
            <v>1405/06/04</v>
          </cell>
        </row>
        <row r="75">
          <cell r="B75" t="str">
            <v>قالب پخت کلاچ</v>
          </cell>
          <cell r="C75" t="str">
            <v>قالب تعمیری</v>
          </cell>
          <cell r="N75" t="str">
            <v>فرز</v>
          </cell>
          <cell r="AC75" t="str">
            <v>1405/06/03</v>
          </cell>
        </row>
        <row r="76">
          <cell r="B76" t="str">
            <v>قالب پخت کلاچ</v>
          </cell>
          <cell r="C76" t="str">
            <v>قالب تعمیری</v>
          </cell>
          <cell r="N76" t="str">
            <v>فرز</v>
          </cell>
          <cell r="AC76" t="str">
            <v>1405/06/04</v>
          </cell>
        </row>
        <row r="77">
          <cell r="B77" t="str">
            <v xml:space="preserve">قالب پخت کلاچ پیکان </v>
          </cell>
          <cell r="C77" t="str">
            <v>قالب تعمیری</v>
          </cell>
          <cell r="N77" t="str">
            <v>تراش</v>
          </cell>
          <cell r="AC77" t="str">
            <v>1405/06/03</v>
          </cell>
        </row>
        <row r="78">
          <cell r="B78" t="str">
            <v>جلو ساب دیسکی</v>
          </cell>
          <cell r="C78" t="str">
            <v>قطعه نو</v>
          </cell>
          <cell r="N78" t="str">
            <v>تراش</v>
          </cell>
          <cell r="AC78" t="str">
            <v>1405/06/03</v>
          </cell>
        </row>
        <row r="79">
          <cell r="B79" t="str">
            <v>جلو ساب دیسکی</v>
          </cell>
          <cell r="C79" t="str">
            <v>قطعه نو</v>
          </cell>
          <cell r="N79" t="str">
            <v>تراش</v>
          </cell>
          <cell r="AC79" t="str">
            <v>1405/06/03</v>
          </cell>
        </row>
        <row r="80">
          <cell r="B80" t="str">
            <v>سری نقطه جوش</v>
          </cell>
          <cell r="C80" t="str">
            <v>قطعه تعمیری</v>
          </cell>
          <cell r="N80" t="str">
            <v>تراش</v>
          </cell>
          <cell r="AC80" t="str">
            <v>1405/06/03</v>
          </cell>
        </row>
        <row r="81">
          <cell r="B81" t="str">
            <v>آسانسور</v>
          </cell>
          <cell r="C81" t="str">
            <v>قطعه نو</v>
          </cell>
          <cell r="N81" t="str">
            <v>تراش</v>
          </cell>
          <cell r="AC81" t="str">
            <v>1405/06/04</v>
          </cell>
        </row>
        <row r="82">
          <cell r="B82" t="str">
            <v>آسانسور</v>
          </cell>
          <cell r="C82" t="str">
            <v>قطعه تعمیری</v>
          </cell>
          <cell r="N82" t="str">
            <v>تراش</v>
          </cell>
          <cell r="AC82" t="str">
            <v>1405/06/04</v>
          </cell>
        </row>
        <row r="83">
          <cell r="B83" t="str">
            <v>پشم فلز آلمانی</v>
          </cell>
          <cell r="C83" t="str">
            <v>قطعه تعمیری</v>
          </cell>
          <cell r="N83" t="str">
            <v>تراش</v>
          </cell>
          <cell r="AC83" t="str">
            <v>1405/06/04</v>
          </cell>
        </row>
        <row r="84">
          <cell r="B84" t="str">
            <v>پخت عقب پژو 405 شمشی پایه کوتاه</v>
          </cell>
          <cell r="C84" t="str">
            <v>قالب نو</v>
          </cell>
          <cell r="N84" t="str">
            <v>تراش</v>
          </cell>
          <cell r="AC84" t="str">
            <v>1405/06/04</v>
          </cell>
        </row>
        <row r="85">
          <cell r="B85" t="str">
            <v>شمش پراید</v>
          </cell>
          <cell r="C85" t="str">
            <v>قالب نو</v>
          </cell>
          <cell r="N85" t="str">
            <v>تراش</v>
          </cell>
          <cell r="AC85" t="str">
            <v>1405/06/04</v>
          </cell>
        </row>
        <row r="86">
          <cell r="B86" t="str">
            <v>ویوینگ</v>
          </cell>
          <cell r="C86" t="str">
            <v>قطعه تعمیری</v>
          </cell>
          <cell r="N86" t="str">
            <v>تراش</v>
          </cell>
          <cell r="AC86" t="str">
            <v>1405/06/03</v>
          </cell>
        </row>
        <row r="87">
          <cell r="B87" t="str">
            <v>جلو ساب دیسکی</v>
          </cell>
          <cell r="C87" t="str">
            <v>قطعه نو</v>
          </cell>
          <cell r="N87" t="str">
            <v>تراش</v>
          </cell>
          <cell r="AC87" t="str">
            <v>1405/06/03</v>
          </cell>
        </row>
        <row r="88">
          <cell r="B88" t="str">
            <v>جلو ساب دیسکی</v>
          </cell>
          <cell r="C88" t="str">
            <v>قطعه نو</v>
          </cell>
          <cell r="N88" t="str">
            <v>تراش</v>
          </cell>
          <cell r="AC88" t="str">
            <v>1405/06/03</v>
          </cell>
        </row>
        <row r="89">
          <cell r="B89" t="str">
            <v>پشم فلز آلمانی</v>
          </cell>
          <cell r="C89" t="str">
            <v>قطعه نو</v>
          </cell>
          <cell r="N89" t="str">
            <v>تراش</v>
          </cell>
          <cell r="AC89" t="str">
            <v>1405/06/03</v>
          </cell>
        </row>
        <row r="90">
          <cell r="B90" t="str">
            <v>پشم فلز آلمانی</v>
          </cell>
          <cell r="C90" t="str">
            <v>قطعه نو</v>
          </cell>
          <cell r="N90" t="str">
            <v>تراش</v>
          </cell>
          <cell r="AC90" t="str">
            <v>1405/06/04</v>
          </cell>
        </row>
        <row r="91">
          <cell r="B91" t="str">
            <v>ساب کف گرگی</v>
          </cell>
          <cell r="C91" t="str">
            <v>قطعه نو</v>
          </cell>
          <cell r="N91" t="str">
            <v>تراش</v>
          </cell>
          <cell r="AC91" t="str">
            <v>1405/06/04</v>
          </cell>
        </row>
        <row r="92">
          <cell r="B92" t="str">
            <v>پرچ زنی</v>
          </cell>
          <cell r="C92" t="str">
            <v>قطعه تعمیری</v>
          </cell>
          <cell r="N92" t="str">
            <v>تراش</v>
          </cell>
          <cell r="AC92" t="str">
            <v>1405/06/04</v>
          </cell>
        </row>
        <row r="93">
          <cell r="B93" t="str">
            <v>قالب شمشی عقب پیکان</v>
          </cell>
          <cell r="C93" t="str">
            <v>قالب نو</v>
          </cell>
          <cell r="N93" t="str">
            <v>وایر</v>
          </cell>
          <cell r="AC93" t="str">
            <v>1405/06/03</v>
          </cell>
        </row>
        <row r="94">
          <cell r="B94" t="str">
            <v>نگهدارنده پلاک قالب</v>
          </cell>
          <cell r="C94" t="str">
            <v>قطعه نو</v>
          </cell>
          <cell r="N94" t="str">
            <v>وایر</v>
          </cell>
          <cell r="AC94" t="str">
            <v>1405/06/03</v>
          </cell>
        </row>
        <row r="95">
          <cell r="B95" t="str">
            <v>فوتون 107</v>
          </cell>
          <cell r="C95" t="str">
            <v>قالب تعمیری</v>
          </cell>
          <cell r="N95" t="str">
            <v>وایر</v>
          </cell>
          <cell r="AC95" t="str">
            <v>1405/06/03</v>
          </cell>
        </row>
        <row r="96">
          <cell r="B96" t="str">
            <v>پخت کلاچ پژو 206 TU5</v>
          </cell>
          <cell r="C96" t="str">
            <v>قالب تعمیری</v>
          </cell>
          <cell r="N96" t="str">
            <v>CNC</v>
          </cell>
          <cell r="AC96" t="str">
            <v>1405/06/03</v>
          </cell>
        </row>
        <row r="97">
          <cell r="B97" t="str">
            <v>پخت کلاچ لندکروز</v>
          </cell>
          <cell r="C97" t="str">
            <v>قالب تعمیری</v>
          </cell>
          <cell r="N97" t="str">
            <v>CNC</v>
          </cell>
          <cell r="AC97" t="str">
            <v>1405/06/04</v>
          </cell>
        </row>
        <row r="98">
          <cell r="B98" t="str">
            <v>پخت کلاچ لندکروز</v>
          </cell>
          <cell r="C98" t="str">
            <v>قالب تعمیری</v>
          </cell>
          <cell r="N98" t="str">
            <v>CNC</v>
          </cell>
          <cell r="AC98" t="str">
            <v>1405/06/04</v>
          </cell>
        </row>
        <row r="99">
          <cell r="B99" t="str">
            <v>جلو سمند سورن</v>
          </cell>
          <cell r="C99" t="str">
            <v>قالب تعمیری</v>
          </cell>
          <cell r="N99" t="str">
            <v>CNC</v>
          </cell>
          <cell r="AC99" t="str">
            <v>1405/06/03</v>
          </cell>
        </row>
        <row r="100">
          <cell r="B100" t="str">
            <v>جلو سمند سورن</v>
          </cell>
          <cell r="C100" t="str">
            <v>قالب تعمیری</v>
          </cell>
          <cell r="N100" t="str">
            <v>CNC</v>
          </cell>
          <cell r="AC100" t="str">
            <v>1405/06/04</v>
          </cell>
        </row>
        <row r="101">
          <cell r="B101" t="str">
            <v>پخت کلاچ تیبا چپ</v>
          </cell>
          <cell r="C101" t="str">
            <v>قالب نو</v>
          </cell>
          <cell r="N101" t="str">
            <v>CNC</v>
          </cell>
          <cell r="AC101" t="str">
            <v>1405/06/02</v>
          </cell>
        </row>
        <row r="102">
          <cell r="B102" t="str">
            <v>پخت کلاچ تیبا چپ</v>
          </cell>
          <cell r="C102" t="str">
            <v>قالب نو</v>
          </cell>
          <cell r="N102" t="str">
            <v>CNC</v>
          </cell>
          <cell r="AC102" t="str">
            <v>1405/06/03</v>
          </cell>
        </row>
        <row r="103">
          <cell r="B103" t="str">
            <v>پخت کلاچ پژو 206 TU5</v>
          </cell>
          <cell r="C103" t="str">
            <v>قالب تعمیری</v>
          </cell>
          <cell r="N103" t="str">
            <v>CNC</v>
          </cell>
          <cell r="AC103" t="str">
            <v>1405/06/04</v>
          </cell>
        </row>
        <row r="104">
          <cell r="B104" t="str">
            <v>قالب شمشی عقب پیکان</v>
          </cell>
          <cell r="C104" t="str">
            <v>قالب نو</v>
          </cell>
          <cell r="N104" t="str">
            <v>CNC</v>
          </cell>
          <cell r="AC104" t="str">
            <v>1405/06/07</v>
          </cell>
        </row>
        <row r="105">
          <cell r="B105" t="str">
            <v>قالب شمشی عقب پیکان</v>
          </cell>
          <cell r="C105" t="str">
            <v>قالب نو</v>
          </cell>
          <cell r="N105" t="str">
            <v>CNC</v>
          </cell>
          <cell r="AC105" t="str">
            <v>1405/06/07</v>
          </cell>
        </row>
        <row r="106">
          <cell r="B106" t="str">
            <v>قالب پخت کلاچ</v>
          </cell>
          <cell r="C106" t="str">
            <v>قالب تعمیری</v>
          </cell>
          <cell r="N106" t="str">
            <v>فرز</v>
          </cell>
          <cell r="AC106" t="str">
            <v>1405/06/07</v>
          </cell>
        </row>
        <row r="107">
          <cell r="B107" t="str">
            <v>قالب پخت کلاچ</v>
          </cell>
          <cell r="C107" t="str">
            <v>قالب تعمیری</v>
          </cell>
          <cell r="N107" t="str">
            <v>فرز</v>
          </cell>
          <cell r="AC107" t="str">
            <v>1405/06/07</v>
          </cell>
        </row>
        <row r="108">
          <cell r="B108" t="str">
            <v>قالب پخت کلاچ</v>
          </cell>
          <cell r="C108" t="str">
            <v>قالب تعمیری</v>
          </cell>
          <cell r="N108" t="str">
            <v>فرز</v>
          </cell>
          <cell r="AC108" t="str">
            <v>1405/06/07</v>
          </cell>
        </row>
        <row r="109">
          <cell r="B109" t="str">
            <v>قالب پخت کلاچ</v>
          </cell>
          <cell r="C109" t="str">
            <v>قالب تعمیری</v>
          </cell>
          <cell r="N109" t="str">
            <v>سنگ زنی</v>
          </cell>
          <cell r="AC109" t="str">
            <v>1405/06/07</v>
          </cell>
        </row>
        <row r="110">
          <cell r="B110" t="str">
            <v>لنت ترمز دیسكی جلو دیما(خم)</v>
          </cell>
          <cell r="C110" t="str">
            <v>قالب تعمیری</v>
          </cell>
          <cell r="N110" t="str">
            <v>سنگ زنی</v>
          </cell>
          <cell r="AC110" t="str">
            <v>1405/06/07</v>
          </cell>
        </row>
        <row r="111">
          <cell r="B111" t="str">
            <v>لنت ترمز دیسكی جلو دیما(خم)</v>
          </cell>
          <cell r="C111" t="str">
            <v>قالب تعمیری</v>
          </cell>
          <cell r="N111" t="str">
            <v>سنگ زنی</v>
          </cell>
          <cell r="AC111" t="str">
            <v>1405/06/07</v>
          </cell>
        </row>
        <row r="112">
          <cell r="B112" t="str">
            <v>جلو سمند سورن</v>
          </cell>
          <cell r="C112" t="str">
            <v>قالب تعمیری</v>
          </cell>
          <cell r="N112" t="str">
            <v>سنگ زنی</v>
          </cell>
          <cell r="AC112" t="str">
            <v>1405/06/07</v>
          </cell>
        </row>
        <row r="113">
          <cell r="B113" t="str">
            <v>لنت صنعتی</v>
          </cell>
          <cell r="C113" t="str">
            <v>قطعه تعمیری</v>
          </cell>
          <cell r="N113" t="str">
            <v>دریل رادیال</v>
          </cell>
          <cell r="AC113" t="str">
            <v>1405/06/07</v>
          </cell>
        </row>
        <row r="114">
          <cell r="B114" t="str">
            <v>شمش پراید</v>
          </cell>
          <cell r="C114" t="str">
            <v>قالب نو</v>
          </cell>
          <cell r="N114" t="str">
            <v>مونتاژ</v>
          </cell>
          <cell r="AC114" t="str">
            <v>1405/06/07</v>
          </cell>
        </row>
        <row r="115">
          <cell r="B115" t="str">
            <v>پخت عقب پژو 405 شمشی پایه کوتاه</v>
          </cell>
          <cell r="C115" t="str">
            <v>قالب نو</v>
          </cell>
          <cell r="N115" t="str">
            <v>دریل رادیال</v>
          </cell>
          <cell r="AC115" t="str">
            <v>1405/06/07</v>
          </cell>
        </row>
        <row r="116">
          <cell r="B116" t="str">
            <v>قالب پخت کلاچ</v>
          </cell>
          <cell r="C116" t="str">
            <v>قالب تعمیری</v>
          </cell>
          <cell r="N116" t="str">
            <v>فرز</v>
          </cell>
          <cell r="AC116" t="str">
            <v>1405/06/07</v>
          </cell>
        </row>
        <row r="117">
          <cell r="B117" t="str">
            <v>سری نقطه جوش</v>
          </cell>
          <cell r="C117" t="str">
            <v>قطعه تعمیری</v>
          </cell>
          <cell r="N117" t="str">
            <v>تراش</v>
          </cell>
          <cell r="AC117" t="str">
            <v>1405/06/07</v>
          </cell>
        </row>
        <row r="118">
          <cell r="B118" t="str">
            <v>ساب کف گرگی</v>
          </cell>
          <cell r="C118" t="str">
            <v>قطعه نو</v>
          </cell>
          <cell r="N118" t="str">
            <v>تراش</v>
          </cell>
          <cell r="AC118" t="str">
            <v>1405/06/07</v>
          </cell>
        </row>
        <row r="119">
          <cell r="B119" t="str">
            <v>پخت کلاچ لندکروز</v>
          </cell>
          <cell r="C119" t="str">
            <v>قالب تعمیری</v>
          </cell>
          <cell r="N119" t="str">
            <v>CNC</v>
          </cell>
          <cell r="AC119" t="str">
            <v>1405/06/07</v>
          </cell>
        </row>
        <row r="120">
          <cell r="B120" t="str">
            <v>فوتون 107</v>
          </cell>
          <cell r="C120" t="str">
            <v>قالب تعمیری</v>
          </cell>
          <cell r="N120" t="str">
            <v>CNC</v>
          </cell>
          <cell r="AC120" t="str">
            <v>1405/06/07</v>
          </cell>
        </row>
        <row r="121">
          <cell r="B121" t="str">
            <v>جلو سمند سورن</v>
          </cell>
          <cell r="C121" t="str">
            <v>قالب تعمیری</v>
          </cell>
          <cell r="N121" t="str">
            <v>CNC</v>
          </cell>
          <cell r="AC121" t="str">
            <v>1405/06/07</v>
          </cell>
        </row>
        <row r="122">
          <cell r="B122" t="str">
            <v>قالب پخت کلاچ پژو 405</v>
          </cell>
          <cell r="C122" t="str">
            <v>قالب تعمیری</v>
          </cell>
          <cell r="N122" t="str">
            <v>CNC</v>
          </cell>
          <cell r="AC122" t="str">
            <v>1405/06/07</v>
          </cell>
        </row>
        <row r="123">
          <cell r="B123" t="str">
            <v>قالب پخت کلاچ</v>
          </cell>
          <cell r="C123" t="str">
            <v>قالب تعمیری</v>
          </cell>
          <cell r="N123" t="str">
            <v>فرز</v>
          </cell>
          <cell r="AC123" t="str">
            <v>1405/06/07</v>
          </cell>
        </row>
        <row r="124">
          <cell r="B124" t="str">
            <v>قالب پخت کلاچ</v>
          </cell>
          <cell r="C124" t="str">
            <v>قالب تعمیری</v>
          </cell>
          <cell r="N124" t="str">
            <v>فرز</v>
          </cell>
          <cell r="AC124" t="str">
            <v>1405/06/09</v>
          </cell>
        </row>
        <row r="125">
          <cell r="B125" t="str">
            <v>قالب پخت کلاچ</v>
          </cell>
          <cell r="C125" t="str">
            <v>قالب تعمیری</v>
          </cell>
          <cell r="N125" t="str">
            <v>فرز</v>
          </cell>
          <cell r="AC125" t="str">
            <v>1405/06/09</v>
          </cell>
        </row>
        <row r="126">
          <cell r="B126" t="str">
            <v>قالب پخت کلاچ</v>
          </cell>
          <cell r="C126" t="str">
            <v>قالب تعمیری</v>
          </cell>
          <cell r="N126" t="str">
            <v>فرز</v>
          </cell>
          <cell r="AC126" t="str">
            <v>1405/06/09</v>
          </cell>
        </row>
        <row r="127">
          <cell r="B127" t="str">
            <v>جلو سمند سورن</v>
          </cell>
          <cell r="C127" t="str">
            <v>قالب تعمیری</v>
          </cell>
          <cell r="N127" t="str">
            <v>فرز</v>
          </cell>
          <cell r="AC127" t="str">
            <v>1405/06/09</v>
          </cell>
        </row>
        <row r="128">
          <cell r="B128" t="str">
            <v>برشی نیوفیس C&amp;C</v>
          </cell>
          <cell r="C128" t="str">
            <v>قالب نو</v>
          </cell>
          <cell r="N128" t="str">
            <v>سوپردریل</v>
          </cell>
          <cell r="AC128" t="str">
            <v>1405/06/09</v>
          </cell>
        </row>
        <row r="129">
          <cell r="B129" t="str">
            <v>فوتون 107</v>
          </cell>
          <cell r="C129" t="str">
            <v>قالب تعمیری</v>
          </cell>
          <cell r="N129" t="str">
            <v>وایر</v>
          </cell>
          <cell r="AC129" t="str">
            <v>1405/06/09</v>
          </cell>
        </row>
        <row r="130">
          <cell r="B130" t="str">
            <v>برشی نیوفیس C&amp;C</v>
          </cell>
          <cell r="C130" t="str">
            <v>قالب نو</v>
          </cell>
          <cell r="N130" t="str">
            <v>وایر</v>
          </cell>
          <cell r="AC130" t="str">
            <v>1405/06/09</v>
          </cell>
        </row>
        <row r="131">
          <cell r="B131" t="str">
            <v>قالب شمشی عقب پیکان</v>
          </cell>
          <cell r="C131" t="str">
            <v>قالب نو</v>
          </cell>
          <cell r="N131" t="str">
            <v>وایر</v>
          </cell>
          <cell r="AC131" t="str">
            <v>1405/06/09</v>
          </cell>
        </row>
        <row r="132">
          <cell r="B132" t="str">
            <v>برشی نیوفیس C&amp;C</v>
          </cell>
          <cell r="C132" t="str">
            <v>قالب نو</v>
          </cell>
          <cell r="N132" t="str">
            <v>سوپردریل</v>
          </cell>
          <cell r="AC132" t="str">
            <v>1405/06/07</v>
          </cell>
        </row>
        <row r="133">
          <cell r="B133" t="str">
            <v>قالب شمشی عقب پیکان</v>
          </cell>
          <cell r="C133" t="str">
            <v>قالب نو</v>
          </cell>
          <cell r="N133" t="str">
            <v>وایر</v>
          </cell>
          <cell r="AC133" t="str">
            <v>1405/06/07</v>
          </cell>
        </row>
        <row r="134">
          <cell r="B134" t="str">
            <v>فوتون 107</v>
          </cell>
          <cell r="C134" t="str">
            <v>قالب تعمیری</v>
          </cell>
          <cell r="N134" t="str">
            <v>وایر</v>
          </cell>
          <cell r="AC134" t="str">
            <v>1405/06/07</v>
          </cell>
        </row>
        <row r="135">
          <cell r="B135" t="str">
            <v>شمش پراید</v>
          </cell>
          <cell r="C135" t="str">
            <v>قالب نو</v>
          </cell>
          <cell r="N135" t="str">
            <v>مونتاژ</v>
          </cell>
          <cell r="AC135" t="str">
            <v>1405/06/07</v>
          </cell>
        </row>
        <row r="136">
          <cell r="B136" t="str">
            <v>شمش پراید</v>
          </cell>
          <cell r="C136" t="str">
            <v>قالب نو</v>
          </cell>
          <cell r="N136" t="str">
            <v>مونتاژ</v>
          </cell>
          <cell r="AC136" t="str">
            <v>1405/06/07</v>
          </cell>
        </row>
        <row r="137">
          <cell r="B137" t="str">
            <v>قالب پخت کلاچ پژو 405</v>
          </cell>
          <cell r="C137" t="str">
            <v>قالب تعمیری</v>
          </cell>
          <cell r="N137" t="str">
            <v>CNC</v>
          </cell>
          <cell r="AC137" t="str">
            <v>1405/06/09</v>
          </cell>
        </row>
        <row r="138">
          <cell r="B138" t="str">
            <v>قالب شمشی عقب پیکان</v>
          </cell>
          <cell r="C138" t="str">
            <v>قالب نو</v>
          </cell>
          <cell r="N138" t="str">
            <v>CNC</v>
          </cell>
          <cell r="AC138" t="str">
            <v>1405/06/09</v>
          </cell>
        </row>
        <row r="139">
          <cell r="B139" t="str">
            <v>فوتون 107</v>
          </cell>
          <cell r="C139" t="str">
            <v>قالب تعمیری</v>
          </cell>
          <cell r="N139" t="str">
            <v>CNC</v>
          </cell>
          <cell r="AC139" t="str">
            <v>1405/06/09</v>
          </cell>
        </row>
        <row r="140">
          <cell r="B140" t="str">
            <v>فوتون 107</v>
          </cell>
          <cell r="C140" t="str">
            <v>قالب تعمیری</v>
          </cell>
          <cell r="N140" t="str">
            <v>CNC</v>
          </cell>
          <cell r="AC140" t="str">
            <v>1405/06/09</v>
          </cell>
        </row>
        <row r="141">
          <cell r="B141" t="str">
            <v>فوتون 107</v>
          </cell>
          <cell r="C141" t="str">
            <v>قالب تعمیری</v>
          </cell>
          <cell r="N141" t="str">
            <v>تراش</v>
          </cell>
          <cell r="AC141" t="str">
            <v>1405/06/09</v>
          </cell>
        </row>
        <row r="142">
          <cell r="B142" t="str">
            <v>قالب شمشی عقب پیکان</v>
          </cell>
          <cell r="C142" t="str">
            <v>قالب نو</v>
          </cell>
          <cell r="N142" t="str">
            <v>تراش</v>
          </cell>
          <cell r="AC142" t="str">
            <v>1405/06/09</v>
          </cell>
        </row>
        <row r="143">
          <cell r="B143" t="str">
            <v>قالب شمشی عقب پیکان</v>
          </cell>
          <cell r="C143" t="str">
            <v>قالب نو</v>
          </cell>
          <cell r="N143" t="str">
            <v>تراش</v>
          </cell>
          <cell r="AC143" t="str">
            <v>1405/06/09</v>
          </cell>
        </row>
        <row r="144">
          <cell r="B144" t="str">
            <v>سوراخکاری پیلسان</v>
          </cell>
          <cell r="C144" t="str">
            <v>قطعه نو</v>
          </cell>
          <cell r="N144" t="str">
            <v>CNC</v>
          </cell>
          <cell r="AC144" t="str">
            <v>1405/06/10</v>
          </cell>
        </row>
        <row r="145">
          <cell r="B145" t="str">
            <v>فوتون 107</v>
          </cell>
          <cell r="C145" t="str">
            <v>قالب تعمیری</v>
          </cell>
          <cell r="N145" t="str">
            <v>CNC</v>
          </cell>
          <cell r="AC145" t="str">
            <v>1405/06/10</v>
          </cell>
        </row>
        <row r="146">
          <cell r="B146" t="str">
            <v>شمش پراید</v>
          </cell>
          <cell r="C146" t="str">
            <v>قالب نو</v>
          </cell>
          <cell r="N146" t="str">
            <v>مونتاژ</v>
          </cell>
          <cell r="AC146" t="str">
            <v>1405/06/10</v>
          </cell>
        </row>
        <row r="147">
          <cell r="B147" t="str">
            <v>فوتون 107</v>
          </cell>
          <cell r="C147" t="str">
            <v>قالب تعمیری</v>
          </cell>
          <cell r="N147" t="str">
            <v>فرز</v>
          </cell>
          <cell r="AC147" t="str">
            <v>1405/06/10</v>
          </cell>
        </row>
        <row r="148">
          <cell r="B148" t="str">
            <v>لودر دیسکی XGL 50</v>
          </cell>
          <cell r="C148" t="str">
            <v>قالب نو</v>
          </cell>
          <cell r="N148" t="str">
            <v>مونتاژ</v>
          </cell>
          <cell r="AC148" t="str">
            <v>1405/06/10</v>
          </cell>
        </row>
        <row r="149">
          <cell r="B149" t="str">
            <v>دستگاه ساب الماسه</v>
          </cell>
          <cell r="C149" t="str">
            <v>قطعه نو</v>
          </cell>
          <cell r="N149" t="str">
            <v>فرز</v>
          </cell>
          <cell r="AC149" t="str">
            <v>1405/06/10</v>
          </cell>
        </row>
        <row r="150">
          <cell r="B150" t="str">
            <v>دستگاه ساب الماسه</v>
          </cell>
          <cell r="C150" t="str">
            <v>قطعه نو</v>
          </cell>
          <cell r="N150" t="str">
            <v>مونتاژ</v>
          </cell>
          <cell r="AC150" t="str">
            <v>1405/06/10</v>
          </cell>
        </row>
        <row r="151">
          <cell r="B151" t="str">
            <v>فوتون 107</v>
          </cell>
          <cell r="C151" t="str">
            <v>قالب تعمیری</v>
          </cell>
          <cell r="N151" t="str">
            <v>مونتاژ</v>
          </cell>
          <cell r="AC151" t="str">
            <v>1405/06/10</v>
          </cell>
        </row>
        <row r="152">
          <cell r="B152" t="str">
            <v>قالب مترو مشهد</v>
          </cell>
          <cell r="C152" t="str">
            <v>قالب تعمیری</v>
          </cell>
          <cell r="N152" t="str">
            <v>مونتاژ</v>
          </cell>
          <cell r="AC152" t="str">
            <v>1405/06/10</v>
          </cell>
        </row>
        <row r="153">
          <cell r="B153" t="str">
            <v>پخت کلاچ 309 سوراخدار</v>
          </cell>
          <cell r="C153" t="str">
            <v>قالب تعمیری</v>
          </cell>
          <cell r="N153" t="str">
            <v>مونتاژ</v>
          </cell>
          <cell r="AC153" t="str">
            <v>1405/06/10</v>
          </cell>
        </row>
        <row r="154">
          <cell r="B154" t="str">
            <v>شمش پراید</v>
          </cell>
          <cell r="C154" t="str">
            <v>قالب نو</v>
          </cell>
          <cell r="N154" t="str">
            <v>مونتاژ</v>
          </cell>
          <cell r="AC154" t="str">
            <v>1405/06/10</v>
          </cell>
        </row>
        <row r="155">
          <cell r="B155" t="str">
            <v>قالب مترو مشهد</v>
          </cell>
          <cell r="C155" t="str">
            <v>قالب تعمیری</v>
          </cell>
          <cell r="N155" t="str">
            <v>مونتاژ</v>
          </cell>
          <cell r="AC155" t="str">
            <v>1405/06/07</v>
          </cell>
        </row>
        <row r="156">
          <cell r="B156" t="str">
            <v>جلو سمند سورن</v>
          </cell>
          <cell r="C156" t="str">
            <v>قالب تعمیری</v>
          </cell>
          <cell r="N156" t="str">
            <v>اره لنگ</v>
          </cell>
          <cell r="AC156" t="str">
            <v>1405/06/07</v>
          </cell>
        </row>
        <row r="157">
          <cell r="B157" t="str">
            <v>پخت کلاچ 309 سوراخدار</v>
          </cell>
          <cell r="C157" t="str">
            <v>قالب تعمیری</v>
          </cell>
          <cell r="N157" t="str">
            <v>مونتاژ</v>
          </cell>
          <cell r="AC157" t="str">
            <v>1405/06/07</v>
          </cell>
        </row>
        <row r="158">
          <cell r="B158" t="str">
            <v>دستگاه ساب الماسه</v>
          </cell>
          <cell r="C158" t="str">
            <v>قطعه نو</v>
          </cell>
          <cell r="N158" t="str">
            <v>اره لنگ</v>
          </cell>
          <cell r="AC158" t="str">
            <v>1405/06/07</v>
          </cell>
        </row>
        <row r="159">
          <cell r="B159" t="str">
            <v>فوتون 107</v>
          </cell>
          <cell r="C159" t="str">
            <v>قالب تعمیری</v>
          </cell>
          <cell r="N159" t="str">
            <v>CNC</v>
          </cell>
          <cell r="AC159" t="str">
            <v>1405/06/10</v>
          </cell>
        </row>
        <row r="160">
          <cell r="B160" t="str">
            <v>لودر دیسکی XGL 50</v>
          </cell>
          <cell r="C160" t="str">
            <v>قالب نو</v>
          </cell>
          <cell r="N160" t="str">
            <v>CNC</v>
          </cell>
          <cell r="AC160" t="str">
            <v>1405/06/10</v>
          </cell>
        </row>
        <row r="161">
          <cell r="B161" t="str">
            <v>فوتون 107</v>
          </cell>
          <cell r="C161" t="str">
            <v>قالب تعمیری</v>
          </cell>
          <cell r="N161" t="str">
            <v>CNC</v>
          </cell>
          <cell r="AC161" t="str">
            <v>1405/06/10</v>
          </cell>
        </row>
        <row r="162">
          <cell r="B162" t="str">
            <v>قالب شمشی عقب پیکان</v>
          </cell>
          <cell r="C162" t="str">
            <v>قالب نو</v>
          </cell>
          <cell r="N162" t="str">
            <v>CNC</v>
          </cell>
          <cell r="AC162" t="str">
            <v>1405/06/10</v>
          </cell>
        </row>
        <row r="163">
          <cell r="B163" t="str">
            <v>قالب مترو مشهد</v>
          </cell>
          <cell r="C163" t="str">
            <v>قالب تعمیری</v>
          </cell>
          <cell r="N163" t="str">
            <v>فرز</v>
          </cell>
          <cell r="AC163" t="str">
            <v>1405/06/10</v>
          </cell>
        </row>
        <row r="164">
          <cell r="B164" t="str">
            <v>قالب مترو مشهد</v>
          </cell>
          <cell r="C164" t="str">
            <v>قالب تعمیری</v>
          </cell>
          <cell r="N164" t="str">
            <v>فرز</v>
          </cell>
          <cell r="AC164" t="str">
            <v>1405/06/10</v>
          </cell>
        </row>
        <row r="165">
          <cell r="B165" t="str">
            <v>قالب پخت کلاچ</v>
          </cell>
          <cell r="C165" t="str">
            <v>قالب تعمیری</v>
          </cell>
          <cell r="N165" t="str">
            <v>فرز</v>
          </cell>
          <cell r="AC165" t="str">
            <v>1405/06/10</v>
          </cell>
        </row>
        <row r="166">
          <cell r="B166" t="str">
            <v>دستگاه ساب الماسه</v>
          </cell>
          <cell r="C166" t="str">
            <v>قطعه نو</v>
          </cell>
          <cell r="N166" t="str">
            <v>تراش</v>
          </cell>
          <cell r="AC166" t="str">
            <v>1405/06/10</v>
          </cell>
        </row>
        <row r="167">
          <cell r="B167" t="str">
            <v>پخت کلاچ 309 سوراخدار</v>
          </cell>
          <cell r="C167" t="str">
            <v>قالب تعمیری</v>
          </cell>
          <cell r="N167" t="str">
            <v>تراش</v>
          </cell>
          <cell r="AC167" t="str">
            <v>1405/06/10</v>
          </cell>
        </row>
        <row r="168">
          <cell r="B168" t="str">
            <v>دستگاه ساب الماسه</v>
          </cell>
          <cell r="C168" t="str">
            <v>قطعه نو</v>
          </cell>
          <cell r="N168" t="str">
            <v>تراش</v>
          </cell>
          <cell r="AC168" t="str">
            <v>1405/06/10</v>
          </cell>
        </row>
        <row r="169">
          <cell r="B169" t="str">
            <v>دستگاه کشش سیم مفتول</v>
          </cell>
          <cell r="C169" t="str">
            <v>قطعه نو</v>
          </cell>
          <cell r="N169" t="str">
            <v>تراش</v>
          </cell>
          <cell r="AC169" t="str">
            <v>1405/06/10</v>
          </cell>
        </row>
        <row r="170">
          <cell r="B170" t="str">
            <v>قالب 29162</v>
          </cell>
          <cell r="C170" t="str">
            <v>قالب تعمیری</v>
          </cell>
          <cell r="N170" t="str">
            <v>وایر</v>
          </cell>
          <cell r="AC170" t="str">
            <v>1405/06/10</v>
          </cell>
        </row>
        <row r="171">
          <cell r="B171" t="str">
            <v>برشی نیوفیس C&amp;C</v>
          </cell>
          <cell r="C171" t="str">
            <v>قالب نو</v>
          </cell>
          <cell r="N171" t="str">
            <v>وایر</v>
          </cell>
          <cell r="AC171" t="str">
            <v>1405/06/10</v>
          </cell>
        </row>
        <row r="172">
          <cell r="B172" t="str">
            <v>شمش پراید</v>
          </cell>
          <cell r="C172" t="str">
            <v>قالب نو</v>
          </cell>
          <cell r="N172" t="str">
            <v>وایر</v>
          </cell>
          <cell r="AC172" t="str">
            <v>1405/06/10</v>
          </cell>
        </row>
        <row r="173">
          <cell r="B173" t="str">
            <v>برشی نیوفیس C&amp;C</v>
          </cell>
          <cell r="C173" t="str">
            <v>قالب نو</v>
          </cell>
          <cell r="N173" t="str">
            <v>وایر</v>
          </cell>
          <cell r="AC173" t="str">
            <v>1405/06/10</v>
          </cell>
        </row>
        <row r="174">
          <cell r="B174" t="str">
            <v>قطعه بیرونی</v>
          </cell>
          <cell r="C174" t="str">
            <v>قطعه تعمیری</v>
          </cell>
          <cell r="N174" t="str">
            <v>سوپردریل</v>
          </cell>
          <cell r="AC174" t="str">
            <v>1405/06/10</v>
          </cell>
        </row>
        <row r="175">
          <cell r="B175" t="str">
            <v>پخت عقب پژو 405 شمشی پایه کوتاه</v>
          </cell>
          <cell r="C175" t="str">
            <v>قالب نو</v>
          </cell>
          <cell r="N175" t="str">
            <v>مونتاژ</v>
          </cell>
          <cell r="AC175" t="str">
            <v>1405/06/10</v>
          </cell>
        </row>
        <row r="176">
          <cell r="B176" t="str">
            <v>پخت کلاچ 309 سوراخدار</v>
          </cell>
          <cell r="C176" t="str">
            <v>قالب تعمیری</v>
          </cell>
          <cell r="N176" t="str">
            <v>مونتاژ</v>
          </cell>
          <cell r="AC176" t="str">
            <v>1405/06/10</v>
          </cell>
        </row>
        <row r="177">
          <cell r="B177" t="str">
            <v>دستگاه کشش سیم مفتول</v>
          </cell>
          <cell r="C177" t="str">
            <v>قطعه نو</v>
          </cell>
          <cell r="N177" t="str">
            <v>دریل رادیال</v>
          </cell>
          <cell r="AC177" t="str">
            <v>1405/06/10</v>
          </cell>
        </row>
        <row r="178">
          <cell r="B178" t="str">
            <v>پخت کلاچ 309 سوراخدار</v>
          </cell>
          <cell r="C178" t="str">
            <v>قالب تعمیری</v>
          </cell>
          <cell r="N178" t="str">
            <v>دریل رادیال</v>
          </cell>
          <cell r="AC178" t="str">
            <v>1405/06/10</v>
          </cell>
        </row>
        <row r="179">
          <cell r="B179" t="str">
            <v>لنت صنعتی</v>
          </cell>
          <cell r="C179" t="str">
            <v>قطعه تعمیری</v>
          </cell>
          <cell r="N179" t="str">
            <v>دریل رادیال</v>
          </cell>
          <cell r="AC179" t="str">
            <v>1405/06/10</v>
          </cell>
        </row>
        <row r="180">
          <cell r="B180" t="str">
            <v>جلو سمند سورن</v>
          </cell>
          <cell r="C180" t="str">
            <v>قالب تعمیری</v>
          </cell>
          <cell r="N180" t="str">
            <v>دریل رادیال</v>
          </cell>
          <cell r="AC180" t="str">
            <v>1405/06/10</v>
          </cell>
        </row>
        <row r="181">
          <cell r="B181" t="str">
            <v>لنت صنعتی</v>
          </cell>
          <cell r="C181" t="str">
            <v>قطعه تعمیری</v>
          </cell>
          <cell r="N181" t="str">
            <v>دریل رادیال</v>
          </cell>
          <cell r="AC181" t="str">
            <v>1405/06/10</v>
          </cell>
        </row>
        <row r="182">
          <cell r="B182" t="str">
            <v>قالب مترو مشهد</v>
          </cell>
          <cell r="C182" t="str">
            <v>قالب تعمیری</v>
          </cell>
          <cell r="N182" t="str">
            <v>دریل رادیال</v>
          </cell>
          <cell r="AC182" t="str">
            <v>1405/06/10</v>
          </cell>
        </row>
        <row r="183">
          <cell r="B183" t="str">
            <v>پخت کلاچ 309 سوراخدار</v>
          </cell>
          <cell r="C183" t="str">
            <v>قالب تعمیری</v>
          </cell>
          <cell r="N183" t="str">
            <v>مونتاژ</v>
          </cell>
          <cell r="AC183" t="str">
            <v>1405/06/10</v>
          </cell>
        </row>
        <row r="184">
          <cell r="B184" t="str">
            <v>قالب مترو مشهد</v>
          </cell>
          <cell r="C184" t="str">
            <v>قالب تعمیری</v>
          </cell>
          <cell r="N184" t="str">
            <v>دریل رادیال</v>
          </cell>
          <cell r="AC184" t="str">
            <v>1405/06/10</v>
          </cell>
        </row>
        <row r="185">
          <cell r="B185" t="str">
            <v>قالب پخت کلاچ</v>
          </cell>
          <cell r="C185" t="str">
            <v>قالب تعمیری</v>
          </cell>
          <cell r="N185" t="str">
            <v>فرز</v>
          </cell>
          <cell r="AC185" t="str">
            <v>1405/06/11</v>
          </cell>
        </row>
        <row r="186">
          <cell r="B186" t="str">
            <v>قالب شمشی عقب پیکان</v>
          </cell>
          <cell r="C186" t="str">
            <v>قالب نو</v>
          </cell>
          <cell r="N186" t="str">
            <v>فرز</v>
          </cell>
          <cell r="AC186" t="str">
            <v>1405/06/11</v>
          </cell>
        </row>
        <row r="187">
          <cell r="B187" t="str">
            <v>ساب ترابوزا</v>
          </cell>
          <cell r="C187" t="str">
            <v>قطعه نو</v>
          </cell>
          <cell r="N187" t="str">
            <v>تراش</v>
          </cell>
          <cell r="AC187" t="str">
            <v>1405/06/11</v>
          </cell>
        </row>
        <row r="188">
          <cell r="B188" t="str">
            <v>قالب شمشی عقب پیکان</v>
          </cell>
          <cell r="C188" t="str">
            <v>قالب نو</v>
          </cell>
          <cell r="N188" t="str">
            <v>CNC</v>
          </cell>
          <cell r="AC188" t="str">
            <v>1405/06/11</v>
          </cell>
        </row>
        <row r="189">
          <cell r="B189" t="str">
            <v>فوتون 107</v>
          </cell>
          <cell r="C189" t="str">
            <v>قالب تعمیری</v>
          </cell>
          <cell r="N189" t="str">
            <v>CNC</v>
          </cell>
          <cell r="AC189" t="str">
            <v>1405/06/11</v>
          </cell>
        </row>
        <row r="190">
          <cell r="B190" t="str">
            <v>برشی نیوفیس C&amp;C</v>
          </cell>
          <cell r="C190" t="str">
            <v>قالب نو</v>
          </cell>
          <cell r="N190" t="str">
            <v>CNC</v>
          </cell>
          <cell r="AC190" t="str">
            <v>1405/06/11</v>
          </cell>
        </row>
        <row r="191">
          <cell r="B191" t="str">
            <v>فوتون 107</v>
          </cell>
          <cell r="C191" t="str">
            <v>قالب تعمیری</v>
          </cell>
          <cell r="N191" t="str">
            <v>CNC</v>
          </cell>
          <cell r="AC191" t="str">
            <v>1405/06/11</v>
          </cell>
        </row>
        <row r="192">
          <cell r="B192" t="str">
            <v>پخت عقب پژو 405 شمشی پایه کوتاه</v>
          </cell>
          <cell r="C192" t="str">
            <v>قالب نو</v>
          </cell>
          <cell r="N192" t="str">
            <v>CNC</v>
          </cell>
          <cell r="AC192" t="str">
            <v>1405/06/11</v>
          </cell>
        </row>
        <row r="193">
          <cell r="B193" t="str">
            <v>قالب مینی بوس آریا</v>
          </cell>
          <cell r="C193" t="str">
            <v>قالب نو</v>
          </cell>
          <cell r="N193" t="str">
            <v>CNC</v>
          </cell>
          <cell r="AC193" t="str">
            <v>1405/06/11</v>
          </cell>
        </row>
        <row r="194">
          <cell r="B194" t="str">
            <v>ویوینگ</v>
          </cell>
          <cell r="C194" t="str">
            <v>قطعه تعمیری</v>
          </cell>
          <cell r="N194" t="str">
            <v>تراش</v>
          </cell>
          <cell r="AC194" t="str">
            <v>1405/06/11</v>
          </cell>
        </row>
        <row r="195">
          <cell r="B195" t="str">
            <v>دستگاه کشش سیم مفتول</v>
          </cell>
          <cell r="C195" t="str">
            <v>قطعه نو</v>
          </cell>
          <cell r="N195" t="str">
            <v>تراش</v>
          </cell>
          <cell r="AC195" t="str">
            <v>1405/06/11</v>
          </cell>
        </row>
        <row r="196">
          <cell r="B196" t="str">
            <v>جلو سمند سورن</v>
          </cell>
          <cell r="C196" t="str">
            <v>قالب تعمیری</v>
          </cell>
          <cell r="N196" t="str">
            <v>تراش</v>
          </cell>
          <cell r="AC196" t="str">
            <v>1405/06/11</v>
          </cell>
        </row>
        <row r="197">
          <cell r="B197" t="str">
            <v>قطعه بیرونی</v>
          </cell>
          <cell r="C197" t="str">
            <v>قطعه تعمیری</v>
          </cell>
          <cell r="N197" t="str">
            <v>سوپردریل</v>
          </cell>
          <cell r="AC197" t="str">
            <v>1405/06/11</v>
          </cell>
        </row>
        <row r="198">
          <cell r="B198" t="str">
            <v>پخت کلاچ 309 سوراخدار</v>
          </cell>
          <cell r="C198" t="str">
            <v>قالب تعمیری</v>
          </cell>
          <cell r="N198" t="str">
            <v>وایر</v>
          </cell>
          <cell r="AC198" t="str">
            <v>1405/06/11</v>
          </cell>
        </row>
        <row r="199">
          <cell r="B199" t="str">
            <v>قالب پخت SAF</v>
          </cell>
          <cell r="C199" t="str">
            <v>قالب نو</v>
          </cell>
          <cell r="N199" t="str">
            <v>وایر</v>
          </cell>
          <cell r="AC199" t="str">
            <v>1405/06/11</v>
          </cell>
        </row>
        <row r="200">
          <cell r="B200" t="str">
            <v>جلو سمند سورن</v>
          </cell>
          <cell r="C200" t="str">
            <v>قالب تعمیری</v>
          </cell>
          <cell r="N200" t="str">
            <v>مونتاژ</v>
          </cell>
          <cell r="AC200" t="str">
            <v>1405/06/11</v>
          </cell>
        </row>
        <row r="201">
          <cell r="B201" t="str">
            <v>پخت کلاچ 309 سوراخدار</v>
          </cell>
          <cell r="C201" t="str">
            <v>قالب تعمیری</v>
          </cell>
          <cell r="N201" t="str">
            <v>مونتاژ</v>
          </cell>
          <cell r="AC201" t="str">
            <v>1405/06/11</v>
          </cell>
        </row>
        <row r="202">
          <cell r="B202" t="str">
            <v>سنگ مغناطیسی</v>
          </cell>
          <cell r="C202" t="str">
            <v>دستگاه تعمیری</v>
          </cell>
          <cell r="N202" t="str">
            <v>مونتاژ</v>
          </cell>
          <cell r="AC202" t="str">
            <v>1405/06/11</v>
          </cell>
        </row>
        <row r="203">
          <cell r="B203" t="str">
            <v>فوتون 107</v>
          </cell>
          <cell r="C203" t="str">
            <v>قالب تعمیری</v>
          </cell>
          <cell r="N203" t="str">
            <v>مونتاژ</v>
          </cell>
          <cell r="AC203" t="str">
            <v>1405/06/11</v>
          </cell>
        </row>
        <row r="204">
          <cell r="B204" t="str">
            <v>قالب مترو مشهد</v>
          </cell>
          <cell r="C204" t="str">
            <v>قالب تعمیری</v>
          </cell>
          <cell r="N204" t="str">
            <v>مونتاژ</v>
          </cell>
          <cell r="AC204" t="str">
            <v>1405/06/11</v>
          </cell>
        </row>
        <row r="205">
          <cell r="B205" t="str">
            <v>پخت کلاچ پراید</v>
          </cell>
          <cell r="C205" t="str">
            <v>قالب تعمیری</v>
          </cell>
          <cell r="N205" t="str">
            <v>مونتاژ</v>
          </cell>
          <cell r="AC205" t="str">
            <v>1405/06/11</v>
          </cell>
        </row>
        <row r="206">
          <cell r="B206" t="str">
            <v>کامیونت هیوندای</v>
          </cell>
          <cell r="C206" t="str">
            <v>قالب نو</v>
          </cell>
          <cell r="N206" t="str">
            <v>فرز</v>
          </cell>
          <cell r="AC206" t="str">
            <v>1405/06/14</v>
          </cell>
        </row>
        <row r="207">
          <cell r="B207" t="str">
            <v>خودرو دیزل آذربایجان</v>
          </cell>
          <cell r="C207" t="str">
            <v>قالب نو</v>
          </cell>
          <cell r="N207" t="str">
            <v>CNC</v>
          </cell>
          <cell r="AC207" t="str">
            <v>1405/06/14</v>
          </cell>
        </row>
        <row r="208">
          <cell r="B208" t="str">
            <v>کامیونت هیوندای</v>
          </cell>
          <cell r="C208" t="str">
            <v>قالب نو</v>
          </cell>
          <cell r="N208" t="str">
            <v>فرز</v>
          </cell>
          <cell r="AC208" t="str">
            <v>1405/06/14</v>
          </cell>
        </row>
        <row r="209">
          <cell r="B209" t="str">
            <v>قالب پخت کلاچ</v>
          </cell>
          <cell r="C209" t="str">
            <v>قالب تعمیری</v>
          </cell>
          <cell r="N209" t="str">
            <v>فرز</v>
          </cell>
          <cell r="AC209" t="str">
            <v>1405/06/14</v>
          </cell>
        </row>
        <row r="210">
          <cell r="B210" t="str">
            <v>قالب پخت کلاچ</v>
          </cell>
          <cell r="C210" t="str">
            <v>قالب تعمیری</v>
          </cell>
          <cell r="N210" t="str">
            <v>فرز</v>
          </cell>
          <cell r="AC210" t="str">
            <v>1405/06/14</v>
          </cell>
        </row>
        <row r="211">
          <cell r="B211" t="str">
            <v>قالب مینی بوس آریا</v>
          </cell>
          <cell r="C211" t="str">
            <v>قالب نو</v>
          </cell>
          <cell r="N211" t="str">
            <v>CNC</v>
          </cell>
          <cell r="AC211" t="str">
            <v>1405/06/14</v>
          </cell>
        </row>
        <row r="212">
          <cell r="B212" t="str">
            <v>قالب مینی بوس آریا</v>
          </cell>
          <cell r="C212" t="str">
            <v>قالب نو</v>
          </cell>
          <cell r="N212" t="str">
            <v>CNC</v>
          </cell>
          <cell r="AC212" t="str">
            <v>1405/06/14</v>
          </cell>
        </row>
        <row r="213">
          <cell r="B213" t="str">
            <v>کلمپ زنی</v>
          </cell>
          <cell r="C213" t="str">
            <v>قطعه تعمیری</v>
          </cell>
          <cell r="N213" t="str">
            <v>تراش</v>
          </cell>
          <cell r="AC213" t="str">
            <v>1405/06/14</v>
          </cell>
        </row>
        <row r="214">
          <cell r="B214" t="str">
            <v>ویوینگ</v>
          </cell>
          <cell r="C214" t="str">
            <v>قطعه تعمیری</v>
          </cell>
          <cell r="N214" t="str">
            <v>تراش</v>
          </cell>
          <cell r="AC214" t="str">
            <v>1405/06/14</v>
          </cell>
        </row>
        <row r="215">
          <cell r="B215" t="str">
            <v>ساب سمباده ای</v>
          </cell>
          <cell r="C215" t="str">
            <v>قطعه نو</v>
          </cell>
          <cell r="N215" t="str">
            <v>تراش</v>
          </cell>
          <cell r="AC215" t="str">
            <v>1405/06/14</v>
          </cell>
        </row>
        <row r="216">
          <cell r="B216" t="str">
            <v>برشی نیوفیس C&amp;C</v>
          </cell>
          <cell r="C216" t="str">
            <v>قالب نو</v>
          </cell>
          <cell r="N216" t="str">
            <v>CNC</v>
          </cell>
          <cell r="AC216" t="str">
            <v>1405/06/14</v>
          </cell>
        </row>
        <row r="217">
          <cell r="B217" t="str">
            <v>سوراخکاری پیلسان</v>
          </cell>
          <cell r="C217" t="str">
            <v>قطعه نو</v>
          </cell>
          <cell r="N217" t="str">
            <v>CNC</v>
          </cell>
          <cell r="AC217" t="str">
            <v>1405/06/14</v>
          </cell>
        </row>
        <row r="218">
          <cell r="B218" t="str">
            <v>دریل یزدخواستی کلاچ</v>
          </cell>
          <cell r="C218" t="str">
            <v>قطعه نو</v>
          </cell>
          <cell r="N218" t="str">
            <v>CNC</v>
          </cell>
          <cell r="AC218" t="str">
            <v>1405/06/14</v>
          </cell>
        </row>
        <row r="219">
          <cell r="B219" t="str">
            <v>لودر دیسکی XGL 50</v>
          </cell>
          <cell r="C219" t="str">
            <v>قالب نو</v>
          </cell>
          <cell r="N219" t="str">
            <v>CNC</v>
          </cell>
          <cell r="AC219" t="str">
            <v>1405/06/14</v>
          </cell>
        </row>
        <row r="220">
          <cell r="B220" t="str">
            <v>پخت کلاچ 309 سوراخدار</v>
          </cell>
          <cell r="C220" t="str">
            <v>قالب تعمیری</v>
          </cell>
          <cell r="N220" t="str">
            <v>وایر</v>
          </cell>
          <cell r="AC220" t="str">
            <v>1405/06/14</v>
          </cell>
        </row>
        <row r="221">
          <cell r="B221" t="str">
            <v>قالب پخت SAF</v>
          </cell>
          <cell r="C221" t="str">
            <v>قالب نو</v>
          </cell>
          <cell r="N221" t="str">
            <v>وایر</v>
          </cell>
          <cell r="AC221" t="str">
            <v>1405/06/14</v>
          </cell>
        </row>
        <row r="222">
          <cell r="B222" t="str">
            <v>قطعه بیرونی</v>
          </cell>
          <cell r="C222" t="str">
            <v>قطعه تعمیری</v>
          </cell>
          <cell r="N222" t="str">
            <v>سوپردریل</v>
          </cell>
          <cell r="AC222" t="str">
            <v>1405/06/14</v>
          </cell>
        </row>
        <row r="223">
          <cell r="B223" t="str">
            <v>قالب مترو مشهد</v>
          </cell>
          <cell r="C223" t="str">
            <v>قالب تعمیری</v>
          </cell>
          <cell r="N223" t="str">
            <v>اره لنگ</v>
          </cell>
          <cell r="AC223" t="str">
            <v>1405/06/14</v>
          </cell>
        </row>
        <row r="224">
          <cell r="B224" t="str">
            <v>پخت کلاچ هوو</v>
          </cell>
          <cell r="C224" t="str">
            <v>قالب تعمیری</v>
          </cell>
          <cell r="N224" t="str">
            <v>مونتاژ</v>
          </cell>
          <cell r="AC224" t="str">
            <v>1405/06/14</v>
          </cell>
        </row>
        <row r="225">
          <cell r="B225" t="str">
            <v>برشی نیوفیس C&amp;C</v>
          </cell>
          <cell r="C225" t="str">
            <v>قالب نو</v>
          </cell>
          <cell r="N225" t="str">
            <v>مونتاژ</v>
          </cell>
          <cell r="AC225" t="str">
            <v>1405/06/14</v>
          </cell>
        </row>
        <row r="226">
          <cell r="B226" t="str">
            <v>قالب شمشی عقب پیکان</v>
          </cell>
          <cell r="C226" t="str">
            <v>قالب نو</v>
          </cell>
          <cell r="N226" t="str">
            <v>مونتاژ</v>
          </cell>
          <cell r="AC226" t="str">
            <v>1405/06/14</v>
          </cell>
        </row>
        <row r="227">
          <cell r="B227" t="str">
            <v>ویوینگ</v>
          </cell>
          <cell r="C227" t="str">
            <v>قطعه نو</v>
          </cell>
          <cell r="N227" t="str">
            <v>تراش</v>
          </cell>
          <cell r="AC227" t="str">
            <v>1405/06/14</v>
          </cell>
        </row>
        <row r="228">
          <cell r="B228" t="str">
            <v>ساب ترابوزا</v>
          </cell>
          <cell r="C228" t="str">
            <v>قطعه نو</v>
          </cell>
          <cell r="N228" t="str">
            <v>تراش</v>
          </cell>
          <cell r="AC228" t="str">
            <v>1405/06/14</v>
          </cell>
        </row>
        <row r="229">
          <cell r="B229" t="str">
            <v>پخت کلاچ ایسوزو</v>
          </cell>
          <cell r="C229" t="str">
            <v>قالب تعمیری</v>
          </cell>
          <cell r="N229" t="str">
            <v>تراش</v>
          </cell>
          <cell r="AC229" t="str">
            <v>1405/06/14</v>
          </cell>
        </row>
        <row r="230">
          <cell r="B230" t="str">
            <v>قالب پخت کلاچ</v>
          </cell>
          <cell r="C230" t="str">
            <v>قالب تعمیری</v>
          </cell>
          <cell r="N230" t="str">
            <v>سنگ زنی</v>
          </cell>
          <cell r="AC230" t="str">
            <v>1405/06/14</v>
          </cell>
        </row>
        <row r="231">
          <cell r="B231" t="str">
            <v>کامیونت هیوندای</v>
          </cell>
          <cell r="C231" t="str">
            <v>قالب نو</v>
          </cell>
          <cell r="N231" t="str">
            <v>سنگ زنی</v>
          </cell>
          <cell r="AC231" t="str">
            <v>1405/06/14</v>
          </cell>
        </row>
        <row r="232">
          <cell r="B232" t="str">
            <v>کامیونت هیوندای</v>
          </cell>
          <cell r="C232" t="str">
            <v>قالب نو</v>
          </cell>
          <cell r="N232" t="str">
            <v>سنگ زنی</v>
          </cell>
          <cell r="AC232" t="str">
            <v>1405/06/14</v>
          </cell>
        </row>
        <row r="233">
          <cell r="B233" t="str">
            <v>دریل یزدخواستی کلاچ</v>
          </cell>
          <cell r="C233" t="str">
            <v>قطعه نو</v>
          </cell>
          <cell r="N233" t="str">
            <v>CNC</v>
          </cell>
          <cell r="AC233" t="str">
            <v>1405/06/15</v>
          </cell>
        </row>
        <row r="234">
          <cell r="B234" t="str">
            <v xml:space="preserve">قالب پخت کلاچ پیکان </v>
          </cell>
          <cell r="C234" t="str">
            <v>قالب تعمیری</v>
          </cell>
          <cell r="N234" t="str">
            <v>CNC</v>
          </cell>
          <cell r="AC234" t="str">
            <v>1405/06/15</v>
          </cell>
        </row>
        <row r="235">
          <cell r="B235" t="str">
            <v>قالب پخت کلاچ</v>
          </cell>
          <cell r="C235" t="str">
            <v>قالب تعمیری</v>
          </cell>
          <cell r="N235" t="str">
            <v>فرز</v>
          </cell>
          <cell r="AC235" t="str">
            <v>1405/06/15</v>
          </cell>
        </row>
        <row r="236">
          <cell r="B236" t="str">
            <v>قالب مینی بوس آریا</v>
          </cell>
          <cell r="C236" t="str">
            <v>قالب نو</v>
          </cell>
          <cell r="N236" t="str">
            <v>CNC</v>
          </cell>
          <cell r="AC236" t="str">
            <v>1405/06/15</v>
          </cell>
        </row>
        <row r="237">
          <cell r="B237" t="str">
            <v>خودرو دیزل آذربایجان</v>
          </cell>
          <cell r="C237" t="str">
            <v>قالب نو</v>
          </cell>
          <cell r="N237" t="str">
            <v>CNC</v>
          </cell>
          <cell r="AC237" t="str">
            <v>1405/06/15</v>
          </cell>
        </row>
        <row r="238">
          <cell r="B238" t="str">
            <v>کامیونت هیوندای</v>
          </cell>
          <cell r="C238" t="str">
            <v>قالب نو</v>
          </cell>
          <cell r="N238" t="str">
            <v>فرز</v>
          </cell>
          <cell r="AC238" t="str">
            <v>1405/06/15</v>
          </cell>
        </row>
        <row r="239">
          <cell r="B239" t="str">
            <v>کامیونت هیوندای</v>
          </cell>
          <cell r="C239" t="str">
            <v>قالب نو</v>
          </cell>
          <cell r="N239" t="str">
            <v>فرز</v>
          </cell>
          <cell r="AC239" t="str">
            <v>1405/06/15</v>
          </cell>
        </row>
        <row r="240">
          <cell r="B240" t="str">
            <v>سنگ مغناطیسی</v>
          </cell>
          <cell r="C240" t="str">
            <v>دستگاه تعمیری</v>
          </cell>
          <cell r="N240" t="str">
            <v>فرز</v>
          </cell>
          <cell r="AC240" t="str">
            <v>1405/06/15</v>
          </cell>
        </row>
        <row r="241">
          <cell r="B241" t="str">
            <v>قالب پخت کلاچ</v>
          </cell>
          <cell r="C241" t="str">
            <v>قالب تعمیری</v>
          </cell>
          <cell r="N241" t="str">
            <v>فرز</v>
          </cell>
          <cell r="AC241" t="str">
            <v>1405/06/15</v>
          </cell>
        </row>
        <row r="242">
          <cell r="B242" t="str">
            <v>ساب سمباده ای</v>
          </cell>
          <cell r="C242" t="str">
            <v>قطعه نو</v>
          </cell>
          <cell r="N242" t="str">
            <v>تراش</v>
          </cell>
          <cell r="AC242" t="str">
            <v>1405/06/15</v>
          </cell>
        </row>
        <row r="243">
          <cell r="B243" t="str">
            <v>پخت عقب پژو 405 شمشی پایه کوتاه</v>
          </cell>
          <cell r="C243" t="str">
            <v>قالب نو</v>
          </cell>
          <cell r="N243" t="str">
            <v>وایر</v>
          </cell>
          <cell r="AC243" t="str">
            <v>1405/06/15</v>
          </cell>
        </row>
        <row r="244">
          <cell r="B244" t="str">
            <v>پخت کلاچ 309 سوراخدار</v>
          </cell>
          <cell r="C244" t="str">
            <v>قالب تعمیری</v>
          </cell>
          <cell r="N244" t="str">
            <v>وایر</v>
          </cell>
          <cell r="AC244" t="str">
            <v>1405/06/15</v>
          </cell>
        </row>
        <row r="245">
          <cell r="B245" t="str">
            <v>لودر دیسکی XGL 50</v>
          </cell>
          <cell r="C245" t="str">
            <v>قالب نو</v>
          </cell>
          <cell r="N245" t="str">
            <v>وایر</v>
          </cell>
          <cell r="AC245" t="str">
            <v>1405/06/15</v>
          </cell>
        </row>
        <row r="246">
          <cell r="B246" t="str">
            <v>کامیونت هیوندای</v>
          </cell>
          <cell r="C246" t="str">
            <v>قالب نو</v>
          </cell>
          <cell r="N246" t="str">
            <v>سنگ زنی</v>
          </cell>
          <cell r="AC246" t="str">
            <v>1405/06/15</v>
          </cell>
        </row>
        <row r="247">
          <cell r="B247" t="str">
            <v>قالب پخت SAF</v>
          </cell>
          <cell r="C247" t="str">
            <v>قالب نو</v>
          </cell>
          <cell r="N247" t="str">
            <v>سنگ زنی</v>
          </cell>
          <cell r="AC247" t="str">
            <v>1405/06/15</v>
          </cell>
        </row>
        <row r="248">
          <cell r="B248" t="str">
            <v>قالب پخت کلاچ</v>
          </cell>
          <cell r="C248" t="str">
            <v>قالب تعمیری</v>
          </cell>
          <cell r="N248" t="str">
            <v>سنگ زنی</v>
          </cell>
          <cell r="AC248" t="str">
            <v>1405/06/15</v>
          </cell>
        </row>
        <row r="249">
          <cell r="B249" t="str">
            <v>خودرو دیزل آذربایجان</v>
          </cell>
          <cell r="C249" t="str">
            <v>قالب نو</v>
          </cell>
          <cell r="N249" t="str">
            <v>مونتاژ</v>
          </cell>
          <cell r="AC249" t="str">
            <v>1405/06/15</v>
          </cell>
        </row>
        <row r="250">
          <cell r="B250" t="str">
            <v>قالب مترو مشهد</v>
          </cell>
          <cell r="C250" t="str">
            <v>قالب تعمیری</v>
          </cell>
          <cell r="N250" t="str">
            <v>مونتاژ</v>
          </cell>
          <cell r="AC250" t="str">
            <v>1405/06/15</v>
          </cell>
        </row>
        <row r="251">
          <cell r="B251" t="str">
            <v>سنگ مغناطیسی</v>
          </cell>
          <cell r="C251" t="str">
            <v>دستگاه تعمیری</v>
          </cell>
          <cell r="N251" t="str">
            <v>مونتاژ</v>
          </cell>
          <cell r="AC251" t="str">
            <v>1405/06/15</v>
          </cell>
        </row>
        <row r="252">
          <cell r="B252" t="str">
            <v>ساب سمباده ای</v>
          </cell>
          <cell r="C252" t="str">
            <v>قطعه نو</v>
          </cell>
          <cell r="N252" t="str">
            <v>تراش</v>
          </cell>
          <cell r="AC252" t="str">
            <v>1405/06/15</v>
          </cell>
        </row>
        <row r="253">
          <cell r="B253" t="str">
            <v>ساب ترابوزا</v>
          </cell>
          <cell r="C253" t="str">
            <v>قطعه نو</v>
          </cell>
          <cell r="N253" t="str">
            <v>تراش</v>
          </cell>
          <cell r="AC253" t="str">
            <v>1405/06/15</v>
          </cell>
        </row>
        <row r="254">
          <cell r="B254" t="str">
            <v>ساب الماسه</v>
          </cell>
          <cell r="C254" t="str">
            <v>قطعه تعمیری</v>
          </cell>
          <cell r="N254" t="str">
            <v>تراش</v>
          </cell>
          <cell r="AC254" t="str">
            <v>1405/06/15</v>
          </cell>
        </row>
        <row r="255">
          <cell r="B255" t="str">
            <v>ساب ترابوزا</v>
          </cell>
          <cell r="C255" t="str">
            <v>قطعه تعمیری</v>
          </cell>
          <cell r="N255" t="str">
            <v>دریل رادیال</v>
          </cell>
          <cell r="AC255" t="str">
            <v>1405/06/15</v>
          </cell>
        </row>
        <row r="256">
          <cell r="B256" t="str">
            <v>دستگاه پرس پخت</v>
          </cell>
          <cell r="C256" t="str">
            <v>قطعه تعمیری</v>
          </cell>
          <cell r="N256" t="str">
            <v>دریل رادیال</v>
          </cell>
          <cell r="AC256" t="str">
            <v>1405/06/15</v>
          </cell>
        </row>
        <row r="257">
          <cell r="B257" t="str">
            <v>ویوینگ</v>
          </cell>
          <cell r="C257" t="str">
            <v>قطعه تعمیری</v>
          </cell>
          <cell r="N257" t="str">
            <v>دریل رادیال</v>
          </cell>
          <cell r="AC257" t="str">
            <v>1405/06/15</v>
          </cell>
        </row>
        <row r="258">
          <cell r="B258" t="str">
            <v>قالب مترو مشهد</v>
          </cell>
          <cell r="C258" t="str">
            <v>قالب تعمیری</v>
          </cell>
          <cell r="N258" t="str">
            <v>دریل رادیال</v>
          </cell>
          <cell r="AC258" t="str">
            <v>1405/06/15</v>
          </cell>
        </row>
        <row r="259">
          <cell r="B259" t="str">
            <v>قالب مترو مشهد</v>
          </cell>
          <cell r="C259" t="str">
            <v>قالب تعمیری</v>
          </cell>
          <cell r="N259" t="str">
            <v>مونتاژ</v>
          </cell>
          <cell r="AC259" t="str">
            <v>1405/06/15</v>
          </cell>
        </row>
        <row r="260">
          <cell r="B260" t="str">
            <v>پخت کلاچ 309 سوراخدار</v>
          </cell>
          <cell r="C260" t="str">
            <v>قالب تعمیری</v>
          </cell>
          <cell r="N260" t="str">
            <v>دریل رادیال</v>
          </cell>
          <cell r="AC260" t="str">
            <v>1405/06/15</v>
          </cell>
        </row>
        <row r="261">
          <cell r="B261" t="str">
            <v>جلو سمند سورن</v>
          </cell>
          <cell r="C261" t="str">
            <v>قالب تعمیری</v>
          </cell>
          <cell r="N261" t="str">
            <v>مونتاژ</v>
          </cell>
          <cell r="AC261" t="str">
            <v>1405/06/11</v>
          </cell>
        </row>
        <row r="262">
          <cell r="B262" t="str">
            <v>قالب مترو مشهد</v>
          </cell>
          <cell r="C262" t="str">
            <v>قالب تعمیری</v>
          </cell>
          <cell r="N262" t="str">
            <v>دریل رادیال</v>
          </cell>
          <cell r="AC262" t="str">
            <v>1405/06/11</v>
          </cell>
        </row>
        <row r="263">
          <cell r="B263" t="str">
            <v>پخت کلاچ 309 سوراخدار</v>
          </cell>
          <cell r="C263" t="str">
            <v>قالب تعمیری</v>
          </cell>
          <cell r="N263" t="str">
            <v>مونتاژ</v>
          </cell>
          <cell r="AC263" t="str">
            <v>1405/06/11</v>
          </cell>
        </row>
        <row r="264">
          <cell r="B264" t="str">
            <v>خودرو دیزل آذربایجان</v>
          </cell>
          <cell r="C264" t="str">
            <v>قالب نو</v>
          </cell>
          <cell r="N264" t="str">
            <v>CNC</v>
          </cell>
          <cell r="AC264" t="str">
            <v>1405/06/16</v>
          </cell>
        </row>
        <row r="265">
          <cell r="B265" t="str">
            <v xml:space="preserve">قالب پخت کلاچ پیکان </v>
          </cell>
          <cell r="C265" t="str">
            <v>قالب تعمیری</v>
          </cell>
          <cell r="N265" t="str">
            <v>CNC</v>
          </cell>
          <cell r="AC265" t="str">
            <v>1405/06/16</v>
          </cell>
        </row>
        <row r="266">
          <cell r="B266" t="str">
            <v>کامیونت هیوندای</v>
          </cell>
          <cell r="C266" t="str">
            <v>قالب نو</v>
          </cell>
          <cell r="N266" t="str">
            <v>فرز</v>
          </cell>
          <cell r="AC266" t="str">
            <v>1405/06/16</v>
          </cell>
        </row>
        <row r="267">
          <cell r="B267" t="str">
            <v>قالب پخت کلاچ</v>
          </cell>
          <cell r="C267" t="str">
            <v>قالب تعمیری</v>
          </cell>
          <cell r="N267" t="str">
            <v>فرز</v>
          </cell>
          <cell r="AC267" t="str">
            <v>1405/06/16</v>
          </cell>
        </row>
        <row r="268">
          <cell r="B268" t="str">
            <v>فرز Taksan</v>
          </cell>
          <cell r="C268" t="str">
            <v>دستگاه تعمیری</v>
          </cell>
          <cell r="N268" t="str">
            <v>فرز</v>
          </cell>
          <cell r="AC268" t="str">
            <v>1405/06/16</v>
          </cell>
        </row>
        <row r="269">
          <cell r="B269" t="str">
            <v>کامیونت هیوندای</v>
          </cell>
          <cell r="C269" t="str">
            <v>قالب نو</v>
          </cell>
          <cell r="N269" t="str">
            <v>فرز</v>
          </cell>
          <cell r="AC269" t="str">
            <v>1405/06/16</v>
          </cell>
        </row>
        <row r="270">
          <cell r="B270" t="str">
            <v>کامیونت هیوندای</v>
          </cell>
          <cell r="C270" t="str">
            <v>قالب نو</v>
          </cell>
          <cell r="N270" t="str">
            <v>فرز</v>
          </cell>
          <cell r="AC270" t="str">
            <v>1405/06/16</v>
          </cell>
        </row>
        <row r="271">
          <cell r="B271" t="str">
            <v>چکش تست لنت</v>
          </cell>
          <cell r="C271" t="str">
            <v>قطعه تعمیری</v>
          </cell>
          <cell r="N271" t="str">
            <v>فرز</v>
          </cell>
          <cell r="AC271" t="str">
            <v>1405/06/16</v>
          </cell>
        </row>
        <row r="272">
          <cell r="B272" t="str">
            <v>پخت کلاچ 309 سوراخدار</v>
          </cell>
          <cell r="C272" t="str">
            <v>قالب تعمیری</v>
          </cell>
          <cell r="N272" t="str">
            <v>تراش</v>
          </cell>
          <cell r="AC272" t="str">
            <v>1405/06/16</v>
          </cell>
        </row>
        <row r="273">
          <cell r="B273" t="str">
            <v>دستگاه برش جمعی</v>
          </cell>
          <cell r="C273" t="str">
            <v>قطعه تعمیری</v>
          </cell>
          <cell r="N273" t="str">
            <v>تراش</v>
          </cell>
          <cell r="AC273" t="str">
            <v>1405/06/16</v>
          </cell>
        </row>
        <row r="274">
          <cell r="B274" t="str">
            <v>سری نقطه جوش</v>
          </cell>
          <cell r="C274" t="str">
            <v>قطعه تعمیری</v>
          </cell>
          <cell r="N274" t="str">
            <v>تراش</v>
          </cell>
          <cell r="AC274" t="str">
            <v>1405/06/16</v>
          </cell>
        </row>
        <row r="275">
          <cell r="B275" t="str">
            <v>قالب پخت SAF</v>
          </cell>
          <cell r="C275" t="str">
            <v>قالب نو</v>
          </cell>
          <cell r="N275" t="str">
            <v>تراش</v>
          </cell>
          <cell r="AC275" t="str">
            <v>1405/06/16</v>
          </cell>
        </row>
        <row r="276">
          <cell r="B276" t="str">
            <v>پخت عقب پژو 405 شمشی پایه کوتاه</v>
          </cell>
          <cell r="C276" t="str">
            <v>قالب نو</v>
          </cell>
          <cell r="N276" t="str">
            <v>وایر</v>
          </cell>
          <cell r="AC276" t="str">
            <v>1405/06/16</v>
          </cell>
        </row>
        <row r="277">
          <cell r="B277" t="str">
            <v>فیکسچر سوراخکاری  لنت دایان انرژی</v>
          </cell>
          <cell r="C277" t="str">
            <v>قطعه نو</v>
          </cell>
          <cell r="N277" t="str">
            <v>وایر</v>
          </cell>
          <cell r="AC277" t="str">
            <v>1405/06/16</v>
          </cell>
        </row>
        <row r="278">
          <cell r="B278" t="str">
            <v>پشم فلز آلمانی</v>
          </cell>
          <cell r="C278" t="str">
            <v>قطعه نو</v>
          </cell>
          <cell r="N278" t="str">
            <v>وایر</v>
          </cell>
          <cell r="AC278" t="str">
            <v>1405/06/16</v>
          </cell>
        </row>
        <row r="279">
          <cell r="B279" t="str">
            <v>ساب ترابوزا</v>
          </cell>
          <cell r="C279" t="str">
            <v>قطعه نو</v>
          </cell>
          <cell r="N279" t="str">
            <v>تراش</v>
          </cell>
          <cell r="AC279" t="str">
            <v>1405/06/16</v>
          </cell>
        </row>
        <row r="280">
          <cell r="B280" t="str">
            <v>پشم فلز آلمانی</v>
          </cell>
          <cell r="C280" t="str">
            <v>قطعه نو</v>
          </cell>
          <cell r="N280" t="str">
            <v>تراش</v>
          </cell>
          <cell r="AC280" t="str">
            <v>1405/06/16</v>
          </cell>
        </row>
        <row r="281">
          <cell r="B281" t="str">
            <v>اصول 5S</v>
          </cell>
          <cell r="C281" t="str">
            <v>نظافت</v>
          </cell>
          <cell r="N281" t="str">
            <v>مونتاژ</v>
          </cell>
          <cell r="AC281" t="str">
            <v>1405/06/16</v>
          </cell>
        </row>
        <row r="282">
          <cell r="B282" t="str">
            <v>خودرو دیزل آذربایجان</v>
          </cell>
          <cell r="C282" t="str">
            <v>قالب نو</v>
          </cell>
          <cell r="N282" t="str">
            <v>مونتاژ</v>
          </cell>
          <cell r="AC282" t="str">
            <v>1405/06/16</v>
          </cell>
        </row>
        <row r="283">
          <cell r="B283" t="str">
            <v>قالب پخت SAF</v>
          </cell>
          <cell r="C283" t="str">
            <v>قالب نو</v>
          </cell>
          <cell r="N283" t="str">
            <v>مونتاژ</v>
          </cell>
          <cell r="AC283" t="str">
            <v>1405/06/16</v>
          </cell>
        </row>
        <row r="284">
          <cell r="B284" t="str">
            <v>قالب پخت SAF</v>
          </cell>
          <cell r="C284" t="str">
            <v>قالب نو</v>
          </cell>
          <cell r="N284" t="str">
            <v>مونتاژ</v>
          </cell>
          <cell r="AC284" t="str">
            <v>1405/06/16</v>
          </cell>
        </row>
        <row r="285">
          <cell r="B285" t="str">
            <v>Grinding Machine Drum</v>
          </cell>
          <cell r="C285" t="str">
            <v>قطعه نو</v>
          </cell>
          <cell r="N285" t="str">
            <v>تراش</v>
          </cell>
          <cell r="AC285" t="str">
            <v>1405/06/16</v>
          </cell>
        </row>
        <row r="286">
          <cell r="B286" t="str">
            <v>قالب پخت SAF</v>
          </cell>
          <cell r="C286" t="str">
            <v>قالب تعمیری</v>
          </cell>
          <cell r="N286" t="str">
            <v>مونتاژ</v>
          </cell>
          <cell r="AC286" t="str">
            <v>1405/06/16</v>
          </cell>
        </row>
        <row r="287">
          <cell r="B287" t="str">
            <v>پخت کلاچ 309 سوراخدار</v>
          </cell>
          <cell r="C287" t="str">
            <v>قالب تعمیری</v>
          </cell>
          <cell r="N287" t="str">
            <v>اره لنگ</v>
          </cell>
          <cell r="AC287" t="str">
            <v>1405/06/16</v>
          </cell>
        </row>
        <row r="288">
          <cell r="B288" t="str">
            <v>قالب پخت SAF</v>
          </cell>
          <cell r="C288" t="str">
            <v>قالب نو</v>
          </cell>
          <cell r="N288" t="str">
            <v>مونتاژ</v>
          </cell>
          <cell r="AC288" t="str">
            <v>1405/06/16</v>
          </cell>
        </row>
        <row r="289">
          <cell r="B289" t="str">
            <v>قالب پخت SAF</v>
          </cell>
          <cell r="C289" t="str">
            <v>قالب تعمیری</v>
          </cell>
          <cell r="N289" t="str">
            <v>دریل رادیال</v>
          </cell>
          <cell r="AC289" t="str">
            <v>1405/06/16</v>
          </cell>
        </row>
        <row r="290">
          <cell r="B290" t="str">
            <v>قالب پخت SAF</v>
          </cell>
          <cell r="C290" t="str">
            <v>قالب تعمیری</v>
          </cell>
          <cell r="N290" t="str">
            <v>دریل رادیال</v>
          </cell>
          <cell r="AC290" t="str">
            <v>1405/06/16</v>
          </cell>
        </row>
        <row r="291">
          <cell r="B291" t="str">
            <v>پخت کلاچ 309 سوراخدار</v>
          </cell>
          <cell r="C291" t="str">
            <v>قالب تعمیری</v>
          </cell>
          <cell r="N291" t="str">
            <v>اره لنگ</v>
          </cell>
          <cell r="AC291" t="str">
            <v>1405/06/16</v>
          </cell>
        </row>
        <row r="292">
          <cell r="B292" t="str">
            <v>پشم فلز آلمانی</v>
          </cell>
          <cell r="C292" t="str">
            <v>قطعه نو</v>
          </cell>
          <cell r="N292" t="str">
            <v>دریل رادیال</v>
          </cell>
          <cell r="AC292" t="str">
            <v>1405/06/16</v>
          </cell>
        </row>
        <row r="293">
          <cell r="B293" t="str">
            <v>قالب پخت SAF</v>
          </cell>
          <cell r="C293" t="str">
            <v>قالب تعمیری</v>
          </cell>
          <cell r="N293" t="str">
            <v>مونتاژ</v>
          </cell>
          <cell r="AC293" t="str">
            <v>1405/06/16</v>
          </cell>
        </row>
        <row r="294">
          <cell r="B294" t="str">
            <v>دریل یزدخواستی کلاچ</v>
          </cell>
          <cell r="C294" t="str">
            <v>قطعه نو</v>
          </cell>
          <cell r="N294" t="str">
            <v>CNC</v>
          </cell>
          <cell r="AC294" t="str">
            <v>1405/06/16</v>
          </cell>
        </row>
        <row r="295">
          <cell r="B295" t="str">
            <v>سوراخکاری پیلسان</v>
          </cell>
          <cell r="C295" t="str">
            <v>قطعه نو</v>
          </cell>
          <cell r="N295" t="str">
            <v>CNC</v>
          </cell>
          <cell r="AC295" t="str">
            <v>1405/06/16</v>
          </cell>
        </row>
        <row r="296">
          <cell r="B296" t="str">
            <v>کامیونت هیوندای</v>
          </cell>
          <cell r="C296" t="str">
            <v>قالب نو</v>
          </cell>
          <cell r="N296" t="str">
            <v>فرز</v>
          </cell>
          <cell r="AC296" t="str">
            <v>1405/06/17</v>
          </cell>
        </row>
        <row r="297">
          <cell r="B297" t="str">
            <v xml:space="preserve">قالب پخت کلاچ پیکان </v>
          </cell>
          <cell r="C297" t="str">
            <v>قالب تعمیری</v>
          </cell>
          <cell r="N297" t="str">
            <v>CNC</v>
          </cell>
          <cell r="AC297" t="str">
            <v>1405/06/17</v>
          </cell>
        </row>
        <row r="298">
          <cell r="B298" t="str">
            <v>اصول 5S</v>
          </cell>
          <cell r="C298" t="str">
            <v>نظافت</v>
          </cell>
          <cell r="N298" t="str">
            <v>مونتاژ</v>
          </cell>
          <cell r="AC298" t="str">
            <v>1405/06/17</v>
          </cell>
        </row>
        <row r="299">
          <cell r="B299" t="str">
            <v xml:space="preserve">قالب پخت کلاچ پیکان </v>
          </cell>
          <cell r="C299" t="str">
            <v>قالب تعمیری</v>
          </cell>
          <cell r="N299" t="str">
            <v>CNC</v>
          </cell>
          <cell r="AC299" t="str">
            <v>1405/06/17</v>
          </cell>
        </row>
        <row r="300">
          <cell r="B300" t="str">
            <v>کامیونت هیوندای</v>
          </cell>
          <cell r="C300" t="str">
            <v>قالب نو</v>
          </cell>
          <cell r="N300" t="str">
            <v>سنگ زنی</v>
          </cell>
          <cell r="AC300" t="str">
            <v>1405/06/16</v>
          </cell>
        </row>
        <row r="301">
          <cell r="B301" t="str">
            <v>قالب پخت کلاچ</v>
          </cell>
          <cell r="C301" t="str">
            <v>قالب تعمیری</v>
          </cell>
          <cell r="N301" t="str">
            <v>سنگ زنی</v>
          </cell>
          <cell r="AC301" t="str">
            <v>1405/06/16</v>
          </cell>
        </row>
        <row r="302">
          <cell r="B302" t="str">
            <v>کامیونت هیوندای</v>
          </cell>
          <cell r="C302" t="str">
            <v>قالب نو</v>
          </cell>
          <cell r="N302" t="str">
            <v>فرز</v>
          </cell>
          <cell r="AC302" t="str">
            <v>1405/06/17</v>
          </cell>
        </row>
        <row r="303">
          <cell r="B303" t="str">
            <v>قالب پخت کلاچ</v>
          </cell>
          <cell r="C303" t="str">
            <v>قالب تعمیری</v>
          </cell>
          <cell r="N303" t="str">
            <v>فرز</v>
          </cell>
          <cell r="AC303" t="str">
            <v>1405/06/17</v>
          </cell>
        </row>
        <row r="304">
          <cell r="B304" t="str">
            <v>خودرو دیزل آذربایجان</v>
          </cell>
          <cell r="C304" t="str">
            <v>قالب نو</v>
          </cell>
          <cell r="N304" t="str">
            <v>CNC</v>
          </cell>
          <cell r="AC304" t="str">
            <v>1405/06/17</v>
          </cell>
        </row>
        <row r="305">
          <cell r="B305" t="str">
            <v>اصول 5S</v>
          </cell>
          <cell r="C305" t="str">
            <v>نظافت</v>
          </cell>
          <cell r="N305" t="str">
            <v>مونتاژ</v>
          </cell>
          <cell r="AC305" t="str">
            <v>1405/06/17</v>
          </cell>
        </row>
        <row r="306">
          <cell r="B306" t="str">
            <v>خودرو دیزل آذربایجان</v>
          </cell>
          <cell r="C306" t="str">
            <v>قالب نو</v>
          </cell>
          <cell r="N306" t="str">
            <v>CNC</v>
          </cell>
          <cell r="AC306" t="str">
            <v>1405/06/17</v>
          </cell>
        </row>
        <row r="307">
          <cell r="B307" t="str">
            <v>سوراخکاری پیلسان</v>
          </cell>
          <cell r="C307" t="str">
            <v>قطعه نو</v>
          </cell>
          <cell r="N307" t="str">
            <v>CNC</v>
          </cell>
          <cell r="AC307" t="str">
            <v>1405/06/17</v>
          </cell>
        </row>
        <row r="308">
          <cell r="B308" t="str">
            <v>Grinding Machine Drum</v>
          </cell>
          <cell r="C308" t="str">
            <v>قطعه نو</v>
          </cell>
          <cell r="N308" t="str">
            <v>CNC</v>
          </cell>
          <cell r="AC308" t="str">
            <v>1405/06/17</v>
          </cell>
        </row>
        <row r="309">
          <cell r="B309" t="str">
            <v>Grinding Machine Drum</v>
          </cell>
          <cell r="C309" t="str">
            <v>قطعه نو</v>
          </cell>
          <cell r="N309" t="str">
            <v>CNC</v>
          </cell>
          <cell r="AC309" t="str">
            <v>1405/06/17</v>
          </cell>
        </row>
        <row r="310">
          <cell r="B310" t="str">
            <v>اصول 5S</v>
          </cell>
          <cell r="C310" t="str">
            <v>نظافت</v>
          </cell>
          <cell r="N310" t="str">
            <v>مونتاژ</v>
          </cell>
          <cell r="AC310" t="str">
            <v>1405/06/17</v>
          </cell>
        </row>
        <row r="311">
          <cell r="B311" t="str">
            <v>ویوینگ</v>
          </cell>
          <cell r="C311" t="str">
            <v>قطعه تعمیری</v>
          </cell>
          <cell r="N311" t="str">
            <v>تراش</v>
          </cell>
          <cell r="AC311" t="str">
            <v>1405/06/17</v>
          </cell>
        </row>
        <row r="312">
          <cell r="B312" t="str">
            <v>ساب دیسکی</v>
          </cell>
          <cell r="C312" t="str">
            <v>قطعه نو</v>
          </cell>
          <cell r="N312" t="str">
            <v>تراش</v>
          </cell>
          <cell r="AC312" t="str">
            <v>1405/06/17</v>
          </cell>
        </row>
        <row r="313">
          <cell r="B313" t="str">
            <v>ساب سمباده ای</v>
          </cell>
          <cell r="C313" t="str">
            <v>قطعه نو</v>
          </cell>
          <cell r="N313" t="str">
            <v>تراش</v>
          </cell>
          <cell r="AC313" t="str">
            <v>1405/06/17</v>
          </cell>
        </row>
        <row r="314">
          <cell r="B314" t="str">
            <v>ویوینگ</v>
          </cell>
          <cell r="C314" t="str">
            <v>قطعه تعمیری</v>
          </cell>
          <cell r="N314" t="str">
            <v>مونتاژ</v>
          </cell>
          <cell r="AC314" t="str">
            <v>1405/06/17</v>
          </cell>
        </row>
        <row r="315">
          <cell r="B315" t="str">
            <v>دستگاه پرس پخت</v>
          </cell>
          <cell r="C315" t="str">
            <v>قطعه تعمیری</v>
          </cell>
          <cell r="N315" t="str">
            <v>دریل رادیال</v>
          </cell>
          <cell r="AC315" t="str">
            <v>1405/06/17</v>
          </cell>
        </row>
        <row r="316">
          <cell r="B316" t="str">
            <v>قالب پخت SAF</v>
          </cell>
          <cell r="C316" t="str">
            <v>قالب نو</v>
          </cell>
          <cell r="N316" t="str">
            <v>دریل رادیال</v>
          </cell>
          <cell r="AC316" t="str">
            <v>1405/06/17</v>
          </cell>
        </row>
        <row r="317">
          <cell r="B317" t="str">
            <v>قالب پخت SAF</v>
          </cell>
          <cell r="C317" t="str">
            <v>قالب تعمیری</v>
          </cell>
          <cell r="N317" t="str">
            <v>مونتاژ</v>
          </cell>
          <cell r="AC317" t="str">
            <v>1405/06/17</v>
          </cell>
        </row>
        <row r="318">
          <cell r="B318" t="str">
            <v>قالب مینی بوس آریا</v>
          </cell>
          <cell r="C318" t="str">
            <v>قالب نو</v>
          </cell>
          <cell r="N318" t="str">
            <v>مونتاژ</v>
          </cell>
          <cell r="AC318" t="str">
            <v>1405/06/17</v>
          </cell>
        </row>
        <row r="319">
          <cell r="B319" t="str">
            <v>قالب ذوب آهن</v>
          </cell>
          <cell r="C319" t="str">
            <v>قالب تعمیری</v>
          </cell>
          <cell r="N319" t="str">
            <v>مونتاژ</v>
          </cell>
          <cell r="AC319" t="str">
            <v>1405/06/17</v>
          </cell>
        </row>
        <row r="320">
          <cell r="B320" t="str">
            <v>قالب پخت SAF</v>
          </cell>
          <cell r="C320" t="str">
            <v>قالب تعمیری</v>
          </cell>
          <cell r="N320" t="str">
            <v>مونتاژ</v>
          </cell>
          <cell r="AC320" t="str">
            <v>1405/06/17</v>
          </cell>
        </row>
        <row r="321">
          <cell r="B321" t="str">
            <v>قالب مینی بوس آریا</v>
          </cell>
          <cell r="C321" t="str">
            <v>قالب نو</v>
          </cell>
          <cell r="N321" t="str">
            <v>مونتاژ</v>
          </cell>
          <cell r="AC321" t="str">
            <v>1405/06/17</v>
          </cell>
        </row>
        <row r="322">
          <cell r="B322" t="str">
            <v>ساب دیسکی</v>
          </cell>
          <cell r="C322" t="str">
            <v>قطعه نو</v>
          </cell>
          <cell r="N322" t="str">
            <v>مونتاژ</v>
          </cell>
          <cell r="AC322" t="str">
            <v>1405/06/17</v>
          </cell>
        </row>
        <row r="323">
          <cell r="B323" t="str">
            <v>دستگاه پرس پخت</v>
          </cell>
          <cell r="C323" t="str">
            <v>قطعه تعمیری</v>
          </cell>
          <cell r="N323" t="str">
            <v>مونتاژ</v>
          </cell>
          <cell r="AC323" t="str">
            <v>1405/06/17</v>
          </cell>
        </row>
        <row r="324">
          <cell r="B324" t="str">
            <v>قالب پخت SAF</v>
          </cell>
          <cell r="C324" t="str">
            <v>قالب نو</v>
          </cell>
          <cell r="N324" t="str">
            <v>اره لنگ</v>
          </cell>
          <cell r="AC324" t="str">
            <v>1405/06/17</v>
          </cell>
        </row>
        <row r="325">
          <cell r="B325" t="str">
            <v>کامیونت هیوندای</v>
          </cell>
          <cell r="C325" t="str">
            <v>قالب نو</v>
          </cell>
          <cell r="N325" t="str">
            <v>وایر</v>
          </cell>
          <cell r="AC325" t="str">
            <v>1405/06/17</v>
          </cell>
        </row>
        <row r="326">
          <cell r="B326" t="str">
            <v>خودرو دیزل آذربایجان</v>
          </cell>
          <cell r="C326" t="str">
            <v>قالب نو</v>
          </cell>
          <cell r="N326" t="str">
            <v>وایر</v>
          </cell>
          <cell r="AC326" t="str">
            <v>1405/06/17</v>
          </cell>
        </row>
        <row r="327">
          <cell r="B327" t="str">
            <v>پشم فلز آلمانی</v>
          </cell>
          <cell r="C327" t="str">
            <v>قطعه نو</v>
          </cell>
          <cell r="N327" t="str">
            <v>وایر</v>
          </cell>
          <cell r="AC327" t="str">
            <v>1405/06/17</v>
          </cell>
        </row>
        <row r="328">
          <cell r="B328" t="str">
            <v>قالب برشی SAF</v>
          </cell>
          <cell r="C328" t="str">
            <v>قالب تعمیری</v>
          </cell>
          <cell r="N328" t="str">
            <v>وایر</v>
          </cell>
          <cell r="AC328" t="str">
            <v>1405/06/17</v>
          </cell>
        </row>
        <row r="329">
          <cell r="B329" t="str">
            <v>خودرو دیزل آذربایجان</v>
          </cell>
          <cell r="C329" t="str">
            <v>قالب نو</v>
          </cell>
          <cell r="N329" t="str">
            <v>وایر</v>
          </cell>
          <cell r="AC329" t="str">
            <v>1405/06/17</v>
          </cell>
        </row>
        <row r="330">
          <cell r="B330" t="str">
            <v>قالب پخت SAF</v>
          </cell>
          <cell r="C330" t="str">
            <v>قالب نو</v>
          </cell>
          <cell r="N330" t="str">
            <v>تراش</v>
          </cell>
          <cell r="AC330" t="str">
            <v>1405/06/17</v>
          </cell>
        </row>
        <row r="331">
          <cell r="B331" t="str">
            <v>قالب پخت SAF</v>
          </cell>
          <cell r="C331" t="str">
            <v>قالب تعمیری</v>
          </cell>
          <cell r="N331" t="str">
            <v>تراش</v>
          </cell>
          <cell r="AC331" t="str">
            <v>1405/06/17</v>
          </cell>
        </row>
        <row r="332">
          <cell r="B332" t="str">
            <v>سری نقطه جوش</v>
          </cell>
          <cell r="C332" t="str">
            <v>قطعه تعمیری</v>
          </cell>
          <cell r="N332" t="str">
            <v>تراش</v>
          </cell>
          <cell r="AC332" t="str">
            <v>1405/06/17</v>
          </cell>
        </row>
        <row r="333">
          <cell r="B333" t="str">
            <v>کامیونت هیوندای</v>
          </cell>
          <cell r="C333" t="str">
            <v>قالب نو</v>
          </cell>
          <cell r="N333" t="str">
            <v>فرز</v>
          </cell>
          <cell r="AC333" t="str">
            <v>1405/06/18</v>
          </cell>
        </row>
        <row r="334">
          <cell r="B334" t="str">
            <v xml:space="preserve">قالب پخت کلاچ پیکان </v>
          </cell>
          <cell r="C334" t="str">
            <v>قالب تعمیری</v>
          </cell>
          <cell r="N334" t="str">
            <v>CNC</v>
          </cell>
          <cell r="AC334" t="str">
            <v>1405/06/18</v>
          </cell>
        </row>
        <row r="335">
          <cell r="B335" t="str">
            <v>خودرو دیزل آذربایجان</v>
          </cell>
          <cell r="C335" t="str">
            <v>قالب نو</v>
          </cell>
          <cell r="N335" t="str">
            <v>CNC</v>
          </cell>
          <cell r="AC335" t="str">
            <v>1405/06/18</v>
          </cell>
        </row>
        <row r="336">
          <cell r="B336" t="str">
            <v>ساب ترابوزا</v>
          </cell>
          <cell r="C336" t="str">
            <v>قطعه نو</v>
          </cell>
          <cell r="N336" t="str">
            <v>تراش</v>
          </cell>
          <cell r="AC336" t="str">
            <v>1405/06/18</v>
          </cell>
        </row>
        <row r="337">
          <cell r="B337" t="str">
            <v>کامیونت هیوندای</v>
          </cell>
          <cell r="C337" t="str">
            <v>قالب نو</v>
          </cell>
          <cell r="N337" t="str">
            <v>فرز</v>
          </cell>
          <cell r="AC337" t="str">
            <v>1405/06/18</v>
          </cell>
        </row>
        <row r="338">
          <cell r="B338" t="str">
            <v>فیکسچر سوراخکاری  لنت دایان انرژی</v>
          </cell>
          <cell r="C338" t="str">
            <v>قطعه نو</v>
          </cell>
          <cell r="N338" t="str">
            <v>فرز</v>
          </cell>
          <cell r="AC338" t="str">
            <v>1405/06/18</v>
          </cell>
        </row>
        <row r="339">
          <cell r="B339" t="str">
            <v>Grinding Machine Drum</v>
          </cell>
          <cell r="C339" t="str">
            <v>قطعه نو</v>
          </cell>
          <cell r="N339" t="str">
            <v>CNC</v>
          </cell>
          <cell r="AC339" t="str">
            <v>1405/06/18</v>
          </cell>
        </row>
        <row r="340">
          <cell r="B340" t="str">
            <v>Grinding Machine Drum</v>
          </cell>
          <cell r="C340" t="str">
            <v>قطعه نو</v>
          </cell>
          <cell r="N340" t="str">
            <v>CNC</v>
          </cell>
          <cell r="AC340" t="str">
            <v>1405/06/18</v>
          </cell>
        </row>
        <row r="341">
          <cell r="B341" t="str">
            <v>پخت کلاچ 309 سوراخدار</v>
          </cell>
          <cell r="C341" t="str">
            <v>قالب تعمیری</v>
          </cell>
          <cell r="N341" t="str">
            <v>CNC</v>
          </cell>
          <cell r="AC341" t="str">
            <v>1405/06/18</v>
          </cell>
        </row>
        <row r="342">
          <cell r="B342" t="str">
            <v>کامیونت هیوندای</v>
          </cell>
          <cell r="C342" t="str">
            <v>قالب نو</v>
          </cell>
          <cell r="N342" t="str">
            <v>وایر</v>
          </cell>
          <cell r="AC342" t="str">
            <v>1405/06/18</v>
          </cell>
        </row>
        <row r="343">
          <cell r="B343" t="str">
            <v>خودرو دیزل آذربایجان</v>
          </cell>
          <cell r="C343" t="str">
            <v>قالب نو</v>
          </cell>
          <cell r="N343" t="str">
            <v>وایر</v>
          </cell>
          <cell r="AC343" t="str">
            <v>1405/06/18</v>
          </cell>
        </row>
        <row r="344">
          <cell r="B344" t="str">
            <v>خودرو دیزل آذربایجان</v>
          </cell>
          <cell r="C344" t="str">
            <v>قالب نو</v>
          </cell>
          <cell r="N344" t="str">
            <v>وایر</v>
          </cell>
          <cell r="AC344" t="str">
            <v>1405/06/18</v>
          </cell>
        </row>
        <row r="345">
          <cell r="B345" t="str">
            <v>ساب دیسکی</v>
          </cell>
          <cell r="C345" t="str">
            <v>قطعه نو</v>
          </cell>
          <cell r="N345" t="str">
            <v>فرز</v>
          </cell>
          <cell r="AC345" t="str">
            <v>1405/06/17</v>
          </cell>
        </row>
        <row r="346">
          <cell r="B346" t="str">
            <v>فیکسچر سوراخکاری  لنت دایان انرژی</v>
          </cell>
          <cell r="C346" t="str">
            <v>قطعه نو</v>
          </cell>
          <cell r="N346" t="str">
            <v>فرز</v>
          </cell>
          <cell r="AC346" t="str">
            <v>1405/06/17</v>
          </cell>
        </row>
        <row r="347">
          <cell r="B347" t="str">
            <v>قالب شمشی عقب پیکان</v>
          </cell>
          <cell r="C347" t="str">
            <v>قالب نو</v>
          </cell>
          <cell r="N347" t="str">
            <v>مونتاژ</v>
          </cell>
          <cell r="AC347" t="str">
            <v>1405/06/17</v>
          </cell>
        </row>
        <row r="348">
          <cell r="B348" t="str">
            <v>قالب شمشی عقب پیکان</v>
          </cell>
          <cell r="C348" t="str">
            <v>قالب نو</v>
          </cell>
          <cell r="N348" t="str">
            <v>فرز</v>
          </cell>
          <cell r="AC348" t="str">
            <v>1405/06/18</v>
          </cell>
        </row>
        <row r="349">
          <cell r="B349" t="str">
            <v>قالب کوبه دیما</v>
          </cell>
          <cell r="C349" t="str">
            <v>قالب تعمیری</v>
          </cell>
          <cell r="N349" t="str">
            <v>فرز</v>
          </cell>
          <cell r="AC349" t="str">
            <v>1405/06/18</v>
          </cell>
        </row>
        <row r="350">
          <cell r="B350" t="str">
            <v>قالب عقب F12</v>
          </cell>
          <cell r="C350" t="str">
            <v>قالب نو</v>
          </cell>
          <cell r="N350" t="str">
            <v>سنگ زنی</v>
          </cell>
          <cell r="AC350" t="str">
            <v>1405/06/18</v>
          </cell>
        </row>
        <row r="351">
          <cell r="B351" t="str">
            <v>فیکسچر سوراخکاری  لنت دایان انرژی</v>
          </cell>
          <cell r="C351" t="str">
            <v>قطعه نو</v>
          </cell>
          <cell r="N351" t="str">
            <v>سنگ زنی</v>
          </cell>
          <cell r="AC351" t="str">
            <v>1405/06/18</v>
          </cell>
        </row>
        <row r="352">
          <cell r="B352" t="str">
            <v>کامیونت هیوندای</v>
          </cell>
          <cell r="C352" t="str">
            <v>قالب نو</v>
          </cell>
          <cell r="N352" t="str">
            <v>سنگ زنی</v>
          </cell>
          <cell r="AC352" t="str">
            <v>1405/06/18</v>
          </cell>
        </row>
        <row r="353">
          <cell r="B353" t="str">
            <v>کامیونت هیوندای</v>
          </cell>
          <cell r="C353" t="str">
            <v>قالب نو</v>
          </cell>
          <cell r="N353" t="str">
            <v>سنگ زنی</v>
          </cell>
          <cell r="AC353" t="str">
            <v>1405/06/18</v>
          </cell>
        </row>
        <row r="354">
          <cell r="B354" t="str">
            <v>قالب پخت SAF</v>
          </cell>
          <cell r="C354" t="str">
            <v>قالب تعمیری</v>
          </cell>
          <cell r="N354" t="str">
            <v>تراش</v>
          </cell>
          <cell r="AC354" t="str">
            <v>1405/06/18</v>
          </cell>
        </row>
        <row r="355">
          <cell r="B355" t="str">
            <v>دستگاه کشش پشم فلز</v>
          </cell>
          <cell r="C355" t="str">
            <v>قطعه نو</v>
          </cell>
          <cell r="N355" t="str">
            <v>تراش</v>
          </cell>
          <cell r="AC355" t="str">
            <v>1405/06/18</v>
          </cell>
        </row>
        <row r="356">
          <cell r="B356" t="str">
            <v>پشم فلز آلمانی</v>
          </cell>
          <cell r="C356" t="str">
            <v>قطعه تعمیری</v>
          </cell>
          <cell r="N356" t="str">
            <v>تراش</v>
          </cell>
          <cell r="AC356" t="str">
            <v>1405/06/18</v>
          </cell>
        </row>
        <row r="357">
          <cell r="B357" t="str">
            <v>سری نقطه جوش</v>
          </cell>
          <cell r="C357" t="str">
            <v>قطعه تعمیری</v>
          </cell>
          <cell r="N357" t="str">
            <v>تراش</v>
          </cell>
          <cell r="AC357" t="str">
            <v>1405/06/18</v>
          </cell>
        </row>
        <row r="358">
          <cell r="B358" t="str">
            <v>قالب ذوب آهن</v>
          </cell>
          <cell r="C358" t="str">
            <v>قالب تعمیری</v>
          </cell>
          <cell r="N358" t="str">
            <v>مونتاژ</v>
          </cell>
          <cell r="AC358" t="str">
            <v>1405/06/18</v>
          </cell>
        </row>
        <row r="359">
          <cell r="B359" t="str">
            <v>قالب عقب F12</v>
          </cell>
          <cell r="C359" t="str">
            <v>قالب نو</v>
          </cell>
          <cell r="N359" t="str">
            <v>مونتاژ</v>
          </cell>
          <cell r="AC359" t="str">
            <v>1405/06/18</v>
          </cell>
        </row>
        <row r="360">
          <cell r="B360" t="str">
            <v>قالب مینی بوس آریا</v>
          </cell>
          <cell r="C360" t="str">
            <v>قالب نو</v>
          </cell>
          <cell r="N360" t="str">
            <v>مونتاژ</v>
          </cell>
          <cell r="AC360" t="str">
            <v>1405/06/18</v>
          </cell>
        </row>
        <row r="361">
          <cell r="B361" t="str">
            <v>پخت کلاچ 309 سوراخدار</v>
          </cell>
          <cell r="C361" t="str">
            <v>قالب تعمیری</v>
          </cell>
          <cell r="N361" t="str">
            <v>مونتاژ</v>
          </cell>
          <cell r="AC361" t="str">
            <v>1405/06/18</v>
          </cell>
        </row>
        <row r="363">
          <cell r="B363"/>
        </row>
        <row r="364">
          <cell r="C364"/>
        </row>
        <row r="367">
          <cell r="B367"/>
        </row>
        <row r="422">
          <cell r="C422"/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BA75-28FA-4068-8921-29283EAC598F}">
  <sheetPr>
    <pageSetUpPr fitToPage="1"/>
  </sheetPr>
  <dimension ref="A1:K10"/>
  <sheetViews>
    <sheetView rightToLeft="1" view="pageLayout" zoomScaleNormal="100" workbookViewId="0">
      <selection activeCell="D5" sqref="D5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 t="e">
        <f>#REF!</f>
        <v>#REF!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 t="e">
        <f>#REF!</f>
        <v>#REF!</v>
      </c>
      <c r="K2" s="25"/>
    </row>
    <row r="3" spans="1:11" ht="69.75" customHeight="1" thickBot="1" x14ac:dyDescent="0.3">
      <c r="A3" s="26"/>
      <c r="B3" s="22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</v>
      </c>
      <c r="I3" s="30" t="s">
        <v>21</v>
      </c>
      <c r="J3" s="23" t="s">
        <v>19</v>
      </c>
      <c r="K3" s="31" t="s">
        <v>11</v>
      </c>
    </row>
    <row r="4" spans="1:11" ht="46.5" customHeight="1" x14ac:dyDescent="0.25">
      <c r="A4" s="10">
        <v>1</v>
      </c>
      <c r="B4" s="13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/>
    </row>
    <row r="5" spans="1:11" ht="54" customHeight="1" x14ac:dyDescent="0.25">
      <c r="A5" s="10">
        <v>2</v>
      </c>
      <c r="B5" s="7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10</v>
      </c>
      <c r="J5" s="6">
        <v>0.7</v>
      </c>
      <c r="K5" s="9" t="s">
        <v>5</v>
      </c>
    </row>
    <row r="6" spans="1:11" ht="65.25" customHeight="1" x14ac:dyDescent="0.25">
      <c r="A6" s="10">
        <v>3</v>
      </c>
      <c r="B6" s="13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19"/>
    </row>
    <row r="7" spans="1:11" ht="49.5" x14ac:dyDescent="0.25">
      <c r="A7" s="10">
        <v>4</v>
      </c>
      <c r="B7" s="7" t="s">
        <v>22</v>
      </c>
      <c r="C7" s="56" t="s">
        <v>23</v>
      </c>
      <c r="D7" s="3"/>
      <c r="E7" s="52" t="s">
        <v>24</v>
      </c>
      <c r="F7" s="53" t="s">
        <v>28</v>
      </c>
      <c r="G7" s="32"/>
      <c r="H7" s="1" t="s">
        <v>10</v>
      </c>
      <c r="I7" s="1" t="s">
        <v>10</v>
      </c>
      <c r="J7" s="6">
        <v>0.67</v>
      </c>
      <c r="K7" s="9" t="s">
        <v>5</v>
      </c>
    </row>
    <row r="8" spans="1:11" ht="44.25" customHeight="1" x14ac:dyDescent="0.25">
      <c r="A8" s="10">
        <v>5</v>
      </c>
      <c r="B8" s="7" t="s">
        <v>25</v>
      </c>
      <c r="C8" s="47" t="s">
        <v>15</v>
      </c>
      <c r="D8" s="47" t="s">
        <v>15</v>
      </c>
      <c r="E8" s="52"/>
      <c r="F8" s="52"/>
      <c r="G8" s="33"/>
      <c r="H8" s="5"/>
      <c r="I8" s="5"/>
      <c r="J8" s="6"/>
      <c r="K8" s="9"/>
    </row>
    <row r="9" spans="1:11" ht="39" customHeight="1" x14ac:dyDescent="0.25">
      <c r="A9" s="10">
        <v>6</v>
      </c>
      <c r="B9" s="41" t="s">
        <v>26</v>
      </c>
      <c r="C9" s="42"/>
      <c r="D9" s="36" t="s">
        <v>18</v>
      </c>
      <c r="E9" s="54"/>
      <c r="F9" s="54"/>
      <c r="G9" s="43"/>
      <c r="H9" s="44"/>
      <c r="I9" s="44"/>
      <c r="J9" s="45"/>
      <c r="K9" s="46"/>
    </row>
    <row r="10" spans="1:11" ht="51" customHeight="1" thickBot="1" x14ac:dyDescent="0.3">
      <c r="A10" s="10">
        <v>7</v>
      </c>
      <c r="B10" s="34" t="s">
        <v>27</v>
      </c>
      <c r="C10" s="35"/>
      <c r="D10" s="48" t="s">
        <v>18</v>
      </c>
      <c r="E10" s="55"/>
      <c r="F10" s="55"/>
      <c r="G10" s="37"/>
      <c r="H10" s="38"/>
      <c r="I10" s="38"/>
      <c r="J10" s="39"/>
      <c r="K10" s="40"/>
    </row>
  </sheetData>
  <mergeCells count="1">
    <mergeCell ref="A1:H2"/>
  </mergeCells>
  <printOptions horizontalCentered="1" verticalCentered="1"/>
  <pageMargins left="0" right="0" top="0" bottom="0" header="0" footer="0"/>
  <pageSetup scale="7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0058-BB58-4A6C-8882-0C7095EA4A64}">
  <sheetPr>
    <pageSetUpPr fitToPage="1"/>
  </sheetPr>
  <dimension ref="A1:K10"/>
  <sheetViews>
    <sheetView rightToLeft="1" view="pageLayout" zoomScaleNormal="100" workbookViewId="0">
      <selection activeCell="J6" sqref="J6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 t="e">
        <f>#REF!</f>
        <v>#REF!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3</v>
      </c>
      <c r="K2" s="25"/>
    </row>
    <row r="3" spans="1:11" ht="69.75" customHeight="1" thickBot="1" x14ac:dyDescent="0.3">
      <c r="A3" s="26"/>
      <c r="B3" s="22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</v>
      </c>
      <c r="I3" s="30" t="s">
        <v>21</v>
      </c>
      <c r="J3" s="23" t="s">
        <v>19</v>
      </c>
      <c r="K3" s="31" t="s">
        <v>11</v>
      </c>
    </row>
    <row r="4" spans="1:11" ht="49.5" customHeight="1" x14ac:dyDescent="0.25">
      <c r="A4" s="10">
        <v>1</v>
      </c>
      <c r="B4" s="13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/>
    </row>
    <row r="5" spans="1:11" ht="49.5" x14ac:dyDescent="0.25">
      <c r="A5" s="10">
        <v>2</v>
      </c>
      <c r="B5" s="7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10</v>
      </c>
      <c r="J5" s="6">
        <v>0.75</v>
      </c>
      <c r="K5" s="9" t="s">
        <v>5</v>
      </c>
    </row>
    <row r="6" spans="1:11" ht="65.25" customHeight="1" x14ac:dyDescent="0.25">
      <c r="A6" s="10">
        <v>3</v>
      </c>
      <c r="B6" s="13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19"/>
    </row>
    <row r="7" spans="1:11" ht="49.5" x14ac:dyDescent="0.25">
      <c r="A7" s="10">
        <v>4</v>
      </c>
      <c r="B7" s="7" t="s">
        <v>22</v>
      </c>
      <c r="C7" s="56" t="s">
        <v>23</v>
      </c>
      <c r="D7" s="3"/>
      <c r="E7" s="52" t="s">
        <v>24</v>
      </c>
      <c r="F7" s="53" t="s">
        <v>28</v>
      </c>
      <c r="G7" s="32"/>
      <c r="H7" s="1" t="s">
        <v>10</v>
      </c>
      <c r="I7" s="1" t="s">
        <v>10</v>
      </c>
      <c r="J7" s="6">
        <v>0.67</v>
      </c>
      <c r="K7" s="9" t="s">
        <v>5</v>
      </c>
    </row>
    <row r="8" spans="1:11" ht="44.25" customHeight="1" x14ac:dyDescent="0.25">
      <c r="A8" s="10">
        <v>5</v>
      </c>
      <c r="B8" s="7" t="s">
        <v>25</v>
      </c>
      <c r="C8" s="47" t="s">
        <v>15</v>
      </c>
      <c r="D8" s="47" t="s">
        <v>15</v>
      </c>
      <c r="E8" s="52"/>
      <c r="F8" s="52"/>
      <c r="G8" s="33"/>
      <c r="H8" s="5"/>
      <c r="I8" s="5"/>
      <c r="J8" s="6"/>
      <c r="K8" s="9"/>
    </row>
    <row r="9" spans="1:11" ht="43.5" customHeight="1" x14ac:dyDescent="0.25">
      <c r="A9" s="10">
        <v>6</v>
      </c>
      <c r="B9" s="41" t="s">
        <v>26</v>
      </c>
      <c r="C9" s="42"/>
      <c r="D9" s="36" t="s">
        <v>18</v>
      </c>
      <c r="E9" s="54"/>
      <c r="F9" s="54"/>
      <c r="G9" s="43"/>
      <c r="H9" s="44"/>
      <c r="I9" s="44"/>
      <c r="J9" s="45"/>
      <c r="K9" s="46"/>
    </row>
    <row r="10" spans="1:11" ht="51" customHeight="1" thickBot="1" x14ac:dyDescent="0.3">
      <c r="A10" s="10">
        <v>7</v>
      </c>
      <c r="B10" s="34" t="s">
        <v>27</v>
      </c>
      <c r="C10" s="35"/>
      <c r="D10" s="48" t="s">
        <v>18</v>
      </c>
      <c r="E10" s="55"/>
      <c r="F10" s="55"/>
      <c r="G10" s="37"/>
      <c r="H10" s="38"/>
      <c r="I10" s="38"/>
      <c r="J10" s="39"/>
      <c r="K10" s="40"/>
    </row>
  </sheetData>
  <mergeCells count="1">
    <mergeCell ref="A1:H2"/>
  </mergeCells>
  <printOptions horizontalCentered="1" verticalCentered="1"/>
  <pageMargins left="0" right="0" top="0" bottom="0" header="0" footer="0"/>
  <pageSetup scale="7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D94A-DB87-4FF9-BC97-F28F32DB041E}">
  <sheetPr>
    <pageSetUpPr fitToPage="1"/>
  </sheetPr>
  <dimension ref="A1:K11"/>
  <sheetViews>
    <sheetView rightToLeft="1" view="pageLayout" zoomScaleNormal="100" workbookViewId="0">
      <selection activeCell="H5" sqref="H5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 t="e">
        <f>#REF!</f>
        <v>#REF!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4</v>
      </c>
      <c r="K2" s="25"/>
    </row>
    <row r="3" spans="1:11" ht="69.75" customHeight="1" thickBot="1" x14ac:dyDescent="0.3">
      <c r="A3" s="26"/>
      <c r="B3" s="22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</v>
      </c>
      <c r="I3" s="30" t="s">
        <v>21</v>
      </c>
      <c r="J3" s="23" t="s">
        <v>19</v>
      </c>
      <c r="K3" s="31" t="s">
        <v>11</v>
      </c>
    </row>
    <row r="4" spans="1:11" ht="48" customHeight="1" x14ac:dyDescent="0.25">
      <c r="A4" s="10">
        <v>1</v>
      </c>
      <c r="B4" s="13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/>
    </row>
    <row r="5" spans="1:11" ht="49.5" x14ac:dyDescent="0.25">
      <c r="A5" s="10">
        <v>2</v>
      </c>
      <c r="B5" s="7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10</v>
      </c>
      <c r="J5" s="6">
        <v>0.75</v>
      </c>
      <c r="K5" s="9" t="s">
        <v>5</v>
      </c>
    </row>
    <row r="6" spans="1:11" ht="65.25" customHeight="1" x14ac:dyDescent="0.25">
      <c r="A6" s="10">
        <v>3</v>
      </c>
      <c r="B6" s="13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19"/>
    </row>
    <row r="7" spans="1:11" ht="49.5" x14ac:dyDescent="0.25">
      <c r="A7" s="10">
        <v>4</v>
      </c>
      <c r="B7" s="7" t="s">
        <v>22</v>
      </c>
      <c r="C7" s="56" t="s">
        <v>23</v>
      </c>
      <c r="D7" s="3"/>
      <c r="E7" s="52" t="s">
        <v>24</v>
      </c>
      <c r="F7" s="53" t="s">
        <v>28</v>
      </c>
      <c r="G7" s="32"/>
      <c r="H7" s="1" t="s">
        <v>10</v>
      </c>
      <c r="I7" s="1" t="s">
        <v>10</v>
      </c>
      <c r="J7" s="6">
        <v>0.67</v>
      </c>
      <c r="K7" s="9" t="s">
        <v>5</v>
      </c>
    </row>
    <row r="8" spans="1:11" ht="44.25" customHeight="1" x14ac:dyDescent="0.25">
      <c r="A8" s="10">
        <v>5</v>
      </c>
      <c r="B8" s="7" t="s">
        <v>25</v>
      </c>
      <c r="C8" s="47" t="s">
        <v>15</v>
      </c>
      <c r="D8" s="47" t="s">
        <v>15</v>
      </c>
      <c r="E8" s="52"/>
      <c r="F8" s="52"/>
      <c r="G8" s="33"/>
      <c r="H8" s="5"/>
      <c r="I8" s="5"/>
      <c r="J8" s="6"/>
      <c r="K8" s="9"/>
    </row>
    <row r="9" spans="1:11" ht="51" customHeight="1" x14ac:dyDescent="0.25">
      <c r="A9" s="10">
        <v>6</v>
      </c>
      <c r="B9" s="41" t="s">
        <v>26</v>
      </c>
      <c r="C9" s="42"/>
      <c r="D9" s="36" t="s">
        <v>18</v>
      </c>
      <c r="E9" s="54"/>
      <c r="F9" s="54"/>
      <c r="G9" s="43"/>
      <c r="H9" s="44"/>
      <c r="I9" s="44"/>
      <c r="J9" s="45"/>
      <c r="K9" s="46"/>
    </row>
    <row r="10" spans="1:11" ht="51" customHeight="1" x14ac:dyDescent="0.25">
      <c r="A10" s="10">
        <v>7</v>
      </c>
      <c r="B10" s="13" t="s">
        <v>27</v>
      </c>
      <c r="C10" s="14"/>
      <c r="D10" s="15" t="s">
        <v>18</v>
      </c>
      <c r="E10" s="51"/>
      <c r="F10" s="51"/>
      <c r="G10" s="16"/>
      <c r="H10" s="17"/>
      <c r="I10" s="17"/>
      <c r="J10" s="18"/>
      <c r="K10" s="19"/>
    </row>
    <row r="11" spans="1:11" ht="52.5" customHeight="1" thickBot="1" x14ac:dyDescent="0.3">
      <c r="A11" s="10">
        <v>8</v>
      </c>
      <c r="B11" s="34" t="s">
        <v>31</v>
      </c>
      <c r="C11" s="35"/>
      <c r="D11" s="48" t="s">
        <v>32</v>
      </c>
      <c r="E11" s="55" t="s">
        <v>33</v>
      </c>
      <c r="F11" s="55" t="s">
        <v>34</v>
      </c>
      <c r="G11" s="37"/>
      <c r="H11" s="38" t="s">
        <v>35</v>
      </c>
      <c r="I11" s="38" t="s">
        <v>5</v>
      </c>
      <c r="J11" s="39">
        <v>0.57999999999999996</v>
      </c>
      <c r="K11" s="40" t="s">
        <v>5</v>
      </c>
    </row>
  </sheetData>
  <mergeCells count="1">
    <mergeCell ref="A1:H2"/>
  </mergeCells>
  <phoneticPr fontId="14" type="noConversion"/>
  <printOptions horizontalCentered="1" verticalCentered="1"/>
  <pageMargins left="0" right="0" top="0" bottom="0" header="0" footer="0"/>
  <pageSetup scale="7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ECD9-8883-4DCD-8CAC-B9B9F63F8AFD}">
  <sheetPr>
    <pageSetUpPr fitToPage="1"/>
  </sheetPr>
  <dimension ref="A1:K11"/>
  <sheetViews>
    <sheetView rightToLeft="1" view="pageLayout" topLeftCell="A5" zoomScaleNormal="100" workbookViewId="0">
      <selection activeCell="B11" sqref="B11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 t="e">
        <f>#REF!</f>
        <v>#REF!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5</v>
      </c>
      <c r="K2" s="25"/>
    </row>
    <row r="3" spans="1:11" ht="69.75" customHeight="1" thickBot="1" x14ac:dyDescent="0.3">
      <c r="A3" s="26"/>
      <c r="B3" s="22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</v>
      </c>
      <c r="I3" s="30" t="s">
        <v>21</v>
      </c>
      <c r="J3" s="23" t="s">
        <v>19</v>
      </c>
      <c r="K3" s="31" t="s">
        <v>11</v>
      </c>
    </row>
    <row r="4" spans="1:11" ht="33" x14ac:dyDescent="0.25">
      <c r="A4" s="10">
        <v>1</v>
      </c>
      <c r="B4" s="13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/>
    </row>
    <row r="5" spans="1:11" ht="49.5" x14ac:dyDescent="0.25">
      <c r="A5" s="10">
        <v>2</v>
      </c>
      <c r="B5" s="7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10</v>
      </c>
      <c r="J5" s="6">
        <v>0.75</v>
      </c>
      <c r="K5" s="9" t="s">
        <v>5</v>
      </c>
    </row>
    <row r="6" spans="1:11" ht="65.25" customHeight="1" x14ac:dyDescent="0.25">
      <c r="A6" s="10">
        <v>3</v>
      </c>
      <c r="B6" s="13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19"/>
    </row>
    <row r="7" spans="1:11" ht="49.5" x14ac:dyDescent="0.25">
      <c r="A7" s="10">
        <v>4</v>
      </c>
      <c r="B7" s="7" t="s">
        <v>22</v>
      </c>
      <c r="C7" s="56" t="s">
        <v>23</v>
      </c>
      <c r="D7" s="3"/>
      <c r="E7" s="52" t="s">
        <v>24</v>
      </c>
      <c r="F7" s="53" t="s">
        <v>28</v>
      </c>
      <c r="G7" s="32"/>
      <c r="H7" s="1" t="s">
        <v>10</v>
      </c>
      <c r="I7" s="1" t="s">
        <v>10</v>
      </c>
      <c r="J7" s="6">
        <v>1</v>
      </c>
      <c r="K7" s="9" t="s">
        <v>38</v>
      </c>
    </row>
    <row r="8" spans="1:11" ht="44.25" customHeight="1" x14ac:dyDescent="0.25">
      <c r="A8" s="10">
        <v>5</v>
      </c>
      <c r="B8" s="7" t="s">
        <v>25</v>
      </c>
      <c r="C8" s="47" t="s">
        <v>15</v>
      </c>
      <c r="D8" s="47" t="s">
        <v>15</v>
      </c>
      <c r="E8" s="52"/>
      <c r="F8" s="52"/>
      <c r="G8" s="33"/>
      <c r="H8" s="5"/>
      <c r="I8" s="5"/>
      <c r="J8" s="6"/>
      <c r="K8" s="9"/>
    </row>
    <row r="9" spans="1:11" ht="33" x14ac:dyDescent="0.25">
      <c r="A9" s="10">
        <v>6</v>
      </c>
      <c r="B9" s="41" t="s">
        <v>26</v>
      </c>
      <c r="C9" s="42"/>
      <c r="D9" s="36" t="s">
        <v>18</v>
      </c>
      <c r="E9" s="54"/>
      <c r="F9" s="54"/>
      <c r="G9" s="43"/>
      <c r="H9" s="44"/>
      <c r="I9" s="44"/>
      <c r="J9" s="45"/>
      <c r="K9" s="46"/>
    </row>
    <row r="10" spans="1:11" ht="51" customHeight="1" x14ac:dyDescent="0.25">
      <c r="A10" s="10">
        <v>7</v>
      </c>
      <c r="B10" s="13" t="s">
        <v>27</v>
      </c>
      <c r="C10" s="14"/>
      <c r="D10" s="15" t="s">
        <v>18</v>
      </c>
      <c r="E10" s="51"/>
      <c r="F10" s="51"/>
      <c r="G10" s="16"/>
      <c r="H10" s="17"/>
      <c r="I10" s="17"/>
      <c r="J10" s="18"/>
      <c r="K10" s="19"/>
    </row>
    <row r="11" spans="1:11" ht="54.75" customHeight="1" thickBot="1" x14ac:dyDescent="0.3">
      <c r="A11" s="58">
        <v>8</v>
      </c>
      <c r="B11" s="59" t="s">
        <v>31</v>
      </c>
      <c r="C11" s="60"/>
      <c r="D11" s="61" t="s">
        <v>32</v>
      </c>
      <c r="E11" s="62" t="s">
        <v>33</v>
      </c>
      <c r="F11" s="62" t="s">
        <v>34</v>
      </c>
      <c r="G11" s="63"/>
      <c r="H11" s="64" t="s">
        <v>37</v>
      </c>
      <c r="I11" s="64" t="s">
        <v>36</v>
      </c>
      <c r="J11" s="65">
        <v>1</v>
      </c>
      <c r="K11" s="66" t="s">
        <v>36</v>
      </c>
    </row>
  </sheetData>
  <mergeCells count="1">
    <mergeCell ref="A1:H2"/>
  </mergeCells>
  <phoneticPr fontId="14" type="noConversion"/>
  <printOptions horizontalCentered="1" verticalCentered="1"/>
  <pageMargins left="0" right="0" top="0" bottom="0" header="0" footer="0"/>
  <pageSetup scale="7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9623-25B2-4D1F-B4E3-3E157B076596}">
  <sheetPr>
    <pageSetUpPr fitToPage="1"/>
  </sheetPr>
  <dimension ref="A1:K10"/>
  <sheetViews>
    <sheetView rightToLeft="1" view="pageLayout" zoomScaleNormal="100" workbookViewId="0">
      <selection activeCell="K8" sqref="K8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 t="e">
        <f>#REF!</f>
        <v>#REF!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6</v>
      </c>
      <c r="K2" s="25"/>
    </row>
    <row r="3" spans="1:11" ht="69.75" customHeight="1" thickBot="1" x14ac:dyDescent="0.3">
      <c r="A3" s="26"/>
      <c r="B3" s="22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</v>
      </c>
      <c r="I3" s="30" t="s">
        <v>21</v>
      </c>
      <c r="J3" s="23" t="s">
        <v>19</v>
      </c>
      <c r="K3" s="31" t="s">
        <v>11</v>
      </c>
    </row>
    <row r="4" spans="1:11" ht="48.75" customHeight="1" x14ac:dyDescent="0.25">
      <c r="A4" s="10">
        <v>1</v>
      </c>
      <c r="B4" s="13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/>
    </row>
    <row r="5" spans="1:11" ht="49.5" x14ac:dyDescent="0.25">
      <c r="A5" s="10">
        <v>2</v>
      </c>
      <c r="B5" s="7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10</v>
      </c>
      <c r="J5" s="6">
        <v>0.8</v>
      </c>
      <c r="K5" s="9" t="s">
        <v>5</v>
      </c>
    </row>
    <row r="6" spans="1:11" ht="65.25" customHeight="1" x14ac:dyDescent="0.25">
      <c r="A6" s="10">
        <v>3</v>
      </c>
      <c r="B6" s="13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19"/>
    </row>
    <row r="7" spans="1:11" ht="49.5" x14ac:dyDescent="0.25">
      <c r="A7" s="10">
        <v>4</v>
      </c>
      <c r="B7" s="7" t="s">
        <v>22</v>
      </c>
      <c r="C7" s="56" t="s">
        <v>23</v>
      </c>
      <c r="D7" s="3"/>
      <c r="E7" s="52" t="s">
        <v>24</v>
      </c>
      <c r="F7" s="53" t="s">
        <v>28</v>
      </c>
      <c r="G7" s="32"/>
      <c r="H7" s="1" t="s">
        <v>10</v>
      </c>
      <c r="I7" s="1" t="s">
        <v>10</v>
      </c>
      <c r="J7" s="6">
        <v>1</v>
      </c>
      <c r="K7" s="9" t="s">
        <v>38</v>
      </c>
    </row>
    <row r="8" spans="1:11" ht="44.25" customHeight="1" x14ac:dyDescent="0.25">
      <c r="A8" s="10">
        <v>5</v>
      </c>
      <c r="B8" s="7" t="s">
        <v>25</v>
      </c>
      <c r="C8" s="47" t="s">
        <v>15</v>
      </c>
      <c r="D8" s="47" t="s">
        <v>15</v>
      </c>
      <c r="E8" s="52"/>
      <c r="F8" s="52"/>
      <c r="G8" s="33"/>
      <c r="H8" s="5"/>
      <c r="I8" s="5"/>
      <c r="J8" s="6"/>
      <c r="K8" s="9"/>
    </row>
    <row r="9" spans="1:11" ht="47.25" customHeight="1" x14ac:dyDescent="0.25">
      <c r="A9" s="10">
        <v>6</v>
      </c>
      <c r="B9" s="41" t="s">
        <v>26</v>
      </c>
      <c r="C9" s="42"/>
      <c r="D9" s="36" t="s">
        <v>18</v>
      </c>
      <c r="E9" s="54"/>
      <c r="F9" s="54"/>
      <c r="G9" s="43"/>
      <c r="H9" s="44"/>
      <c r="I9" s="44"/>
      <c r="J9" s="45"/>
      <c r="K9" s="46"/>
    </row>
    <row r="10" spans="1:11" ht="51" customHeight="1" thickBot="1" x14ac:dyDescent="0.3">
      <c r="A10" s="10">
        <v>7</v>
      </c>
      <c r="B10" s="34" t="s">
        <v>27</v>
      </c>
      <c r="C10" s="35"/>
      <c r="D10" s="48" t="s">
        <v>18</v>
      </c>
      <c r="E10" s="55"/>
      <c r="F10" s="55"/>
      <c r="G10" s="37"/>
      <c r="H10" s="38"/>
      <c r="I10" s="38"/>
      <c r="J10" s="39"/>
      <c r="K10" s="40"/>
    </row>
  </sheetData>
  <mergeCells count="1">
    <mergeCell ref="A1:H2"/>
  </mergeCells>
  <printOptions horizontalCentered="1" verticalCentered="1"/>
  <pageMargins left="0" right="0" top="0" bottom="0" header="0" footer="0"/>
  <pageSetup scale="7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531B-C1EC-4739-9AE9-2D97A541A3B0}">
  <sheetPr>
    <pageSetUpPr fitToPage="1"/>
  </sheetPr>
  <dimension ref="A1:K9"/>
  <sheetViews>
    <sheetView rightToLeft="1" view="pageLayout" zoomScaleNormal="100" workbookViewId="0">
      <selection activeCell="B6" sqref="B6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 t="e">
        <f>#REF!</f>
        <v>#REF!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7</v>
      </c>
      <c r="K2" s="25"/>
    </row>
    <row r="3" spans="1:11" ht="69.75" customHeight="1" thickBot="1" x14ac:dyDescent="0.3">
      <c r="A3" s="26"/>
      <c r="B3" s="22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</v>
      </c>
      <c r="I3" s="30" t="s">
        <v>21</v>
      </c>
      <c r="J3" s="23" t="s">
        <v>19</v>
      </c>
      <c r="K3" s="31" t="s">
        <v>11</v>
      </c>
    </row>
    <row r="4" spans="1:11" ht="72" customHeight="1" x14ac:dyDescent="0.25">
      <c r="A4" s="10">
        <v>1</v>
      </c>
      <c r="B4" s="13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/>
    </row>
    <row r="5" spans="1:11" ht="72" customHeight="1" x14ac:dyDescent="0.25">
      <c r="A5" s="10">
        <v>2</v>
      </c>
      <c r="B5" s="7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10</v>
      </c>
      <c r="J5" s="6">
        <v>0.85</v>
      </c>
      <c r="K5" s="9" t="s">
        <v>5</v>
      </c>
    </row>
    <row r="6" spans="1:11" ht="72" customHeight="1" x14ac:dyDescent="0.25">
      <c r="A6" s="10">
        <v>3</v>
      </c>
      <c r="B6" s="13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19"/>
    </row>
    <row r="7" spans="1:11" ht="72" customHeight="1" x14ac:dyDescent="0.25">
      <c r="A7" s="10">
        <v>4</v>
      </c>
      <c r="B7" s="7" t="s">
        <v>25</v>
      </c>
      <c r="C7" s="47" t="s">
        <v>15</v>
      </c>
      <c r="D7" s="47" t="s">
        <v>15</v>
      </c>
      <c r="E7" s="52"/>
      <c r="F7" s="52"/>
      <c r="G7" s="33"/>
      <c r="H7" s="5"/>
      <c r="I7" s="5"/>
      <c r="J7" s="6"/>
      <c r="K7" s="9"/>
    </row>
    <row r="8" spans="1:11" ht="72" customHeight="1" x14ac:dyDescent="0.25">
      <c r="A8" s="10">
        <v>5</v>
      </c>
      <c r="B8" s="41" t="s">
        <v>26</v>
      </c>
      <c r="C8" s="42"/>
      <c r="D8" s="36" t="s">
        <v>18</v>
      </c>
      <c r="E8" s="54"/>
      <c r="F8" s="54"/>
      <c r="G8" s="43"/>
      <c r="H8" s="44"/>
      <c r="I8" s="44"/>
      <c r="J8" s="45"/>
      <c r="K8" s="46"/>
    </row>
    <row r="9" spans="1:11" ht="72" customHeight="1" thickBot="1" x14ac:dyDescent="0.3">
      <c r="A9" s="10">
        <v>6</v>
      </c>
      <c r="B9" s="34" t="s">
        <v>27</v>
      </c>
      <c r="C9" s="35"/>
      <c r="D9" s="48" t="s">
        <v>18</v>
      </c>
      <c r="E9" s="55"/>
      <c r="F9" s="55"/>
      <c r="G9" s="37"/>
      <c r="H9" s="38"/>
      <c r="I9" s="38"/>
      <c r="J9" s="39"/>
      <c r="K9" s="40"/>
    </row>
  </sheetData>
  <mergeCells count="1">
    <mergeCell ref="A1:H2"/>
  </mergeCells>
  <printOptions horizontalCentered="1" verticalCentered="1"/>
  <pageMargins left="0" right="0" top="0" bottom="0" header="0" footer="0"/>
  <pageSetup scale="7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CBF1-AB6D-4DD3-9678-037B662C2D9B}">
  <sheetPr>
    <pageSetUpPr fitToPage="1"/>
  </sheetPr>
  <dimension ref="A1:K9"/>
  <sheetViews>
    <sheetView rightToLeft="1" view="pageLayout" topLeftCell="A7" zoomScaleNormal="100" workbookViewId="0">
      <selection activeCell="J6" sqref="J6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>
        <v>1405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8</v>
      </c>
      <c r="K2" s="25"/>
    </row>
    <row r="3" spans="1:11" ht="69.75" customHeight="1" thickBot="1" x14ac:dyDescent="0.3">
      <c r="A3" s="26"/>
      <c r="B3" s="22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</v>
      </c>
      <c r="I3" s="30" t="s">
        <v>21</v>
      </c>
      <c r="J3" s="23" t="s">
        <v>19</v>
      </c>
      <c r="K3" s="31" t="s">
        <v>11</v>
      </c>
    </row>
    <row r="4" spans="1:11" ht="72" customHeight="1" x14ac:dyDescent="0.25">
      <c r="A4" s="10">
        <v>1</v>
      </c>
      <c r="B4" s="13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/>
    </row>
    <row r="5" spans="1:11" ht="72" customHeight="1" x14ac:dyDescent="0.25">
      <c r="A5" s="10">
        <v>2</v>
      </c>
      <c r="B5" s="7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10</v>
      </c>
      <c r="J5" s="6">
        <v>0.87</v>
      </c>
      <c r="K5" s="9" t="s">
        <v>5</v>
      </c>
    </row>
    <row r="6" spans="1:11" ht="72" customHeight="1" x14ac:dyDescent="0.25">
      <c r="A6" s="10">
        <v>3</v>
      </c>
      <c r="B6" s="13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19"/>
    </row>
    <row r="7" spans="1:11" ht="72" customHeight="1" x14ac:dyDescent="0.25">
      <c r="A7" s="10">
        <v>4</v>
      </c>
      <c r="B7" s="7" t="s">
        <v>25</v>
      </c>
      <c r="C7" s="47" t="s">
        <v>15</v>
      </c>
      <c r="D7" s="47" t="s">
        <v>15</v>
      </c>
      <c r="E7" s="52"/>
      <c r="F7" s="52"/>
      <c r="G7" s="33"/>
      <c r="H7" s="5"/>
      <c r="I7" s="5"/>
      <c r="J7" s="6"/>
      <c r="K7" s="9"/>
    </row>
    <row r="8" spans="1:11" ht="72" customHeight="1" x14ac:dyDescent="0.25">
      <c r="A8" s="10">
        <v>5</v>
      </c>
      <c r="B8" s="41" t="s">
        <v>26</v>
      </c>
      <c r="C8" s="42"/>
      <c r="D8" s="36" t="s">
        <v>18</v>
      </c>
      <c r="E8" s="54"/>
      <c r="F8" s="54"/>
      <c r="G8" s="43"/>
      <c r="H8" s="44"/>
      <c r="I8" s="44"/>
      <c r="J8" s="45"/>
      <c r="K8" s="46"/>
    </row>
    <row r="9" spans="1:11" ht="72" customHeight="1" thickBot="1" x14ac:dyDescent="0.3">
      <c r="A9" s="10">
        <v>6</v>
      </c>
      <c r="B9" s="34" t="s">
        <v>27</v>
      </c>
      <c r="C9" s="35"/>
      <c r="D9" s="48" t="s">
        <v>18</v>
      </c>
      <c r="E9" s="55"/>
      <c r="F9" s="55"/>
      <c r="G9" s="37"/>
      <c r="H9" s="38"/>
      <c r="I9" s="38"/>
      <c r="J9" s="39"/>
      <c r="K9" s="40"/>
    </row>
  </sheetData>
  <mergeCells count="1">
    <mergeCell ref="A1:H2"/>
  </mergeCells>
  <printOptions horizontalCentered="1" verticalCentered="1"/>
  <pageMargins left="0" right="0" top="0" bottom="0" header="0" footer="0"/>
  <pageSetup scale="7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AED3-0A29-416C-9C6A-1949D55F9F2F}">
  <sheetPr>
    <pageSetUpPr fitToPage="1"/>
  </sheetPr>
  <dimension ref="A1:K8"/>
  <sheetViews>
    <sheetView rightToLeft="1" view="pageLayout" topLeftCell="A5" zoomScaleNormal="100" workbookViewId="0">
      <selection activeCell="B8" sqref="B8:K8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>
        <v>1405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9</v>
      </c>
      <c r="K2" s="25"/>
    </row>
    <row r="3" spans="1:11" ht="69.75" customHeight="1" thickBot="1" x14ac:dyDescent="0.3">
      <c r="A3" s="26"/>
      <c r="B3" s="22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47</v>
      </c>
      <c r="I3" s="28" t="s">
        <v>48</v>
      </c>
      <c r="J3" s="23" t="s">
        <v>19</v>
      </c>
      <c r="K3" s="31" t="s">
        <v>11</v>
      </c>
    </row>
    <row r="4" spans="1:11" ht="72" customHeight="1" x14ac:dyDescent="0.25">
      <c r="A4" s="10">
        <v>1</v>
      </c>
      <c r="B4" s="13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 t="s">
        <v>49</v>
      </c>
    </row>
    <row r="5" spans="1:11" ht="72" customHeight="1" x14ac:dyDescent="0.25">
      <c r="A5" s="10">
        <v>2</v>
      </c>
      <c r="B5" s="7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67" t="s">
        <v>39</v>
      </c>
      <c r="H5" s="2" t="s">
        <v>10</v>
      </c>
      <c r="I5" s="2" t="s">
        <v>10</v>
      </c>
      <c r="J5" s="6">
        <v>0.87</v>
      </c>
      <c r="K5" s="9" t="s">
        <v>49</v>
      </c>
    </row>
    <row r="6" spans="1:11" ht="72" customHeight="1" x14ac:dyDescent="0.25">
      <c r="A6" s="10">
        <v>3</v>
      </c>
      <c r="B6" s="13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9" t="s">
        <v>49</v>
      </c>
    </row>
    <row r="7" spans="1:11" ht="72" customHeight="1" x14ac:dyDescent="0.25">
      <c r="A7" s="10">
        <v>4</v>
      </c>
      <c r="B7" s="7" t="s">
        <v>25</v>
      </c>
      <c r="C7" s="47" t="s">
        <v>15</v>
      </c>
      <c r="D7" s="47" t="s">
        <v>15</v>
      </c>
      <c r="E7" s="52"/>
      <c r="F7" s="52"/>
      <c r="G7" s="33"/>
      <c r="H7" s="5"/>
      <c r="I7" s="5"/>
      <c r="J7" s="6"/>
      <c r="K7" s="9" t="s">
        <v>49</v>
      </c>
    </row>
    <row r="8" spans="1:11" ht="84" customHeight="1" x14ac:dyDescent="0.25">
      <c r="A8" s="10">
        <v>5</v>
      </c>
      <c r="B8" s="7" t="s">
        <v>42</v>
      </c>
      <c r="C8" s="47"/>
      <c r="D8" s="47" t="s">
        <v>43</v>
      </c>
      <c r="E8" s="52" t="s">
        <v>44</v>
      </c>
      <c r="F8" s="52"/>
      <c r="G8" s="33" t="s">
        <v>45</v>
      </c>
      <c r="H8" s="5" t="s">
        <v>5</v>
      </c>
      <c r="I8" s="5" t="s">
        <v>46</v>
      </c>
      <c r="J8" s="6">
        <v>0.05</v>
      </c>
      <c r="K8" s="9" t="s">
        <v>49</v>
      </c>
    </row>
  </sheetData>
  <mergeCells count="1">
    <mergeCell ref="A1:H2"/>
  </mergeCells>
  <printOptions horizontalCentered="1" verticalCentered="1"/>
  <pageMargins left="0" right="0" top="0" bottom="0" header="0" footer="0"/>
  <pageSetup scale="7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1ACE-DE02-4EB7-AC7F-51C663C63AF8}">
  <sheetPr>
    <pageSetUpPr fitToPage="1"/>
  </sheetPr>
  <dimension ref="A1:K9"/>
  <sheetViews>
    <sheetView rightToLeft="1" view="pageLayout" zoomScaleNormal="100" workbookViewId="0">
      <selection activeCell="B8" sqref="B8:K8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>
        <v>1405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10</v>
      </c>
      <c r="K2" s="25"/>
    </row>
    <row r="3" spans="1:11" ht="69.75" customHeight="1" thickBot="1" x14ac:dyDescent="0.3">
      <c r="A3" s="26"/>
      <c r="B3" s="22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47</v>
      </c>
      <c r="I3" s="28" t="s">
        <v>48</v>
      </c>
      <c r="J3" s="23" t="s">
        <v>19</v>
      </c>
      <c r="K3" s="31" t="s">
        <v>11</v>
      </c>
    </row>
    <row r="4" spans="1:11" ht="72" customHeight="1" x14ac:dyDescent="0.25">
      <c r="A4" s="10">
        <v>1</v>
      </c>
      <c r="B4" s="13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 t="s">
        <v>49</v>
      </c>
    </row>
    <row r="5" spans="1:11" ht="72" customHeight="1" x14ac:dyDescent="0.25">
      <c r="A5" s="10">
        <v>2</v>
      </c>
      <c r="B5" s="7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10</v>
      </c>
      <c r="J5" s="6">
        <v>0.87</v>
      </c>
      <c r="K5" s="9" t="s">
        <v>49</v>
      </c>
    </row>
    <row r="6" spans="1:11" ht="72" customHeight="1" x14ac:dyDescent="0.25">
      <c r="A6" s="10">
        <v>3</v>
      </c>
      <c r="B6" s="13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9" t="s">
        <v>49</v>
      </c>
    </row>
    <row r="7" spans="1:11" ht="72" customHeight="1" x14ac:dyDescent="0.25">
      <c r="A7" s="10">
        <v>4</v>
      </c>
      <c r="B7" s="7" t="s">
        <v>25</v>
      </c>
      <c r="C7" s="47" t="s">
        <v>15</v>
      </c>
      <c r="D7" s="47" t="s">
        <v>15</v>
      </c>
      <c r="E7" s="52"/>
      <c r="F7" s="52"/>
      <c r="G7" s="33"/>
      <c r="H7" s="5"/>
      <c r="I7" s="5"/>
      <c r="J7" s="6"/>
      <c r="K7" s="9" t="s">
        <v>49</v>
      </c>
    </row>
    <row r="8" spans="1:11" ht="84" customHeight="1" x14ac:dyDescent="0.25">
      <c r="A8" s="10">
        <v>5</v>
      </c>
      <c r="B8" s="7" t="s">
        <v>42</v>
      </c>
      <c r="C8" s="47"/>
      <c r="D8" s="47" t="s">
        <v>43</v>
      </c>
      <c r="E8" s="52" t="s">
        <v>44</v>
      </c>
      <c r="F8" s="52"/>
      <c r="G8" s="33" t="s">
        <v>45</v>
      </c>
      <c r="H8" s="5" t="s">
        <v>5</v>
      </c>
      <c r="I8" s="5" t="s">
        <v>46</v>
      </c>
      <c r="J8" s="6">
        <v>0.05</v>
      </c>
      <c r="K8" s="9" t="s">
        <v>49</v>
      </c>
    </row>
    <row r="9" spans="1:11" ht="72" customHeight="1" x14ac:dyDescent="0.25">
      <c r="A9" s="10">
        <v>6</v>
      </c>
      <c r="B9" s="68" t="s">
        <v>40</v>
      </c>
      <c r="C9" s="69">
        <v>30303</v>
      </c>
      <c r="D9" s="70" t="s">
        <v>41</v>
      </c>
      <c r="E9" s="71"/>
      <c r="F9" s="71"/>
      <c r="G9" s="72"/>
      <c r="H9" s="73"/>
      <c r="I9" s="73"/>
      <c r="J9" s="74" t="s">
        <v>8</v>
      </c>
      <c r="K9" s="9" t="s">
        <v>49</v>
      </c>
    </row>
  </sheetData>
  <mergeCells count="1">
    <mergeCell ref="A1:H2"/>
  </mergeCells>
  <printOptions horizontalCentered="1" verticalCentered="1"/>
  <pageMargins left="0" right="0" top="0" bottom="0" header="0" footer="0"/>
  <pageSetup scale="76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01B5-8D0A-4F03-8DAE-7A941EFE7626}">
  <sheetPr>
    <pageSetUpPr fitToPage="1"/>
  </sheetPr>
  <dimension ref="A1:K9"/>
  <sheetViews>
    <sheetView rightToLeft="1" view="pageLayout" topLeftCell="A7" zoomScaleNormal="100" workbookViewId="0">
      <selection activeCell="H8" sqref="H8:I8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>
        <v>1405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11</v>
      </c>
      <c r="K2" s="25"/>
    </row>
    <row r="3" spans="1:11" ht="69.75" customHeight="1" thickBot="1" x14ac:dyDescent="0.3">
      <c r="A3" s="26"/>
      <c r="B3" s="22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47</v>
      </c>
      <c r="I3" s="28" t="s">
        <v>48</v>
      </c>
      <c r="J3" s="23" t="s">
        <v>19</v>
      </c>
      <c r="K3" s="31" t="s">
        <v>11</v>
      </c>
    </row>
    <row r="4" spans="1:11" ht="72" customHeight="1" x14ac:dyDescent="0.25">
      <c r="A4" s="10">
        <v>1</v>
      </c>
      <c r="B4" s="13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 t="s">
        <v>49</v>
      </c>
    </row>
    <row r="5" spans="1:11" ht="72" customHeight="1" x14ac:dyDescent="0.25">
      <c r="A5" s="10">
        <v>2</v>
      </c>
      <c r="B5" s="7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10</v>
      </c>
      <c r="J5" s="6">
        <v>0.87</v>
      </c>
      <c r="K5" s="9" t="s">
        <v>49</v>
      </c>
    </row>
    <row r="6" spans="1:11" ht="72" customHeight="1" x14ac:dyDescent="0.25">
      <c r="A6" s="10">
        <v>3</v>
      </c>
      <c r="B6" s="13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9" t="s">
        <v>49</v>
      </c>
    </row>
    <row r="7" spans="1:11" ht="72" customHeight="1" x14ac:dyDescent="0.25">
      <c r="A7" s="10">
        <v>4</v>
      </c>
      <c r="B7" s="7" t="s">
        <v>25</v>
      </c>
      <c r="C7" s="47" t="s">
        <v>15</v>
      </c>
      <c r="D7" s="47" t="s">
        <v>15</v>
      </c>
      <c r="E7" s="52"/>
      <c r="F7" s="52"/>
      <c r="G7" s="33"/>
      <c r="H7" s="5"/>
      <c r="I7" s="5"/>
      <c r="J7" s="6"/>
      <c r="K7" s="9" t="s">
        <v>49</v>
      </c>
    </row>
    <row r="8" spans="1:11" ht="84" customHeight="1" x14ac:dyDescent="0.25">
      <c r="A8" s="10">
        <v>5</v>
      </c>
      <c r="B8" s="7" t="s">
        <v>42</v>
      </c>
      <c r="C8" s="47"/>
      <c r="D8" s="47" t="s">
        <v>43</v>
      </c>
      <c r="E8" s="52" t="s">
        <v>44</v>
      </c>
      <c r="F8" s="52"/>
      <c r="G8" s="33" t="s">
        <v>45</v>
      </c>
      <c r="H8" s="5" t="s">
        <v>5</v>
      </c>
      <c r="I8" s="5" t="s">
        <v>46</v>
      </c>
      <c r="J8" s="6">
        <v>0.05</v>
      </c>
      <c r="K8" s="9" t="s">
        <v>49</v>
      </c>
    </row>
    <row r="9" spans="1:11" ht="72" customHeight="1" x14ac:dyDescent="0.25">
      <c r="A9" s="10">
        <v>6</v>
      </c>
      <c r="B9" s="68" t="s">
        <v>40</v>
      </c>
      <c r="C9" s="69">
        <v>30303</v>
      </c>
      <c r="D9" s="70" t="s">
        <v>41</v>
      </c>
      <c r="E9" s="71"/>
      <c r="F9" s="71"/>
      <c r="G9" s="72"/>
      <c r="H9" s="73"/>
      <c r="I9" s="73"/>
      <c r="J9" s="74" t="s">
        <v>8</v>
      </c>
      <c r="K9" s="9" t="s">
        <v>49</v>
      </c>
    </row>
  </sheetData>
  <mergeCells count="1">
    <mergeCell ref="A1:H2"/>
  </mergeCells>
  <printOptions horizontalCentered="1" verticalCentered="1"/>
  <pageMargins left="0" right="0" top="0" bottom="0" header="0" footer="0"/>
  <pageSetup scale="76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C708-E590-409F-82DD-92EBCBC8BE82}">
  <sheetPr>
    <pageSetUpPr fitToPage="1"/>
  </sheetPr>
  <dimension ref="A1:K11"/>
  <sheetViews>
    <sheetView rightToLeft="1" view="pageLayout" topLeftCell="A7" zoomScaleNormal="100" workbookViewId="0">
      <selection activeCell="K11" sqref="K11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>
        <v>1405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12</v>
      </c>
      <c r="K2" s="25"/>
    </row>
    <row r="3" spans="1:11" ht="69.75" customHeight="1" thickBot="1" x14ac:dyDescent="0.3">
      <c r="A3" s="79"/>
      <c r="B3" s="76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47</v>
      </c>
      <c r="I3" s="28" t="s">
        <v>48</v>
      </c>
      <c r="J3" s="23" t="s">
        <v>19</v>
      </c>
      <c r="K3" s="31" t="s">
        <v>11</v>
      </c>
    </row>
    <row r="4" spans="1:11" ht="72" customHeight="1" x14ac:dyDescent="0.25">
      <c r="A4" s="80">
        <v>1</v>
      </c>
      <c r="B4" s="77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 t="s">
        <v>49</v>
      </c>
    </row>
    <row r="5" spans="1:11" ht="72" customHeight="1" x14ac:dyDescent="0.25">
      <c r="A5" s="80">
        <v>2</v>
      </c>
      <c r="B5" s="78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53</v>
      </c>
      <c r="J5" s="6">
        <v>0.87</v>
      </c>
      <c r="K5" s="9" t="s">
        <v>54</v>
      </c>
    </row>
    <row r="6" spans="1:11" ht="72" customHeight="1" x14ac:dyDescent="0.25">
      <c r="A6" s="80">
        <v>3</v>
      </c>
      <c r="B6" s="77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9" t="s">
        <v>49</v>
      </c>
    </row>
    <row r="7" spans="1:11" ht="72" customHeight="1" x14ac:dyDescent="0.25">
      <c r="A7" s="80">
        <v>4</v>
      </c>
      <c r="B7" s="78" t="s">
        <v>25</v>
      </c>
      <c r="C7" s="47" t="s">
        <v>15</v>
      </c>
      <c r="D7" s="47" t="s">
        <v>15</v>
      </c>
      <c r="E7" s="52"/>
      <c r="F7" s="52"/>
      <c r="G7" s="33"/>
      <c r="H7" s="5"/>
      <c r="I7" s="5"/>
      <c r="J7" s="6"/>
      <c r="K7" s="9" t="s">
        <v>49</v>
      </c>
    </row>
    <row r="8" spans="1:11" ht="84" customHeight="1" x14ac:dyDescent="0.25">
      <c r="A8" s="80">
        <v>5</v>
      </c>
      <c r="B8" s="78" t="s">
        <v>42</v>
      </c>
      <c r="C8" s="47"/>
      <c r="D8" s="47" t="s">
        <v>43</v>
      </c>
      <c r="E8" s="52" t="s">
        <v>44</v>
      </c>
      <c r="F8" s="52"/>
      <c r="G8" s="33" t="s">
        <v>45</v>
      </c>
      <c r="H8" s="5" t="s">
        <v>5</v>
      </c>
      <c r="I8" s="5" t="s">
        <v>46</v>
      </c>
      <c r="J8" s="6">
        <v>0.15</v>
      </c>
      <c r="K8" s="9" t="s">
        <v>50</v>
      </c>
    </row>
    <row r="9" spans="1:11" ht="72" customHeight="1" x14ac:dyDescent="0.25">
      <c r="A9" s="80">
        <v>6</v>
      </c>
      <c r="B9" s="78" t="s">
        <v>40</v>
      </c>
      <c r="C9" s="47">
        <v>30303</v>
      </c>
      <c r="D9" s="4" t="s">
        <v>41</v>
      </c>
      <c r="E9" s="52"/>
      <c r="F9" s="52"/>
      <c r="G9" s="33"/>
      <c r="H9" s="5"/>
      <c r="I9" s="5"/>
      <c r="J9" s="6" t="s">
        <v>8</v>
      </c>
      <c r="K9" s="9" t="s">
        <v>49</v>
      </c>
    </row>
    <row r="10" spans="1:11" ht="58.5" customHeight="1" thickBot="1" x14ac:dyDescent="0.3">
      <c r="A10" s="81">
        <v>7</v>
      </c>
      <c r="B10" s="82" t="s">
        <v>51</v>
      </c>
      <c r="C10" s="83" t="s">
        <v>15</v>
      </c>
      <c r="D10" s="87" t="s">
        <v>52</v>
      </c>
      <c r="E10" s="83"/>
      <c r="F10" s="84"/>
      <c r="G10" s="84"/>
      <c r="H10" s="84"/>
      <c r="I10" s="84" t="s">
        <v>53</v>
      </c>
      <c r="J10" s="85"/>
      <c r="K10" s="86" t="s">
        <v>54</v>
      </c>
    </row>
    <row r="11" spans="1:11" x14ac:dyDescent="0.25">
      <c r="F11" s="75"/>
    </row>
  </sheetData>
  <mergeCells count="1">
    <mergeCell ref="A1:H2"/>
  </mergeCells>
  <phoneticPr fontId="14" type="noConversion"/>
  <printOptions horizontalCentered="1" verticalCentered="1"/>
  <pageMargins left="0" right="0" top="0" bottom="0" header="0" footer="0"/>
  <pageSetup scale="76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8254-828C-44B1-AACD-C21D7C180AFF}">
  <sheetPr>
    <pageSetUpPr fitToPage="1"/>
  </sheetPr>
  <dimension ref="A1:K11"/>
  <sheetViews>
    <sheetView rightToLeft="1" view="pageLayout" topLeftCell="A7" zoomScaleNormal="100" workbookViewId="0">
      <selection activeCell="K10" sqref="K10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>
        <v>1405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13</v>
      </c>
      <c r="K2" s="25"/>
    </row>
    <row r="3" spans="1:11" ht="69.75" customHeight="1" thickBot="1" x14ac:dyDescent="0.3">
      <c r="A3" s="79"/>
      <c r="B3" s="76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47</v>
      </c>
      <c r="I3" s="28" t="s">
        <v>48</v>
      </c>
      <c r="J3" s="23" t="s">
        <v>19</v>
      </c>
      <c r="K3" s="31" t="s">
        <v>11</v>
      </c>
    </row>
    <row r="4" spans="1:11" ht="72" customHeight="1" x14ac:dyDescent="0.25">
      <c r="A4" s="80">
        <v>1</v>
      </c>
      <c r="B4" s="77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 t="s">
        <v>49</v>
      </c>
    </row>
    <row r="5" spans="1:11" ht="72" customHeight="1" x14ac:dyDescent="0.25">
      <c r="A5" s="80">
        <v>2</v>
      </c>
      <c r="B5" s="78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53</v>
      </c>
      <c r="J5" s="6">
        <v>0.87</v>
      </c>
      <c r="K5" s="9" t="s">
        <v>54</v>
      </c>
    </row>
    <row r="6" spans="1:11" ht="72" customHeight="1" x14ac:dyDescent="0.25">
      <c r="A6" s="80">
        <v>3</v>
      </c>
      <c r="B6" s="77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9" t="s">
        <v>49</v>
      </c>
    </row>
    <row r="7" spans="1:11" ht="72" customHeight="1" x14ac:dyDescent="0.25">
      <c r="A7" s="80">
        <v>4</v>
      </c>
      <c r="B7" s="78" t="s">
        <v>25</v>
      </c>
      <c r="C7" s="47" t="s">
        <v>15</v>
      </c>
      <c r="D7" s="47" t="s">
        <v>15</v>
      </c>
      <c r="E7" s="52"/>
      <c r="F7" s="52"/>
      <c r="G7" s="33"/>
      <c r="H7" s="5"/>
      <c r="I7" s="5"/>
      <c r="J7" s="6"/>
      <c r="K7" s="9" t="s">
        <v>49</v>
      </c>
    </row>
    <row r="8" spans="1:11" ht="84" customHeight="1" x14ac:dyDescent="0.25">
      <c r="A8" s="80">
        <v>5</v>
      </c>
      <c r="B8" s="78" t="s">
        <v>42</v>
      </c>
      <c r="C8" s="47"/>
      <c r="D8" s="47" t="s">
        <v>43</v>
      </c>
      <c r="E8" s="52" t="s">
        <v>44</v>
      </c>
      <c r="F8" s="52"/>
      <c r="G8" s="33" t="s">
        <v>45</v>
      </c>
      <c r="H8" s="5" t="s">
        <v>5</v>
      </c>
      <c r="I8" s="5" t="s">
        <v>46</v>
      </c>
      <c r="J8" s="6">
        <v>0.15</v>
      </c>
      <c r="K8" s="9" t="s">
        <v>50</v>
      </c>
    </row>
    <row r="9" spans="1:11" ht="72" customHeight="1" x14ac:dyDescent="0.25">
      <c r="A9" s="80">
        <v>6</v>
      </c>
      <c r="B9" s="78" t="s">
        <v>40</v>
      </c>
      <c r="C9" s="47">
        <v>30303</v>
      </c>
      <c r="D9" s="4" t="s">
        <v>41</v>
      </c>
      <c r="E9" s="52"/>
      <c r="F9" s="52"/>
      <c r="G9" s="33"/>
      <c r="H9" s="5"/>
      <c r="I9" s="5"/>
      <c r="J9" s="6" t="s">
        <v>8</v>
      </c>
      <c r="K9" s="9" t="s">
        <v>49</v>
      </c>
    </row>
    <row r="10" spans="1:11" ht="58.5" customHeight="1" thickBot="1" x14ac:dyDescent="0.3">
      <c r="A10" s="81">
        <v>7</v>
      </c>
      <c r="B10" s="82" t="s">
        <v>51</v>
      </c>
      <c r="C10" s="83" t="s">
        <v>15</v>
      </c>
      <c r="D10" s="87" t="s">
        <v>52</v>
      </c>
      <c r="E10" s="83"/>
      <c r="F10" s="84"/>
      <c r="G10" s="84"/>
      <c r="H10" s="84"/>
      <c r="I10" s="84" t="s">
        <v>55</v>
      </c>
      <c r="J10" s="85">
        <v>1</v>
      </c>
      <c r="K10" s="88" t="s">
        <v>36</v>
      </c>
    </row>
    <row r="11" spans="1:11" x14ac:dyDescent="0.25">
      <c r="F11" s="75"/>
    </row>
  </sheetData>
  <mergeCells count="1">
    <mergeCell ref="A1:H2"/>
  </mergeCells>
  <printOptions horizontalCentered="1" verticalCentered="1"/>
  <pageMargins left="0" right="0" top="0" bottom="0" header="0" footer="0"/>
  <pageSetup scale="76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B1AC-6BDD-49A3-991E-3CA146714C90}">
  <sheetPr>
    <pageSetUpPr fitToPage="1"/>
  </sheetPr>
  <dimension ref="A1:K11"/>
  <sheetViews>
    <sheetView rightToLeft="1" view="pageLayout" topLeftCell="A10" zoomScaleNormal="100" workbookViewId="0">
      <selection activeCell="K3" sqref="K3"/>
    </sheetView>
  </sheetViews>
  <sheetFormatPr defaultRowHeight="15" x14ac:dyDescent="0.25"/>
  <cols>
    <col min="1" max="1" width="5" customWidth="1"/>
    <col min="2" max="2" width="19.85546875" customWidth="1"/>
    <col min="3" max="3" width="13.5703125" customWidth="1"/>
    <col min="4" max="6" width="11.5703125" customWidth="1"/>
    <col min="7" max="9" width="12.5703125" customWidth="1"/>
    <col min="10" max="10" width="13.85546875" customWidth="1"/>
    <col min="11" max="11" width="11.28515625" customWidth="1"/>
  </cols>
  <sheetData>
    <row r="1" spans="1:11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20" t="s">
        <v>6</v>
      </c>
      <c r="J1" s="57">
        <v>1405</v>
      </c>
      <c r="K1" s="24"/>
    </row>
    <row r="2" spans="1:11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21" t="s">
        <v>7</v>
      </c>
      <c r="J2" s="12">
        <v>14</v>
      </c>
      <c r="K2" s="25"/>
    </row>
    <row r="3" spans="1:11" ht="69.75" customHeight="1" thickBot="1" x14ac:dyDescent="0.3">
      <c r="A3" s="79"/>
      <c r="B3" s="76" t="s">
        <v>20</v>
      </c>
      <c r="C3" s="27" t="s">
        <v>9</v>
      </c>
      <c r="D3" s="27" t="s">
        <v>0</v>
      </c>
      <c r="E3" s="28" t="s">
        <v>1</v>
      </c>
      <c r="F3" s="29" t="s">
        <v>2</v>
      </c>
      <c r="G3" s="27" t="s">
        <v>3</v>
      </c>
      <c r="H3" s="27" t="s">
        <v>47</v>
      </c>
      <c r="I3" s="28" t="s">
        <v>48</v>
      </c>
      <c r="J3" s="23" t="s">
        <v>19</v>
      </c>
      <c r="K3" s="31" t="s">
        <v>11</v>
      </c>
    </row>
    <row r="4" spans="1:11" ht="72" customHeight="1" x14ac:dyDescent="0.25">
      <c r="A4" s="80">
        <v>1</v>
      </c>
      <c r="B4" s="77" t="s">
        <v>12</v>
      </c>
      <c r="C4" s="14" t="s">
        <v>15</v>
      </c>
      <c r="D4" s="15" t="s">
        <v>18</v>
      </c>
      <c r="E4" s="16"/>
      <c r="F4" s="16"/>
      <c r="G4" s="16"/>
      <c r="H4" s="17"/>
      <c r="I4" s="17"/>
      <c r="J4" s="18"/>
      <c r="K4" s="19" t="s">
        <v>49</v>
      </c>
    </row>
    <row r="5" spans="1:11" ht="72" customHeight="1" x14ac:dyDescent="0.25">
      <c r="A5" s="80">
        <v>2</v>
      </c>
      <c r="B5" s="78" t="s">
        <v>13</v>
      </c>
      <c r="C5" s="11" t="s">
        <v>15</v>
      </c>
      <c r="D5" s="4" t="s">
        <v>8</v>
      </c>
      <c r="E5" s="49" t="s">
        <v>17</v>
      </c>
      <c r="F5" s="50" t="s">
        <v>29</v>
      </c>
      <c r="G5" s="8" t="s">
        <v>30</v>
      </c>
      <c r="H5" s="2" t="s">
        <v>10</v>
      </c>
      <c r="I5" s="2" t="s">
        <v>53</v>
      </c>
      <c r="J5" s="6">
        <v>0.87</v>
      </c>
      <c r="K5" s="9" t="s">
        <v>54</v>
      </c>
    </row>
    <row r="6" spans="1:11" ht="72" customHeight="1" x14ac:dyDescent="0.25">
      <c r="A6" s="80">
        <v>3</v>
      </c>
      <c r="B6" s="77" t="s">
        <v>14</v>
      </c>
      <c r="C6" s="14" t="s">
        <v>15</v>
      </c>
      <c r="D6" s="14" t="s">
        <v>15</v>
      </c>
      <c r="E6" s="51"/>
      <c r="F6" s="51"/>
      <c r="G6" s="16"/>
      <c r="H6" s="17"/>
      <c r="I6" s="17"/>
      <c r="J6" s="18"/>
      <c r="K6" s="9" t="s">
        <v>49</v>
      </c>
    </row>
    <row r="7" spans="1:11" ht="72" customHeight="1" x14ac:dyDescent="0.25">
      <c r="A7" s="80">
        <v>4</v>
      </c>
      <c r="B7" s="78" t="s">
        <v>25</v>
      </c>
      <c r="C7" s="47" t="s">
        <v>15</v>
      </c>
      <c r="D7" s="47" t="s">
        <v>15</v>
      </c>
      <c r="E7" s="52"/>
      <c r="F7" s="52"/>
      <c r="G7" s="33"/>
      <c r="H7" s="5"/>
      <c r="I7" s="5"/>
      <c r="J7" s="6"/>
      <c r="K7" s="9" t="s">
        <v>49</v>
      </c>
    </row>
    <row r="8" spans="1:11" ht="84" customHeight="1" x14ac:dyDescent="0.25">
      <c r="A8" s="80">
        <v>5</v>
      </c>
      <c r="B8" s="78" t="s">
        <v>42</v>
      </c>
      <c r="C8" s="47"/>
      <c r="D8" s="47" t="s">
        <v>43</v>
      </c>
      <c r="E8" s="52" t="s">
        <v>44</v>
      </c>
      <c r="F8" s="52"/>
      <c r="G8" s="33" t="s">
        <v>45</v>
      </c>
      <c r="H8" s="5" t="s">
        <v>5</v>
      </c>
      <c r="I8" s="5" t="s">
        <v>46</v>
      </c>
      <c r="J8" s="6">
        <v>0.15</v>
      </c>
      <c r="K8" s="9" t="s">
        <v>50</v>
      </c>
    </row>
    <row r="9" spans="1:11" ht="72" customHeight="1" x14ac:dyDescent="0.25">
      <c r="A9" s="80">
        <v>6</v>
      </c>
      <c r="B9" s="78" t="s">
        <v>40</v>
      </c>
      <c r="C9" s="47">
        <v>30303</v>
      </c>
      <c r="D9" s="4" t="s">
        <v>41</v>
      </c>
      <c r="E9" s="52"/>
      <c r="F9" s="52"/>
      <c r="G9" s="33"/>
      <c r="H9" s="5"/>
      <c r="I9" s="5"/>
      <c r="J9" s="6" t="s">
        <v>8</v>
      </c>
      <c r="K9" s="9" t="s">
        <v>49</v>
      </c>
    </row>
    <row r="10" spans="1:11" ht="58.5" customHeight="1" thickBot="1" x14ac:dyDescent="0.3">
      <c r="A10" s="81">
        <v>7</v>
      </c>
      <c r="B10" s="82" t="s">
        <v>51</v>
      </c>
      <c r="C10" s="83" t="s">
        <v>15</v>
      </c>
      <c r="D10" s="87" t="s">
        <v>52</v>
      </c>
      <c r="E10" s="83"/>
      <c r="F10" s="84"/>
      <c r="G10" s="84"/>
      <c r="H10" s="84"/>
      <c r="I10" s="84" t="s">
        <v>55</v>
      </c>
      <c r="J10" s="85">
        <v>1</v>
      </c>
      <c r="K10" s="88" t="s">
        <v>36</v>
      </c>
    </row>
    <row r="11" spans="1:11" x14ac:dyDescent="0.25">
      <c r="F11" s="75"/>
    </row>
  </sheetData>
  <mergeCells count="1">
    <mergeCell ref="A1:H2"/>
  </mergeCells>
  <printOptions horizontalCentered="1" verticalCentered="1"/>
  <pageMargins left="0" right="0" top="0" bottom="0" header="0" footer="0"/>
  <pageSetup scale="7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F525-633F-4E23-879E-F00D88822E4B}">
  <sheetPr>
    <pageSetUpPr fitToPage="1"/>
  </sheetPr>
  <dimension ref="A1:L15"/>
  <sheetViews>
    <sheetView rightToLeft="1" view="pageLayout" topLeftCell="A13" zoomScaleNormal="100" workbookViewId="0">
      <selection activeCell="H16" sqref="H16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customWidth="1"/>
    <col min="12" max="12" width="11.28515625" customWidth="1"/>
  </cols>
  <sheetData>
    <row r="1" spans="1:12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57">
        <v>1405</v>
      </c>
      <c r="L1" s="24"/>
    </row>
    <row r="2" spans="1:12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">
        <v>15</v>
      </c>
      <c r="L2" s="25"/>
    </row>
    <row r="3" spans="1:12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47</v>
      </c>
      <c r="J3" s="28" t="s">
        <v>48</v>
      </c>
      <c r="K3" s="23" t="s">
        <v>19</v>
      </c>
      <c r="L3" s="31" t="s">
        <v>11</v>
      </c>
    </row>
    <row r="4" spans="1:12" ht="72" customHeight="1" x14ac:dyDescent="0.25">
      <c r="A4" s="80">
        <v>1</v>
      </c>
      <c r="B4" s="77" t="s">
        <v>12</v>
      </c>
      <c r="C4" s="77" t="s">
        <v>57</v>
      </c>
      <c r="D4" s="14" t="s">
        <v>15</v>
      </c>
      <c r="E4" s="15" t="s">
        <v>18</v>
      </c>
      <c r="F4" s="16"/>
      <c r="G4" s="16"/>
      <c r="H4" s="16"/>
      <c r="I4" s="17"/>
      <c r="J4" s="17"/>
      <c r="K4" s="18"/>
      <c r="L4" s="19" t="s">
        <v>49</v>
      </c>
    </row>
    <row r="5" spans="1:12" ht="72" customHeight="1" x14ac:dyDescent="0.25">
      <c r="A5" s="80">
        <v>2</v>
      </c>
      <c r="B5" s="78" t="s">
        <v>13</v>
      </c>
      <c r="C5" s="78" t="s">
        <v>57</v>
      </c>
      <c r="D5" s="11" t="s">
        <v>15</v>
      </c>
      <c r="E5" s="4" t="s">
        <v>8</v>
      </c>
      <c r="F5" s="49" t="s">
        <v>17</v>
      </c>
      <c r="G5" s="50" t="s">
        <v>29</v>
      </c>
      <c r="H5" s="8" t="s">
        <v>30</v>
      </c>
      <c r="I5" s="2" t="s">
        <v>10</v>
      </c>
      <c r="J5" s="2" t="s">
        <v>53</v>
      </c>
      <c r="K5" s="6">
        <v>0.87</v>
      </c>
      <c r="L5" s="9" t="s">
        <v>54</v>
      </c>
    </row>
    <row r="6" spans="1:12" ht="72" customHeight="1" x14ac:dyDescent="0.25">
      <c r="A6" s="80">
        <v>3</v>
      </c>
      <c r="B6" s="77" t="s">
        <v>14</v>
      </c>
      <c r="C6" s="77" t="s">
        <v>57</v>
      </c>
      <c r="D6" s="14" t="s">
        <v>15</v>
      </c>
      <c r="E6" s="14" t="s">
        <v>15</v>
      </c>
      <c r="F6" s="51"/>
      <c r="G6" s="51"/>
      <c r="H6" s="16"/>
      <c r="I6" s="17"/>
      <c r="J6" s="17"/>
      <c r="K6" s="18"/>
      <c r="L6" s="9" t="s">
        <v>49</v>
      </c>
    </row>
    <row r="7" spans="1:12" ht="72" customHeight="1" x14ac:dyDescent="0.25">
      <c r="A7" s="80">
        <v>4</v>
      </c>
      <c r="B7" s="78" t="s">
        <v>25</v>
      </c>
      <c r="C7" s="78" t="s">
        <v>57</v>
      </c>
      <c r="D7" s="47" t="s">
        <v>15</v>
      </c>
      <c r="E7" s="47" t="s">
        <v>15</v>
      </c>
      <c r="F7" s="52"/>
      <c r="G7" s="52"/>
      <c r="H7" s="33"/>
      <c r="I7" s="5"/>
      <c r="J7" s="5"/>
      <c r="K7" s="6"/>
      <c r="L7" s="9" t="s">
        <v>49</v>
      </c>
    </row>
    <row r="8" spans="1:12" ht="84" customHeight="1" x14ac:dyDescent="0.25">
      <c r="A8" s="80">
        <v>5</v>
      </c>
      <c r="B8" s="78" t="s">
        <v>42</v>
      </c>
      <c r="C8" s="78" t="s">
        <v>57</v>
      </c>
      <c r="D8" s="47"/>
      <c r="E8" s="47" t="s">
        <v>43</v>
      </c>
      <c r="F8" s="52" t="s">
        <v>44</v>
      </c>
      <c r="G8" s="52"/>
      <c r="H8" s="33"/>
      <c r="I8" s="5" t="s">
        <v>5</v>
      </c>
      <c r="J8" s="5" t="s">
        <v>46</v>
      </c>
      <c r="K8" s="6">
        <v>0.15</v>
      </c>
      <c r="L8" s="9" t="s">
        <v>50</v>
      </c>
    </row>
    <row r="9" spans="1:12" ht="72" customHeight="1" x14ac:dyDescent="0.25">
      <c r="A9" s="80">
        <v>6</v>
      </c>
      <c r="B9" s="78" t="s">
        <v>40</v>
      </c>
      <c r="C9" s="78" t="s">
        <v>57</v>
      </c>
      <c r="D9" s="47">
        <v>30303</v>
      </c>
      <c r="E9" s="4" t="s">
        <v>41</v>
      </c>
      <c r="F9" s="52"/>
      <c r="G9" s="52"/>
      <c r="H9" s="33"/>
      <c r="I9" s="5"/>
      <c r="J9" s="5"/>
      <c r="K9" s="6" t="s">
        <v>8</v>
      </c>
      <c r="L9" s="9" t="s">
        <v>49</v>
      </c>
    </row>
    <row r="10" spans="1:12" ht="58.5" customHeight="1" x14ac:dyDescent="0.25">
      <c r="A10" s="89">
        <v>7</v>
      </c>
      <c r="B10" s="90" t="s">
        <v>51</v>
      </c>
      <c r="C10" s="90" t="s">
        <v>57</v>
      </c>
      <c r="D10" s="91" t="s">
        <v>15</v>
      </c>
      <c r="E10" s="92" t="s">
        <v>52</v>
      </c>
      <c r="F10" s="91"/>
      <c r="G10" s="93"/>
      <c r="H10" s="93"/>
      <c r="I10" s="93"/>
      <c r="J10" s="93" t="s">
        <v>55</v>
      </c>
      <c r="K10" s="94">
        <v>1</v>
      </c>
      <c r="L10" s="95" t="s">
        <v>36</v>
      </c>
    </row>
    <row r="11" spans="1:12" ht="82.5" customHeight="1" x14ac:dyDescent="0.25">
      <c r="A11" s="80">
        <v>8</v>
      </c>
      <c r="B11" s="96" t="s">
        <v>59</v>
      </c>
      <c r="C11" s="96" t="s">
        <v>58</v>
      </c>
      <c r="D11" s="11">
        <v>29935</v>
      </c>
      <c r="E11" s="97" t="s">
        <v>60</v>
      </c>
      <c r="F11" s="11"/>
      <c r="G11" s="97"/>
      <c r="H11" s="97"/>
      <c r="I11" s="97" t="s">
        <v>8</v>
      </c>
      <c r="J11" s="5" t="s">
        <v>46</v>
      </c>
      <c r="K11" s="6">
        <v>0</v>
      </c>
      <c r="L11" s="98" t="s">
        <v>5</v>
      </c>
    </row>
    <row r="12" spans="1:12" ht="82.5" customHeight="1" x14ac:dyDescent="0.25">
      <c r="A12" s="80">
        <v>9</v>
      </c>
      <c r="B12" s="96" t="s">
        <v>62</v>
      </c>
      <c r="C12" s="96" t="s">
        <v>63</v>
      </c>
      <c r="D12" s="11">
        <v>29889</v>
      </c>
      <c r="E12" s="97" t="s">
        <v>61</v>
      </c>
      <c r="F12" s="11"/>
      <c r="G12" s="97"/>
      <c r="H12" s="97"/>
      <c r="I12" s="97" t="s">
        <v>8</v>
      </c>
      <c r="J12" s="5" t="s">
        <v>46</v>
      </c>
      <c r="K12" s="6">
        <v>0</v>
      </c>
      <c r="L12" s="98"/>
    </row>
    <row r="13" spans="1:12" ht="82.5" customHeight="1" x14ac:dyDescent="0.25">
      <c r="A13" s="80">
        <v>10</v>
      </c>
      <c r="B13" s="96" t="s">
        <v>64</v>
      </c>
      <c r="C13" s="96" t="s">
        <v>63</v>
      </c>
      <c r="D13" s="11">
        <v>29087</v>
      </c>
      <c r="E13" s="97" t="s">
        <v>61</v>
      </c>
      <c r="F13" s="11" t="s">
        <v>68</v>
      </c>
      <c r="G13" s="97"/>
      <c r="H13" s="97"/>
      <c r="I13" s="97" t="s">
        <v>5</v>
      </c>
      <c r="J13" s="5" t="s">
        <v>46</v>
      </c>
      <c r="K13" s="6">
        <v>0.03</v>
      </c>
      <c r="L13" s="98" t="s">
        <v>5</v>
      </c>
    </row>
    <row r="14" spans="1:12" ht="82.5" customHeight="1" x14ac:dyDescent="0.25">
      <c r="A14" s="89">
        <v>11</v>
      </c>
      <c r="B14" s="99" t="s">
        <v>65</v>
      </c>
      <c r="C14" s="96" t="s">
        <v>58</v>
      </c>
      <c r="D14" s="11">
        <v>30416</v>
      </c>
      <c r="E14" s="97" t="s">
        <v>61</v>
      </c>
      <c r="F14" s="11"/>
      <c r="G14" s="97"/>
      <c r="H14" s="97"/>
      <c r="I14" s="97" t="s">
        <v>8</v>
      </c>
      <c r="J14" s="5" t="s">
        <v>46</v>
      </c>
      <c r="K14" s="6">
        <v>0</v>
      </c>
      <c r="L14" s="98"/>
    </row>
    <row r="15" spans="1:12" ht="79.5" customHeight="1" x14ac:dyDescent="0.25">
      <c r="A15" s="80">
        <v>12</v>
      </c>
      <c r="B15" s="100" t="s">
        <v>66</v>
      </c>
      <c r="C15" s="96" t="s">
        <v>58</v>
      </c>
      <c r="D15" s="97" t="s">
        <v>67</v>
      </c>
      <c r="E15" s="97" t="s">
        <v>61</v>
      </c>
      <c r="F15" s="11"/>
      <c r="G15" s="97"/>
      <c r="H15" s="97"/>
      <c r="I15" s="97" t="s">
        <v>8</v>
      </c>
      <c r="J15" s="5" t="s">
        <v>46</v>
      </c>
      <c r="K15" s="6">
        <v>0</v>
      </c>
      <c r="L15" s="98"/>
    </row>
  </sheetData>
  <mergeCells count="1">
    <mergeCell ref="A1:I2"/>
  </mergeCells>
  <phoneticPr fontId="14" type="noConversion"/>
  <printOptions horizontalCentered="1" verticalCentered="1"/>
  <pageMargins left="0" right="0" top="0" bottom="0" header="0" footer="0"/>
  <pageSetup scale="6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CA82-6B48-4F77-8C11-3DDBB01D587E}">
  <sheetPr>
    <pageSetUpPr fitToPage="1"/>
  </sheetPr>
  <dimension ref="A1:L18"/>
  <sheetViews>
    <sheetView rightToLeft="1" view="pageLayout" topLeftCell="H25" zoomScaleNormal="100" workbookViewId="0">
      <selection activeCell="K16" sqref="K16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customWidth="1"/>
    <col min="12" max="12" width="11.28515625" customWidth="1"/>
  </cols>
  <sheetData>
    <row r="1" spans="1:12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57">
        <v>1405</v>
      </c>
      <c r="L1" s="24"/>
    </row>
    <row r="2" spans="1:12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">
        <v>16</v>
      </c>
      <c r="L2" s="25"/>
    </row>
    <row r="3" spans="1:12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47</v>
      </c>
      <c r="J3" s="28" t="s">
        <v>48</v>
      </c>
      <c r="K3" s="23" t="s">
        <v>19</v>
      </c>
      <c r="L3" s="31" t="s">
        <v>11</v>
      </c>
    </row>
    <row r="4" spans="1:12" ht="72" customHeight="1" x14ac:dyDescent="0.25">
      <c r="A4" s="80">
        <v>1</v>
      </c>
      <c r="B4" s="77" t="s">
        <v>12</v>
      </c>
      <c r="C4" s="77" t="s">
        <v>57</v>
      </c>
      <c r="D4" s="101" t="s">
        <v>15</v>
      </c>
      <c r="E4" s="102" t="s">
        <v>18</v>
      </c>
      <c r="F4" s="101"/>
      <c r="G4" s="103"/>
      <c r="H4" s="16"/>
      <c r="I4" s="17"/>
      <c r="J4" s="17"/>
      <c r="K4" s="18"/>
      <c r="L4" s="19" t="s">
        <v>49</v>
      </c>
    </row>
    <row r="5" spans="1:12" ht="72" customHeight="1" x14ac:dyDescent="0.25">
      <c r="A5" s="80">
        <v>2</v>
      </c>
      <c r="B5" s="78" t="s">
        <v>13</v>
      </c>
      <c r="C5" s="78" t="s">
        <v>57</v>
      </c>
      <c r="D5" s="53" t="s">
        <v>15</v>
      </c>
      <c r="E5" s="53" t="s">
        <v>17</v>
      </c>
      <c r="F5" s="104" t="s">
        <v>29</v>
      </c>
      <c r="G5" s="104"/>
      <c r="H5" s="8"/>
      <c r="I5" s="2" t="s">
        <v>10</v>
      </c>
      <c r="J5" s="2" t="s">
        <v>53</v>
      </c>
      <c r="K5" s="6">
        <v>0.87</v>
      </c>
      <c r="L5" s="9" t="s">
        <v>54</v>
      </c>
    </row>
    <row r="6" spans="1:12" ht="72" customHeight="1" x14ac:dyDescent="0.25">
      <c r="A6" s="80">
        <v>3</v>
      </c>
      <c r="B6" s="77" t="s">
        <v>14</v>
      </c>
      <c r="C6" s="77" t="s">
        <v>57</v>
      </c>
      <c r="D6" s="101" t="s">
        <v>15</v>
      </c>
      <c r="E6" s="101" t="s">
        <v>15</v>
      </c>
      <c r="F6" s="101" t="s">
        <v>72</v>
      </c>
      <c r="G6" s="101"/>
      <c r="H6" s="16"/>
      <c r="I6" s="17"/>
      <c r="J6" s="17"/>
      <c r="K6" s="18"/>
      <c r="L6" s="9" t="s">
        <v>49</v>
      </c>
    </row>
    <row r="7" spans="1:12" ht="72" customHeight="1" x14ac:dyDescent="0.25">
      <c r="A7" s="80">
        <v>4</v>
      </c>
      <c r="B7" s="78" t="s">
        <v>25</v>
      </c>
      <c r="C7" s="78" t="s">
        <v>57</v>
      </c>
      <c r="D7" s="105" t="s">
        <v>15</v>
      </c>
      <c r="E7" s="105" t="s">
        <v>15</v>
      </c>
      <c r="F7" s="105"/>
      <c r="G7" s="105"/>
      <c r="H7" s="33"/>
      <c r="I7" s="5"/>
      <c r="J7" s="5"/>
      <c r="K7" s="6"/>
      <c r="L7" s="9" t="s">
        <v>49</v>
      </c>
    </row>
    <row r="8" spans="1:12" ht="84" customHeight="1" x14ac:dyDescent="0.25">
      <c r="A8" s="80">
        <v>5</v>
      </c>
      <c r="B8" s="78" t="s">
        <v>42</v>
      </c>
      <c r="C8" s="78" t="s">
        <v>57</v>
      </c>
      <c r="D8" s="105"/>
      <c r="E8" s="105" t="s">
        <v>43</v>
      </c>
      <c r="F8" s="105" t="s">
        <v>44</v>
      </c>
      <c r="G8" s="105"/>
      <c r="H8" s="33"/>
      <c r="I8" s="5" t="s">
        <v>5</v>
      </c>
      <c r="J8" s="5" t="s">
        <v>46</v>
      </c>
      <c r="K8" s="6">
        <v>0.15</v>
      </c>
      <c r="L8" s="9" t="s">
        <v>50</v>
      </c>
    </row>
    <row r="9" spans="1:12" ht="99" x14ac:dyDescent="0.25">
      <c r="A9" s="80">
        <v>6</v>
      </c>
      <c r="B9" s="78" t="s">
        <v>40</v>
      </c>
      <c r="C9" s="78" t="s">
        <v>57</v>
      </c>
      <c r="D9" s="105">
        <v>30303</v>
      </c>
      <c r="E9" s="106" t="s">
        <v>73</v>
      </c>
      <c r="F9" s="105" t="s">
        <v>74</v>
      </c>
      <c r="G9" s="105"/>
      <c r="H9" s="33"/>
      <c r="I9" s="5" t="s">
        <v>5</v>
      </c>
      <c r="J9" s="5" t="s">
        <v>46</v>
      </c>
      <c r="K9" s="6">
        <v>7.0000000000000007E-2</v>
      </c>
      <c r="L9" s="9" t="s">
        <v>54</v>
      </c>
    </row>
    <row r="10" spans="1:12" ht="58.5" customHeight="1" x14ac:dyDescent="0.25">
      <c r="A10" s="89">
        <v>7</v>
      </c>
      <c r="B10" s="90" t="s">
        <v>51</v>
      </c>
      <c r="C10" s="90" t="s">
        <v>57</v>
      </c>
      <c r="D10" s="107" t="s">
        <v>15</v>
      </c>
      <c r="E10" s="108" t="s">
        <v>52</v>
      </c>
      <c r="F10" s="107"/>
      <c r="G10" s="109"/>
      <c r="H10" s="93"/>
      <c r="I10" s="93"/>
      <c r="J10" s="93" t="s">
        <v>55</v>
      </c>
      <c r="K10" s="94">
        <v>1</v>
      </c>
      <c r="L10" s="95" t="s">
        <v>36</v>
      </c>
    </row>
    <row r="11" spans="1:12" ht="82.5" customHeight="1" x14ac:dyDescent="0.25">
      <c r="A11" s="80">
        <v>8</v>
      </c>
      <c r="B11" s="96" t="s">
        <v>59</v>
      </c>
      <c r="C11" s="96" t="s">
        <v>58</v>
      </c>
      <c r="D11" s="53">
        <v>29935</v>
      </c>
      <c r="E11" s="104" t="s">
        <v>73</v>
      </c>
      <c r="F11" s="53"/>
      <c r="G11" s="104"/>
      <c r="H11" s="97"/>
      <c r="I11" s="97" t="s">
        <v>8</v>
      </c>
      <c r="J11" s="5" t="s">
        <v>46</v>
      </c>
      <c r="K11" s="6">
        <v>0.05</v>
      </c>
      <c r="L11" s="98" t="s">
        <v>5</v>
      </c>
    </row>
    <row r="12" spans="1:12" ht="82.5" customHeight="1" x14ac:dyDescent="0.25">
      <c r="A12" s="80">
        <v>9</v>
      </c>
      <c r="B12" s="96" t="s">
        <v>62</v>
      </c>
      <c r="C12" s="96" t="s">
        <v>63</v>
      </c>
      <c r="D12" s="53">
        <v>29889</v>
      </c>
      <c r="E12" s="104"/>
      <c r="F12" s="53"/>
      <c r="G12" s="104"/>
      <c r="H12" s="97"/>
      <c r="I12" s="97"/>
      <c r="J12" s="5" t="s">
        <v>46</v>
      </c>
      <c r="K12" s="6">
        <v>0</v>
      </c>
      <c r="L12" s="98" t="s">
        <v>8</v>
      </c>
    </row>
    <row r="13" spans="1:12" ht="82.5" customHeight="1" x14ac:dyDescent="0.25">
      <c r="A13" s="80">
        <v>10</v>
      </c>
      <c r="B13" s="96" t="s">
        <v>64</v>
      </c>
      <c r="C13" s="96" t="s">
        <v>63</v>
      </c>
      <c r="D13" s="53">
        <v>29087</v>
      </c>
      <c r="E13" s="104" t="s">
        <v>61</v>
      </c>
      <c r="F13" s="53" t="s">
        <v>68</v>
      </c>
      <c r="G13" s="104"/>
      <c r="H13" s="97"/>
      <c r="I13" s="97" t="s">
        <v>5</v>
      </c>
      <c r="J13" s="5" t="s">
        <v>46</v>
      </c>
      <c r="K13" s="6">
        <v>7.0000000000000007E-2</v>
      </c>
      <c r="L13" s="98" t="s">
        <v>5</v>
      </c>
    </row>
    <row r="14" spans="1:12" ht="82.5" customHeight="1" x14ac:dyDescent="0.25">
      <c r="A14" s="89">
        <v>11</v>
      </c>
      <c r="B14" s="99" t="s">
        <v>65</v>
      </c>
      <c r="C14" s="96" t="s">
        <v>58</v>
      </c>
      <c r="D14" s="53">
        <v>30416</v>
      </c>
      <c r="E14" s="104" t="s">
        <v>73</v>
      </c>
      <c r="F14" s="53" t="s">
        <v>75</v>
      </c>
      <c r="G14" s="104"/>
      <c r="H14" s="97"/>
      <c r="I14" s="97" t="s">
        <v>5</v>
      </c>
      <c r="J14" s="5" t="s">
        <v>46</v>
      </c>
      <c r="K14" s="6">
        <v>0.1</v>
      </c>
      <c r="L14" s="98" t="s">
        <v>54</v>
      </c>
    </row>
    <row r="15" spans="1:12" ht="79.5" customHeight="1" x14ac:dyDescent="0.25">
      <c r="A15" s="80">
        <v>12</v>
      </c>
      <c r="B15" s="100" t="s">
        <v>66</v>
      </c>
      <c r="C15" s="96" t="s">
        <v>58</v>
      </c>
      <c r="D15" s="104" t="s">
        <v>67</v>
      </c>
      <c r="E15" s="104" t="s">
        <v>73</v>
      </c>
      <c r="F15" s="53" t="s">
        <v>75</v>
      </c>
      <c r="G15" s="104"/>
      <c r="H15" s="97"/>
      <c r="I15" s="97"/>
      <c r="J15" s="5" t="s">
        <v>46</v>
      </c>
      <c r="K15" s="6">
        <v>0.03</v>
      </c>
      <c r="L15" s="98" t="s">
        <v>5</v>
      </c>
    </row>
    <row r="16" spans="1:12" ht="99" x14ac:dyDescent="0.25">
      <c r="A16" s="80">
        <v>13</v>
      </c>
      <c r="B16" s="100" t="s">
        <v>69</v>
      </c>
      <c r="C16" s="96" t="s">
        <v>71</v>
      </c>
      <c r="D16" s="97">
        <v>30247</v>
      </c>
      <c r="E16" s="97" t="s">
        <v>72</v>
      </c>
      <c r="F16" s="11"/>
      <c r="G16" s="97"/>
      <c r="H16" s="97"/>
      <c r="I16" s="97"/>
      <c r="J16" s="5" t="s">
        <v>46</v>
      </c>
      <c r="K16" s="6">
        <v>0</v>
      </c>
      <c r="L16" s="98" t="s">
        <v>8</v>
      </c>
    </row>
    <row r="17" spans="1:12" ht="99" x14ac:dyDescent="0.25">
      <c r="A17" s="80">
        <v>14</v>
      </c>
      <c r="B17" s="100" t="s">
        <v>70</v>
      </c>
      <c r="C17" s="96" t="s">
        <v>71</v>
      </c>
      <c r="D17" s="97">
        <v>30278</v>
      </c>
      <c r="E17" s="97" t="s">
        <v>72</v>
      </c>
      <c r="F17" s="11"/>
      <c r="G17" s="97"/>
      <c r="H17" s="97"/>
      <c r="I17" s="97"/>
      <c r="J17" s="5" t="s">
        <v>46</v>
      </c>
      <c r="K17" s="6">
        <v>0</v>
      </c>
      <c r="L17" s="98" t="s">
        <v>8</v>
      </c>
    </row>
    <row r="18" spans="1:12" ht="19.5" x14ac:dyDescent="0.25">
      <c r="A18" s="80">
        <v>15</v>
      </c>
      <c r="B18" s="100"/>
      <c r="C18" s="96"/>
      <c r="D18" s="97"/>
      <c r="E18" s="97"/>
      <c r="F18" s="11"/>
      <c r="G18" s="97"/>
      <c r="H18" s="97"/>
      <c r="I18" s="97"/>
      <c r="J18" s="5"/>
      <c r="K18" s="6"/>
      <c r="L18" s="98"/>
    </row>
  </sheetData>
  <mergeCells count="1">
    <mergeCell ref="A1:I2"/>
  </mergeCells>
  <phoneticPr fontId="14" type="noConversion"/>
  <printOptions horizontalCentered="1" verticalCentered="1"/>
  <pageMargins left="0" right="0" top="0" bottom="0" header="0" footer="0"/>
  <pageSetup scale="6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1885-32A1-4633-961B-49638CE83A42}">
  <sheetPr>
    <pageSetUpPr fitToPage="1"/>
  </sheetPr>
  <dimension ref="A1:L18"/>
  <sheetViews>
    <sheetView rightToLeft="1" view="pageLayout" topLeftCell="A8" zoomScaleNormal="100" workbookViewId="0">
      <selection activeCell="K3" sqref="K3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customWidth="1"/>
    <col min="12" max="12" width="11.28515625" customWidth="1"/>
  </cols>
  <sheetData>
    <row r="1" spans="1:12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57">
        <v>1405</v>
      </c>
      <c r="L1" s="24"/>
    </row>
    <row r="2" spans="1:12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">
        <v>17</v>
      </c>
      <c r="L2" s="25"/>
    </row>
    <row r="3" spans="1:12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47</v>
      </c>
      <c r="J3" s="28" t="s">
        <v>48</v>
      </c>
      <c r="K3" s="23" t="s">
        <v>19</v>
      </c>
      <c r="L3" s="31" t="s">
        <v>11</v>
      </c>
    </row>
    <row r="4" spans="1:12" ht="72" customHeight="1" x14ac:dyDescent="0.25">
      <c r="A4" s="80">
        <v>1</v>
      </c>
      <c r="B4" s="77" t="s">
        <v>12</v>
      </c>
      <c r="C4" s="77" t="s">
        <v>57</v>
      </c>
      <c r="D4" s="101" t="s">
        <v>15</v>
      </c>
      <c r="E4" s="102" t="s">
        <v>18</v>
      </c>
      <c r="F4" s="101"/>
      <c r="G4" s="103"/>
      <c r="H4" s="16"/>
      <c r="I4" s="17"/>
      <c r="J4" s="17"/>
      <c r="K4" s="18"/>
      <c r="L4" s="19" t="s">
        <v>49</v>
      </c>
    </row>
    <row r="5" spans="1:12" ht="72" customHeight="1" x14ac:dyDescent="0.25">
      <c r="A5" s="80">
        <v>2</v>
      </c>
      <c r="B5" s="78" t="s">
        <v>13</v>
      </c>
      <c r="C5" s="78" t="s">
        <v>57</v>
      </c>
      <c r="D5" s="53" t="s">
        <v>15</v>
      </c>
      <c r="E5" s="53" t="s">
        <v>17</v>
      </c>
      <c r="F5" s="104" t="s">
        <v>29</v>
      </c>
      <c r="G5" s="104"/>
      <c r="H5" s="8"/>
      <c r="I5" s="2" t="s">
        <v>10</v>
      </c>
      <c r="J5" s="2" t="s">
        <v>53</v>
      </c>
      <c r="K5" s="6">
        <v>0.87</v>
      </c>
      <c r="L5" s="9" t="s">
        <v>54</v>
      </c>
    </row>
    <row r="6" spans="1:12" ht="72" customHeight="1" x14ac:dyDescent="0.25">
      <c r="A6" s="80">
        <v>3</v>
      </c>
      <c r="B6" s="77" t="s">
        <v>14</v>
      </c>
      <c r="C6" s="77" t="s">
        <v>57</v>
      </c>
      <c r="D6" s="101" t="s">
        <v>15</v>
      </c>
      <c r="E6" s="101" t="s">
        <v>15</v>
      </c>
      <c r="F6" s="101" t="s">
        <v>72</v>
      </c>
      <c r="G6" s="101"/>
      <c r="H6" s="16"/>
      <c r="I6" s="17"/>
      <c r="J6" s="17"/>
      <c r="K6" s="18"/>
      <c r="L6" s="9" t="s">
        <v>49</v>
      </c>
    </row>
    <row r="7" spans="1:12" ht="72" customHeight="1" x14ac:dyDescent="0.25">
      <c r="A7" s="80">
        <v>4</v>
      </c>
      <c r="B7" s="78" t="s">
        <v>25</v>
      </c>
      <c r="C7" s="78" t="s">
        <v>57</v>
      </c>
      <c r="D7" s="105" t="s">
        <v>15</v>
      </c>
      <c r="E7" s="105" t="s">
        <v>15</v>
      </c>
      <c r="F7" s="105"/>
      <c r="G7" s="105"/>
      <c r="H7" s="33"/>
      <c r="I7" s="5"/>
      <c r="J7" s="5"/>
      <c r="K7" s="6"/>
      <c r="L7" s="9" t="s">
        <v>49</v>
      </c>
    </row>
    <row r="8" spans="1:12" ht="84" customHeight="1" x14ac:dyDescent="0.25">
      <c r="A8" s="80">
        <v>5</v>
      </c>
      <c r="B8" s="78" t="s">
        <v>42</v>
      </c>
      <c r="C8" s="78" t="s">
        <v>57</v>
      </c>
      <c r="D8" s="105"/>
      <c r="E8" s="105" t="s">
        <v>43</v>
      </c>
      <c r="F8" s="105" t="s">
        <v>44</v>
      </c>
      <c r="G8" s="105"/>
      <c r="H8" s="33"/>
      <c r="I8" s="5" t="s">
        <v>77</v>
      </c>
      <c r="J8" s="5" t="s">
        <v>46</v>
      </c>
      <c r="K8" s="6">
        <v>0.2</v>
      </c>
      <c r="L8" s="9" t="s">
        <v>76</v>
      </c>
    </row>
    <row r="9" spans="1:12" ht="99" x14ac:dyDescent="0.25">
      <c r="A9" s="80">
        <v>6</v>
      </c>
      <c r="B9" s="78" t="s">
        <v>40</v>
      </c>
      <c r="C9" s="78" t="s">
        <v>57</v>
      </c>
      <c r="D9" s="105">
        <v>30303</v>
      </c>
      <c r="E9" s="106" t="s">
        <v>73</v>
      </c>
      <c r="F9" s="105" t="s">
        <v>74</v>
      </c>
      <c r="G9" s="105"/>
      <c r="H9" s="33"/>
      <c r="I9" s="5" t="s">
        <v>77</v>
      </c>
      <c r="J9" s="5" t="s">
        <v>46</v>
      </c>
      <c r="K9" s="6">
        <v>0.12</v>
      </c>
      <c r="L9" s="9" t="s">
        <v>76</v>
      </c>
    </row>
    <row r="10" spans="1:12" ht="58.5" customHeight="1" x14ac:dyDescent="0.25">
      <c r="A10" s="89">
        <v>7</v>
      </c>
      <c r="B10" s="90" t="s">
        <v>51</v>
      </c>
      <c r="C10" s="90" t="s">
        <v>57</v>
      </c>
      <c r="D10" s="107" t="s">
        <v>15</v>
      </c>
      <c r="E10" s="108" t="s">
        <v>52</v>
      </c>
      <c r="F10" s="107"/>
      <c r="G10" s="109"/>
      <c r="H10" s="93"/>
      <c r="I10" s="93"/>
      <c r="J10" s="93" t="s">
        <v>55</v>
      </c>
      <c r="K10" s="94">
        <v>1</v>
      </c>
      <c r="L10" s="95" t="s">
        <v>36</v>
      </c>
    </row>
    <row r="11" spans="1:12" ht="82.5" customHeight="1" x14ac:dyDescent="0.25">
      <c r="A11" s="80">
        <v>8</v>
      </c>
      <c r="B11" s="96" t="s">
        <v>59</v>
      </c>
      <c r="C11" s="96" t="s">
        <v>58</v>
      </c>
      <c r="D11" s="53">
        <v>29935</v>
      </c>
      <c r="E11" s="104" t="s">
        <v>73</v>
      </c>
      <c r="F11" s="53"/>
      <c r="G11" s="104"/>
      <c r="H11" s="97"/>
      <c r="I11" s="97" t="s">
        <v>5</v>
      </c>
      <c r="J11" s="5" t="s">
        <v>46</v>
      </c>
      <c r="K11" s="6">
        <v>0.15</v>
      </c>
      <c r="L11" s="98" t="s">
        <v>54</v>
      </c>
    </row>
    <row r="12" spans="1:12" ht="82.5" customHeight="1" x14ac:dyDescent="0.25">
      <c r="A12" s="80">
        <v>9</v>
      </c>
      <c r="B12" s="96" t="s">
        <v>62</v>
      </c>
      <c r="C12" s="96" t="s">
        <v>63</v>
      </c>
      <c r="D12" s="53">
        <v>29889</v>
      </c>
      <c r="E12" s="104"/>
      <c r="F12" s="53"/>
      <c r="G12" s="104"/>
      <c r="H12" s="97"/>
      <c r="I12" s="97"/>
      <c r="J12" s="5" t="s">
        <v>46</v>
      </c>
      <c r="K12" s="6">
        <v>0</v>
      </c>
      <c r="L12" s="98" t="s">
        <v>8</v>
      </c>
    </row>
    <row r="13" spans="1:12" ht="82.5" customHeight="1" x14ac:dyDescent="0.25">
      <c r="A13" s="80">
        <v>10</v>
      </c>
      <c r="B13" s="96" t="s">
        <v>64</v>
      </c>
      <c r="C13" s="96" t="s">
        <v>63</v>
      </c>
      <c r="D13" s="53">
        <v>29087</v>
      </c>
      <c r="E13" s="104" t="s">
        <v>61</v>
      </c>
      <c r="F13" s="53" t="s">
        <v>68</v>
      </c>
      <c r="G13" s="104"/>
      <c r="H13" s="97"/>
      <c r="I13" s="97" t="s">
        <v>5</v>
      </c>
      <c r="J13" s="5" t="s">
        <v>46</v>
      </c>
      <c r="K13" s="6">
        <v>0.1</v>
      </c>
      <c r="L13" s="98" t="s">
        <v>50</v>
      </c>
    </row>
    <row r="14" spans="1:12" ht="82.5" customHeight="1" x14ac:dyDescent="0.25">
      <c r="A14" s="89">
        <v>11</v>
      </c>
      <c r="B14" s="99" t="s">
        <v>65</v>
      </c>
      <c r="C14" s="96" t="s">
        <v>58</v>
      </c>
      <c r="D14" s="53">
        <v>30416</v>
      </c>
      <c r="E14" s="104" t="s">
        <v>73</v>
      </c>
      <c r="F14" s="53" t="s">
        <v>75</v>
      </c>
      <c r="G14" s="104"/>
      <c r="H14" s="97"/>
      <c r="I14" s="97" t="s">
        <v>5</v>
      </c>
      <c r="J14" s="5" t="s">
        <v>46</v>
      </c>
      <c r="K14" s="6">
        <v>0.1</v>
      </c>
      <c r="L14" s="98" t="s">
        <v>54</v>
      </c>
    </row>
    <row r="15" spans="1:12" ht="79.5" customHeight="1" x14ac:dyDescent="0.25">
      <c r="A15" s="80">
        <v>12</v>
      </c>
      <c r="B15" s="100" t="s">
        <v>66</v>
      </c>
      <c r="C15" s="96" t="s">
        <v>58</v>
      </c>
      <c r="D15" s="104" t="s">
        <v>67</v>
      </c>
      <c r="E15" s="104" t="s">
        <v>73</v>
      </c>
      <c r="F15" s="53" t="s">
        <v>75</v>
      </c>
      <c r="G15" s="104"/>
      <c r="H15" s="97"/>
      <c r="I15" s="97"/>
      <c r="J15" s="5" t="s">
        <v>46</v>
      </c>
      <c r="K15" s="6">
        <v>0.05</v>
      </c>
      <c r="L15" s="98" t="s">
        <v>5</v>
      </c>
    </row>
    <row r="16" spans="1:12" ht="99" x14ac:dyDescent="0.25">
      <c r="A16" s="80">
        <v>13</v>
      </c>
      <c r="B16" s="100" t="s">
        <v>69</v>
      </c>
      <c r="C16" s="96" t="s">
        <v>71</v>
      </c>
      <c r="D16" s="97">
        <v>30247</v>
      </c>
      <c r="E16" s="97" t="s">
        <v>72</v>
      </c>
      <c r="F16" s="11"/>
      <c r="G16" s="97"/>
      <c r="H16" s="97"/>
      <c r="I16" s="97"/>
      <c r="J16" s="5" t="s">
        <v>46</v>
      </c>
      <c r="K16" s="6">
        <v>0</v>
      </c>
      <c r="L16" s="98" t="s">
        <v>8</v>
      </c>
    </row>
    <row r="17" spans="1:12" ht="99" x14ac:dyDescent="0.25">
      <c r="A17" s="80">
        <v>14</v>
      </c>
      <c r="B17" s="100" t="s">
        <v>70</v>
      </c>
      <c r="C17" s="96" t="s">
        <v>71</v>
      </c>
      <c r="D17" s="97">
        <v>30278</v>
      </c>
      <c r="E17" s="97" t="s">
        <v>72</v>
      </c>
      <c r="F17" s="11"/>
      <c r="G17" s="97"/>
      <c r="H17" s="97"/>
      <c r="I17" s="97"/>
      <c r="J17" s="5" t="s">
        <v>46</v>
      </c>
      <c r="K17" s="6">
        <v>0</v>
      </c>
      <c r="L17" s="98" t="s">
        <v>8</v>
      </c>
    </row>
    <row r="18" spans="1:12" ht="19.5" x14ac:dyDescent="0.25">
      <c r="A18" s="80">
        <v>15</v>
      </c>
      <c r="B18" s="100"/>
      <c r="C18" s="96"/>
      <c r="D18" s="97"/>
      <c r="E18" s="97"/>
      <c r="F18" s="11"/>
      <c r="G18" s="97"/>
      <c r="H18" s="97"/>
      <c r="I18" s="97"/>
      <c r="J18" s="5"/>
      <c r="K18" s="6"/>
      <c r="L18" s="98"/>
    </row>
  </sheetData>
  <mergeCells count="1">
    <mergeCell ref="A1:I2"/>
  </mergeCells>
  <printOptions horizontalCentered="1" verticalCentered="1"/>
  <pageMargins left="0" right="0" top="0" bottom="0" header="0" footer="0"/>
  <pageSetup scale="6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56FD-2F8F-4EF1-8DC4-779CD55FA537}">
  <sheetPr>
    <pageSetUpPr fitToPage="1"/>
  </sheetPr>
  <dimension ref="A1:L17"/>
  <sheetViews>
    <sheetView rightToLeft="1" view="pageLayout" zoomScaleNormal="100" workbookViewId="0">
      <selection activeCell="K13" sqref="K13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customWidth="1"/>
    <col min="12" max="12" width="11.28515625" customWidth="1"/>
  </cols>
  <sheetData>
    <row r="1" spans="1:12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57">
        <v>1405</v>
      </c>
      <c r="L1" s="24"/>
    </row>
    <row r="2" spans="1:12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">
        <v>18</v>
      </c>
      <c r="L2" s="25"/>
    </row>
    <row r="3" spans="1:12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47</v>
      </c>
      <c r="J3" s="28" t="s">
        <v>48</v>
      </c>
      <c r="K3" s="23" t="s">
        <v>19</v>
      </c>
      <c r="L3" s="31" t="s">
        <v>11</v>
      </c>
    </row>
    <row r="4" spans="1:12" ht="72" customHeight="1" x14ac:dyDescent="0.25">
      <c r="A4" s="80">
        <v>1</v>
      </c>
      <c r="B4" s="77" t="s">
        <v>12</v>
      </c>
      <c r="C4" s="77" t="s">
        <v>57</v>
      </c>
      <c r="D4" s="101" t="s">
        <v>15</v>
      </c>
      <c r="E4" s="102" t="s">
        <v>18</v>
      </c>
      <c r="F4" s="101"/>
      <c r="G4" s="103"/>
      <c r="H4" s="16"/>
      <c r="I4" s="17"/>
      <c r="J4" s="17"/>
      <c r="K4" s="18"/>
      <c r="L4" s="19" t="s">
        <v>49</v>
      </c>
    </row>
    <row r="5" spans="1:12" ht="72" customHeight="1" x14ac:dyDescent="0.25">
      <c r="A5" s="80">
        <v>2</v>
      </c>
      <c r="B5" s="78" t="s">
        <v>13</v>
      </c>
      <c r="C5" s="78" t="s">
        <v>57</v>
      </c>
      <c r="D5" s="53" t="s">
        <v>15</v>
      </c>
      <c r="E5" s="53" t="s">
        <v>17</v>
      </c>
      <c r="F5" s="104" t="s">
        <v>82</v>
      </c>
      <c r="G5" s="104"/>
      <c r="H5" s="8"/>
      <c r="I5" s="2" t="s">
        <v>10</v>
      </c>
      <c r="J5" s="2" t="s">
        <v>80</v>
      </c>
      <c r="K5" s="6">
        <v>0.87</v>
      </c>
      <c r="L5" s="9" t="s">
        <v>54</v>
      </c>
    </row>
    <row r="6" spans="1:12" ht="72" customHeight="1" x14ac:dyDescent="0.25">
      <c r="A6" s="80">
        <v>3</v>
      </c>
      <c r="B6" s="78" t="s">
        <v>25</v>
      </c>
      <c r="C6" s="78" t="s">
        <v>57</v>
      </c>
      <c r="D6" s="105" t="s">
        <v>15</v>
      </c>
      <c r="E6" s="105" t="s">
        <v>15</v>
      </c>
      <c r="F6" s="105"/>
      <c r="G6" s="105"/>
      <c r="H6" s="33"/>
      <c r="I6" s="2" t="s">
        <v>10</v>
      </c>
      <c r="J6" s="2" t="s">
        <v>80</v>
      </c>
      <c r="K6" s="6">
        <v>0.15</v>
      </c>
      <c r="L6" s="9" t="s">
        <v>5</v>
      </c>
    </row>
    <row r="7" spans="1:12" ht="84" customHeight="1" x14ac:dyDescent="0.25">
      <c r="A7" s="80">
        <v>4</v>
      </c>
      <c r="B7" s="78" t="s">
        <v>42</v>
      </c>
      <c r="C7" s="78" t="s">
        <v>57</v>
      </c>
      <c r="D7" s="105"/>
      <c r="E7" s="105" t="s">
        <v>43</v>
      </c>
      <c r="F7" s="105" t="s">
        <v>44</v>
      </c>
      <c r="G7" s="105"/>
      <c r="H7" s="33"/>
      <c r="I7" s="5" t="s">
        <v>77</v>
      </c>
      <c r="J7" s="5" t="s">
        <v>46</v>
      </c>
      <c r="K7" s="6">
        <v>0.3</v>
      </c>
      <c r="L7" s="9" t="s">
        <v>54</v>
      </c>
    </row>
    <row r="8" spans="1:12" ht="49.5" x14ac:dyDescent="0.25">
      <c r="A8" s="80">
        <v>5</v>
      </c>
      <c r="B8" s="78" t="s">
        <v>40</v>
      </c>
      <c r="C8" s="78" t="s">
        <v>57</v>
      </c>
      <c r="D8" s="105">
        <v>30303</v>
      </c>
      <c r="E8" s="106" t="s">
        <v>73</v>
      </c>
      <c r="F8" s="105" t="s">
        <v>74</v>
      </c>
      <c r="G8" s="105"/>
      <c r="H8" s="33"/>
      <c r="I8" s="5" t="s">
        <v>77</v>
      </c>
      <c r="J8" s="5" t="s">
        <v>85</v>
      </c>
      <c r="K8" s="6">
        <v>0.63</v>
      </c>
      <c r="L8" s="9" t="s">
        <v>87</v>
      </c>
    </row>
    <row r="9" spans="1:12" ht="82.5" customHeight="1" x14ac:dyDescent="0.25">
      <c r="A9" s="80">
        <v>6</v>
      </c>
      <c r="B9" s="96" t="s">
        <v>59</v>
      </c>
      <c r="C9" s="96" t="s">
        <v>58</v>
      </c>
      <c r="D9" s="53">
        <v>29935</v>
      </c>
      <c r="E9" s="104" t="s">
        <v>73</v>
      </c>
      <c r="F9" s="53"/>
      <c r="G9" s="104"/>
      <c r="H9" s="97"/>
      <c r="I9" s="5" t="s">
        <v>77</v>
      </c>
      <c r="J9" s="5" t="s">
        <v>86</v>
      </c>
      <c r="K9" s="6">
        <v>0.45</v>
      </c>
      <c r="L9" s="98" t="s">
        <v>54</v>
      </c>
    </row>
    <row r="10" spans="1:12" ht="82.5" customHeight="1" x14ac:dyDescent="0.25">
      <c r="A10" s="80">
        <v>7</v>
      </c>
      <c r="B10" s="96" t="s">
        <v>62</v>
      </c>
      <c r="C10" s="96" t="s">
        <v>63</v>
      </c>
      <c r="D10" s="53">
        <v>29889</v>
      </c>
      <c r="E10" s="104"/>
      <c r="F10" s="53"/>
      <c r="G10" s="104"/>
      <c r="H10" s="97"/>
      <c r="I10" s="97"/>
      <c r="J10" s="5" t="s">
        <v>46</v>
      </c>
      <c r="K10" s="6">
        <v>0</v>
      </c>
      <c r="L10" s="98" t="s">
        <v>8</v>
      </c>
    </row>
    <row r="11" spans="1:12" ht="82.5" customHeight="1" x14ac:dyDescent="0.25">
      <c r="A11" s="80">
        <v>8</v>
      </c>
      <c r="B11" s="96" t="s">
        <v>64</v>
      </c>
      <c r="C11" s="96" t="s">
        <v>63</v>
      </c>
      <c r="D11" s="53">
        <v>29087</v>
      </c>
      <c r="E11" s="104" t="s">
        <v>61</v>
      </c>
      <c r="F11" s="53" t="s">
        <v>68</v>
      </c>
      <c r="G11" s="104"/>
      <c r="H11" s="97"/>
      <c r="I11" s="97" t="s">
        <v>81</v>
      </c>
      <c r="J11" s="5" t="s">
        <v>46</v>
      </c>
      <c r="K11" s="6">
        <v>0.25</v>
      </c>
      <c r="L11" s="98" t="s">
        <v>76</v>
      </c>
    </row>
    <row r="12" spans="1:12" ht="82.5" customHeight="1" x14ac:dyDescent="0.25">
      <c r="A12" s="80">
        <v>9</v>
      </c>
      <c r="B12" s="99" t="s">
        <v>65</v>
      </c>
      <c r="C12" s="96" t="s">
        <v>58</v>
      </c>
      <c r="D12" s="53">
        <v>30416</v>
      </c>
      <c r="E12" s="104" t="s">
        <v>73</v>
      </c>
      <c r="F12" s="53" t="s">
        <v>75</v>
      </c>
      <c r="G12" s="104"/>
      <c r="H12" s="97"/>
      <c r="I12" s="97" t="s">
        <v>89</v>
      </c>
      <c r="J12" s="5" t="s">
        <v>88</v>
      </c>
      <c r="K12" s="6">
        <v>0.89</v>
      </c>
      <c r="L12" s="98" t="s">
        <v>54</v>
      </c>
    </row>
    <row r="13" spans="1:12" ht="79.5" customHeight="1" x14ac:dyDescent="0.25">
      <c r="A13" s="80">
        <v>10</v>
      </c>
      <c r="B13" s="100" t="s">
        <v>66</v>
      </c>
      <c r="C13" s="96" t="s">
        <v>58</v>
      </c>
      <c r="D13" s="104" t="s">
        <v>67</v>
      </c>
      <c r="E13" s="104" t="s">
        <v>73</v>
      </c>
      <c r="F13" s="53" t="s">
        <v>75</v>
      </c>
      <c r="G13" s="104"/>
      <c r="H13" s="97"/>
      <c r="I13" s="97" t="s">
        <v>84</v>
      </c>
      <c r="J13" s="5" t="s">
        <v>83</v>
      </c>
      <c r="K13" s="6">
        <v>0.45</v>
      </c>
      <c r="L13" s="98" t="s">
        <v>50</v>
      </c>
    </row>
    <row r="14" spans="1:12" ht="99" x14ac:dyDescent="0.25">
      <c r="A14" s="80">
        <v>11</v>
      </c>
      <c r="B14" s="100" t="s">
        <v>69</v>
      </c>
      <c r="C14" s="96" t="s">
        <v>71</v>
      </c>
      <c r="D14" s="97">
        <v>30247</v>
      </c>
      <c r="E14" s="97"/>
      <c r="F14" s="11"/>
      <c r="G14" s="97"/>
      <c r="H14" s="97"/>
      <c r="I14" s="97"/>
      <c r="J14" s="5" t="s">
        <v>46</v>
      </c>
      <c r="K14" s="6">
        <v>0</v>
      </c>
      <c r="L14" s="98" t="s">
        <v>8</v>
      </c>
    </row>
    <row r="15" spans="1:12" ht="99" x14ac:dyDescent="0.25">
      <c r="A15" s="80">
        <v>12</v>
      </c>
      <c r="B15" s="100" t="s">
        <v>70</v>
      </c>
      <c r="C15" s="96" t="s">
        <v>71</v>
      </c>
      <c r="D15" s="97">
        <v>30278</v>
      </c>
      <c r="E15" s="97"/>
      <c r="F15" s="11"/>
      <c r="G15" s="97"/>
      <c r="H15" s="97"/>
      <c r="I15" s="97"/>
      <c r="J15" s="5" t="s">
        <v>46</v>
      </c>
      <c r="K15" s="6">
        <v>0</v>
      </c>
      <c r="L15" s="98" t="s">
        <v>8</v>
      </c>
    </row>
    <row r="16" spans="1:12" ht="90" customHeight="1" x14ac:dyDescent="0.25">
      <c r="A16" s="80">
        <v>13</v>
      </c>
      <c r="B16" s="90" t="s">
        <v>79</v>
      </c>
      <c r="C16" s="90" t="s">
        <v>57</v>
      </c>
      <c r="D16" s="107" t="s">
        <v>15</v>
      </c>
      <c r="E16" s="108"/>
      <c r="F16" s="11"/>
      <c r="G16" s="97"/>
      <c r="H16" s="97"/>
      <c r="I16" s="97"/>
      <c r="J16" s="5" t="s">
        <v>46</v>
      </c>
      <c r="K16" s="6">
        <v>0</v>
      </c>
      <c r="L16" s="98" t="s">
        <v>8</v>
      </c>
    </row>
    <row r="17" spans="1:12" ht="86.25" customHeight="1" x14ac:dyDescent="0.25">
      <c r="A17" s="80">
        <v>14</v>
      </c>
      <c r="B17" s="96" t="s">
        <v>78</v>
      </c>
      <c r="C17" s="96" t="s">
        <v>57</v>
      </c>
      <c r="D17" s="53" t="s">
        <v>15</v>
      </c>
      <c r="E17" s="110"/>
      <c r="F17" s="11"/>
      <c r="G17" s="97"/>
      <c r="H17" s="97"/>
      <c r="I17" s="97"/>
      <c r="J17" s="5" t="s">
        <v>46</v>
      </c>
      <c r="K17" s="6">
        <v>0</v>
      </c>
      <c r="L17" s="98" t="s">
        <v>8</v>
      </c>
    </row>
  </sheetData>
  <mergeCells count="1">
    <mergeCell ref="A1:I2"/>
  </mergeCells>
  <printOptions horizontalCentered="1" verticalCentered="1"/>
  <pageMargins left="0" right="0" top="0" bottom="0" header="0" footer="0"/>
  <pageSetup scale="6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1D41-5DA1-4BD9-933B-2FCB2F00834E}">
  <sheetPr>
    <pageSetUpPr fitToPage="1"/>
  </sheetPr>
  <dimension ref="A1:L17"/>
  <sheetViews>
    <sheetView rightToLeft="1" view="pageLayout" topLeftCell="A7" zoomScaleNormal="100" workbookViewId="0">
      <selection activeCell="K3" sqref="K3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customWidth="1"/>
    <col min="12" max="12" width="11.28515625" customWidth="1"/>
  </cols>
  <sheetData>
    <row r="1" spans="1:12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57">
        <v>1405</v>
      </c>
      <c r="L1" s="24"/>
    </row>
    <row r="2" spans="1:12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">
        <v>19</v>
      </c>
      <c r="L2" s="25"/>
    </row>
    <row r="3" spans="1:12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47</v>
      </c>
      <c r="J3" s="28" t="s">
        <v>48</v>
      </c>
      <c r="K3" s="23" t="s">
        <v>19</v>
      </c>
      <c r="L3" s="31" t="s">
        <v>11</v>
      </c>
    </row>
    <row r="4" spans="1:12" ht="72" customHeight="1" x14ac:dyDescent="0.25">
      <c r="A4" s="80">
        <v>1</v>
      </c>
      <c r="B4" s="77" t="s">
        <v>12</v>
      </c>
      <c r="C4" s="77" t="s">
        <v>57</v>
      </c>
      <c r="D4" s="101" t="s">
        <v>15</v>
      </c>
      <c r="E4" s="102" t="s">
        <v>18</v>
      </c>
      <c r="F4" s="101"/>
      <c r="G4" s="103"/>
      <c r="H4" s="16"/>
      <c r="I4" s="17"/>
      <c r="J4" s="17"/>
      <c r="K4" s="18"/>
      <c r="L4" s="19" t="s">
        <v>49</v>
      </c>
    </row>
    <row r="5" spans="1:12" ht="72" customHeight="1" x14ac:dyDescent="0.25">
      <c r="A5" s="80">
        <v>2</v>
      </c>
      <c r="B5" s="78" t="s">
        <v>13</v>
      </c>
      <c r="C5" s="78" t="s">
        <v>57</v>
      </c>
      <c r="D5" s="53" t="s">
        <v>15</v>
      </c>
      <c r="E5" s="53" t="s">
        <v>17</v>
      </c>
      <c r="F5" s="104" t="s">
        <v>82</v>
      </c>
      <c r="G5" s="104"/>
      <c r="H5" s="8"/>
      <c r="I5" s="2" t="s">
        <v>10</v>
      </c>
      <c r="J5" s="2" t="s">
        <v>80</v>
      </c>
      <c r="K5" s="6">
        <v>0.87</v>
      </c>
      <c r="L5" s="9" t="s">
        <v>54</v>
      </c>
    </row>
    <row r="6" spans="1:12" ht="72" customHeight="1" x14ac:dyDescent="0.25">
      <c r="A6" s="80">
        <v>3</v>
      </c>
      <c r="B6" s="78" t="s">
        <v>25</v>
      </c>
      <c r="C6" s="78" t="s">
        <v>57</v>
      </c>
      <c r="D6" s="105" t="s">
        <v>15</v>
      </c>
      <c r="E6" s="105" t="s">
        <v>15</v>
      </c>
      <c r="F6" s="105"/>
      <c r="G6" s="105"/>
      <c r="H6" s="33"/>
      <c r="I6" s="2" t="s">
        <v>10</v>
      </c>
      <c r="J6" s="2" t="s">
        <v>80</v>
      </c>
      <c r="K6" s="6">
        <v>0.15</v>
      </c>
      <c r="L6" s="9" t="s">
        <v>5</v>
      </c>
    </row>
    <row r="7" spans="1:12" ht="84" customHeight="1" x14ac:dyDescent="0.25">
      <c r="A7" s="80">
        <v>4</v>
      </c>
      <c r="B7" s="78" t="s">
        <v>42</v>
      </c>
      <c r="C7" s="78" t="s">
        <v>57</v>
      </c>
      <c r="D7" s="105"/>
      <c r="E7" s="105" t="s">
        <v>43</v>
      </c>
      <c r="F7" s="105" t="s">
        <v>44</v>
      </c>
      <c r="G7" s="105"/>
      <c r="H7" s="33"/>
      <c r="I7" s="5" t="s">
        <v>77</v>
      </c>
      <c r="J7" s="5" t="s">
        <v>46</v>
      </c>
      <c r="K7" s="6">
        <v>0.3</v>
      </c>
      <c r="L7" s="9" t="s">
        <v>54</v>
      </c>
    </row>
    <row r="8" spans="1:12" ht="49.5" x14ac:dyDescent="0.25">
      <c r="A8" s="80">
        <v>5</v>
      </c>
      <c r="B8" s="78" t="s">
        <v>40</v>
      </c>
      <c r="C8" s="78" t="s">
        <v>57</v>
      </c>
      <c r="D8" s="105">
        <v>30303</v>
      </c>
      <c r="E8" s="106" t="s">
        <v>73</v>
      </c>
      <c r="F8" s="105" t="s">
        <v>74</v>
      </c>
      <c r="G8" s="105"/>
      <c r="H8" s="33"/>
      <c r="I8" s="5" t="s">
        <v>77</v>
      </c>
      <c r="J8" s="5" t="s">
        <v>85</v>
      </c>
      <c r="K8" s="6">
        <v>0.63</v>
      </c>
      <c r="L8" s="9" t="s">
        <v>87</v>
      </c>
    </row>
    <row r="9" spans="1:12" ht="82.5" customHeight="1" x14ac:dyDescent="0.25">
      <c r="A9" s="80">
        <v>6</v>
      </c>
      <c r="B9" s="96" t="s">
        <v>59</v>
      </c>
      <c r="C9" s="96" t="s">
        <v>58</v>
      </c>
      <c r="D9" s="53">
        <v>29935</v>
      </c>
      <c r="E9" s="104" t="s">
        <v>73</v>
      </c>
      <c r="F9" s="53"/>
      <c r="G9" s="104"/>
      <c r="H9" s="97"/>
      <c r="I9" s="5" t="s">
        <v>77</v>
      </c>
      <c r="J9" s="5" t="s">
        <v>86</v>
      </c>
      <c r="K9" s="6">
        <v>0.45</v>
      </c>
      <c r="L9" s="98" t="s">
        <v>54</v>
      </c>
    </row>
    <row r="10" spans="1:12" ht="82.5" customHeight="1" x14ac:dyDescent="0.25">
      <c r="A10" s="80">
        <v>7</v>
      </c>
      <c r="B10" s="96" t="s">
        <v>62</v>
      </c>
      <c r="C10" s="96" t="s">
        <v>63</v>
      </c>
      <c r="D10" s="53">
        <v>29889</v>
      </c>
      <c r="E10" s="104"/>
      <c r="F10" s="53"/>
      <c r="G10" s="104"/>
      <c r="H10" s="97"/>
      <c r="I10" s="97"/>
      <c r="J10" s="5" t="s">
        <v>46</v>
      </c>
      <c r="K10" s="6">
        <v>0</v>
      </c>
      <c r="L10" s="98" t="s">
        <v>8</v>
      </c>
    </row>
    <row r="11" spans="1:12" ht="82.5" customHeight="1" x14ac:dyDescent="0.25">
      <c r="A11" s="80">
        <v>8</v>
      </c>
      <c r="B11" s="96" t="s">
        <v>64</v>
      </c>
      <c r="C11" s="96" t="s">
        <v>63</v>
      </c>
      <c r="D11" s="53">
        <v>29087</v>
      </c>
      <c r="E11" s="104" t="s">
        <v>61</v>
      </c>
      <c r="F11" s="53" t="s">
        <v>68</v>
      </c>
      <c r="G11" s="104"/>
      <c r="H11" s="97"/>
      <c r="I11" s="97" t="s">
        <v>81</v>
      </c>
      <c r="J11" s="5" t="s">
        <v>46</v>
      </c>
      <c r="K11" s="6">
        <v>0.25</v>
      </c>
      <c r="L11" s="98" t="s">
        <v>76</v>
      </c>
    </row>
    <row r="12" spans="1:12" ht="82.5" customHeight="1" x14ac:dyDescent="0.25">
      <c r="A12" s="80">
        <v>9</v>
      </c>
      <c r="B12" s="99" t="s">
        <v>65</v>
      </c>
      <c r="C12" s="96" t="s">
        <v>58</v>
      </c>
      <c r="D12" s="53">
        <v>30416</v>
      </c>
      <c r="E12" s="104" t="s">
        <v>73</v>
      </c>
      <c r="F12" s="53" t="s">
        <v>75</v>
      </c>
      <c r="G12" s="104"/>
      <c r="H12" s="97"/>
      <c r="I12" s="97" t="s">
        <v>89</v>
      </c>
      <c r="J12" s="5" t="s">
        <v>88</v>
      </c>
      <c r="K12" s="6">
        <v>0.89</v>
      </c>
      <c r="L12" s="98" t="s">
        <v>54</v>
      </c>
    </row>
    <row r="13" spans="1:12" ht="79.5" customHeight="1" x14ac:dyDescent="0.25">
      <c r="A13" s="80">
        <v>10</v>
      </c>
      <c r="B13" s="100" t="s">
        <v>66</v>
      </c>
      <c r="C13" s="96" t="s">
        <v>58</v>
      </c>
      <c r="D13" s="104" t="s">
        <v>67</v>
      </c>
      <c r="E13" s="104" t="s">
        <v>73</v>
      </c>
      <c r="F13" s="53" t="s">
        <v>75</v>
      </c>
      <c r="G13" s="104"/>
      <c r="H13" s="97"/>
      <c r="I13" s="97" t="s">
        <v>84</v>
      </c>
      <c r="J13" s="5" t="s">
        <v>83</v>
      </c>
      <c r="K13" s="6">
        <v>0.45</v>
      </c>
      <c r="L13" s="98" t="s">
        <v>50</v>
      </c>
    </row>
    <row r="14" spans="1:12" ht="99" x14ac:dyDescent="0.25">
      <c r="A14" s="80">
        <v>11</v>
      </c>
      <c r="B14" s="100" t="s">
        <v>69</v>
      </c>
      <c r="C14" s="96" t="s">
        <v>71</v>
      </c>
      <c r="D14" s="97">
        <v>30247</v>
      </c>
      <c r="E14" s="97"/>
      <c r="F14" s="11"/>
      <c r="G14" s="97"/>
      <c r="H14" s="97"/>
      <c r="I14" s="97"/>
      <c r="J14" s="5" t="s">
        <v>46</v>
      </c>
      <c r="K14" s="6">
        <v>0</v>
      </c>
      <c r="L14" s="98" t="s">
        <v>8</v>
      </c>
    </row>
    <row r="15" spans="1:12" ht="99" x14ac:dyDescent="0.25">
      <c r="A15" s="80">
        <v>12</v>
      </c>
      <c r="B15" s="100" t="s">
        <v>70</v>
      </c>
      <c r="C15" s="96" t="s">
        <v>71</v>
      </c>
      <c r="D15" s="97">
        <v>30278</v>
      </c>
      <c r="E15" s="97"/>
      <c r="F15" s="11"/>
      <c r="G15" s="97"/>
      <c r="H15" s="97"/>
      <c r="I15" s="97"/>
      <c r="J15" s="5" t="s">
        <v>46</v>
      </c>
      <c r="K15" s="6">
        <v>0</v>
      </c>
      <c r="L15" s="98" t="s">
        <v>8</v>
      </c>
    </row>
    <row r="16" spans="1:12" ht="90" customHeight="1" x14ac:dyDescent="0.25">
      <c r="A16" s="80">
        <v>13</v>
      </c>
      <c r="B16" s="90" t="s">
        <v>79</v>
      </c>
      <c r="C16" s="90" t="s">
        <v>57</v>
      </c>
      <c r="D16" s="107" t="s">
        <v>15</v>
      </c>
      <c r="E16" s="108"/>
      <c r="F16" s="11"/>
      <c r="G16" s="97"/>
      <c r="H16" s="97"/>
      <c r="I16" s="97"/>
      <c r="J16" s="5" t="s">
        <v>46</v>
      </c>
      <c r="K16" s="6">
        <v>0</v>
      </c>
      <c r="L16" s="98" t="s">
        <v>8</v>
      </c>
    </row>
    <row r="17" spans="1:12" ht="86.25" customHeight="1" x14ac:dyDescent="0.25">
      <c r="A17" s="80">
        <v>14</v>
      </c>
      <c r="B17" s="96" t="s">
        <v>78</v>
      </c>
      <c r="C17" s="96" t="s">
        <v>57</v>
      </c>
      <c r="D17" s="53" t="s">
        <v>15</v>
      </c>
      <c r="E17" s="110"/>
      <c r="F17" s="11"/>
      <c r="G17" s="97"/>
      <c r="H17" s="97"/>
      <c r="I17" s="97"/>
      <c r="J17" s="5" t="s">
        <v>46</v>
      </c>
      <c r="K17" s="6">
        <v>0</v>
      </c>
      <c r="L17" s="98" t="s">
        <v>8</v>
      </c>
    </row>
  </sheetData>
  <mergeCells count="1">
    <mergeCell ref="A1:I2"/>
  </mergeCells>
  <printOptions horizontalCentered="1" verticalCentered="1"/>
  <pageMargins left="0" right="0" top="0" bottom="0" header="0" footer="0"/>
  <pageSetup scale="6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2A4E-93F6-4C6A-9F58-AF0CA58AF2CF}">
  <sheetPr>
    <pageSetUpPr fitToPage="1"/>
  </sheetPr>
  <dimension ref="A1:L18"/>
  <sheetViews>
    <sheetView rightToLeft="1" view="pageLayout" topLeftCell="A5" zoomScaleNormal="100" workbookViewId="0">
      <selection activeCell="E12" sqref="E12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customWidth="1"/>
    <col min="12" max="12" width="11.28515625" customWidth="1"/>
  </cols>
  <sheetData>
    <row r="1" spans="1:12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57">
        <v>1405</v>
      </c>
      <c r="L1" s="24"/>
    </row>
    <row r="2" spans="1:12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">
        <v>20</v>
      </c>
      <c r="L2" s="25"/>
    </row>
    <row r="3" spans="1:12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47</v>
      </c>
      <c r="J3" s="28" t="s">
        <v>48</v>
      </c>
      <c r="K3" s="23" t="s">
        <v>19</v>
      </c>
      <c r="L3" s="31" t="s">
        <v>11</v>
      </c>
    </row>
    <row r="4" spans="1:12" ht="72" customHeight="1" x14ac:dyDescent="0.25">
      <c r="A4" s="80">
        <v>1</v>
      </c>
      <c r="B4" s="77" t="s">
        <v>12</v>
      </c>
      <c r="C4" s="77" t="s">
        <v>57</v>
      </c>
      <c r="D4" s="101" t="s">
        <v>15</v>
      </c>
      <c r="E4" s="102" t="s">
        <v>18</v>
      </c>
      <c r="F4" s="101"/>
      <c r="G4" s="103"/>
      <c r="H4" s="16"/>
      <c r="I4" s="17"/>
      <c r="J4" s="17"/>
      <c r="K4" s="18"/>
      <c r="L4" s="19" t="s">
        <v>49</v>
      </c>
    </row>
    <row r="5" spans="1:12" ht="72" customHeight="1" x14ac:dyDescent="0.25">
      <c r="A5" s="80">
        <v>2</v>
      </c>
      <c r="B5" s="78" t="s">
        <v>13</v>
      </c>
      <c r="C5" s="78" t="s">
        <v>57</v>
      </c>
      <c r="D5" s="53" t="s">
        <v>15</v>
      </c>
      <c r="E5" s="53" t="s">
        <v>17</v>
      </c>
      <c r="F5" s="104" t="s">
        <v>82</v>
      </c>
      <c r="G5" s="104"/>
      <c r="H5" s="8"/>
      <c r="I5" s="2" t="s">
        <v>10</v>
      </c>
      <c r="J5" s="2" t="s">
        <v>80</v>
      </c>
      <c r="K5" s="6">
        <v>0.87</v>
      </c>
      <c r="L5" s="9" t="s">
        <v>54</v>
      </c>
    </row>
    <row r="6" spans="1:12" ht="72" customHeight="1" x14ac:dyDescent="0.25">
      <c r="A6" s="80">
        <v>3</v>
      </c>
      <c r="B6" s="78" t="s">
        <v>25</v>
      </c>
      <c r="C6" s="78" t="s">
        <v>57</v>
      </c>
      <c r="D6" s="105" t="s">
        <v>15</v>
      </c>
      <c r="E6" s="105" t="s">
        <v>15</v>
      </c>
      <c r="F6" s="105"/>
      <c r="G6" s="105"/>
      <c r="H6" s="33"/>
      <c r="I6" s="2" t="s">
        <v>10</v>
      </c>
      <c r="J6" s="2" t="s">
        <v>80</v>
      </c>
      <c r="K6" s="6">
        <v>0.15</v>
      </c>
      <c r="L6" s="9" t="s">
        <v>5</v>
      </c>
    </row>
    <row r="7" spans="1:12" ht="84" customHeight="1" x14ac:dyDescent="0.25">
      <c r="A7" s="80">
        <v>4</v>
      </c>
      <c r="B7" s="78" t="s">
        <v>42</v>
      </c>
      <c r="C7" s="78" t="s">
        <v>57</v>
      </c>
      <c r="D7" s="105"/>
      <c r="E7" s="105" t="s">
        <v>43</v>
      </c>
      <c r="F7" s="105" t="s">
        <v>44</v>
      </c>
      <c r="G7" s="105"/>
      <c r="H7" s="33"/>
      <c r="I7" s="5" t="s">
        <v>77</v>
      </c>
      <c r="J7" s="5" t="s">
        <v>46</v>
      </c>
      <c r="K7" s="6">
        <v>0.3</v>
      </c>
      <c r="L7" s="9" t="s">
        <v>54</v>
      </c>
    </row>
    <row r="8" spans="1:12" ht="43.5" x14ac:dyDescent="0.25">
      <c r="A8" s="80">
        <v>5</v>
      </c>
      <c r="B8" s="78" t="s">
        <v>40</v>
      </c>
      <c r="C8" s="78" t="s">
        <v>57</v>
      </c>
      <c r="D8" s="105">
        <v>30303</v>
      </c>
      <c r="E8" s="106" t="s">
        <v>73</v>
      </c>
      <c r="F8" s="105" t="s">
        <v>74</v>
      </c>
      <c r="G8" s="105"/>
      <c r="H8" s="33"/>
      <c r="I8" s="5" t="s">
        <v>94</v>
      </c>
      <c r="J8" s="5" t="s">
        <v>96</v>
      </c>
      <c r="K8" s="6">
        <v>0.74</v>
      </c>
      <c r="L8" s="9" t="s">
        <v>95</v>
      </c>
    </row>
    <row r="9" spans="1:12" ht="82.5" customHeight="1" x14ac:dyDescent="0.25">
      <c r="A9" s="80">
        <v>6</v>
      </c>
      <c r="B9" s="96" t="s">
        <v>59</v>
      </c>
      <c r="C9" s="96" t="s">
        <v>58</v>
      </c>
      <c r="D9" s="53">
        <v>29935</v>
      </c>
      <c r="E9" s="104" t="s">
        <v>73</v>
      </c>
      <c r="F9" s="53"/>
      <c r="G9" s="104"/>
      <c r="H9" s="97" t="s">
        <v>54</v>
      </c>
      <c r="I9" s="5" t="s">
        <v>77</v>
      </c>
      <c r="J9" s="5" t="s">
        <v>86</v>
      </c>
      <c r="K9" s="6">
        <v>0.45</v>
      </c>
      <c r="L9" s="98" t="s">
        <v>87</v>
      </c>
    </row>
    <row r="10" spans="1:12" ht="82.5" customHeight="1" x14ac:dyDescent="0.25">
      <c r="A10" s="80">
        <v>7</v>
      </c>
      <c r="B10" s="96" t="s">
        <v>62</v>
      </c>
      <c r="C10" s="96" t="s">
        <v>63</v>
      </c>
      <c r="D10" s="53">
        <v>29889</v>
      </c>
      <c r="E10" s="104"/>
      <c r="F10" s="53"/>
      <c r="G10" s="104"/>
      <c r="H10" s="97"/>
      <c r="I10" s="97"/>
      <c r="J10" s="5" t="s">
        <v>46</v>
      </c>
      <c r="K10" s="6">
        <v>0</v>
      </c>
      <c r="L10" s="98" t="s">
        <v>8</v>
      </c>
    </row>
    <row r="11" spans="1:12" ht="82.5" customHeight="1" x14ac:dyDescent="0.25">
      <c r="A11" s="80">
        <v>8</v>
      </c>
      <c r="B11" s="96" t="s">
        <v>64</v>
      </c>
      <c r="C11" s="96" t="s">
        <v>63</v>
      </c>
      <c r="D11" s="53">
        <v>29087</v>
      </c>
      <c r="E11" s="104" t="s">
        <v>61</v>
      </c>
      <c r="F11" s="53" t="s">
        <v>68</v>
      </c>
      <c r="G11" s="104"/>
      <c r="H11" s="97"/>
      <c r="I11" s="97" t="s">
        <v>81</v>
      </c>
      <c r="J11" s="5" t="s">
        <v>46</v>
      </c>
      <c r="K11" s="6">
        <v>0.25</v>
      </c>
      <c r="L11" s="98" t="s">
        <v>76</v>
      </c>
    </row>
    <row r="12" spans="1:12" ht="82.5" customHeight="1" x14ac:dyDescent="0.25">
      <c r="A12" s="80">
        <v>9</v>
      </c>
      <c r="B12" s="99" t="s">
        <v>65</v>
      </c>
      <c r="C12" s="96" t="s">
        <v>58</v>
      </c>
      <c r="D12" s="53">
        <v>30416</v>
      </c>
      <c r="E12" s="104" t="s">
        <v>73</v>
      </c>
      <c r="F12" s="53" t="s">
        <v>75</v>
      </c>
      <c r="G12" s="104"/>
      <c r="H12" s="97"/>
      <c r="I12" s="97" t="s">
        <v>93</v>
      </c>
      <c r="J12" s="5"/>
      <c r="K12" s="6">
        <v>1</v>
      </c>
      <c r="L12" s="98" t="s">
        <v>92</v>
      </c>
    </row>
    <row r="13" spans="1:12" ht="79.5" customHeight="1" x14ac:dyDescent="0.25">
      <c r="A13" s="80">
        <v>10</v>
      </c>
      <c r="B13" s="100" t="s">
        <v>66</v>
      </c>
      <c r="C13" s="96" t="s">
        <v>58</v>
      </c>
      <c r="D13" s="104" t="s">
        <v>67</v>
      </c>
      <c r="E13" s="104" t="s">
        <v>73</v>
      </c>
      <c r="F13" s="53" t="s">
        <v>75</v>
      </c>
      <c r="G13" s="104"/>
      <c r="H13" s="97"/>
      <c r="I13" s="97" t="s">
        <v>84</v>
      </c>
      <c r="J13" s="5" t="s">
        <v>83</v>
      </c>
      <c r="K13" s="6">
        <v>0.45</v>
      </c>
      <c r="L13" s="98" t="s">
        <v>50</v>
      </c>
    </row>
    <row r="14" spans="1:12" ht="99" x14ac:dyDescent="0.25">
      <c r="A14" s="80">
        <v>11</v>
      </c>
      <c r="B14" s="100" t="s">
        <v>69</v>
      </c>
      <c r="C14" s="96" t="s">
        <v>71</v>
      </c>
      <c r="D14" s="97">
        <v>30247</v>
      </c>
      <c r="E14" s="97" t="s">
        <v>90</v>
      </c>
      <c r="F14" s="11" t="s">
        <v>91</v>
      </c>
      <c r="G14" s="97"/>
      <c r="H14" s="97"/>
      <c r="I14" s="97"/>
      <c r="J14" s="5" t="s">
        <v>46</v>
      </c>
      <c r="K14" s="6">
        <v>0.05</v>
      </c>
      <c r="L14" s="98" t="s">
        <v>5</v>
      </c>
    </row>
    <row r="15" spans="1:12" ht="99" x14ac:dyDescent="0.25">
      <c r="A15" s="80">
        <v>12</v>
      </c>
      <c r="B15" s="100" t="s">
        <v>70</v>
      </c>
      <c r="C15" s="96" t="s">
        <v>71</v>
      </c>
      <c r="D15" s="97">
        <v>30278</v>
      </c>
      <c r="E15" s="97" t="s">
        <v>90</v>
      </c>
      <c r="F15" s="11" t="s">
        <v>91</v>
      </c>
      <c r="G15" s="97"/>
      <c r="H15" s="97"/>
      <c r="I15" s="97"/>
      <c r="J15" s="5" t="s">
        <v>46</v>
      </c>
      <c r="K15" s="6">
        <v>0.05</v>
      </c>
      <c r="L15" s="98" t="s">
        <v>5</v>
      </c>
    </row>
    <row r="16" spans="1:12" ht="90" customHeight="1" x14ac:dyDescent="0.25">
      <c r="A16" s="80">
        <v>13</v>
      </c>
      <c r="B16" s="90" t="s">
        <v>79</v>
      </c>
      <c r="C16" s="90" t="s">
        <v>57</v>
      </c>
      <c r="D16" s="107" t="s">
        <v>15</v>
      </c>
      <c r="E16" s="108"/>
      <c r="F16" s="11"/>
      <c r="G16" s="97"/>
      <c r="H16" s="97"/>
      <c r="I16" s="97"/>
      <c r="J16" s="5" t="s">
        <v>46</v>
      </c>
      <c r="K16" s="6">
        <v>0</v>
      </c>
      <c r="L16" s="98" t="s">
        <v>8</v>
      </c>
    </row>
    <row r="17" spans="1:12" ht="86.25" customHeight="1" x14ac:dyDescent="0.25">
      <c r="A17" s="80">
        <v>14</v>
      </c>
      <c r="B17" s="96" t="s">
        <v>78</v>
      </c>
      <c r="C17" s="96" t="s">
        <v>57</v>
      </c>
      <c r="D17" s="53" t="s">
        <v>15</v>
      </c>
      <c r="E17" s="110"/>
      <c r="F17" s="11"/>
      <c r="G17" s="97"/>
      <c r="H17" s="97"/>
      <c r="I17" s="97"/>
      <c r="J17" s="5" t="s">
        <v>46</v>
      </c>
      <c r="K17" s="6">
        <v>0</v>
      </c>
      <c r="L17" s="98" t="s">
        <v>8</v>
      </c>
    </row>
    <row r="18" spans="1:12" x14ac:dyDescent="0.25">
      <c r="B18" s="111"/>
    </row>
  </sheetData>
  <mergeCells count="1">
    <mergeCell ref="A1:I2"/>
  </mergeCells>
  <phoneticPr fontId="14" type="noConversion"/>
  <printOptions horizontalCentered="1" verticalCentered="1"/>
  <pageMargins left="0" right="0" top="0" bottom="0" header="0" footer="0"/>
  <pageSetup scale="6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0115-5BFD-4516-A68F-C3CD569AB503}">
  <sheetPr>
    <pageSetUpPr fitToPage="1"/>
  </sheetPr>
  <dimension ref="A1:L17"/>
  <sheetViews>
    <sheetView rightToLeft="1" showWhiteSpace="0" view="pageLayout" topLeftCell="A6" zoomScaleNormal="100" workbookViewId="0">
      <selection activeCell="B7" sqref="B7:L7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customWidth="1"/>
    <col min="12" max="12" width="11.28515625" customWidth="1"/>
  </cols>
  <sheetData>
    <row r="1" spans="1:12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57">
        <v>1405</v>
      </c>
      <c r="L1" s="24"/>
    </row>
    <row r="2" spans="1:12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">
        <v>21</v>
      </c>
      <c r="L2" s="25"/>
    </row>
    <row r="3" spans="1:12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101</v>
      </c>
      <c r="J3" s="28" t="s">
        <v>102</v>
      </c>
      <c r="K3" s="23" t="s">
        <v>103</v>
      </c>
      <c r="L3" s="31" t="s">
        <v>11</v>
      </c>
    </row>
    <row r="4" spans="1:12" ht="72" customHeight="1" x14ac:dyDescent="0.25">
      <c r="A4" s="80">
        <v>1</v>
      </c>
      <c r="B4" s="78" t="s">
        <v>12</v>
      </c>
      <c r="C4" s="78" t="s">
        <v>57</v>
      </c>
      <c r="D4" s="105" t="s">
        <v>15</v>
      </c>
      <c r="E4" s="112" t="s">
        <v>18</v>
      </c>
      <c r="F4" s="105"/>
      <c r="G4" s="113"/>
      <c r="H4" s="33"/>
      <c r="I4" s="73" t="s">
        <v>10</v>
      </c>
      <c r="J4" s="73" t="s">
        <v>80</v>
      </c>
      <c r="K4" s="6">
        <v>0.25</v>
      </c>
      <c r="L4" s="9" t="s">
        <v>54</v>
      </c>
    </row>
    <row r="5" spans="1:12" ht="72" customHeight="1" x14ac:dyDescent="0.25">
      <c r="A5" s="80">
        <v>2</v>
      </c>
      <c r="B5" s="78" t="s">
        <v>13</v>
      </c>
      <c r="C5" s="78" t="s">
        <v>57</v>
      </c>
      <c r="D5" s="53" t="s">
        <v>15</v>
      </c>
      <c r="E5" s="53" t="s">
        <v>17</v>
      </c>
      <c r="F5" s="104" t="s">
        <v>82</v>
      </c>
      <c r="G5" s="104"/>
      <c r="H5" s="8"/>
      <c r="I5" s="2" t="s">
        <v>10</v>
      </c>
      <c r="J5" s="2" t="s">
        <v>80</v>
      </c>
      <c r="K5" s="6">
        <v>0.9</v>
      </c>
      <c r="L5" s="9" t="s">
        <v>54</v>
      </c>
    </row>
    <row r="6" spans="1:12" ht="72" customHeight="1" x14ac:dyDescent="0.25">
      <c r="A6" s="80">
        <v>3</v>
      </c>
      <c r="B6" s="78" t="s">
        <v>25</v>
      </c>
      <c r="C6" s="78" t="s">
        <v>57</v>
      </c>
      <c r="D6" s="105" t="s">
        <v>15</v>
      </c>
      <c r="E6" s="105" t="s">
        <v>15</v>
      </c>
      <c r="F6" s="105"/>
      <c r="G6" s="105"/>
      <c r="H6" s="33"/>
      <c r="I6" s="2" t="s">
        <v>10</v>
      </c>
      <c r="J6" s="2" t="s">
        <v>80</v>
      </c>
      <c r="K6" s="6">
        <v>0.2</v>
      </c>
      <c r="L6" s="9" t="s">
        <v>5</v>
      </c>
    </row>
    <row r="7" spans="1:12" ht="84" customHeight="1" x14ac:dyDescent="0.25">
      <c r="A7" s="80">
        <v>4</v>
      </c>
      <c r="B7" s="78" t="s">
        <v>42</v>
      </c>
      <c r="C7" s="78" t="s">
        <v>57</v>
      </c>
      <c r="D7" s="105"/>
      <c r="E7" s="105" t="s">
        <v>43</v>
      </c>
      <c r="F7" s="105" t="s">
        <v>44</v>
      </c>
      <c r="G7" s="105"/>
      <c r="H7" s="33"/>
      <c r="I7" s="5" t="s">
        <v>99</v>
      </c>
      <c r="J7" s="5" t="s">
        <v>96</v>
      </c>
      <c r="K7" s="6">
        <v>0.8</v>
      </c>
      <c r="L7" s="9" t="s">
        <v>95</v>
      </c>
    </row>
    <row r="8" spans="1:12" ht="43.5" x14ac:dyDescent="0.25">
      <c r="A8" s="80">
        <v>5</v>
      </c>
      <c r="B8" s="78" t="s">
        <v>40</v>
      </c>
      <c r="C8" s="78" t="s">
        <v>57</v>
      </c>
      <c r="D8" s="105">
        <v>30303</v>
      </c>
      <c r="E8" s="106" t="s">
        <v>73</v>
      </c>
      <c r="F8" s="105" t="s">
        <v>74</v>
      </c>
      <c r="G8" s="105"/>
      <c r="H8" s="33"/>
      <c r="I8" s="5" t="s">
        <v>94</v>
      </c>
      <c r="J8" s="5" t="s">
        <v>96</v>
      </c>
      <c r="K8" s="6">
        <v>0.8</v>
      </c>
      <c r="L8" s="9" t="s">
        <v>95</v>
      </c>
    </row>
    <row r="9" spans="1:12" ht="82.5" customHeight="1" x14ac:dyDescent="0.25">
      <c r="A9" s="80">
        <v>6</v>
      </c>
      <c r="B9" s="96" t="s">
        <v>59</v>
      </c>
      <c r="C9" s="96" t="s">
        <v>58</v>
      </c>
      <c r="D9" s="53">
        <v>29935</v>
      </c>
      <c r="E9" s="104" t="s">
        <v>73</v>
      </c>
      <c r="F9" s="53"/>
      <c r="G9" s="104"/>
      <c r="H9" s="97" t="s">
        <v>54</v>
      </c>
      <c r="I9" s="5" t="s">
        <v>77</v>
      </c>
      <c r="J9" s="5" t="s">
        <v>86</v>
      </c>
      <c r="K9" s="6">
        <v>0.45</v>
      </c>
      <c r="L9" s="98" t="s">
        <v>87</v>
      </c>
    </row>
    <row r="10" spans="1:12" ht="82.5" customHeight="1" x14ac:dyDescent="0.25">
      <c r="A10" s="80">
        <v>7</v>
      </c>
      <c r="B10" s="96" t="s">
        <v>62</v>
      </c>
      <c r="C10" s="96" t="s">
        <v>63</v>
      </c>
      <c r="D10" s="53">
        <v>29889</v>
      </c>
      <c r="E10" s="104"/>
      <c r="F10" s="53"/>
      <c r="G10" s="104"/>
      <c r="H10" s="97"/>
      <c r="I10" s="97"/>
      <c r="J10" s="5" t="s">
        <v>46</v>
      </c>
      <c r="K10" s="6">
        <v>0</v>
      </c>
      <c r="L10" s="98" t="s">
        <v>8</v>
      </c>
    </row>
    <row r="11" spans="1:12" ht="82.5" customHeight="1" x14ac:dyDescent="0.25">
      <c r="A11" s="80">
        <v>8</v>
      </c>
      <c r="B11" s="96" t="s">
        <v>64</v>
      </c>
      <c r="C11" s="96" t="s">
        <v>63</v>
      </c>
      <c r="D11" s="53">
        <v>29087</v>
      </c>
      <c r="E11" s="104" t="s">
        <v>61</v>
      </c>
      <c r="F11" s="53" t="s">
        <v>68</v>
      </c>
      <c r="G11" s="104"/>
      <c r="H11" s="97"/>
      <c r="I11" s="5" t="s">
        <v>99</v>
      </c>
      <c r="J11" s="5" t="s">
        <v>96</v>
      </c>
      <c r="K11" s="6">
        <v>0.8</v>
      </c>
      <c r="L11" s="9" t="s">
        <v>95</v>
      </c>
    </row>
    <row r="12" spans="1:12" ht="79.5" customHeight="1" x14ac:dyDescent="0.25">
      <c r="A12" s="80">
        <v>9</v>
      </c>
      <c r="B12" s="100" t="s">
        <v>66</v>
      </c>
      <c r="C12" s="96" t="s">
        <v>58</v>
      </c>
      <c r="D12" s="104" t="s">
        <v>67</v>
      </c>
      <c r="E12" s="104" t="s">
        <v>73</v>
      </c>
      <c r="F12" s="104" t="s">
        <v>104</v>
      </c>
      <c r="G12" s="104"/>
      <c r="H12" s="97"/>
      <c r="I12" s="97" t="s">
        <v>84</v>
      </c>
      <c r="J12" s="5" t="s">
        <v>105</v>
      </c>
      <c r="K12" s="6">
        <v>0.65</v>
      </c>
      <c r="L12" s="98" t="s">
        <v>87</v>
      </c>
    </row>
    <row r="13" spans="1:12" ht="99" x14ac:dyDescent="0.25">
      <c r="A13" s="80">
        <v>10</v>
      </c>
      <c r="B13" s="100" t="s">
        <v>69</v>
      </c>
      <c r="C13" s="96" t="s">
        <v>71</v>
      </c>
      <c r="D13" s="97">
        <v>30247</v>
      </c>
      <c r="E13" s="97" t="s">
        <v>90</v>
      </c>
      <c r="F13" s="11" t="s">
        <v>91</v>
      </c>
      <c r="G13" s="97"/>
      <c r="H13" s="97"/>
      <c r="I13" s="97"/>
      <c r="J13" s="5" t="s">
        <v>46</v>
      </c>
      <c r="K13" s="6">
        <v>0.05</v>
      </c>
      <c r="L13" s="98" t="s">
        <v>5</v>
      </c>
    </row>
    <row r="14" spans="1:12" ht="99" x14ac:dyDescent="0.25">
      <c r="A14" s="80">
        <v>11</v>
      </c>
      <c r="B14" s="100" t="s">
        <v>70</v>
      </c>
      <c r="C14" s="96" t="s">
        <v>71</v>
      </c>
      <c r="D14" s="97">
        <v>30278</v>
      </c>
      <c r="E14" s="97" t="s">
        <v>90</v>
      </c>
      <c r="F14" s="11" t="s">
        <v>91</v>
      </c>
      <c r="G14" s="97"/>
      <c r="H14" s="97"/>
      <c r="I14" s="97"/>
      <c r="J14" s="5" t="s">
        <v>46</v>
      </c>
      <c r="K14" s="6">
        <v>0.05</v>
      </c>
      <c r="L14" s="98" t="s">
        <v>5</v>
      </c>
    </row>
    <row r="15" spans="1:12" ht="90" customHeight="1" x14ac:dyDescent="0.25">
      <c r="A15" s="80">
        <v>12</v>
      </c>
      <c r="B15" s="90" t="s">
        <v>79</v>
      </c>
      <c r="C15" s="90" t="s">
        <v>57</v>
      </c>
      <c r="D15" s="107" t="s">
        <v>15</v>
      </c>
      <c r="E15" s="110"/>
      <c r="F15" s="11"/>
      <c r="G15" s="97"/>
      <c r="H15" s="97"/>
      <c r="I15" s="97"/>
      <c r="J15" s="5" t="s">
        <v>46</v>
      </c>
      <c r="K15" s="6">
        <v>0</v>
      </c>
      <c r="L15" s="98" t="s">
        <v>8</v>
      </c>
    </row>
    <row r="16" spans="1:12" ht="86.25" customHeight="1" x14ac:dyDescent="0.25">
      <c r="A16" s="80">
        <v>13</v>
      </c>
      <c r="B16" s="96" t="s">
        <v>78</v>
      </c>
      <c r="C16" s="96" t="s">
        <v>57</v>
      </c>
      <c r="D16" s="53" t="s">
        <v>15</v>
      </c>
      <c r="E16" s="110"/>
      <c r="F16" s="11"/>
      <c r="G16" s="97"/>
      <c r="H16" s="97"/>
      <c r="I16" s="97"/>
      <c r="J16" s="5" t="s">
        <v>46</v>
      </c>
      <c r="K16" s="6">
        <v>0</v>
      </c>
      <c r="L16" s="98" t="s">
        <v>8</v>
      </c>
    </row>
    <row r="17" spans="2:2" x14ac:dyDescent="0.25">
      <c r="B17" s="111"/>
    </row>
  </sheetData>
  <mergeCells count="1">
    <mergeCell ref="A1:I2"/>
  </mergeCells>
  <printOptions horizontalCentered="1" verticalCentered="1"/>
  <pageMargins left="0" right="0" top="0" bottom="0" header="0" footer="0"/>
  <pageSetup scale="6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3A32-3C85-4835-ABD6-681CF72FF4F1}">
  <sheetPr>
    <pageSetUpPr fitToPage="1"/>
  </sheetPr>
  <dimension ref="A1:L17"/>
  <sheetViews>
    <sheetView rightToLeft="1" view="pageLayout" zoomScaleNormal="100" workbookViewId="0">
      <selection activeCell="A3" sqref="A3:L16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customWidth="1"/>
    <col min="12" max="12" width="11.28515625" customWidth="1"/>
  </cols>
  <sheetData>
    <row r="1" spans="1:12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57">
        <v>1405</v>
      </c>
      <c r="L1" s="24"/>
    </row>
    <row r="2" spans="1:12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">
        <v>22</v>
      </c>
      <c r="L2" s="25"/>
    </row>
    <row r="3" spans="1:12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101</v>
      </c>
      <c r="J3" s="28" t="s">
        <v>102</v>
      </c>
      <c r="K3" s="23" t="s">
        <v>103</v>
      </c>
      <c r="L3" s="31" t="s">
        <v>11</v>
      </c>
    </row>
    <row r="4" spans="1:12" ht="72" customHeight="1" x14ac:dyDescent="0.25">
      <c r="A4" s="80">
        <v>1</v>
      </c>
      <c r="B4" s="78" t="s">
        <v>12</v>
      </c>
      <c r="C4" s="78" t="s">
        <v>57</v>
      </c>
      <c r="D4" s="105" t="s">
        <v>15</v>
      </c>
      <c r="E4" s="112" t="s">
        <v>18</v>
      </c>
      <c r="F4" s="105"/>
      <c r="G4" s="113"/>
      <c r="H4" s="33"/>
      <c r="I4" s="73" t="s">
        <v>10</v>
      </c>
      <c r="J4" s="73" t="s">
        <v>80</v>
      </c>
      <c r="K4" s="6">
        <v>0.42</v>
      </c>
      <c r="L4" s="9" t="s">
        <v>54</v>
      </c>
    </row>
    <row r="5" spans="1:12" ht="72" customHeight="1" x14ac:dyDescent="0.25">
      <c r="A5" s="80">
        <v>2</v>
      </c>
      <c r="B5" s="78" t="s">
        <v>13</v>
      </c>
      <c r="C5" s="78" t="s">
        <v>57</v>
      </c>
      <c r="D5" s="53" t="s">
        <v>15</v>
      </c>
      <c r="E5" s="53" t="s">
        <v>17</v>
      </c>
      <c r="F5" s="104" t="s">
        <v>82</v>
      </c>
      <c r="G5" s="104"/>
      <c r="H5" s="8"/>
      <c r="I5" s="2" t="s">
        <v>108</v>
      </c>
      <c r="J5" s="2" t="s">
        <v>107</v>
      </c>
      <c r="K5" s="6">
        <v>0.9</v>
      </c>
      <c r="L5" s="9" t="s">
        <v>54</v>
      </c>
    </row>
    <row r="6" spans="1:12" ht="72" customHeight="1" x14ac:dyDescent="0.25">
      <c r="A6" s="80">
        <v>3</v>
      </c>
      <c r="B6" s="78" t="s">
        <v>25</v>
      </c>
      <c r="C6" s="78" t="s">
        <v>57</v>
      </c>
      <c r="D6" s="105" t="s">
        <v>15</v>
      </c>
      <c r="E6" s="105" t="s">
        <v>15</v>
      </c>
      <c r="F6" s="105"/>
      <c r="G6" s="105"/>
      <c r="H6" s="33"/>
      <c r="I6" s="2" t="s">
        <v>109</v>
      </c>
      <c r="J6" s="2" t="s">
        <v>107</v>
      </c>
      <c r="K6" s="6">
        <v>0.75</v>
      </c>
      <c r="L6" s="9" t="s">
        <v>54</v>
      </c>
    </row>
    <row r="7" spans="1:12" ht="72" customHeight="1" x14ac:dyDescent="0.25">
      <c r="A7" s="80">
        <v>4</v>
      </c>
      <c r="B7" s="78" t="s">
        <v>42</v>
      </c>
      <c r="C7" s="78" t="s">
        <v>57</v>
      </c>
      <c r="D7" s="105"/>
      <c r="E7" s="105" t="s">
        <v>43</v>
      </c>
      <c r="F7" s="105" t="s">
        <v>44</v>
      </c>
      <c r="G7" s="105" t="s">
        <v>111</v>
      </c>
      <c r="H7" s="33" t="s">
        <v>112</v>
      </c>
      <c r="I7" s="5" t="s">
        <v>114</v>
      </c>
      <c r="J7" s="5" t="s">
        <v>113</v>
      </c>
      <c r="K7" s="6">
        <v>0.8</v>
      </c>
      <c r="L7" s="9" t="s">
        <v>95</v>
      </c>
    </row>
    <row r="8" spans="1:12" ht="43.5" x14ac:dyDescent="0.25">
      <c r="A8" s="80">
        <v>5</v>
      </c>
      <c r="B8" s="78" t="s">
        <v>40</v>
      </c>
      <c r="C8" s="78" t="s">
        <v>57</v>
      </c>
      <c r="D8" s="105">
        <v>30303</v>
      </c>
      <c r="E8" s="106" t="s">
        <v>73</v>
      </c>
      <c r="F8" s="105" t="s">
        <v>74</v>
      </c>
      <c r="G8" s="105"/>
      <c r="H8" s="33"/>
      <c r="I8" s="5" t="s">
        <v>94</v>
      </c>
      <c r="J8" s="5" t="s">
        <v>96</v>
      </c>
      <c r="K8" s="6">
        <v>1</v>
      </c>
      <c r="L8" s="9" t="s">
        <v>106</v>
      </c>
    </row>
    <row r="9" spans="1:12" ht="82.5" customHeight="1" x14ac:dyDescent="0.25">
      <c r="A9" s="80">
        <v>6</v>
      </c>
      <c r="B9" s="96" t="s">
        <v>59</v>
      </c>
      <c r="C9" s="96" t="s">
        <v>58</v>
      </c>
      <c r="D9" s="53">
        <v>29935</v>
      </c>
      <c r="E9" s="104" t="s">
        <v>73</v>
      </c>
      <c r="F9" s="53"/>
      <c r="G9" s="104"/>
      <c r="H9" s="97" t="s">
        <v>54</v>
      </c>
      <c r="I9" s="5" t="s">
        <v>98</v>
      </c>
      <c r="J9" s="5" t="s">
        <v>97</v>
      </c>
      <c r="K9" s="6">
        <v>0.9</v>
      </c>
      <c r="L9" s="98" t="s">
        <v>36</v>
      </c>
    </row>
    <row r="10" spans="1:12" ht="82.5" customHeight="1" x14ac:dyDescent="0.25">
      <c r="A10" s="80">
        <v>7</v>
      </c>
      <c r="B10" s="96" t="s">
        <v>62</v>
      </c>
      <c r="C10" s="96" t="s">
        <v>63</v>
      </c>
      <c r="D10" s="53">
        <v>29889</v>
      </c>
      <c r="E10" s="104"/>
      <c r="F10" s="53"/>
      <c r="G10" s="104"/>
      <c r="H10" s="97"/>
      <c r="I10" s="97"/>
      <c r="J10" s="5" t="s">
        <v>46</v>
      </c>
      <c r="K10" s="6">
        <v>0</v>
      </c>
      <c r="L10" s="98" t="s">
        <v>8</v>
      </c>
    </row>
    <row r="11" spans="1:12" ht="82.5" customHeight="1" x14ac:dyDescent="0.25">
      <c r="A11" s="80">
        <v>8</v>
      </c>
      <c r="B11" s="96" t="s">
        <v>64</v>
      </c>
      <c r="C11" s="96" t="s">
        <v>63</v>
      </c>
      <c r="D11" s="53">
        <v>29087</v>
      </c>
      <c r="E11" s="104" t="s">
        <v>61</v>
      </c>
      <c r="F11" s="53" t="s">
        <v>68</v>
      </c>
      <c r="G11" s="104"/>
      <c r="H11" s="97"/>
      <c r="I11" s="97" t="s">
        <v>81</v>
      </c>
      <c r="J11" s="5" t="s">
        <v>46</v>
      </c>
      <c r="K11" s="6">
        <v>0.55000000000000004</v>
      </c>
      <c r="L11" s="98" t="s">
        <v>50</v>
      </c>
    </row>
    <row r="12" spans="1:12" ht="79.5" customHeight="1" x14ac:dyDescent="0.25">
      <c r="A12" s="80">
        <v>9</v>
      </c>
      <c r="B12" s="100" t="s">
        <v>66</v>
      </c>
      <c r="C12" s="96" t="s">
        <v>58</v>
      </c>
      <c r="D12" s="104" t="s">
        <v>67</v>
      </c>
      <c r="E12" s="104" t="s">
        <v>73</v>
      </c>
      <c r="F12" s="53" t="s">
        <v>75</v>
      </c>
      <c r="G12" s="104"/>
      <c r="H12" s="97"/>
      <c r="I12" s="97" t="s">
        <v>84</v>
      </c>
      <c r="J12" s="5" t="s">
        <v>83</v>
      </c>
      <c r="K12" s="6">
        <v>0.65</v>
      </c>
      <c r="L12" s="98" t="s">
        <v>50</v>
      </c>
    </row>
    <row r="13" spans="1:12" ht="99" x14ac:dyDescent="0.25">
      <c r="A13" s="80">
        <v>10</v>
      </c>
      <c r="B13" s="100" t="s">
        <v>69</v>
      </c>
      <c r="C13" s="96" t="s">
        <v>71</v>
      </c>
      <c r="D13" s="97">
        <v>30247</v>
      </c>
      <c r="E13" s="97" t="s">
        <v>90</v>
      </c>
      <c r="F13" s="11" t="s">
        <v>91</v>
      </c>
      <c r="G13" s="97"/>
      <c r="H13" s="97" t="s">
        <v>100</v>
      </c>
      <c r="I13" s="5" t="s">
        <v>99</v>
      </c>
      <c r="J13" s="5" t="s">
        <v>46</v>
      </c>
      <c r="K13" s="6">
        <v>0.25</v>
      </c>
      <c r="L13" s="98" t="s">
        <v>50</v>
      </c>
    </row>
    <row r="14" spans="1:12" ht="99" x14ac:dyDescent="0.25">
      <c r="A14" s="80">
        <v>11</v>
      </c>
      <c r="B14" s="100" t="s">
        <v>70</v>
      </c>
      <c r="C14" s="96" t="s">
        <v>71</v>
      </c>
      <c r="D14" s="97">
        <v>30278</v>
      </c>
      <c r="E14" s="97" t="s">
        <v>90</v>
      </c>
      <c r="F14" s="11" t="s">
        <v>91</v>
      </c>
      <c r="G14" s="97"/>
      <c r="H14" s="97" t="s">
        <v>100</v>
      </c>
      <c r="I14" s="5" t="s">
        <v>99</v>
      </c>
      <c r="J14" s="5" t="s">
        <v>46</v>
      </c>
      <c r="K14" s="6">
        <v>0.25</v>
      </c>
      <c r="L14" s="98" t="s">
        <v>50</v>
      </c>
    </row>
    <row r="15" spans="1:12" ht="90" customHeight="1" x14ac:dyDescent="0.25">
      <c r="A15" s="80">
        <v>12</v>
      </c>
      <c r="B15" s="90" t="s">
        <v>79</v>
      </c>
      <c r="C15" s="90" t="s">
        <v>57</v>
      </c>
      <c r="D15" s="107" t="s">
        <v>15</v>
      </c>
      <c r="E15" s="108"/>
      <c r="F15" s="11"/>
      <c r="G15" s="97"/>
      <c r="H15" s="97"/>
      <c r="I15" s="5"/>
      <c r="J15" s="5" t="s">
        <v>46</v>
      </c>
      <c r="K15" s="6">
        <v>0</v>
      </c>
      <c r="L15" s="98" t="s">
        <v>8</v>
      </c>
    </row>
    <row r="16" spans="1:12" ht="86.25" customHeight="1" x14ac:dyDescent="0.25">
      <c r="A16" s="80">
        <v>13</v>
      </c>
      <c r="B16" s="96" t="s">
        <v>78</v>
      </c>
      <c r="C16" s="11" t="s">
        <v>57</v>
      </c>
      <c r="D16" s="53" t="s">
        <v>15</v>
      </c>
      <c r="E16" s="110"/>
      <c r="F16" s="11"/>
      <c r="G16" s="97"/>
      <c r="H16" s="97"/>
      <c r="I16" s="97"/>
      <c r="J16" s="5" t="s">
        <v>46</v>
      </c>
      <c r="K16" s="6">
        <v>0</v>
      </c>
      <c r="L16" s="98" t="s">
        <v>8</v>
      </c>
    </row>
    <row r="17" spans="2:3" x14ac:dyDescent="0.25">
      <c r="B17" s="114"/>
      <c r="C17" s="115"/>
    </row>
  </sheetData>
  <mergeCells count="1">
    <mergeCell ref="A1:I2"/>
  </mergeCells>
  <printOptions horizontalCentered="1" verticalCentered="1"/>
  <pageMargins left="0" right="0" top="0" bottom="0" header="0" footer="0"/>
  <pageSetup scale="6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9462-025E-4507-A125-17738C227925}">
  <sheetPr>
    <pageSetUpPr fitToPage="1"/>
  </sheetPr>
  <dimension ref="A1:L16"/>
  <sheetViews>
    <sheetView rightToLeft="1" view="pageLayout" zoomScaleNormal="100" workbookViewId="0">
      <selection activeCell="B4" sqref="B4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customWidth="1"/>
    <col min="12" max="12" width="11.28515625" customWidth="1"/>
  </cols>
  <sheetData>
    <row r="1" spans="1:12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57">
        <v>1405</v>
      </c>
      <c r="L1" s="24"/>
    </row>
    <row r="2" spans="1:12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">
        <v>23</v>
      </c>
      <c r="L2" s="25"/>
    </row>
    <row r="3" spans="1:12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101</v>
      </c>
      <c r="J3" s="28" t="s">
        <v>102</v>
      </c>
      <c r="K3" s="23" t="s">
        <v>103</v>
      </c>
      <c r="L3" s="31" t="s">
        <v>11</v>
      </c>
    </row>
    <row r="4" spans="1:12" ht="72" customHeight="1" x14ac:dyDescent="0.25">
      <c r="A4" s="80">
        <v>1</v>
      </c>
      <c r="B4" s="78" t="s">
        <v>12</v>
      </c>
      <c r="C4" s="78" t="s">
        <v>57</v>
      </c>
      <c r="D4" s="105" t="s">
        <v>15</v>
      </c>
      <c r="E4" s="112" t="s">
        <v>18</v>
      </c>
      <c r="F4" s="105"/>
      <c r="G4" s="113"/>
      <c r="H4" s="33"/>
      <c r="I4" s="73" t="s">
        <v>10</v>
      </c>
      <c r="J4" s="73" t="s">
        <v>80</v>
      </c>
      <c r="K4" s="6">
        <v>0.42</v>
      </c>
      <c r="L4" s="9" t="s">
        <v>54</v>
      </c>
    </row>
    <row r="5" spans="1:12" ht="72" customHeight="1" x14ac:dyDescent="0.25">
      <c r="A5" s="80">
        <v>2</v>
      </c>
      <c r="B5" s="78" t="s">
        <v>13</v>
      </c>
      <c r="C5" s="78" t="s">
        <v>57</v>
      </c>
      <c r="D5" s="53" t="s">
        <v>15</v>
      </c>
      <c r="E5" s="53" t="s">
        <v>17</v>
      </c>
      <c r="F5" s="104" t="s">
        <v>115</v>
      </c>
      <c r="G5" s="104"/>
      <c r="H5" s="8"/>
      <c r="I5" s="2" t="s">
        <v>108</v>
      </c>
      <c r="J5" s="2" t="s">
        <v>107</v>
      </c>
      <c r="K5" s="6">
        <v>0.9</v>
      </c>
      <c r="L5" s="9" t="s">
        <v>54</v>
      </c>
    </row>
    <row r="6" spans="1:12" ht="72" customHeight="1" x14ac:dyDescent="0.25">
      <c r="A6" s="80">
        <v>3</v>
      </c>
      <c r="B6" s="78" t="s">
        <v>25</v>
      </c>
      <c r="C6" s="78" t="s">
        <v>57</v>
      </c>
      <c r="D6" s="105" t="s">
        <v>15</v>
      </c>
      <c r="E6" s="105" t="s">
        <v>15</v>
      </c>
      <c r="F6" s="105" t="s">
        <v>116</v>
      </c>
      <c r="G6" s="105"/>
      <c r="H6" s="33"/>
      <c r="I6" s="2" t="s">
        <v>109</v>
      </c>
      <c r="J6" s="2" t="s">
        <v>107</v>
      </c>
      <c r="K6" s="6">
        <v>0.75</v>
      </c>
      <c r="L6" s="9" t="s">
        <v>54</v>
      </c>
    </row>
    <row r="7" spans="1:12" ht="66" x14ac:dyDescent="0.25">
      <c r="A7" s="80">
        <v>4</v>
      </c>
      <c r="B7" s="78" t="s">
        <v>42</v>
      </c>
      <c r="C7" s="78" t="s">
        <v>57</v>
      </c>
      <c r="D7" s="105"/>
      <c r="E7" s="105" t="s">
        <v>43</v>
      </c>
      <c r="F7" s="105" t="s">
        <v>117</v>
      </c>
      <c r="G7" s="105"/>
      <c r="H7" s="33"/>
      <c r="I7" s="5" t="s">
        <v>114</v>
      </c>
      <c r="J7" s="5" t="s">
        <v>113</v>
      </c>
      <c r="K7" s="6">
        <v>0.8</v>
      </c>
      <c r="L7" s="9" t="s">
        <v>95</v>
      </c>
    </row>
    <row r="8" spans="1:12" ht="82.5" customHeight="1" x14ac:dyDescent="0.25">
      <c r="A8" s="80">
        <v>5</v>
      </c>
      <c r="B8" s="78" t="s">
        <v>40</v>
      </c>
      <c r="C8" s="78" t="s">
        <v>57</v>
      </c>
      <c r="D8" s="105">
        <v>30303</v>
      </c>
      <c r="E8" s="106" t="s">
        <v>73</v>
      </c>
      <c r="F8" s="105" t="s">
        <v>118</v>
      </c>
      <c r="G8" s="105"/>
      <c r="H8" s="33"/>
      <c r="I8" s="5" t="s">
        <v>94</v>
      </c>
      <c r="J8" s="5" t="s">
        <v>96</v>
      </c>
      <c r="K8" s="6">
        <v>1</v>
      </c>
      <c r="L8" s="9" t="s">
        <v>106</v>
      </c>
    </row>
    <row r="9" spans="1:12" ht="82.5" customHeight="1" x14ac:dyDescent="0.25">
      <c r="A9" s="80">
        <v>6</v>
      </c>
      <c r="B9" s="96" t="s">
        <v>59</v>
      </c>
      <c r="C9" s="96" t="s">
        <v>58</v>
      </c>
      <c r="D9" s="53">
        <v>29935</v>
      </c>
      <c r="E9" s="104" t="s">
        <v>73</v>
      </c>
      <c r="F9" s="53" t="s">
        <v>119</v>
      </c>
      <c r="G9" s="104"/>
      <c r="H9" s="97" t="s">
        <v>54</v>
      </c>
      <c r="I9" s="5" t="s">
        <v>98</v>
      </c>
      <c r="J9" s="5" t="s">
        <v>97</v>
      </c>
      <c r="K9" s="6">
        <v>0.9</v>
      </c>
      <c r="L9" s="98" t="s">
        <v>36</v>
      </c>
    </row>
    <row r="10" spans="1:12" ht="82.5" customHeight="1" x14ac:dyDescent="0.25">
      <c r="A10" s="80">
        <v>7</v>
      </c>
      <c r="B10" s="96" t="s">
        <v>62</v>
      </c>
      <c r="C10" s="96" t="s">
        <v>63</v>
      </c>
      <c r="D10" s="53">
        <v>29889</v>
      </c>
      <c r="E10" s="104"/>
      <c r="F10" s="53"/>
      <c r="G10" s="104"/>
      <c r="H10" s="97"/>
      <c r="I10" s="97"/>
      <c r="J10" s="5" t="s">
        <v>46</v>
      </c>
      <c r="K10" s="6">
        <v>0</v>
      </c>
      <c r="L10" s="98" t="s">
        <v>8</v>
      </c>
    </row>
    <row r="11" spans="1:12" ht="79.5" customHeight="1" x14ac:dyDescent="0.25">
      <c r="A11" s="80">
        <v>8</v>
      </c>
      <c r="B11" s="96" t="s">
        <v>64</v>
      </c>
      <c r="C11" s="96" t="s">
        <v>63</v>
      </c>
      <c r="D11" s="53">
        <v>29087</v>
      </c>
      <c r="E11" s="104" t="s">
        <v>61</v>
      </c>
      <c r="F11" s="53" t="s">
        <v>116</v>
      </c>
      <c r="G11" s="104"/>
      <c r="H11" s="97"/>
      <c r="I11" s="97" t="s">
        <v>81</v>
      </c>
      <c r="J11" s="5" t="s">
        <v>46</v>
      </c>
      <c r="K11" s="6">
        <v>0.55000000000000004</v>
      </c>
      <c r="L11" s="98" t="s">
        <v>50</v>
      </c>
    </row>
    <row r="12" spans="1:12" ht="45" x14ac:dyDescent="0.25">
      <c r="A12" s="80">
        <v>9</v>
      </c>
      <c r="B12" s="100" t="s">
        <v>66</v>
      </c>
      <c r="C12" s="96" t="s">
        <v>58</v>
      </c>
      <c r="D12" s="104" t="s">
        <v>67</v>
      </c>
      <c r="E12" s="104" t="s">
        <v>73</v>
      </c>
      <c r="F12" s="53" t="s">
        <v>120</v>
      </c>
      <c r="G12" s="104"/>
      <c r="H12" s="97"/>
      <c r="I12" s="97" t="s">
        <v>84</v>
      </c>
      <c r="J12" s="5" t="s">
        <v>83</v>
      </c>
      <c r="K12" s="6">
        <v>0.65</v>
      </c>
      <c r="L12" s="98" t="s">
        <v>50</v>
      </c>
    </row>
    <row r="13" spans="1:12" ht="99" x14ac:dyDescent="0.25">
      <c r="A13" s="80">
        <v>10</v>
      </c>
      <c r="B13" s="100" t="s">
        <v>69</v>
      </c>
      <c r="C13" s="96" t="s">
        <v>71</v>
      </c>
      <c r="D13" s="97">
        <v>30247</v>
      </c>
      <c r="E13" s="97" t="s">
        <v>90</v>
      </c>
      <c r="F13" s="11" t="s">
        <v>115</v>
      </c>
      <c r="G13" s="97"/>
      <c r="H13" s="97" t="s">
        <v>100</v>
      </c>
      <c r="I13" s="5" t="s">
        <v>99</v>
      </c>
      <c r="J13" s="5" t="s">
        <v>46</v>
      </c>
      <c r="K13" s="6">
        <v>0.25</v>
      </c>
      <c r="L13" s="98" t="s">
        <v>50</v>
      </c>
    </row>
    <row r="14" spans="1:12" ht="90" customHeight="1" x14ac:dyDescent="0.25">
      <c r="A14" s="80">
        <v>11</v>
      </c>
      <c r="B14" s="100" t="s">
        <v>70</v>
      </c>
      <c r="C14" s="96" t="s">
        <v>71</v>
      </c>
      <c r="D14" s="97">
        <v>30278</v>
      </c>
      <c r="E14" s="97" t="s">
        <v>90</v>
      </c>
      <c r="F14" s="11" t="s">
        <v>115</v>
      </c>
      <c r="G14" s="97"/>
      <c r="H14" s="97" t="s">
        <v>100</v>
      </c>
      <c r="I14" s="5" t="s">
        <v>99</v>
      </c>
      <c r="J14" s="5" t="s">
        <v>46</v>
      </c>
      <c r="K14" s="6">
        <v>0.25</v>
      </c>
      <c r="L14" s="98" t="s">
        <v>50</v>
      </c>
    </row>
    <row r="15" spans="1:12" ht="86.25" customHeight="1" x14ac:dyDescent="0.25">
      <c r="A15" s="80">
        <v>12</v>
      </c>
      <c r="B15" s="90" t="s">
        <v>79</v>
      </c>
      <c r="C15" s="90" t="s">
        <v>57</v>
      </c>
      <c r="D15" s="107" t="s">
        <v>15</v>
      </c>
      <c r="E15" s="108"/>
      <c r="F15" s="11"/>
      <c r="G15" s="97"/>
      <c r="H15" s="97"/>
      <c r="I15" s="5"/>
      <c r="J15" s="5" t="s">
        <v>46</v>
      </c>
      <c r="K15" s="6">
        <v>0</v>
      </c>
      <c r="L15" s="98" t="s">
        <v>8</v>
      </c>
    </row>
    <row r="16" spans="1:12" ht="99" x14ac:dyDescent="0.25">
      <c r="A16" s="80">
        <v>13</v>
      </c>
      <c r="B16" s="96" t="s">
        <v>78</v>
      </c>
      <c r="C16" s="11" t="s">
        <v>57</v>
      </c>
      <c r="D16" s="53" t="s">
        <v>15</v>
      </c>
      <c r="E16" s="110"/>
      <c r="F16" s="11"/>
      <c r="G16" s="97"/>
      <c r="H16" s="97"/>
      <c r="I16" s="97"/>
      <c r="J16" s="5" t="s">
        <v>46</v>
      </c>
      <c r="K16" s="6">
        <v>0</v>
      </c>
      <c r="L16" s="98" t="s">
        <v>8</v>
      </c>
    </row>
  </sheetData>
  <mergeCells count="1">
    <mergeCell ref="A1:I2"/>
  </mergeCells>
  <printOptions horizontalCentered="1" verticalCentered="1"/>
  <pageMargins left="0" right="0" top="0" bottom="0" header="0" footer="0"/>
  <pageSetup scale="6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AD58-6B11-46BB-AF10-54A19DB07E97}">
  <sheetPr>
    <pageSetUpPr fitToPage="1"/>
  </sheetPr>
  <dimension ref="A1:N17"/>
  <sheetViews>
    <sheetView rightToLeft="1" view="pageLayout" topLeftCell="A10" zoomScaleNormal="100" workbookViewId="0">
      <selection activeCell="K12" sqref="K12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style="117" customWidth="1"/>
    <col min="12" max="12" width="11.28515625" customWidth="1"/>
    <col min="13" max="13" width="10.7109375" style="118" customWidth="1"/>
    <col min="14" max="14" width="9.140625" style="116"/>
  </cols>
  <sheetData>
    <row r="1" spans="1:14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120">
        <v>1405</v>
      </c>
      <c r="L1" s="24"/>
    </row>
    <row r="2" spans="1:14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1">
        <v>24</v>
      </c>
      <c r="L2" s="25"/>
    </row>
    <row r="3" spans="1:14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101</v>
      </c>
      <c r="J3" s="28" t="s">
        <v>102</v>
      </c>
      <c r="K3" s="119" t="s">
        <v>103</v>
      </c>
      <c r="L3" s="31" t="s">
        <v>11</v>
      </c>
      <c r="M3" s="118" t="s">
        <v>131</v>
      </c>
      <c r="N3" s="122" t="s">
        <v>130</v>
      </c>
    </row>
    <row r="4" spans="1:14" ht="72" customHeight="1" x14ac:dyDescent="0.25">
      <c r="A4" s="80">
        <v>1</v>
      </c>
      <c r="B4" s="78" t="s">
        <v>129</v>
      </c>
      <c r="C4" s="78" t="s">
        <v>57</v>
      </c>
      <c r="D4" s="105" t="s">
        <v>15</v>
      </c>
      <c r="E4" s="112" t="s">
        <v>18</v>
      </c>
      <c r="F4" s="105"/>
      <c r="G4" s="113"/>
      <c r="H4" s="33"/>
      <c r="I4" s="73" t="s">
        <v>10</v>
      </c>
      <c r="J4" s="73" t="s">
        <v>80</v>
      </c>
      <c r="K4" s="124">
        <f>IFERROR(M4/N4,0)</f>
        <v>0.56833333333333325</v>
      </c>
      <c r="L4" s="9" t="str" cm="1">
        <f t="array" aca="1" ref="L4" ca="1">_xlfn.LET(
_xlpm.n,TRIM(B4),
_xlpm.D,_xlfn._xlws.FILTER(CHOOSE({1,2},[1]فروردین!$N$4:$N$800,[1]فروردین!$AC$4:$AC$800),(TRIM([1]فروردین!$B$4:$B$800)=_xlpm.n)*(TRIM([1]فروردین!$C$4:$C$800)="قالب نو")*([1]فروردین!$AC$4:$AC$800&lt;&gt;"")),
_xlpm.O,_xlfn._xlws.FILTER(CHOOSE({1,2},[2]اردیبهشت!$N$4:$N$800,[2]اردیبهشت!$AC$4:$AC$800),(TRIM([2]اردیبهشت!$B$4:$B$800)=_xlpm.n)*(TRIM([2]اردیبهشت!$C$4:$C$800)="قالب نو")*([2]اردیبهشت!$AC$4:$AC$800&lt;&gt;"")),
_xlpm.K,_xlfn._xlws.FILTER(CHOOSE({1,2},[3]خرداد!$N$4:$N$800,[3]خرداد!$AC$4:$AC$800),(TRIM([3]خرداد!$B$4:$B$800)=_xlpm.n)*(TRIM([3]خرداد!$C$4:$C$800)="قالب نو")*([3]خرداد!$AC$4:$AC$800&lt;&gt;"")),
_xlpm.T,_xlfn._xlws.FILTER(CHOOSE({1,2},[4]تیر!$N$4:$N$800,[4]تیر!$AC$4:$AC$800),(TRIM([4]تیر!$B$4:$B$800)=_xlpm.n)*(TRIM([4]تیر!$C$4:$C$800)="قالب نو")*([4]تیر!$AC$4:$AC$800&lt;&gt;"")),
_xlpm.M,_xlfn._xlws.FILTER(CHOOSE({1,2},[5]مرداد!$N$4:$N$800,[5]مرداد!$AC$4:$AC$800),(TRIM([5]مرداد!$B$4:$B$800)=_xlpm.n)*(TRIM([5]مرداد!$C$4:$C$800)="قالب نو")*([5]مرداد!$AC$4:$AC$800&lt;&gt;"")),
_xlpm.S,_xlfn._xlws.FILTER(CHOOSE({1,2},[6]شهریور!$N$4:$N$800,[6]شهریور!$AC$4:$AC$800),(TRIM([6]شهریور!$B$4:$B$800)=_xlpm.n)*(TRIM([6]شهریور!$C$4:$C$800)="قالب نو")*([6]شهریور!$AC$4:$AC$800&lt;&gt;"")),
IFERROR(INDEX(_xlfn.SORTBY(VSTACK(_xlpm.D,_xlpm.O,_xlpm.K,_xlpm.T,_xlpm.M,_xlpm.S),--SUBSTITUTE(INDEX(VSTACK(_xlpm.D,_xlpm.O,_xlpm.K,_xlpm.T,_xlpm.M,_xlpm.S),,2),"/",""),-1),1,1),""))</f>
        <v/>
      </c>
      <c r="M4" s="118">
        <f>SUM(
SUMIFS([7]فروردین!$AF4:$AF800,[7]فروردین!$B4:$B800,B4,[7]فروردین!$C4:$C800,"قالب نو"),
SUMIFS([7]اردیبهشت!$AF4:$AF800,[7]اردیبهشت!$B4:$B800,B4,[7]اردیبهشت!$C4:$C800,"قالب نو"),
SUMIFS([7]خرداد!$AF4:$AF800,[7]خرداد!$B4:$B800,B4,[7]خرداد!$C4:$C800,"قالب نو"),
SUMIFS([7]تیر!$AF4:$AF800,[7]تیر!$B4:$B800,B4,[7]تیر!$C4:$C800,"قالب نو"),
SUMIFS([7]مرداد!$AF4:$AF800,[7]مرداد!$B4:$B800,B4,[7]مرداد!$C4:$C800,"قالب نو"),
SUMIFS([7]شهریور!$AF4:$AF800,[7]شهریور!$B4:$B800,B4,[7]شهریور!$C4:$C800,"قالب نو"),
SUMIFS([7]مهر!$AF4:$AF800,[7]مهر!$B4:$B800,B4,[7]مهر!$C4:$C800,"قالب نو"),
SUMIFS([7]آبان!$AF4:$AF800,[7]آبان!$B4:$B800,B4,[7]آبان!$C4:$C800,"قالب نو"),
SUMIFS([7]آذر!$AF4:$AF800,[7]آذر!$B4:$B800,B4,[7]آذر!$C4:$C800,"قالب نو"),
SUMIFS([7]دی!$AF4:$AF800,[7]دی!$B4:$B800,B4,[7]دی!$C4:$C800,"قالب نو"),
SUMIFS([7]بهمن!$AF4:$AF800,[7]بهمن!$B4:$B800,B4,[7]بهمن!$C4:$C800,"قالب نو"),
SUMIFS([7]اسفند!$AF4:$AF800,[7]اسفند!$B4:$B800,B4,[7]اسفند!$C4:$C800,"قالب نو")
)</f>
        <v>56.833333333333329</v>
      </c>
      <c r="N4" s="116">
        <v>100</v>
      </c>
    </row>
    <row r="5" spans="1:14" ht="72" customHeight="1" x14ac:dyDescent="0.25">
      <c r="A5" s="80">
        <v>2</v>
      </c>
      <c r="B5" s="78" t="s">
        <v>121</v>
      </c>
      <c r="C5" s="78" t="s">
        <v>57</v>
      </c>
      <c r="D5" s="53" t="s">
        <v>15</v>
      </c>
      <c r="E5" s="53" t="s">
        <v>17</v>
      </c>
      <c r="F5" s="104" t="s">
        <v>115</v>
      </c>
      <c r="G5" s="104"/>
      <c r="H5" s="8"/>
      <c r="I5" s="2" t="s">
        <v>108</v>
      </c>
      <c r="J5" s="2" t="s">
        <v>107</v>
      </c>
      <c r="K5" s="123">
        <f t="shared" ref="K5:K17" si="0">IFERROR(M5/N5,0)</f>
        <v>0.87462962962962953</v>
      </c>
      <c r="L5" s="9" t="s">
        <v>54</v>
      </c>
      <c r="M5" s="118">
        <f>SUM(
SUMIFS([7]فروردین!$AF5:$AF801,[7]فروردین!$B5:$B801,B5,[7]فروردین!$C5:$C801,"قالب نو"),
SUMIFS([7]اردیبهشت!$AF5:$AF801,[7]اردیبهشت!$B5:$B801,B5,[7]اردیبهشت!$C5:$C801,"قالب نو"),
SUMIFS([7]خرداد!$AF5:$AF801,[7]خرداد!$B5:$B801,B5,[7]خرداد!$C5:$C801,"قالب نو"),
SUMIFS([7]تیر!$AF5:$AF801,[7]تیر!$B5:$B801,B5,[7]تیر!$C5:$C801,"قالب نو"),
SUMIFS([7]مرداد!$AF5:$AF801,[7]مرداد!$B5:$B801,B5,[7]مرداد!$C5:$C801,"قالب نو"),
SUMIFS([7]شهریور!$AF5:$AF801,[7]شهریور!$B5:$B801,B5,[7]شهریور!$C5:$C801,"قالب نو"),
SUMIFS([7]مهر!$AF5:$AF801,[7]مهر!$B5:$B801,B5,[7]مهر!$C5:$C801,"قالب نو"),
SUMIFS([7]آبان!$AF5:$AF801,[7]آبان!$B5:$B801,B5,[7]آبان!$C5:$C801,"قالب نو"),
SUMIFS([7]آذر!$AF5:$AF801,[7]آذر!$B5:$B801,B5,[7]آذر!$C5:$C801,"قالب نو"),
SUMIFS([7]دی!$AF5:$AF801,[7]دی!$B5:$B801,B5,[7]دی!$C5:$C801,"قالب نو"),
SUMIFS([7]بهمن!$AF5:$AF801,[7]بهمن!$B5:$B801,B5,[7]بهمن!$C5:$C801,"قالب نو"),
SUMIFS([7]اسفند!$AF5:$AF801,[7]اسفند!$B5:$B801,B5,[7]اسفند!$C5:$C801,"قالب نو")
)</f>
        <v>393.58333333333331</v>
      </c>
      <c r="N5" s="116">
        <v>450</v>
      </c>
    </row>
    <row r="6" spans="1:14" ht="72" customHeight="1" x14ac:dyDescent="0.25">
      <c r="A6" s="80">
        <v>3</v>
      </c>
      <c r="B6" s="78" t="s">
        <v>122</v>
      </c>
      <c r="C6" s="78" t="s">
        <v>57</v>
      </c>
      <c r="D6" s="105" t="s">
        <v>15</v>
      </c>
      <c r="E6" s="105" t="s">
        <v>15</v>
      </c>
      <c r="F6" s="105" t="s">
        <v>116</v>
      </c>
      <c r="G6" s="105"/>
      <c r="H6" s="33"/>
      <c r="I6" s="2" t="s">
        <v>109</v>
      </c>
      <c r="J6" s="2" t="s">
        <v>107</v>
      </c>
      <c r="K6" s="123">
        <f t="shared" si="0"/>
        <v>1.0349999999999999</v>
      </c>
      <c r="L6" s="9" t="s">
        <v>54</v>
      </c>
      <c r="M6" s="118">
        <f>SUM(
SUMIFS([7]فروردین!$AF6:$AF802,[7]فروردین!$B6:$B802,B6,[7]فروردین!$C6:$C802,"قالب نو"),
SUMIFS([7]اردیبهشت!$AF6:$AF802,[7]اردیبهشت!$B6:$B802,B6,[7]اردیبهشت!$C6:$C802,"قالب نو"),
SUMIFS([7]خرداد!$AF6:$AF802,[7]خرداد!$B6:$B802,B6,[7]خرداد!$C6:$C802,"قالب نو"),
SUMIFS([7]تیر!$AF6:$AF802,[7]تیر!$B6:$B802,B6,[7]تیر!$C6:$C802,"قالب نو"),
SUMIFS([7]مرداد!$AF6:$AF802,[7]مرداد!$B6:$B802,B6,[7]مرداد!$C6:$C802,"قالب نو"),
SUMIFS([7]شهریور!$AF6:$AF802,[7]شهریور!$B6:$B802,B6,[7]شهریور!$C6:$C802,"قالب نو"),
SUMIFS([7]مهر!$AF6:$AF802,[7]مهر!$B6:$B802,B6,[7]مهر!$C6:$C802,"قالب نو"),
SUMIFS([7]آبان!$AF6:$AF802,[7]آبان!$B6:$B802,B6,[7]آبان!$C6:$C802,"قالب نو"),
SUMIFS([7]آذر!$AF6:$AF802,[7]آذر!$B6:$B802,B6,[7]آذر!$C6:$C802,"قالب نو"),
SUMIFS([7]دی!$AF6:$AF802,[7]دی!$B6:$B802,B6,[7]دی!$C6:$C802,"قالب نو"),
SUMIFS([7]بهمن!$AF6:$AF802,[7]بهمن!$B6:$B802,B6,[7]بهمن!$C6:$C802,"قالب نو"),
SUMIFS([7]اسفند!$AF6:$AF802,[7]اسفند!$B6:$B802,B6,[7]اسفند!$C6:$C802,"قالب نو")
)</f>
        <v>207</v>
      </c>
      <c r="N6" s="116">
        <v>200</v>
      </c>
    </row>
    <row r="7" spans="1:14" ht="66" x14ac:dyDescent="0.25">
      <c r="A7" s="80">
        <v>4</v>
      </c>
      <c r="B7" s="78" t="s">
        <v>123</v>
      </c>
      <c r="C7" s="78" t="s">
        <v>57</v>
      </c>
      <c r="D7" s="105"/>
      <c r="E7" s="105" t="s">
        <v>43</v>
      </c>
      <c r="F7" s="105" t="s">
        <v>117</v>
      </c>
      <c r="G7" s="105"/>
      <c r="H7" s="33"/>
      <c r="I7" s="5" t="s">
        <v>114</v>
      </c>
      <c r="J7" s="5" t="s">
        <v>113</v>
      </c>
      <c r="K7" s="123">
        <f t="shared" si="0"/>
        <v>2.1305555555555555</v>
      </c>
      <c r="L7" s="9" t="s">
        <v>95</v>
      </c>
      <c r="M7" s="118">
        <f>SUM(
SUMIFS([7]فروردین!$AF4:$AF803,[7]فروردین!$B4:$B803,B7,[7]فروردین!$C4:$C803,"قالب نو"),
SUMIFS([7]اردیبهشت!$AF4:$AF803,[7]اردیبهشت!$B4:$B803,B7,[7]اردیبهشت!$C4:$C803,"قالب نو"),
SUMIFS([7]خرداد!$AF4:$AF803,[7]خرداد!$B4:$B803,B7,[7]خرداد!$C4:$C803,"قالب نو"),
SUMIFS([7]تیر!$AF4:$AF803,[7]تیر!$B4:$B803,B7,[7]تیر!$C4:$C803,"قالب نو"),
SUMIFS([7]مرداد!$AF4:$AF803,[7]مرداد!$B4:$B803,B7,[7]مرداد!$C4:$C803,"قالب نو"),
SUMIFS([7]شهریور!$AF4:$AF803,[7]شهریور!$B4:$B803,B7,[7]شهریور!$C4:$C803,"قالب نو"),
SUMIFS([7]مهر!$AF4:$AF803,[7]مهر!$B4:$B803,B7,[7]مهر!$C4:$C803,"قالب نو"),
SUMIFS([7]آبان!$AF4:$AF803,[7]آبان!$B4:$B803,B7,[7]آبان!$C4:$C803,"قالب نو"),
SUMIFS([7]آذر!$AF4:$AF803,[7]آذر!$B4:$B803,B7,[7]آذر!$C4:$C803,"قالب نو"),
SUMIFS([7]دی!$AF4:$AF803,[7]دی!$B4:$B803,B7,[7]دی!$C4:$C803,"قالب نو"),
SUMIFS([7]بهمن!$AF4:$AF803,[7]بهمن!$B4:$B803,B7,[7]بهمن!$C4:$C803,"قالب نو"),
SUMIFS([7]اسفند!$AF4:$AF803,[7]اسفند!$B4:$B803,B7,[7]اسفند!$C4:$C803,"قالب نو")
)</f>
        <v>255.66666666666666</v>
      </c>
      <c r="N7" s="116">
        <v>120</v>
      </c>
    </row>
    <row r="8" spans="1:14" ht="82.5" customHeight="1" x14ac:dyDescent="0.25">
      <c r="A8" s="80">
        <v>5</v>
      </c>
      <c r="B8" s="78" t="s">
        <v>124</v>
      </c>
      <c r="C8" s="78" t="s">
        <v>57</v>
      </c>
      <c r="D8" s="105">
        <v>30303</v>
      </c>
      <c r="E8" s="106" t="s">
        <v>73</v>
      </c>
      <c r="F8" s="105" t="s">
        <v>118</v>
      </c>
      <c r="G8" s="105"/>
      <c r="H8" s="33"/>
      <c r="I8" s="5" t="s">
        <v>94</v>
      </c>
      <c r="J8" s="5" t="s">
        <v>96</v>
      </c>
      <c r="K8" s="123">
        <f t="shared" si="0"/>
        <v>1.2323529411764707</v>
      </c>
      <c r="L8" s="9" t="s">
        <v>106</v>
      </c>
      <c r="M8" s="118">
        <f>SUM(
SUMIFS([7]فروردین!$AF8:$AF804,[7]فروردین!$B8:$B804,B8,[7]فروردین!$C8:$C804,"قالب نو"),
SUMIFS([7]اردیبهشت!$AF8:$AF804,[7]اردیبهشت!$B8:$B804,B8,[7]اردیبهشت!$C8:$C804,"قالب نو"),
SUMIFS([7]خرداد!$AF8:$AF804,[7]خرداد!$B8:$B804,B8,[7]خرداد!$C8:$C804,"قالب نو"),
SUMIFS([7]تیر!$AF8:$AF804,[7]تیر!$B8:$B804,B8,[7]تیر!$C8:$C804,"قالب نو"),
SUMIFS([7]مرداد!$AF8:$AF804,[7]مرداد!$B8:$B804,B8,[7]مرداد!$C8:$C804,"قالب نو"),
SUMIFS([7]شهریور!$AF8:$AF804,[7]شهریور!$B8:$B804,B8,[7]شهریور!$C8:$C804,"قالب نو"),
SUMIFS([7]مهر!$AF8:$AF804,[7]مهر!$B8:$B804,B8,[7]مهر!$C8:$C804,"قالب نو"),
SUMIFS([7]آبان!$AF8:$AF804,[7]آبان!$B8:$B804,B8,[7]آبان!$C8:$C804,"قالب نو"),
SUMIFS([7]آذر!$AF8:$AF804,[7]آذر!$B8:$B804,B8,[7]آذر!$C8:$C804,"قالب نو"),
SUMIFS([7]دی!$AF8:$AF804,[7]دی!$B8:$B804,B8,[7]دی!$C8:$C804,"قالب نو"),
SUMIFS([7]بهمن!$AF8:$AF804,[7]بهمن!$B8:$B804,B8,[7]بهمن!$C8:$C804,"قالب نو"),
SUMIFS([7]اسفند!$AF8:$AF804,[7]اسفند!$B8:$B804,B8,[7]اسفند!$C8:$C804,"قالب نو")
)</f>
        <v>209.5</v>
      </c>
      <c r="N8" s="116">
        <v>170</v>
      </c>
    </row>
    <row r="9" spans="1:14" ht="82.5" customHeight="1" x14ac:dyDescent="0.25">
      <c r="A9" s="80">
        <v>6</v>
      </c>
      <c r="B9" s="96" t="s">
        <v>59</v>
      </c>
      <c r="C9" s="96" t="s">
        <v>58</v>
      </c>
      <c r="D9" s="53">
        <v>29935</v>
      </c>
      <c r="E9" s="104" t="s">
        <v>73</v>
      </c>
      <c r="F9" s="53" t="s">
        <v>119</v>
      </c>
      <c r="G9" s="104"/>
      <c r="H9" s="97" t="s">
        <v>54</v>
      </c>
      <c r="I9" s="5" t="s">
        <v>98</v>
      </c>
      <c r="J9" s="5" t="s">
        <v>97</v>
      </c>
      <c r="K9" s="123">
        <f t="shared" si="0"/>
        <v>0.90476190476190477</v>
      </c>
      <c r="L9" s="98" t="s">
        <v>36</v>
      </c>
      <c r="M9" s="118">
        <f>SUM(
SUMIFS([7]فروردین!$AF9:$AF805,[7]فروردین!$B9:$B805,B9,[7]فروردین!$C9:$C805,"قالب نو"),
SUMIFS([7]اردیبهشت!$AF9:$AF805,[7]اردیبهشت!$B9:$B805,B9,[7]اردیبهشت!$C9:$C805,"قالب نو"),
SUMIFS([7]خرداد!$AF9:$AF805,[7]خرداد!$B9:$B805,B9,[7]خرداد!$C9:$C805,"قالب نو"),
SUMIFS([7]تیر!$AF9:$AF805,[7]تیر!$B9:$B805,B9,[7]تیر!$C9:$C805,"قالب نو"),
SUMIFS([7]مرداد!$AF9:$AF805,[7]مرداد!$B9:$B805,B9,[7]مرداد!$C9:$C805,"قالب نو"),
SUMIFS([7]شهریور!$AF9:$AF805,[7]شهریور!$B9:$B805,B9,[7]شهریور!$C9:$C805,"قالب نو"),
SUMIFS([7]مهر!$AF9:$AF805,[7]مهر!$B9:$B805,B9,[7]مهر!$C9:$C805,"قالب نو"),
SUMIFS([7]آبان!$AF9:$AF805,[7]آبان!$B9:$B805,B9,[7]آبان!$C9:$C805,"قالب نو"),
SUMIFS([7]آذر!$AF9:$AF805,[7]آذر!$B9:$B805,B9,[7]آذر!$C9:$C805,"قالب نو"),
SUMIFS([7]دی!$AF9:$AF805,[7]دی!$B9:$B805,B9,[7]دی!$C9:$C805,"قالب نو"),
SUMIFS([7]بهمن!$AF9:$AF805,[7]بهمن!$B9:$B805,B9,[7]بهمن!$C9:$C805,"قالب نو"),
SUMIFS([7]اسفند!$AF9:$AF805,[7]اسفند!$B9:$B805,B9,[7]اسفند!$C9:$C805,"قالب نو")
)</f>
        <v>38</v>
      </c>
      <c r="N9" s="116">
        <v>42</v>
      </c>
    </row>
    <row r="10" spans="1:14" ht="82.5" customHeight="1" x14ac:dyDescent="0.25">
      <c r="A10" s="80">
        <v>7</v>
      </c>
      <c r="B10" s="96" t="s">
        <v>62</v>
      </c>
      <c r="C10" s="96" t="s">
        <v>63</v>
      </c>
      <c r="D10" s="53">
        <v>29889</v>
      </c>
      <c r="E10" s="104"/>
      <c r="F10" s="53"/>
      <c r="G10" s="104"/>
      <c r="H10" s="97"/>
      <c r="I10" s="97"/>
      <c r="J10" s="5" t="s">
        <v>46</v>
      </c>
      <c r="K10" s="123">
        <f t="shared" si="0"/>
        <v>0.30138888888888887</v>
      </c>
      <c r="L10" s="98" t="s">
        <v>8</v>
      </c>
      <c r="M10" s="118">
        <f>SUM(
SUMIFS([7]فروردین!$AF10:$AF806,[7]فروردین!$B10:$B806,B10,[7]فروردین!$C10:$C806,"قالب نو"),
SUMIFS([7]اردیبهشت!$AF10:$AF806,[7]اردیبهشت!$B10:$B806,B10,[7]اردیبهشت!$C10:$C806,"قالب نو"),
SUMIFS([7]خرداد!$AF10:$AF806,[7]خرداد!$B10:$B806,B10,[7]خرداد!$C10:$C806,"قالب نو"),
SUMIFS([7]تیر!$AF10:$AF806,[7]تیر!$B10:$B806,B10,[7]تیر!$C10:$C806,"قالب نو"),
SUMIFS([7]مرداد!$AF10:$AF806,[7]مرداد!$B10:$B806,B10,[7]مرداد!$C10:$C806,"قالب نو"),
SUMIFS([7]شهریور!$AF10:$AF806,[7]شهریور!$B10:$B806,B10,[7]شهریور!$C10:$C806,"قالب نو"),
SUMIFS([7]مهر!$AF10:$AF806,[7]مهر!$B10:$B806,B10,[7]مهر!$C10:$C806,"قالب نو"),
SUMIFS([7]آبان!$AF10:$AF806,[7]آبان!$B10:$B806,B10,[7]آبان!$C10:$C806,"قالب نو"),
SUMIFS([7]آذر!$AF10:$AF806,[7]آذر!$B10:$B806,B10,[7]آذر!$C10:$C806,"قالب نو"),
SUMIFS([7]دی!$AF10:$AF806,[7]دی!$B10:$B806,B10,[7]دی!$C10:$C806,"قالب نو"),
SUMIFS([7]بهمن!$AF10:$AF806,[7]بهمن!$B10:$B806,B10,[7]بهمن!$C10:$C806,"قالب نو"),
SUMIFS([7]اسفند!$AF10:$AF806,[7]اسفند!$B10:$B806,B10,[7]اسفند!$C10:$C806,"قالب نو")
)</f>
        <v>108.5</v>
      </c>
      <c r="N10" s="116">
        <v>360</v>
      </c>
    </row>
    <row r="11" spans="1:14" ht="79.5" customHeight="1" x14ac:dyDescent="0.25">
      <c r="A11" s="80">
        <v>8</v>
      </c>
      <c r="B11" s="96" t="s">
        <v>125</v>
      </c>
      <c r="C11" s="96" t="s">
        <v>63</v>
      </c>
      <c r="D11" s="53">
        <v>29087</v>
      </c>
      <c r="E11" s="104" t="s">
        <v>61</v>
      </c>
      <c r="F11" s="53" t="s">
        <v>116</v>
      </c>
      <c r="G11" s="104"/>
      <c r="H11" s="97"/>
      <c r="I11" s="97" t="s">
        <v>81</v>
      </c>
      <c r="J11" s="5" t="s">
        <v>46</v>
      </c>
      <c r="K11" s="123">
        <f t="shared" si="0"/>
        <v>0.93958333333333321</v>
      </c>
      <c r="L11" s="98" t="s">
        <v>50</v>
      </c>
      <c r="M11" s="118">
        <f>SUM(
SUMIFS([7]فروردین!$AF11:$AF807,[7]فروردین!$B11:$B807,B11,[7]فروردین!$C11:$C807,"قالب نو"),
SUMIFS([7]اردیبهشت!$AF11:$AF807,[7]اردیبهشت!$B11:$B807,B11,[7]اردیبهشت!$C11:$C807,"قالب نو"),
SUMIFS([7]خرداد!$AF11:$AF807,[7]خرداد!$B11:$B807,B11,[7]خرداد!$C11:$C807,"قالب نو"),
SUMIFS([7]تیر!$AF11:$AF807,[7]تیر!$B11:$B807,B11,[7]تیر!$C11:$C807,"قالب نو"),
SUMIFS([7]مرداد!$AF11:$AF807,[7]مرداد!$B11:$B807,B11,[7]مرداد!$C11:$C807,"قالب نو"),
SUMIFS([7]شهریور!$AF11:$AF807,[7]شهریور!$B11:$B807,B11,[7]شهریور!$C11:$C807,"قالب نو"),
SUMIFS([7]مهر!$AF11:$AF807,[7]مهر!$B11:$B807,B11,[7]مهر!$C11:$C807,"قالب نو"),
SUMIFS([7]آبان!$AF11:$AF807,[7]آبان!$B11:$B807,B11,[7]آبان!$C11:$C807,"قالب نو"),
SUMIFS([7]آذر!$AF11:$AF807,[7]آذر!$B11:$B807,B11,[7]آذر!$C11:$C807,"قالب نو"),
SUMIFS([7]دی!$AF11:$AF807,[7]دی!$B11:$B807,B11,[7]دی!$C11:$C807,"قالب نو"),
SUMIFS([7]بهمن!$AF11:$AF807,[7]بهمن!$B11:$B807,B11,[7]بهمن!$C11:$C807,"قالب نو"),
SUMIFS([7]اسفند!$AF11:$AF807,[7]اسفند!$B11:$B807,B11,[7]اسفند!$C11:$C807,"قالب نو")
)</f>
        <v>150.33333333333331</v>
      </c>
      <c r="N11" s="116">
        <v>160</v>
      </c>
    </row>
    <row r="12" spans="1:14" ht="45" x14ac:dyDescent="0.25">
      <c r="A12" s="80">
        <v>9</v>
      </c>
      <c r="B12" s="100" t="s">
        <v>126</v>
      </c>
      <c r="C12" s="96" t="s">
        <v>58</v>
      </c>
      <c r="D12" s="104" t="s">
        <v>67</v>
      </c>
      <c r="E12" s="104" t="s">
        <v>73</v>
      </c>
      <c r="F12" s="53" t="s">
        <v>120</v>
      </c>
      <c r="G12" s="104"/>
      <c r="H12" s="97"/>
      <c r="I12" s="97" t="s">
        <v>84</v>
      </c>
      <c r="J12" s="5" t="s">
        <v>83</v>
      </c>
      <c r="K12" s="123">
        <f t="shared" si="0"/>
        <v>1.0108333333333333</v>
      </c>
      <c r="L12" s="98" t="s">
        <v>110</v>
      </c>
      <c r="M12" s="118">
        <f>SUM(
SUMIFS([7]فروردین!$AF12:$AF808,[7]فروردین!$B12:$B808,B12,[7]فروردین!$C12:$C808,"قالب نو"),
SUMIFS([7]اردیبهشت!$AF12:$AF808,[7]اردیبهشت!$B12:$B808,B12,[7]اردیبهشت!$C12:$C808,"قالب نو"),
SUMIFS([7]خرداد!$AF12:$AF808,[7]خرداد!$B12:$B808,B12,[7]خرداد!$C12:$C808,"قالب نو"),
SUMIFS([7]تیر!$AF12:$AF808,[7]تیر!$B12:$B808,B12,[7]تیر!$C12:$C808,"قالب نو"),
SUMIFS([7]مرداد!$AF12:$AF808,[7]مرداد!$B12:$B808,B12,[7]مرداد!$C12:$C808,"قالب نو"),
SUMIFS([7]شهریور!$AF12:$AF808,[7]شهریور!$B12:$B808,B12,[7]شهریور!$C12:$C808,"قالب نو"),
SUMIFS([7]مهر!$AF12:$AF808,[7]مهر!$B12:$B808,B12,[7]مهر!$C12:$C808,"قالب نو"),
SUMIFS([7]آبان!$AF12:$AF808,[7]آبان!$B12:$B808,B12,[7]آبان!$C12:$C808,"قالب نو"),
SUMIFS([7]آذر!$AF12:$AF808,[7]آذر!$B12:$B808,B12,[7]آذر!$C12:$C808,"قالب نو"),
SUMIFS([7]دی!$AF12:$AF808,[7]دی!$B12:$B808,B12,[7]دی!$C12:$C808,"قالب نو"),
SUMIFS([7]بهمن!$AF12:$AF808,[7]بهمن!$B12:$B808,B12,[7]بهمن!$C12:$C808,"قالب نو"),
SUMIFS([7]اسفند!$AF12:$AF808,[7]اسفند!$B12:$B808,B12,[7]اسفند!$C12:$C808,"قالب نو")
)</f>
        <v>404.33333333333331</v>
      </c>
      <c r="N12" s="116">
        <v>400</v>
      </c>
    </row>
    <row r="13" spans="1:14" ht="99" x14ac:dyDescent="0.25">
      <c r="A13" s="80">
        <v>10</v>
      </c>
      <c r="B13" s="100" t="s">
        <v>127</v>
      </c>
      <c r="C13" s="96" t="s">
        <v>71</v>
      </c>
      <c r="D13" s="97">
        <v>30247</v>
      </c>
      <c r="E13" s="97" t="s">
        <v>90</v>
      </c>
      <c r="F13" s="11" t="s">
        <v>115</v>
      </c>
      <c r="G13" s="97"/>
      <c r="H13" s="97" t="s">
        <v>100</v>
      </c>
      <c r="I13" s="5" t="s">
        <v>99</v>
      </c>
      <c r="J13" s="5" t="s">
        <v>46</v>
      </c>
      <c r="K13" s="123">
        <f t="shared" si="0"/>
        <v>0.57187500000000002</v>
      </c>
      <c r="L13" s="98" t="s">
        <v>50</v>
      </c>
      <c r="M13" s="118">
        <f>SUM(
SUMIFS([7]فروردین!$AF13:$AF809,[7]فروردین!$B13:$B809,B13,[7]فروردین!$C13:$C809,"قالب نو"),
SUMIFS([7]اردیبهشت!$AF13:$AF809,[7]اردیبهشت!$B13:$B809,B13,[7]اردیبهشت!$C13:$C809,"قالب نو"),
SUMIFS([7]خرداد!$AF13:$AF809,[7]خرداد!$B13:$B809,B13,[7]خرداد!$C13:$C809,"قالب نو"),
SUMIFS([7]تیر!$AF13:$AF809,[7]تیر!$B13:$B809,B13,[7]تیر!$C13:$C809,"قالب نو"),
SUMIFS([7]مرداد!$AF13:$AF809,[7]مرداد!$B13:$B809,B13,[7]مرداد!$C13:$C809,"قالب نو"),
SUMIFS([7]شهریور!$AF13:$AF809,[7]شهریور!$B13:$B809,B13,[7]شهریور!$C13:$C809,"قالب نو"),
SUMIFS([7]مهر!$AF13:$AF809,[7]مهر!$B13:$B809,B13,[7]مهر!$C13:$C809,"قالب نو"),
SUMIFS([7]آبان!$AF13:$AF809,[7]آبان!$B13:$B809,B13,[7]آبان!$C13:$C809,"قالب نو"),
SUMIFS([7]آذر!$AF13:$AF809,[7]آذر!$B13:$B809,B13,[7]آذر!$C13:$C809,"قالب نو"),
SUMIFS([7]دی!$AF13:$AF809,[7]دی!$B13:$B809,B13,[7]دی!$C13:$C809,"قالب نو"),
SUMIFS([7]بهمن!$AF13:$AF809,[7]بهمن!$B13:$B809,B13,[7]بهمن!$C13:$C809,"قالب نو"),
SUMIFS([7]اسفند!$AF13:$AF809,[7]اسفند!$B13:$B809,B13,[7]اسفند!$C13:$C809,"قالب نو")
)</f>
        <v>91.5</v>
      </c>
      <c r="N13" s="116">
        <v>160</v>
      </c>
    </row>
    <row r="14" spans="1:14" ht="90" customHeight="1" x14ac:dyDescent="0.25">
      <c r="A14" s="80">
        <v>11</v>
      </c>
      <c r="B14" s="100" t="s">
        <v>128</v>
      </c>
      <c r="C14" s="96" t="s">
        <v>71</v>
      </c>
      <c r="D14" s="97">
        <v>30278</v>
      </c>
      <c r="E14" s="97" t="s">
        <v>90</v>
      </c>
      <c r="F14" s="11" t="s">
        <v>115</v>
      </c>
      <c r="G14" s="97"/>
      <c r="H14" s="97" t="s">
        <v>100</v>
      </c>
      <c r="I14" s="5" t="s">
        <v>99</v>
      </c>
      <c r="J14" s="5" t="s">
        <v>46</v>
      </c>
      <c r="K14" s="123">
        <f t="shared" si="0"/>
        <v>0.48749999999999999</v>
      </c>
      <c r="L14" s="98" t="s">
        <v>50</v>
      </c>
      <c r="M14" s="118">
        <f>SUM(
SUMIFS([7]فروردین!$AF14:$AF810,[7]فروردین!$B14:$B810,B14,[7]فروردین!$C14:$C810,"قالب نو"),
SUMIFS([7]اردیبهشت!$AF14:$AF810,[7]اردیبهشت!$B14:$B810,B14,[7]اردیبهشت!$C14:$C810,"قالب نو"),
SUMIFS([7]خرداد!$AF14:$AF810,[7]خرداد!$B14:$B810,B14,[7]خرداد!$C14:$C810,"قالب نو"),
SUMIFS([7]تیر!$AF14:$AF810,[7]تیر!$B14:$B810,B14,[7]تیر!$C14:$C810,"قالب نو"),
SUMIFS([7]مرداد!$AF14:$AF810,[7]مرداد!$B14:$B810,B14,[7]مرداد!$C14:$C810,"قالب نو"),
SUMIFS([7]شهریور!$AF14:$AF810,[7]شهریور!$B14:$B810,B14,[7]شهریور!$C14:$C810,"قالب نو"),
SUMIFS([7]مهر!$AF14:$AF810,[7]مهر!$B14:$B810,B14,[7]مهر!$C14:$C810,"قالب نو"),
SUMIFS([7]آبان!$AF14:$AF810,[7]آبان!$B14:$B810,B14,[7]آبان!$C14:$C810,"قالب نو"),
SUMIFS([7]آذر!$AF14:$AF810,[7]آذر!$B14:$B810,B14,[7]آذر!$C14:$C810,"قالب نو"),
SUMIFS([7]دی!$AF14:$AF810,[7]دی!$B14:$B810,B14,[7]دی!$C14:$C810,"قالب نو"),
SUMIFS([7]بهمن!$AF14:$AF810,[7]بهمن!$B14:$B810,B14,[7]بهمن!$C14:$C810,"قالب نو"),
SUMIFS([7]اسفند!$AF14:$AF810,[7]اسفند!$B14:$B810,B14,[7]اسفند!$C14:$C810,"قالب نو")
)</f>
        <v>78</v>
      </c>
      <c r="N14" s="116">
        <v>160</v>
      </c>
    </row>
    <row r="15" spans="1:14" ht="86.25" customHeight="1" x14ac:dyDescent="0.25">
      <c r="A15" s="80">
        <v>12</v>
      </c>
      <c r="B15" s="90" t="s">
        <v>79</v>
      </c>
      <c r="C15" s="90" t="s">
        <v>57</v>
      </c>
      <c r="D15" s="107" t="s">
        <v>15</v>
      </c>
      <c r="E15" s="108"/>
      <c r="F15" s="11"/>
      <c r="G15" s="97"/>
      <c r="H15" s="97"/>
      <c r="I15" s="5"/>
      <c r="J15" s="5" t="s">
        <v>46</v>
      </c>
      <c r="K15" s="123">
        <f t="shared" si="0"/>
        <v>0</v>
      </c>
      <c r="L15" s="98" t="s">
        <v>8</v>
      </c>
      <c r="M15" s="118">
        <f>SUM(
SUMIFS([7]فروردین!$AF15:$AF811,[7]فروردین!$B15:$B811,B15,[7]فروردین!$C15:$C811,"قالب نو"),
SUMIFS([7]اردیبهشت!$AF15:$AF811,[7]اردیبهشت!$B15:$B811,B15,[7]اردیبهشت!$C15:$C811,"قالب نو"),
SUMIFS([7]خرداد!$AF15:$AF811,[7]خرداد!$B15:$B811,B15,[7]خرداد!$C15:$C811,"قالب نو"),
SUMIFS([7]تیر!$AF15:$AF811,[7]تیر!$B15:$B811,B15,[7]تیر!$C15:$C811,"قالب نو"),
SUMIFS([7]مرداد!$AF15:$AF811,[7]مرداد!$B15:$B811,B15,[7]مرداد!$C15:$C811,"قالب نو"),
SUMIFS([7]شهریور!$AF15:$AF811,[7]شهریور!$B15:$B811,B15,[7]شهریور!$C15:$C811,"قالب نو"),
SUMIFS([7]مهر!$AF15:$AF811,[7]مهر!$B15:$B811,B15,[7]مهر!$C15:$C811,"قالب نو"),
SUMIFS([7]آبان!$AF15:$AF811,[7]آبان!$B15:$B811,B15,[7]آبان!$C15:$C811,"قالب نو"),
SUMIFS([7]آذر!$AF15:$AF811,[7]آذر!$B15:$B811,B15,[7]آذر!$C15:$C811,"قالب نو"),
SUMIFS([7]دی!$AF15:$AF811,[7]دی!$B15:$B811,B15,[7]دی!$C15:$C811,"قالب نو"),
SUMIFS([7]بهمن!$AF15:$AF811,[7]بهمن!$B15:$B811,B15,[7]بهمن!$C15:$C811,"قالب نو"),
SUMIFS([7]اسفند!$AF15:$AF811,[7]اسفند!$B15:$B811,B15,[7]اسفند!$C15:$C811,"قالب نو")
)</f>
        <v>0</v>
      </c>
      <c r="N15" s="116">
        <v>420</v>
      </c>
    </row>
    <row r="16" spans="1:14" ht="99" x14ac:dyDescent="0.25">
      <c r="A16" s="80">
        <v>13</v>
      </c>
      <c r="B16" s="96" t="s">
        <v>78</v>
      </c>
      <c r="C16" s="11" t="s">
        <v>57</v>
      </c>
      <c r="D16" s="53" t="s">
        <v>15</v>
      </c>
      <c r="E16" s="110"/>
      <c r="F16" s="11"/>
      <c r="G16" s="97"/>
      <c r="H16" s="97"/>
      <c r="I16" s="97"/>
      <c r="J16" s="5" t="s">
        <v>46</v>
      </c>
      <c r="K16" s="123">
        <f t="shared" si="0"/>
        <v>0</v>
      </c>
      <c r="L16" s="98" t="s">
        <v>8</v>
      </c>
      <c r="M16" s="118">
        <f>SUM(
SUMIFS([7]فروردین!$AF16:$AF812,[7]فروردین!$B16:$B812,B16,[7]فروردین!$C16:$C812,"قالب نو"),
SUMIFS([7]اردیبهشت!$AF16:$AF812,[7]اردیبهشت!$B16:$B812,B16,[7]اردیبهشت!$C16:$C812,"قالب نو"),
SUMIFS([7]خرداد!$AF16:$AF812,[7]خرداد!$B16:$B812,B16,[7]خرداد!$C16:$C812,"قالب نو"),
SUMIFS([7]تیر!$AF16:$AF812,[7]تیر!$B16:$B812,B16,[7]تیر!$C16:$C812,"قالب نو"),
SUMIFS([7]مرداد!$AF16:$AF812,[7]مرداد!$B16:$B812,B16,[7]مرداد!$C16:$C812,"قالب نو"),
SUMIFS([7]شهریور!$AF16:$AF812,[7]شهریور!$B16:$B812,B16,[7]شهریور!$C16:$C812,"قالب نو"),
SUMIFS([7]مهر!$AF16:$AF812,[7]مهر!$B16:$B812,B16,[7]مهر!$C16:$C812,"قالب نو"),
SUMIFS([7]آبان!$AF16:$AF812,[7]آبان!$B16:$B812,B16,[7]آبان!$C16:$C812,"قالب نو"),
SUMIFS([7]آذر!$AF16:$AF812,[7]آذر!$B16:$B812,B16,[7]آذر!$C16:$C812,"قالب نو"),
SUMIFS([7]دی!$AF16:$AF812,[7]دی!$B16:$B812,B16,[7]دی!$C16:$C812,"قالب نو"),
SUMIFS([7]بهمن!$AF16:$AF812,[7]بهمن!$B16:$B812,B16,[7]بهمن!$C16:$C812,"قالب نو"),
SUMIFS([7]اسفند!$AF16:$AF812,[7]اسفند!$B16:$B812,B16,[7]اسفند!$C16:$C812,"قالب نو")
)</f>
        <v>0</v>
      </c>
      <c r="N16" s="116">
        <v>560</v>
      </c>
    </row>
    <row r="17" spans="1:14" ht="99" x14ac:dyDescent="0.25">
      <c r="A17" s="80">
        <v>14</v>
      </c>
      <c r="B17" s="96" t="s">
        <v>133</v>
      </c>
      <c r="C17" s="11" t="s">
        <v>57</v>
      </c>
      <c r="D17" s="53" t="s">
        <v>132</v>
      </c>
      <c r="E17" s="110"/>
      <c r="F17" s="11"/>
      <c r="G17" s="97"/>
      <c r="H17" s="97"/>
      <c r="I17" s="97"/>
      <c r="J17" s="5" t="s">
        <v>46</v>
      </c>
      <c r="K17" s="123">
        <f t="shared" si="0"/>
        <v>0.1711111111111111</v>
      </c>
      <c r="L17" s="98" t="s">
        <v>8</v>
      </c>
      <c r="M17" s="118">
        <f>SUM(
SUMIFS([7]فروردین!$AF17:$AF813,[7]فروردین!$B17:$B813,B17,[7]فروردین!$C17:$C813,"قالب نو"),
SUMIFS([7]اردیبهشت!$AF17:$AF813,[7]اردیبهشت!$B17:$B813,B17,[7]اردیبهشت!$C17:$C813,"قالب نو"),
SUMIFS([7]خرداد!$AF17:$AF813,[7]خرداد!$B17:$B813,B17,[7]خرداد!$C17:$C813,"قالب نو"),
SUMIFS([7]تیر!$AF17:$AF813,[7]تیر!$B17:$B813,B17,[7]تیر!$C17:$C813,"قالب نو"),
SUMIFS([7]مرداد!$AF17:$AF813,[7]مرداد!$B17:$B813,B17,[7]مرداد!$C17:$C813,"قالب نو"),
SUMIFS([7]شهریور!$AF17:$AF813,[7]شهریور!$B17:$B813,B17,[7]شهریور!$C17:$C813,"قالب نو"),
SUMIFS([7]مهر!$AF17:$AF813,[7]مهر!$B17:$B813,B17,[7]مهر!$C17:$C813,"قالب نو"),
SUMIFS([7]آبان!$AF17:$AF813,[7]آبان!$B17:$B813,B17,[7]آبان!$C17:$C813,"قالب نو"),
SUMIFS([7]آذر!$AF17:$AF813,[7]آذر!$B17:$B813,B17,[7]آذر!$C17:$C813,"قالب نو"),
SUMIFS([7]دی!$AF17:$AF813,[7]دی!$B17:$B813,B17,[7]دی!$C17:$C813,"قالب نو"),
SUMIFS([7]بهمن!$AF17:$AF813,[7]بهمن!$B17:$B813,B17,[7]بهمن!$C17:$C813,"قالب نو"),
SUMIFS([7]اسفند!$AF17:$AF813,[7]اسفند!$B17:$B813,B17,[7]اسفند!$C17:$C813,"قالب نو")
)</f>
        <v>77</v>
      </c>
      <c r="N17" s="116">
        <v>450</v>
      </c>
    </row>
  </sheetData>
  <mergeCells count="1">
    <mergeCell ref="A1:I2"/>
  </mergeCells>
  <phoneticPr fontId="14" type="noConversion"/>
  <printOptions horizontalCentered="1" verticalCentered="1"/>
  <pageMargins left="0" right="0" top="0" bottom="0" header="0" footer="0"/>
  <pageSetup scale="61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7519-F90D-44A0-BBD1-025E64928EBE}">
  <sheetPr>
    <pageSetUpPr fitToPage="1"/>
  </sheetPr>
  <dimension ref="A1:N17"/>
  <sheetViews>
    <sheetView rightToLeft="1" view="pageLayout" zoomScaleNormal="100" workbookViewId="0">
      <selection activeCell="L4" sqref="L4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style="117" customWidth="1"/>
    <col min="12" max="12" width="11.28515625" customWidth="1"/>
    <col min="13" max="13" width="10.7109375" style="118" hidden="1" customWidth="1"/>
    <col min="14" max="14" width="9.140625" style="116" hidden="1" customWidth="1"/>
  </cols>
  <sheetData>
    <row r="1" spans="1:14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120">
        <v>1405</v>
      </c>
      <c r="L1" s="24"/>
    </row>
    <row r="2" spans="1:14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1">
        <v>25</v>
      </c>
      <c r="L2" s="25"/>
    </row>
    <row r="3" spans="1:14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101</v>
      </c>
      <c r="J3" s="28" t="s">
        <v>102</v>
      </c>
      <c r="K3" s="119" t="s">
        <v>103</v>
      </c>
      <c r="L3" s="31" t="s">
        <v>11</v>
      </c>
      <c r="M3" s="118" t="s">
        <v>131</v>
      </c>
      <c r="N3" s="122" t="s">
        <v>130</v>
      </c>
    </row>
    <row r="4" spans="1:14" ht="72" customHeight="1" x14ac:dyDescent="0.25">
      <c r="A4" s="80">
        <v>1</v>
      </c>
      <c r="B4" s="78" t="s">
        <v>129</v>
      </c>
      <c r="C4" s="78" t="s">
        <v>57</v>
      </c>
      <c r="D4" s="105" t="s">
        <v>15</v>
      </c>
      <c r="E4" s="112" t="s">
        <v>18</v>
      </c>
      <c r="F4" s="105"/>
      <c r="G4" s="113"/>
      <c r="H4" s="33"/>
      <c r="I4" s="73" t="s">
        <v>10</v>
      </c>
      <c r="J4" s="73" t="s">
        <v>80</v>
      </c>
      <c r="K4" s="124">
        <f>IFERROR(M4/N4,0)</f>
        <v>0.56833333333333325</v>
      </c>
      <c r="L4" s="9" t="str" cm="1">
        <f t="array" aca="1" ref="L4" ca="1">_xlfn.LET(
_xlpm.n,TRIM(B4),
_xlpm.D,_xlfn._xlws.FILTER(CHOOSE({1,2},[8]فروردین!$N$4:$N$800,[8]فروردین!$AC$4:$AC$800),(TRIM([8]فروردین!$B$4:$B$800)=_xlpm.n)*(TRIM([8]فروردین!$C$4:$C$800)="قالب نو")*([8]فروردین!$AC$4:$AC$800&lt;&gt;""),""),
_xlpm.O,_xlfn._xlws.FILTER(CHOOSE({1,2},[9]اردیبهشت!$N$4:$N$800,[9]اردیبهشت!$AC$4:$AC$800),(TRIM([9]اردیبهشت!$B$4:$B$800)=_xlpm.n)*(TRIM([9]اردیبهشت!$C$4:$C$800)="قالب نو")*([9]اردیبهشت!$AC$4:$AC$800&lt;&gt;""),""),
_xlpm.K,_xlfn._xlws.FILTER(CHOOSE({1,2},[10]خرداد!$N$4:$N$800,[10]خرداد!$AC$4:$AC$800),(TRIM([10]خرداد!$B$4:$B$800)=_xlpm.n)*(TRIM([10]خرداد!$C$4:$C$800)="قالب نو")*([10]خرداد!$AC$4:$AC$800&lt;&gt;""),""),
_xlpm.T,_xlfn._xlws.FILTER(CHOOSE({1,2},[11]تیر!$N$4:$N$800,[11]تیر!$AC$4:$AC$800),(TRIM([11]تیر!$B$4:$B$800)=_xlpm.n)*(TRIM([11]تیر!$C$4:$C$800)="قالب نو")*([11]تیر!$AC$4:$AC$800&lt;&gt;""),""),
_xlpm.M,_xlfn._xlws.FILTER(CHOOSE({1,2},[12]مرداد!$N$4:$N$800,[12]مرداد!$AC$4:$AC$800),(TRIM([12]مرداد!$B$4:$B$800)=_xlpm.n)*(TRIM([12]مرداد!$C$4:$C$800)="قالب نو")*([12]مرداد!$AC$4:$AC$800&lt;&gt;""),""),
_xlpm.S,_xlfn._xlws.FILTER(CHOOSE({1,2},[13]شهریور!$N$4:$N$800,[13]شهریور!$AC$4:$AC$800),(TRIM([13]شهریور!$B$4:$B$800)=_xlpm.n)*(TRIM([13]شهریور!$C$4:$C$800)="قالب نو")*([13]شهریور!$AC$4:$AC$800&lt;&gt;""),""),
_xlpm.A,VSTACK(_xlpm.D,_xlpm.O,_xlpm.K,_xlpm.T,_xlpm.M,_xlpm.S),
IFERROR(
    INDEX(
        _xlfn.SORTBY(_xlpm.A,INDEX(_xlpm.A,,2),-1),
        1,1
    ),
"")
)</f>
        <v/>
      </c>
      <c r="M4" s="118">
        <f>SUM(
SUMIFS([7]فروردین!$AF4:$AF800,[7]فروردین!$B4:$B800,B4,[7]فروردین!$C4:$C800,"قالب نو"),
SUMIFS([7]اردیبهشت!$AF4:$AF800,[7]اردیبهشت!$B4:$B800,B4,[7]اردیبهشت!$C4:$C800,"قالب نو"),
SUMIFS([7]خرداد!$AF4:$AF800,[7]خرداد!$B4:$B800,B4,[7]خرداد!$C4:$C800,"قالب نو"),
SUMIFS([7]تیر!$AF4:$AF800,[7]تیر!$B4:$B800,B4,[7]تیر!$C4:$C800,"قالب نو"),
SUMIFS([7]مرداد!$AF4:$AF800,[7]مرداد!$B4:$B800,B4,[7]مرداد!$C4:$C800,"قالب نو"),
SUMIFS([7]شهریور!$AF4:$AF800,[7]شهریور!$B4:$B800,B4,[7]شهریور!$C4:$C800,"قالب نو"),
SUMIFS([7]مهر!$AF4:$AF800,[7]مهر!$B4:$B800,B4,[7]مهر!$C4:$C800,"قالب نو"),
SUMIFS([7]آبان!$AF4:$AF800,[7]آبان!$B4:$B800,B4,[7]آبان!$C4:$C800,"قالب نو"),
SUMIFS([7]آذر!$AF4:$AF800,[7]آذر!$B4:$B800,B4,[7]آذر!$C4:$C800,"قالب نو"),
SUMIFS([7]دی!$AF4:$AF800,[7]دی!$B4:$B800,B4,[7]دی!$C4:$C800,"قالب نو"),
SUMIFS([7]بهمن!$AF4:$AF800,[7]بهمن!$B4:$B800,B4,[7]بهمن!$C4:$C800,"قالب نو"),
SUMIFS([7]اسفند!$AF4:$AF800,[7]اسفند!$B4:$B800,B4,[7]اسفند!$C4:$C800,"قالب نو")
)</f>
        <v>56.833333333333329</v>
      </c>
      <c r="N4" s="116">
        <v>100</v>
      </c>
    </row>
    <row r="5" spans="1:14" ht="72" customHeight="1" x14ac:dyDescent="0.25">
      <c r="A5" s="80">
        <v>2</v>
      </c>
      <c r="B5" s="78" t="s">
        <v>121</v>
      </c>
      <c r="C5" s="78" t="s">
        <v>57</v>
      </c>
      <c r="D5" s="53" t="s">
        <v>15</v>
      </c>
      <c r="E5" s="53" t="s">
        <v>17</v>
      </c>
      <c r="F5" s="104" t="s">
        <v>115</v>
      </c>
      <c r="G5" s="104"/>
      <c r="H5" s="8"/>
      <c r="I5" s="2" t="s">
        <v>108</v>
      </c>
      <c r="J5" s="2" t="s">
        <v>107</v>
      </c>
      <c r="K5" s="123">
        <f t="shared" ref="K5:K17" si="0">IFERROR(M5/N5,0)</f>
        <v>0.87462962962962953</v>
      </c>
      <c r="L5" s="9" t="s">
        <v>54</v>
      </c>
      <c r="M5" s="118">
        <f>SUM(
SUMIFS([7]فروردین!$AF5:$AF801,[7]فروردین!$B5:$B801,B5,[7]فروردین!$C5:$C801,"قالب نو"),
SUMIFS([7]اردیبهشت!$AF5:$AF801,[7]اردیبهشت!$B5:$B801,B5,[7]اردیبهشت!$C5:$C801,"قالب نو"),
SUMIFS([7]خرداد!$AF5:$AF801,[7]خرداد!$B5:$B801,B5,[7]خرداد!$C5:$C801,"قالب نو"),
SUMIFS([7]تیر!$AF5:$AF801,[7]تیر!$B5:$B801,B5,[7]تیر!$C5:$C801,"قالب نو"),
SUMIFS([7]مرداد!$AF5:$AF801,[7]مرداد!$B5:$B801,B5,[7]مرداد!$C5:$C801,"قالب نو"),
SUMIFS([7]شهریور!$AF5:$AF801,[7]شهریور!$B5:$B801,B5,[7]شهریور!$C5:$C801,"قالب نو"),
SUMIFS([7]مهر!$AF5:$AF801,[7]مهر!$B5:$B801,B5,[7]مهر!$C5:$C801,"قالب نو"),
SUMIFS([7]آبان!$AF5:$AF801,[7]آبان!$B5:$B801,B5,[7]آبان!$C5:$C801,"قالب نو"),
SUMIFS([7]آذر!$AF5:$AF801,[7]آذر!$B5:$B801,B5,[7]آذر!$C5:$C801,"قالب نو"),
SUMIFS([7]دی!$AF5:$AF801,[7]دی!$B5:$B801,B5,[7]دی!$C5:$C801,"قالب نو"),
SUMIFS([7]بهمن!$AF5:$AF801,[7]بهمن!$B5:$B801,B5,[7]بهمن!$C5:$C801,"قالب نو"),
SUMIFS([7]اسفند!$AF5:$AF801,[7]اسفند!$B5:$B801,B5,[7]اسفند!$C5:$C801,"قالب نو")
)</f>
        <v>393.58333333333331</v>
      </c>
      <c r="N5" s="116">
        <v>450</v>
      </c>
    </row>
    <row r="6" spans="1:14" ht="72" customHeight="1" x14ac:dyDescent="0.25">
      <c r="A6" s="80">
        <v>3</v>
      </c>
      <c r="B6" s="78" t="s">
        <v>122</v>
      </c>
      <c r="C6" s="78" t="s">
        <v>57</v>
      </c>
      <c r="D6" s="105" t="s">
        <v>15</v>
      </c>
      <c r="E6" s="105" t="s">
        <v>15</v>
      </c>
      <c r="F6" s="105" t="s">
        <v>116</v>
      </c>
      <c r="G6" s="105"/>
      <c r="H6" s="33"/>
      <c r="I6" s="2" t="s">
        <v>109</v>
      </c>
      <c r="J6" s="2" t="s">
        <v>107</v>
      </c>
      <c r="K6" s="123">
        <f t="shared" si="0"/>
        <v>0.94090909090909092</v>
      </c>
      <c r="L6" s="9" t="s">
        <v>54</v>
      </c>
      <c r="M6" s="118">
        <f>SUM(
SUMIFS([7]فروردین!$AF6:$AF802,[7]فروردین!$B6:$B802,B6,[7]فروردین!$C6:$C802,"قالب نو"),
SUMIFS([7]اردیبهشت!$AF6:$AF802,[7]اردیبهشت!$B6:$B802,B6,[7]اردیبهشت!$C6:$C802,"قالب نو"),
SUMIFS([7]خرداد!$AF6:$AF802,[7]خرداد!$B6:$B802,B6,[7]خرداد!$C6:$C802,"قالب نو"),
SUMIFS([7]تیر!$AF6:$AF802,[7]تیر!$B6:$B802,B6,[7]تیر!$C6:$C802,"قالب نو"),
SUMIFS([7]مرداد!$AF6:$AF802,[7]مرداد!$B6:$B802,B6,[7]مرداد!$C6:$C802,"قالب نو"),
SUMIFS([7]شهریور!$AF6:$AF802,[7]شهریور!$B6:$B802,B6,[7]شهریور!$C6:$C802,"قالب نو"),
SUMIFS([7]مهر!$AF6:$AF802,[7]مهر!$B6:$B802,B6,[7]مهر!$C6:$C802,"قالب نو"),
SUMIFS([7]آبان!$AF6:$AF802,[7]آبان!$B6:$B802,B6,[7]آبان!$C6:$C802,"قالب نو"),
SUMIFS([7]آذر!$AF6:$AF802,[7]آذر!$B6:$B802,B6,[7]آذر!$C6:$C802,"قالب نو"),
SUMIFS([7]دی!$AF6:$AF802,[7]دی!$B6:$B802,B6,[7]دی!$C6:$C802,"قالب نو"),
SUMIFS([7]بهمن!$AF6:$AF802,[7]بهمن!$B6:$B802,B6,[7]بهمن!$C6:$C802,"قالب نو"),
SUMIFS([7]اسفند!$AF6:$AF802,[7]اسفند!$B6:$B802,B6,[7]اسفند!$C6:$C802,"قالب نو")
)</f>
        <v>207</v>
      </c>
      <c r="N6" s="116">
        <v>220</v>
      </c>
    </row>
    <row r="7" spans="1:14" ht="66" x14ac:dyDescent="0.25">
      <c r="A7" s="80">
        <v>4</v>
      </c>
      <c r="B7" s="78" t="s">
        <v>123</v>
      </c>
      <c r="C7" s="78" t="s">
        <v>57</v>
      </c>
      <c r="D7" s="105"/>
      <c r="E7" s="105" t="s">
        <v>43</v>
      </c>
      <c r="F7" s="105" t="s">
        <v>117</v>
      </c>
      <c r="G7" s="105"/>
      <c r="H7" s="33"/>
      <c r="I7" s="5" t="s">
        <v>114</v>
      </c>
      <c r="J7" s="5" t="s">
        <v>113</v>
      </c>
      <c r="K7" s="123">
        <f t="shared" si="0"/>
        <v>0.98333333333333328</v>
      </c>
      <c r="L7" s="9" t="s">
        <v>95</v>
      </c>
      <c r="M7" s="118">
        <f>SUM(
SUMIFS([7]فروردین!$AF4:$AF803,[7]فروردین!$B4:$B803,B7,[7]فروردین!$C4:$C803,"قالب نو"),
SUMIFS([7]اردیبهشت!$AF4:$AF803,[7]اردیبهشت!$B4:$B803,B7,[7]اردیبهشت!$C4:$C803,"قالب نو"),
SUMIFS([7]خرداد!$AF4:$AF803,[7]خرداد!$B4:$B803,B7,[7]خرداد!$C4:$C803,"قالب نو"),
SUMIFS([7]تیر!$AF4:$AF803,[7]تیر!$B4:$B803,B7,[7]تیر!$C4:$C803,"قالب نو"),
SUMIFS([7]مرداد!$AF4:$AF803,[7]مرداد!$B4:$B803,B7,[7]مرداد!$C4:$C803,"قالب نو"),
SUMIFS([7]شهریور!$AF4:$AF803,[7]شهریور!$B4:$B803,B7,[7]شهریور!$C4:$C803,"قالب نو"),
SUMIFS([7]مهر!$AF4:$AF803,[7]مهر!$B4:$B803,B7,[7]مهر!$C4:$C803,"قالب نو"),
SUMIFS([7]آبان!$AF4:$AF803,[7]آبان!$B4:$B803,B7,[7]آبان!$C4:$C803,"قالب نو"),
SUMIFS([7]آذر!$AF4:$AF803,[7]آذر!$B4:$B803,B7,[7]آذر!$C4:$C803,"قالب نو"),
SUMIFS([7]دی!$AF4:$AF803,[7]دی!$B4:$B803,B7,[7]دی!$C4:$C803,"قالب نو"),
SUMIFS([7]بهمن!$AF4:$AF803,[7]بهمن!$B4:$B803,B7,[7]بهمن!$C4:$C803,"قالب نو"),
SUMIFS([7]اسفند!$AF4:$AF803,[7]اسفند!$B4:$B803,B7,[7]اسفند!$C4:$C803,"قالب نو")
)</f>
        <v>255.66666666666666</v>
      </c>
      <c r="N7" s="116">
        <v>260</v>
      </c>
    </row>
    <row r="8" spans="1:14" ht="82.5" customHeight="1" x14ac:dyDescent="0.25">
      <c r="A8" s="80">
        <v>5</v>
      </c>
      <c r="B8" s="78" t="s">
        <v>124</v>
      </c>
      <c r="C8" s="78" t="s">
        <v>57</v>
      </c>
      <c r="D8" s="105">
        <v>30303</v>
      </c>
      <c r="E8" s="106" t="s">
        <v>73</v>
      </c>
      <c r="F8" s="105" t="s">
        <v>118</v>
      </c>
      <c r="G8" s="105"/>
      <c r="H8" s="33"/>
      <c r="I8" s="5" t="s">
        <v>134</v>
      </c>
      <c r="J8" s="5"/>
      <c r="K8" s="123">
        <f t="shared" si="0"/>
        <v>0.99761904761904763</v>
      </c>
      <c r="L8" s="9" t="s">
        <v>92</v>
      </c>
      <c r="M8" s="118">
        <f>SUM(
SUMIFS([7]فروردین!$AF8:$AF804,[7]فروردین!$B8:$B804,B8,[7]فروردین!$C8:$C804,"قالب نو"),
SUMIFS([7]اردیبهشت!$AF8:$AF804,[7]اردیبهشت!$B8:$B804,B8,[7]اردیبهشت!$C8:$C804,"قالب نو"),
SUMIFS([7]خرداد!$AF8:$AF804,[7]خرداد!$B8:$B804,B8,[7]خرداد!$C8:$C804,"قالب نو"),
SUMIFS([7]تیر!$AF8:$AF804,[7]تیر!$B8:$B804,B8,[7]تیر!$C8:$C804,"قالب نو"),
SUMIFS([7]مرداد!$AF8:$AF804,[7]مرداد!$B8:$B804,B8,[7]مرداد!$C8:$C804,"قالب نو"),
SUMIFS([7]شهریور!$AF8:$AF804,[7]شهریور!$B8:$B804,B8,[7]شهریور!$C8:$C804,"قالب نو"),
SUMIFS([7]مهر!$AF8:$AF804,[7]مهر!$B8:$B804,B8,[7]مهر!$C8:$C804,"قالب نو"),
SUMIFS([7]آبان!$AF8:$AF804,[7]آبان!$B8:$B804,B8,[7]آبان!$C8:$C804,"قالب نو"),
SUMIFS([7]آذر!$AF8:$AF804,[7]آذر!$B8:$B804,B8,[7]آذر!$C8:$C804,"قالب نو"),
SUMIFS([7]دی!$AF8:$AF804,[7]دی!$B8:$B804,B8,[7]دی!$C8:$C804,"قالب نو"),
SUMIFS([7]بهمن!$AF8:$AF804,[7]بهمن!$B8:$B804,B8,[7]بهمن!$C8:$C804,"قالب نو"),
SUMIFS([7]اسفند!$AF8:$AF804,[7]اسفند!$B8:$B804,B8,[7]اسفند!$C8:$C804,"قالب نو")
)</f>
        <v>209.5</v>
      </c>
      <c r="N8" s="116">
        <v>210</v>
      </c>
    </row>
    <row r="9" spans="1:14" ht="82.5" customHeight="1" x14ac:dyDescent="0.25">
      <c r="A9" s="80">
        <v>6</v>
      </c>
      <c r="B9" s="96" t="s">
        <v>59</v>
      </c>
      <c r="C9" s="96" t="s">
        <v>58</v>
      </c>
      <c r="D9" s="53">
        <v>29935</v>
      </c>
      <c r="E9" s="104" t="s">
        <v>73</v>
      </c>
      <c r="F9" s="53" t="s">
        <v>119</v>
      </c>
      <c r="G9" s="104"/>
      <c r="H9" s="97" t="s">
        <v>54</v>
      </c>
      <c r="I9" s="5" t="s">
        <v>98</v>
      </c>
      <c r="J9" s="5" t="s">
        <v>97</v>
      </c>
      <c r="K9" s="123">
        <f t="shared" si="0"/>
        <v>0.90476190476190477</v>
      </c>
      <c r="L9" s="98" t="s">
        <v>36</v>
      </c>
      <c r="M9" s="118">
        <f>SUM(
SUMIFS([7]فروردین!$AF9:$AF805,[7]فروردین!$B9:$B805,B9,[7]فروردین!$C9:$C805,"قالب نو"),
SUMIFS([7]اردیبهشت!$AF9:$AF805,[7]اردیبهشت!$B9:$B805,B9,[7]اردیبهشت!$C9:$C805,"قالب نو"),
SUMIFS([7]خرداد!$AF9:$AF805,[7]خرداد!$B9:$B805,B9,[7]خرداد!$C9:$C805,"قالب نو"),
SUMIFS([7]تیر!$AF9:$AF805,[7]تیر!$B9:$B805,B9,[7]تیر!$C9:$C805,"قالب نو"),
SUMIFS([7]مرداد!$AF9:$AF805,[7]مرداد!$B9:$B805,B9,[7]مرداد!$C9:$C805,"قالب نو"),
SUMIFS([7]شهریور!$AF9:$AF805,[7]شهریور!$B9:$B805,B9,[7]شهریور!$C9:$C805,"قالب نو"),
SUMIFS([7]مهر!$AF9:$AF805,[7]مهر!$B9:$B805,B9,[7]مهر!$C9:$C805,"قالب نو"),
SUMIFS([7]آبان!$AF9:$AF805,[7]آبان!$B9:$B805,B9,[7]آبان!$C9:$C805,"قالب نو"),
SUMIFS([7]آذر!$AF9:$AF805,[7]آذر!$B9:$B805,B9,[7]آذر!$C9:$C805,"قالب نو"),
SUMIFS([7]دی!$AF9:$AF805,[7]دی!$B9:$B805,B9,[7]دی!$C9:$C805,"قالب نو"),
SUMIFS([7]بهمن!$AF9:$AF805,[7]بهمن!$B9:$B805,B9,[7]بهمن!$C9:$C805,"قالب نو"),
SUMIFS([7]اسفند!$AF9:$AF805,[7]اسفند!$B9:$B805,B9,[7]اسفند!$C9:$C805,"قالب نو")
)</f>
        <v>38</v>
      </c>
      <c r="N9" s="116">
        <v>42</v>
      </c>
    </row>
    <row r="10" spans="1:14" ht="82.5" customHeight="1" x14ac:dyDescent="0.25">
      <c r="A10" s="80">
        <v>7</v>
      </c>
      <c r="B10" s="96" t="s">
        <v>62</v>
      </c>
      <c r="C10" s="96" t="s">
        <v>63</v>
      </c>
      <c r="D10" s="53">
        <v>29889</v>
      </c>
      <c r="E10" s="104"/>
      <c r="F10" s="53"/>
      <c r="G10" s="104"/>
      <c r="H10" s="97"/>
      <c r="I10" s="97"/>
      <c r="J10" s="5" t="s">
        <v>46</v>
      </c>
      <c r="K10" s="123">
        <f t="shared" si="0"/>
        <v>0.30138888888888887</v>
      </c>
      <c r="L10" s="98" t="s">
        <v>8</v>
      </c>
      <c r="M10" s="118">
        <f>SUM(
SUMIFS([7]فروردین!$AF10:$AF806,[7]فروردین!$B10:$B806,B10,[7]فروردین!$C10:$C806,"قالب نو"),
SUMIFS([7]اردیبهشت!$AF10:$AF806,[7]اردیبهشت!$B10:$B806,B10,[7]اردیبهشت!$C10:$C806,"قالب نو"),
SUMIFS([7]خرداد!$AF10:$AF806,[7]خرداد!$B10:$B806,B10,[7]خرداد!$C10:$C806,"قالب نو"),
SUMIFS([7]تیر!$AF10:$AF806,[7]تیر!$B10:$B806,B10,[7]تیر!$C10:$C806,"قالب نو"),
SUMIFS([7]مرداد!$AF10:$AF806,[7]مرداد!$B10:$B806,B10,[7]مرداد!$C10:$C806,"قالب نو"),
SUMIFS([7]شهریور!$AF10:$AF806,[7]شهریور!$B10:$B806,B10,[7]شهریور!$C10:$C806,"قالب نو"),
SUMIFS([7]مهر!$AF10:$AF806,[7]مهر!$B10:$B806,B10,[7]مهر!$C10:$C806,"قالب نو"),
SUMIFS([7]آبان!$AF10:$AF806,[7]آبان!$B10:$B806,B10,[7]آبان!$C10:$C806,"قالب نو"),
SUMIFS([7]آذر!$AF10:$AF806,[7]آذر!$B10:$B806,B10,[7]آذر!$C10:$C806,"قالب نو"),
SUMIFS([7]دی!$AF10:$AF806,[7]دی!$B10:$B806,B10,[7]دی!$C10:$C806,"قالب نو"),
SUMIFS([7]بهمن!$AF10:$AF806,[7]بهمن!$B10:$B806,B10,[7]بهمن!$C10:$C806,"قالب نو"),
SUMIFS([7]اسفند!$AF10:$AF806,[7]اسفند!$B10:$B806,B10,[7]اسفند!$C10:$C806,"قالب نو")
)</f>
        <v>108.5</v>
      </c>
      <c r="N10" s="116">
        <v>360</v>
      </c>
    </row>
    <row r="11" spans="1:14" ht="79.5" customHeight="1" x14ac:dyDescent="0.25">
      <c r="A11" s="80">
        <v>8</v>
      </c>
      <c r="B11" s="96" t="s">
        <v>125</v>
      </c>
      <c r="C11" s="96" t="s">
        <v>63</v>
      </c>
      <c r="D11" s="53">
        <v>29087</v>
      </c>
      <c r="E11" s="104" t="s">
        <v>61</v>
      </c>
      <c r="F11" s="53" t="s">
        <v>116</v>
      </c>
      <c r="G11" s="104"/>
      <c r="H11" s="97"/>
      <c r="I11" s="97" t="s">
        <v>81</v>
      </c>
      <c r="J11" s="5" t="s">
        <v>46</v>
      </c>
      <c r="K11" s="123">
        <f t="shared" si="0"/>
        <v>0.93958333333333321</v>
      </c>
      <c r="L11" s="98" t="s">
        <v>50</v>
      </c>
      <c r="M11" s="118">
        <f>SUM(
SUMIFS([7]فروردین!$AF11:$AF807,[7]فروردین!$B11:$B807,B11,[7]فروردین!$C11:$C807,"قالب نو"),
SUMIFS([7]اردیبهشت!$AF11:$AF807,[7]اردیبهشت!$B11:$B807,B11,[7]اردیبهشت!$C11:$C807,"قالب نو"),
SUMIFS([7]خرداد!$AF11:$AF807,[7]خرداد!$B11:$B807,B11,[7]خرداد!$C11:$C807,"قالب نو"),
SUMIFS([7]تیر!$AF11:$AF807,[7]تیر!$B11:$B807,B11,[7]تیر!$C11:$C807,"قالب نو"),
SUMIFS([7]مرداد!$AF11:$AF807,[7]مرداد!$B11:$B807,B11,[7]مرداد!$C11:$C807,"قالب نو"),
SUMIFS([7]شهریور!$AF11:$AF807,[7]شهریور!$B11:$B807,B11,[7]شهریور!$C11:$C807,"قالب نو"),
SUMIFS([7]مهر!$AF11:$AF807,[7]مهر!$B11:$B807,B11,[7]مهر!$C11:$C807,"قالب نو"),
SUMIFS([7]آبان!$AF11:$AF807,[7]آبان!$B11:$B807,B11,[7]آبان!$C11:$C807,"قالب نو"),
SUMIFS([7]آذر!$AF11:$AF807,[7]آذر!$B11:$B807,B11,[7]آذر!$C11:$C807,"قالب نو"),
SUMIFS([7]دی!$AF11:$AF807,[7]دی!$B11:$B807,B11,[7]دی!$C11:$C807,"قالب نو"),
SUMIFS([7]بهمن!$AF11:$AF807,[7]بهمن!$B11:$B807,B11,[7]بهمن!$C11:$C807,"قالب نو"),
SUMIFS([7]اسفند!$AF11:$AF807,[7]اسفند!$B11:$B807,B11,[7]اسفند!$C11:$C807,"قالب نو")
)</f>
        <v>150.33333333333331</v>
      </c>
      <c r="N11" s="116">
        <v>160</v>
      </c>
    </row>
    <row r="12" spans="1:14" ht="60" x14ac:dyDescent="0.25">
      <c r="A12" s="80">
        <v>9</v>
      </c>
      <c r="B12" s="100" t="s">
        <v>126</v>
      </c>
      <c r="C12" s="96" t="s">
        <v>58</v>
      </c>
      <c r="D12" s="104" t="s">
        <v>67</v>
      </c>
      <c r="E12" s="104" t="s">
        <v>73</v>
      </c>
      <c r="F12" s="53" t="s">
        <v>120</v>
      </c>
      <c r="G12" s="104"/>
      <c r="H12" s="97"/>
      <c r="I12" s="97" t="s">
        <v>135</v>
      </c>
      <c r="J12" s="5"/>
      <c r="K12" s="123">
        <f t="shared" si="0"/>
        <v>0.99835390946502056</v>
      </c>
      <c r="L12" s="98" t="s">
        <v>92</v>
      </c>
      <c r="M12" s="118">
        <f>SUM(
SUMIFS([7]فروردین!$AF12:$AF808,[7]فروردین!$B12:$B808,B12,[7]فروردین!$C12:$C808,"قالب نو"),
SUMIFS([7]اردیبهشت!$AF12:$AF808,[7]اردیبهشت!$B12:$B808,B12,[7]اردیبهشت!$C12:$C808,"قالب نو"),
SUMIFS([7]خرداد!$AF12:$AF808,[7]خرداد!$B12:$B808,B12,[7]خرداد!$C12:$C808,"قالب نو"),
SUMIFS([7]تیر!$AF12:$AF808,[7]تیر!$B12:$B808,B12,[7]تیر!$C12:$C808,"قالب نو"),
SUMIFS([7]مرداد!$AF12:$AF808,[7]مرداد!$B12:$B808,B12,[7]مرداد!$C12:$C808,"قالب نو"),
SUMIFS([7]شهریور!$AF12:$AF808,[7]شهریور!$B12:$B808,B12,[7]شهریور!$C12:$C808,"قالب نو"),
SUMIFS([7]مهر!$AF12:$AF808,[7]مهر!$B12:$B808,B12,[7]مهر!$C12:$C808,"قالب نو"),
SUMIFS([7]آبان!$AF12:$AF808,[7]آبان!$B12:$B808,B12,[7]آبان!$C12:$C808,"قالب نو"),
SUMIFS([7]آذر!$AF12:$AF808,[7]آذر!$B12:$B808,B12,[7]آذر!$C12:$C808,"قالب نو"),
SUMIFS([7]دی!$AF12:$AF808,[7]دی!$B12:$B808,B12,[7]دی!$C12:$C808,"قالب نو"),
SUMIFS([7]بهمن!$AF12:$AF808,[7]بهمن!$B12:$B808,B12,[7]بهمن!$C12:$C808,"قالب نو"),
SUMIFS([7]اسفند!$AF12:$AF808,[7]اسفند!$B12:$B808,B12,[7]اسفند!$C12:$C808,"قالب نو")
)</f>
        <v>404.33333333333331</v>
      </c>
      <c r="N12" s="116">
        <v>405</v>
      </c>
    </row>
    <row r="13" spans="1:14" ht="99" x14ac:dyDescent="0.25">
      <c r="A13" s="80">
        <v>10</v>
      </c>
      <c r="B13" s="100" t="s">
        <v>127</v>
      </c>
      <c r="C13" s="96" t="s">
        <v>71</v>
      </c>
      <c r="D13" s="97">
        <v>30247</v>
      </c>
      <c r="E13" s="97" t="s">
        <v>90</v>
      </c>
      <c r="F13" s="11" t="s">
        <v>115</v>
      </c>
      <c r="G13" s="97"/>
      <c r="H13" s="97" t="s">
        <v>100</v>
      </c>
      <c r="I13" s="5" t="s">
        <v>99</v>
      </c>
      <c r="J13" s="5" t="s">
        <v>46</v>
      </c>
      <c r="K13" s="123">
        <f t="shared" si="0"/>
        <v>0.57187500000000002</v>
      </c>
      <c r="L13" s="98" t="s">
        <v>50</v>
      </c>
      <c r="M13" s="118">
        <f>SUM(
SUMIFS([7]فروردین!$AF13:$AF809,[7]فروردین!$B13:$B809,B13,[7]فروردین!$C13:$C809,"قالب نو"),
SUMIFS([7]اردیبهشت!$AF13:$AF809,[7]اردیبهشت!$B13:$B809,B13,[7]اردیبهشت!$C13:$C809,"قالب نو"),
SUMIFS([7]خرداد!$AF13:$AF809,[7]خرداد!$B13:$B809,B13,[7]خرداد!$C13:$C809,"قالب نو"),
SUMIFS([7]تیر!$AF13:$AF809,[7]تیر!$B13:$B809,B13,[7]تیر!$C13:$C809,"قالب نو"),
SUMIFS([7]مرداد!$AF13:$AF809,[7]مرداد!$B13:$B809,B13,[7]مرداد!$C13:$C809,"قالب نو"),
SUMIFS([7]شهریور!$AF13:$AF809,[7]شهریور!$B13:$B809,B13,[7]شهریور!$C13:$C809,"قالب نو"),
SUMIFS([7]مهر!$AF13:$AF809,[7]مهر!$B13:$B809,B13,[7]مهر!$C13:$C809,"قالب نو"),
SUMIFS([7]آبان!$AF13:$AF809,[7]آبان!$B13:$B809,B13,[7]آبان!$C13:$C809,"قالب نو"),
SUMIFS([7]آذر!$AF13:$AF809,[7]آذر!$B13:$B809,B13,[7]آذر!$C13:$C809,"قالب نو"),
SUMIFS([7]دی!$AF13:$AF809,[7]دی!$B13:$B809,B13,[7]دی!$C13:$C809,"قالب نو"),
SUMIFS([7]بهمن!$AF13:$AF809,[7]بهمن!$B13:$B809,B13,[7]بهمن!$C13:$C809,"قالب نو"),
SUMIFS([7]اسفند!$AF13:$AF809,[7]اسفند!$B13:$B809,B13,[7]اسفند!$C13:$C809,"قالب نو")
)</f>
        <v>91.5</v>
      </c>
      <c r="N13" s="116">
        <v>160</v>
      </c>
    </row>
    <row r="14" spans="1:14" ht="90" customHeight="1" x14ac:dyDescent="0.25">
      <c r="A14" s="80">
        <v>11</v>
      </c>
      <c r="B14" s="100" t="s">
        <v>128</v>
      </c>
      <c r="C14" s="96" t="s">
        <v>71</v>
      </c>
      <c r="D14" s="97">
        <v>30278</v>
      </c>
      <c r="E14" s="97" t="s">
        <v>90</v>
      </c>
      <c r="F14" s="11" t="s">
        <v>115</v>
      </c>
      <c r="G14" s="97"/>
      <c r="H14" s="97" t="s">
        <v>100</v>
      </c>
      <c r="I14" s="5" t="s">
        <v>99</v>
      </c>
      <c r="J14" s="5" t="s">
        <v>46</v>
      </c>
      <c r="K14" s="123">
        <f t="shared" si="0"/>
        <v>0.48749999999999999</v>
      </c>
      <c r="L14" s="98" t="s">
        <v>50</v>
      </c>
      <c r="M14" s="118">
        <f>SUM(
SUMIFS([7]فروردین!$AF14:$AF810,[7]فروردین!$B14:$B810,B14,[7]فروردین!$C14:$C810,"قالب نو"),
SUMIFS([7]اردیبهشت!$AF14:$AF810,[7]اردیبهشت!$B14:$B810,B14,[7]اردیبهشت!$C14:$C810,"قالب نو"),
SUMIFS([7]خرداد!$AF14:$AF810,[7]خرداد!$B14:$B810,B14,[7]خرداد!$C14:$C810,"قالب نو"),
SUMIFS([7]تیر!$AF14:$AF810,[7]تیر!$B14:$B810,B14,[7]تیر!$C14:$C810,"قالب نو"),
SUMIFS([7]مرداد!$AF14:$AF810,[7]مرداد!$B14:$B810,B14,[7]مرداد!$C14:$C810,"قالب نو"),
SUMIFS([7]شهریور!$AF14:$AF810,[7]شهریور!$B14:$B810,B14,[7]شهریور!$C14:$C810,"قالب نو"),
SUMIFS([7]مهر!$AF14:$AF810,[7]مهر!$B14:$B810,B14,[7]مهر!$C14:$C810,"قالب نو"),
SUMIFS([7]آبان!$AF14:$AF810,[7]آبان!$B14:$B810,B14,[7]آبان!$C14:$C810,"قالب نو"),
SUMIFS([7]آذر!$AF14:$AF810,[7]آذر!$B14:$B810,B14,[7]آذر!$C14:$C810,"قالب نو"),
SUMIFS([7]دی!$AF14:$AF810,[7]دی!$B14:$B810,B14,[7]دی!$C14:$C810,"قالب نو"),
SUMIFS([7]بهمن!$AF14:$AF810,[7]بهمن!$B14:$B810,B14,[7]بهمن!$C14:$C810,"قالب نو"),
SUMIFS([7]اسفند!$AF14:$AF810,[7]اسفند!$B14:$B810,B14,[7]اسفند!$C14:$C810,"قالب نو")
)</f>
        <v>78</v>
      </c>
      <c r="N14" s="116">
        <v>160</v>
      </c>
    </row>
    <row r="15" spans="1:14" ht="86.25" customHeight="1" x14ac:dyDescent="0.25">
      <c r="A15" s="80">
        <v>12</v>
      </c>
      <c r="B15" s="90" t="s">
        <v>79</v>
      </c>
      <c r="C15" s="90" t="s">
        <v>57</v>
      </c>
      <c r="D15" s="107" t="s">
        <v>15</v>
      </c>
      <c r="E15" s="108"/>
      <c r="F15" s="11"/>
      <c r="G15" s="97"/>
      <c r="H15" s="97"/>
      <c r="I15" s="5"/>
      <c r="J15" s="5" t="s">
        <v>46</v>
      </c>
      <c r="K15" s="123">
        <f t="shared" si="0"/>
        <v>0</v>
      </c>
      <c r="L15" s="98" t="s">
        <v>8</v>
      </c>
      <c r="M15" s="118">
        <f>SUM(
SUMIFS([7]فروردین!$AF15:$AF811,[7]فروردین!$B15:$B811,B15,[7]فروردین!$C15:$C811,"قالب نو"),
SUMIFS([7]اردیبهشت!$AF15:$AF811,[7]اردیبهشت!$B15:$B811,B15,[7]اردیبهشت!$C15:$C811,"قالب نو"),
SUMIFS([7]خرداد!$AF15:$AF811,[7]خرداد!$B15:$B811,B15,[7]خرداد!$C15:$C811,"قالب نو"),
SUMIFS([7]تیر!$AF15:$AF811,[7]تیر!$B15:$B811,B15,[7]تیر!$C15:$C811,"قالب نو"),
SUMIFS([7]مرداد!$AF15:$AF811,[7]مرداد!$B15:$B811,B15,[7]مرداد!$C15:$C811,"قالب نو"),
SUMIFS([7]شهریور!$AF15:$AF811,[7]شهریور!$B15:$B811,B15,[7]شهریور!$C15:$C811,"قالب نو"),
SUMIFS([7]مهر!$AF15:$AF811,[7]مهر!$B15:$B811,B15,[7]مهر!$C15:$C811,"قالب نو"),
SUMIFS([7]آبان!$AF15:$AF811,[7]آبان!$B15:$B811,B15,[7]آبان!$C15:$C811,"قالب نو"),
SUMIFS([7]آذر!$AF15:$AF811,[7]آذر!$B15:$B811,B15,[7]آذر!$C15:$C811,"قالب نو"),
SUMIFS([7]دی!$AF15:$AF811,[7]دی!$B15:$B811,B15,[7]دی!$C15:$C811,"قالب نو"),
SUMIFS([7]بهمن!$AF15:$AF811,[7]بهمن!$B15:$B811,B15,[7]بهمن!$C15:$C811,"قالب نو"),
SUMIFS([7]اسفند!$AF15:$AF811,[7]اسفند!$B15:$B811,B15,[7]اسفند!$C15:$C811,"قالب نو")
)</f>
        <v>0</v>
      </c>
      <c r="N15" s="116">
        <v>420</v>
      </c>
    </row>
    <row r="16" spans="1:14" ht="99" x14ac:dyDescent="0.25">
      <c r="A16" s="80">
        <v>13</v>
      </c>
      <c r="B16" s="96" t="s">
        <v>78</v>
      </c>
      <c r="C16" s="11" t="s">
        <v>57</v>
      </c>
      <c r="D16" s="53" t="s">
        <v>15</v>
      </c>
      <c r="E16" s="110"/>
      <c r="F16" s="11"/>
      <c r="G16" s="97"/>
      <c r="H16" s="97"/>
      <c r="I16" s="97"/>
      <c r="J16" s="5" t="s">
        <v>46</v>
      </c>
      <c r="K16" s="123">
        <f t="shared" si="0"/>
        <v>0</v>
      </c>
      <c r="L16" s="98" t="s">
        <v>8</v>
      </c>
      <c r="M16" s="118">
        <f>SUM(
SUMIFS([7]فروردین!$AF16:$AF812,[7]فروردین!$B16:$B812,B16,[7]فروردین!$C16:$C812,"قالب نو"),
SUMIFS([7]اردیبهشت!$AF16:$AF812,[7]اردیبهشت!$B16:$B812,B16,[7]اردیبهشت!$C16:$C812,"قالب نو"),
SUMIFS([7]خرداد!$AF16:$AF812,[7]خرداد!$B16:$B812,B16,[7]خرداد!$C16:$C812,"قالب نو"),
SUMIFS([7]تیر!$AF16:$AF812,[7]تیر!$B16:$B812,B16,[7]تیر!$C16:$C812,"قالب نو"),
SUMIFS([7]مرداد!$AF16:$AF812,[7]مرداد!$B16:$B812,B16,[7]مرداد!$C16:$C812,"قالب نو"),
SUMIFS([7]شهریور!$AF16:$AF812,[7]شهریور!$B16:$B812,B16,[7]شهریور!$C16:$C812,"قالب نو"),
SUMIFS([7]مهر!$AF16:$AF812,[7]مهر!$B16:$B812,B16,[7]مهر!$C16:$C812,"قالب نو"),
SUMIFS([7]آبان!$AF16:$AF812,[7]آبان!$B16:$B812,B16,[7]آبان!$C16:$C812,"قالب نو"),
SUMIFS([7]آذر!$AF16:$AF812,[7]آذر!$B16:$B812,B16,[7]آذر!$C16:$C812,"قالب نو"),
SUMIFS([7]دی!$AF16:$AF812,[7]دی!$B16:$B812,B16,[7]دی!$C16:$C812,"قالب نو"),
SUMIFS([7]بهمن!$AF16:$AF812,[7]بهمن!$B16:$B812,B16,[7]بهمن!$C16:$C812,"قالب نو"),
SUMIFS([7]اسفند!$AF16:$AF812,[7]اسفند!$B16:$B812,B16,[7]اسفند!$C16:$C812,"قالب نو")
)</f>
        <v>0</v>
      </c>
      <c r="N16" s="116">
        <v>560</v>
      </c>
    </row>
    <row r="17" spans="1:14" ht="99" x14ac:dyDescent="0.25">
      <c r="A17" s="80">
        <v>14</v>
      </c>
      <c r="B17" s="96" t="s">
        <v>133</v>
      </c>
      <c r="C17" s="11" t="s">
        <v>57</v>
      </c>
      <c r="D17" s="53" t="s">
        <v>132</v>
      </c>
      <c r="E17" s="110"/>
      <c r="F17" s="11"/>
      <c r="G17" s="97"/>
      <c r="H17" s="97"/>
      <c r="I17" s="97"/>
      <c r="J17" s="5" t="s">
        <v>46</v>
      </c>
      <c r="K17" s="123">
        <f t="shared" si="0"/>
        <v>0.1711111111111111</v>
      </c>
      <c r="L17" s="98" t="s">
        <v>8</v>
      </c>
      <c r="M17" s="118">
        <f>SUM(
SUMIFS([7]فروردین!$AF17:$AF813,[7]فروردین!$B17:$B813,B17,[7]فروردین!$C17:$C813,"قالب نو"),
SUMIFS([7]اردیبهشت!$AF17:$AF813,[7]اردیبهشت!$B17:$B813,B17,[7]اردیبهشت!$C17:$C813,"قالب نو"),
SUMIFS([7]خرداد!$AF17:$AF813,[7]خرداد!$B17:$B813,B17,[7]خرداد!$C17:$C813,"قالب نو"),
SUMIFS([7]تیر!$AF17:$AF813,[7]تیر!$B17:$B813,B17,[7]تیر!$C17:$C813,"قالب نو"),
SUMIFS([7]مرداد!$AF17:$AF813,[7]مرداد!$B17:$B813,B17,[7]مرداد!$C17:$C813,"قالب نو"),
SUMIFS([7]شهریور!$AF17:$AF813,[7]شهریور!$B17:$B813,B17,[7]شهریور!$C17:$C813,"قالب نو"),
SUMIFS([7]مهر!$AF17:$AF813,[7]مهر!$B17:$B813,B17,[7]مهر!$C17:$C813,"قالب نو"),
SUMIFS([7]آبان!$AF17:$AF813,[7]آبان!$B17:$B813,B17,[7]آبان!$C17:$C813,"قالب نو"),
SUMIFS([7]آذر!$AF17:$AF813,[7]آذر!$B17:$B813,B17,[7]آذر!$C17:$C813,"قالب نو"),
SUMIFS([7]دی!$AF17:$AF813,[7]دی!$B17:$B813,B17,[7]دی!$C17:$C813,"قالب نو"),
SUMIFS([7]بهمن!$AF17:$AF813,[7]بهمن!$B17:$B813,B17,[7]بهمن!$C17:$C813,"قالب نو"),
SUMIFS([7]اسفند!$AF17:$AF813,[7]اسفند!$B17:$B813,B17,[7]اسفند!$C17:$C813,"قالب نو")
)</f>
        <v>77</v>
      </c>
      <c r="N17" s="116">
        <v>450</v>
      </c>
    </row>
  </sheetData>
  <mergeCells count="1">
    <mergeCell ref="A1:I2"/>
  </mergeCells>
  <printOptions horizontalCentered="1" verticalCentered="1"/>
  <pageMargins left="0" right="0" top="0" bottom="0" header="0" footer="0"/>
  <pageSetup scale="69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DE7D-DE05-48A5-8CC9-E51D174682C9}">
  <sheetPr>
    <pageSetUpPr fitToPage="1"/>
  </sheetPr>
  <dimension ref="A1:AG17"/>
  <sheetViews>
    <sheetView rightToLeft="1" tabSelected="1" view="pageLayout" topLeftCell="G1" zoomScaleNormal="100" workbookViewId="0">
      <selection activeCell="P4" sqref="P4"/>
    </sheetView>
  </sheetViews>
  <sheetFormatPr defaultRowHeight="15" x14ac:dyDescent="0.25"/>
  <cols>
    <col min="1" max="1" width="5" customWidth="1"/>
    <col min="2" max="2" width="19.85546875" customWidth="1"/>
    <col min="3" max="3" width="13.140625" customWidth="1"/>
    <col min="4" max="4" width="13.5703125" customWidth="1"/>
    <col min="5" max="7" width="11.5703125" customWidth="1"/>
    <col min="8" max="10" width="12.5703125" customWidth="1"/>
    <col min="11" max="11" width="13.85546875" style="117" customWidth="1"/>
    <col min="12" max="12" width="11.28515625" customWidth="1"/>
    <col min="13" max="13" width="10.7109375" style="118" customWidth="1"/>
    <col min="14" max="14" width="9.140625" style="116" customWidth="1"/>
    <col min="15" max="15" width="3.85546875" style="116" customWidth="1"/>
    <col min="16" max="33" width="3.85546875" customWidth="1"/>
  </cols>
  <sheetData>
    <row r="1" spans="1:33" ht="39" customHeight="1" x14ac:dyDescent="0.25">
      <c r="A1" s="125" t="s">
        <v>16</v>
      </c>
      <c r="B1" s="126"/>
      <c r="C1" s="126"/>
      <c r="D1" s="126"/>
      <c r="E1" s="126"/>
      <c r="F1" s="126"/>
      <c r="G1" s="126"/>
      <c r="H1" s="126"/>
      <c r="I1" s="126"/>
      <c r="J1" s="20" t="s">
        <v>6</v>
      </c>
      <c r="K1" s="120">
        <v>1405</v>
      </c>
      <c r="L1" s="24"/>
    </row>
    <row r="2" spans="1:33" ht="39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8"/>
      <c r="J2" s="21" t="s">
        <v>7</v>
      </c>
      <c r="K2" s="121">
        <v>26</v>
      </c>
      <c r="L2" s="25"/>
    </row>
    <row r="3" spans="1:33" ht="69.75" customHeight="1" thickBot="1" x14ac:dyDescent="0.3">
      <c r="A3" s="79"/>
      <c r="B3" s="76" t="s">
        <v>20</v>
      </c>
      <c r="C3" s="76" t="s">
        <v>56</v>
      </c>
      <c r="D3" s="27" t="s">
        <v>9</v>
      </c>
      <c r="E3" s="27" t="s">
        <v>0</v>
      </c>
      <c r="F3" s="28" t="s">
        <v>1</v>
      </c>
      <c r="G3" s="29" t="s">
        <v>2</v>
      </c>
      <c r="H3" s="27" t="s">
        <v>3</v>
      </c>
      <c r="I3" s="27" t="s">
        <v>101</v>
      </c>
      <c r="J3" s="28" t="s">
        <v>102</v>
      </c>
      <c r="K3" s="119" t="s">
        <v>103</v>
      </c>
      <c r="L3" s="31" t="s">
        <v>11</v>
      </c>
      <c r="M3" s="118" t="s">
        <v>131</v>
      </c>
      <c r="N3" s="122" t="s">
        <v>130</v>
      </c>
      <c r="O3" s="129" t="s">
        <v>141</v>
      </c>
      <c r="P3" s="129" t="s">
        <v>5</v>
      </c>
      <c r="Q3" s="129" t="s">
        <v>141</v>
      </c>
      <c r="R3" s="129" t="s">
        <v>136</v>
      </c>
      <c r="S3" s="129" t="s">
        <v>141</v>
      </c>
      <c r="T3" s="129" t="s">
        <v>54</v>
      </c>
      <c r="U3" s="129" t="s">
        <v>141</v>
      </c>
      <c r="V3" s="129" t="s">
        <v>110</v>
      </c>
      <c r="W3" s="129" t="s">
        <v>141</v>
      </c>
      <c r="X3" s="129" t="s">
        <v>137</v>
      </c>
      <c r="Y3" s="129" t="s">
        <v>141</v>
      </c>
      <c r="Z3" s="129" t="s">
        <v>138</v>
      </c>
      <c r="AA3" s="129" t="s">
        <v>141</v>
      </c>
      <c r="AB3" s="129" t="s">
        <v>139</v>
      </c>
      <c r="AC3" s="129" t="s">
        <v>141</v>
      </c>
      <c r="AD3" s="129" t="s">
        <v>140</v>
      </c>
      <c r="AE3" s="129" t="s">
        <v>141</v>
      </c>
      <c r="AF3" s="129" t="s">
        <v>36</v>
      </c>
      <c r="AG3" s="129" t="s">
        <v>55</v>
      </c>
    </row>
    <row r="4" spans="1:33" ht="72" customHeight="1" x14ac:dyDescent="0.25">
      <c r="A4" s="80">
        <v>1</v>
      </c>
      <c r="B4" s="78" t="s">
        <v>129</v>
      </c>
      <c r="C4" s="78" t="s">
        <v>57</v>
      </c>
      <c r="D4" s="105" t="s">
        <v>15</v>
      </c>
      <c r="E4" s="112" t="s">
        <v>18</v>
      </c>
      <c r="F4" s="105"/>
      <c r="G4" s="113"/>
      <c r="H4" s="33"/>
      <c r="I4" s="73" t="s">
        <v>10</v>
      </c>
      <c r="J4" s="73" t="s">
        <v>80</v>
      </c>
      <c r="K4" s="124">
        <f>IFERROR(M4/N4,0)</f>
        <v>0.56833333333333325</v>
      </c>
      <c r="L4" s="9" t="str" cm="1">
        <f t="array" aca="1" ref="L4" ca="1">_xlfn.LET(
_xlpm.n,TRIM(B4),
_xlpm.D,_xlfn._xlws.FILTER(CHOOSE({1,2},[8]فروردین!$N$4:$N$800,[8]فروردین!$AC$4:$AC$800),(TRIM([8]فروردین!$B$4:$B$800)=_xlpm.n)*(TRIM([8]فروردین!$C$4:$C$800)="قالب نو")*([8]فروردین!$AC$4:$AC$800&lt;&gt;""),""),
_xlpm.O,_xlfn._xlws.FILTER(CHOOSE({1,2},[9]اردیبهشت!$N$4:$N$800,[9]اردیبهشت!$AC$4:$AC$800),(TRIM([9]اردیبهشت!$B$4:$B$800)=_xlpm.n)*(TRIM([9]اردیبهشت!$C$4:$C$800)="قالب نو")*([9]اردیبهشت!$AC$4:$AC$800&lt;&gt;""),""),
_xlpm.K,_xlfn._xlws.FILTER(CHOOSE({1,2},[10]خرداد!$N$4:$N$800,[10]خرداد!$AC$4:$AC$800),(TRIM([10]خرداد!$B$4:$B$800)=_xlpm.n)*(TRIM([10]خرداد!$C$4:$C$800)="قالب نو")*([10]خرداد!$AC$4:$AC$800&lt;&gt;""),""),
_xlpm.T,_xlfn._xlws.FILTER(CHOOSE({1,2},[11]تیر!$N$4:$N$800,[11]تیر!$AC$4:$AC$800),(TRIM([11]تیر!$B$4:$B$800)=_xlpm.n)*(TRIM([11]تیر!$C$4:$C$800)="قالب نو")*([11]تیر!$AC$4:$AC$800&lt;&gt;""),""),
_xlpm.M,_xlfn._xlws.FILTER(CHOOSE({1,2},[12]مرداد!$N$4:$N$800,[12]مرداد!$AC$4:$AC$800),(TRIM([12]مرداد!$B$4:$B$800)=_xlpm.n)*(TRIM([12]مرداد!$C$4:$C$800)="قالب نو")*([12]مرداد!$AC$4:$AC$800&lt;&gt;""),""),
_xlpm.S,_xlfn._xlws.FILTER(CHOOSE({1,2},[13]شهریور!$N$4:$N$800,[13]شهریور!$AC$4:$AC$800),(TRIM([13]شهریور!$B$4:$B$800)=_xlpm.n)*(TRIM([13]شهریور!$C$4:$C$800)="قالب نو")*([13]شهریور!$AC$4:$AC$800&lt;&gt;""),""),
_xlpm.A,VSTACK(_xlpm.D,_xlpm.O,_xlpm.K,_xlpm.T,_xlpm.M,_xlpm.S),
IFERROR(
    INDEX(
        _xlfn.SORTBY(_xlpm.A,INDEX(_xlpm.A,,2),-1),
        1,1
    ),
"")
)</f>
        <v/>
      </c>
      <c r="M4" s="118">
        <f>SUM(
SUMIFS([7]فروردین!$AF4:$AF800,[7]فروردین!$B4:$B800,B4,[7]فروردین!$C4:$C800,"قالب نو"),
SUMIFS([7]اردیبهشت!$AF4:$AF800,[7]اردیبهشت!$B4:$B800,B4,[7]اردیبهشت!$C4:$C800,"قالب نو"),
SUMIFS([7]خرداد!$AF4:$AF800,[7]خرداد!$B4:$B800,B4,[7]خرداد!$C4:$C800,"قالب نو"),
SUMIFS([7]تیر!$AF4:$AF800,[7]تیر!$B4:$B800,B4,[7]تیر!$C4:$C800,"قالب نو"),
SUMIFS([7]مرداد!$AF4:$AF800,[7]مرداد!$B4:$B800,B4,[7]مرداد!$C4:$C800,"قالب نو"),
SUMIFS([7]شهریور!$AF4:$AF800,[7]شهریور!$B4:$B800,B4,[7]شهریور!$C4:$C800,"قالب نو"),
SUMIFS([7]مهر!$AF4:$AF800,[7]مهر!$B4:$B800,B4,[7]مهر!$C4:$C800,"قالب نو"),
SUMIFS([7]آبان!$AF4:$AF800,[7]آبان!$B4:$B800,B4,[7]آبان!$C4:$C800,"قالب نو"),
SUMIFS([7]آذر!$AF4:$AF800,[7]آذر!$B4:$B800,B4,[7]آذر!$C4:$C800,"قالب نو"),
SUMIFS([7]دی!$AF4:$AF800,[7]دی!$B4:$B800,B4,[7]دی!$C4:$C800,"قالب نو"),
SUMIFS([7]بهمن!$AF4:$AF800,[7]بهمن!$B4:$B800,B4,[7]بهمن!$C4:$C800,"قالب نو"),
SUMIFS([7]اسفند!$AF4:$AF800,[7]اسفند!$B4:$B800,B4,[7]اسفند!$C4:$C800,"قالب نو")
)</f>
        <v>56.833333333333329</v>
      </c>
      <c r="N4" s="116">
        <v>100</v>
      </c>
    </row>
    <row r="5" spans="1:33" ht="72" customHeight="1" x14ac:dyDescent="0.25">
      <c r="A5" s="80">
        <v>2</v>
      </c>
      <c r="B5" s="78" t="s">
        <v>121</v>
      </c>
      <c r="C5" s="78" t="s">
        <v>57</v>
      </c>
      <c r="D5" s="53" t="s">
        <v>15</v>
      </c>
      <c r="E5" s="53" t="s">
        <v>17</v>
      </c>
      <c r="F5" s="104" t="s">
        <v>115</v>
      </c>
      <c r="G5" s="104"/>
      <c r="H5" s="8"/>
      <c r="I5" s="2" t="s">
        <v>108</v>
      </c>
      <c r="J5" s="2" t="s">
        <v>107</v>
      </c>
      <c r="K5" s="123">
        <f t="shared" ref="K5:K17" si="0">IFERROR(M5/N5,0)</f>
        <v>0.87462962962962953</v>
      </c>
      <c r="L5" s="9" t="s">
        <v>54</v>
      </c>
      <c r="M5" s="118">
        <f>SUM(
SUMIFS([7]فروردین!$AF5:$AF801,[7]فروردین!$B5:$B801,B5,[7]فروردین!$C5:$C801,"قالب نو"),
SUMIFS([7]اردیبهشت!$AF5:$AF801,[7]اردیبهشت!$B5:$B801,B5,[7]اردیبهشت!$C5:$C801,"قالب نو"),
SUMIFS([7]خرداد!$AF5:$AF801,[7]خرداد!$B5:$B801,B5,[7]خرداد!$C5:$C801,"قالب نو"),
SUMIFS([7]تیر!$AF5:$AF801,[7]تیر!$B5:$B801,B5,[7]تیر!$C5:$C801,"قالب نو"),
SUMIFS([7]مرداد!$AF5:$AF801,[7]مرداد!$B5:$B801,B5,[7]مرداد!$C5:$C801,"قالب نو"),
SUMIFS([7]شهریور!$AF5:$AF801,[7]شهریور!$B5:$B801,B5,[7]شهریور!$C5:$C801,"قالب نو"),
SUMIFS([7]مهر!$AF5:$AF801,[7]مهر!$B5:$B801,B5,[7]مهر!$C5:$C801,"قالب نو"),
SUMIFS([7]آبان!$AF5:$AF801,[7]آبان!$B5:$B801,B5,[7]آبان!$C5:$C801,"قالب نو"),
SUMIFS([7]آذر!$AF5:$AF801,[7]آذر!$B5:$B801,B5,[7]آذر!$C5:$C801,"قالب نو"),
SUMIFS([7]دی!$AF5:$AF801,[7]دی!$B5:$B801,B5,[7]دی!$C5:$C801,"قالب نو"),
SUMIFS([7]بهمن!$AF5:$AF801,[7]بهمن!$B5:$B801,B5,[7]بهمن!$C5:$C801,"قالب نو"),
SUMIFS([7]اسفند!$AF5:$AF801,[7]اسفند!$B5:$B801,B5,[7]اسفند!$C5:$C801,"قالب نو")
)</f>
        <v>393.58333333333331</v>
      </c>
      <c r="N5" s="116">
        <v>450</v>
      </c>
    </row>
    <row r="6" spans="1:33" ht="72" customHeight="1" x14ac:dyDescent="0.25">
      <c r="A6" s="80">
        <v>3</v>
      </c>
      <c r="B6" s="78" t="s">
        <v>122</v>
      </c>
      <c r="C6" s="78" t="s">
        <v>57</v>
      </c>
      <c r="D6" s="105" t="s">
        <v>15</v>
      </c>
      <c r="E6" s="105" t="s">
        <v>15</v>
      </c>
      <c r="F6" s="105" t="s">
        <v>116</v>
      </c>
      <c r="G6" s="105"/>
      <c r="H6" s="33"/>
      <c r="I6" s="2" t="s">
        <v>109</v>
      </c>
      <c r="J6" s="2" t="s">
        <v>107</v>
      </c>
      <c r="K6" s="123">
        <f t="shared" si="0"/>
        <v>0.94090909090909092</v>
      </c>
      <c r="L6" s="9" t="s">
        <v>54</v>
      </c>
      <c r="M6" s="118">
        <f>SUM(
SUMIFS([7]فروردین!$AF6:$AF802,[7]فروردین!$B6:$B802,B6,[7]فروردین!$C6:$C802,"قالب نو"),
SUMIFS([7]اردیبهشت!$AF6:$AF802,[7]اردیبهشت!$B6:$B802,B6,[7]اردیبهشت!$C6:$C802,"قالب نو"),
SUMIFS([7]خرداد!$AF6:$AF802,[7]خرداد!$B6:$B802,B6,[7]خرداد!$C6:$C802,"قالب نو"),
SUMIFS([7]تیر!$AF6:$AF802,[7]تیر!$B6:$B802,B6,[7]تیر!$C6:$C802,"قالب نو"),
SUMIFS([7]مرداد!$AF6:$AF802,[7]مرداد!$B6:$B802,B6,[7]مرداد!$C6:$C802,"قالب نو"),
SUMIFS([7]شهریور!$AF6:$AF802,[7]شهریور!$B6:$B802,B6,[7]شهریور!$C6:$C802,"قالب نو"),
SUMIFS([7]مهر!$AF6:$AF802,[7]مهر!$B6:$B802,B6,[7]مهر!$C6:$C802,"قالب نو"),
SUMIFS([7]آبان!$AF6:$AF802,[7]آبان!$B6:$B802,B6,[7]آبان!$C6:$C802,"قالب نو"),
SUMIFS([7]آذر!$AF6:$AF802,[7]آذر!$B6:$B802,B6,[7]آذر!$C6:$C802,"قالب نو"),
SUMIFS([7]دی!$AF6:$AF802,[7]دی!$B6:$B802,B6,[7]دی!$C6:$C802,"قالب نو"),
SUMIFS([7]بهمن!$AF6:$AF802,[7]بهمن!$B6:$B802,B6,[7]بهمن!$C6:$C802,"قالب نو"),
SUMIFS([7]اسفند!$AF6:$AF802,[7]اسفند!$B6:$B802,B6,[7]اسفند!$C6:$C802,"قالب نو")
)</f>
        <v>207</v>
      </c>
      <c r="N6" s="116">
        <v>220</v>
      </c>
    </row>
    <row r="7" spans="1:33" ht="66" x14ac:dyDescent="0.25">
      <c r="A7" s="80">
        <v>4</v>
      </c>
      <c r="B7" s="78" t="s">
        <v>123</v>
      </c>
      <c r="C7" s="78" t="s">
        <v>57</v>
      </c>
      <c r="D7" s="105"/>
      <c r="E7" s="105" t="s">
        <v>43</v>
      </c>
      <c r="F7" s="105" t="s">
        <v>117</v>
      </c>
      <c r="G7" s="105"/>
      <c r="H7" s="33"/>
      <c r="I7" s="5" t="s">
        <v>114</v>
      </c>
      <c r="J7" s="5" t="s">
        <v>113</v>
      </c>
      <c r="K7" s="123">
        <f t="shared" si="0"/>
        <v>0.98333333333333328</v>
      </c>
      <c r="L7" s="9" t="s">
        <v>95</v>
      </c>
      <c r="M7" s="118">
        <f>SUM(
SUMIFS([7]فروردین!$AF4:$AF803,[7]فروردین!$B4:$B803,B7,[7]فروردین!$C4:$C803,"قالب نو"),
SUMIFS([7]اردیبهشت!$AF4:$AF803,[7]اردیبهشت!$B4:$B803,B7,[7]اردیبهشت!$C4:$C803,"قالب نو"),
SUMIFS([7]خرداد!$AF4:$AF803,[7]خرداد!$B4:$B803,B7,[7]خرداد!$C4:$C803,"قالب نو"),
SUMIFS([7]تیر!$AF4:$AF803,[7]تیر!$B4:$B803,B7,[7]تیر!$C4:$C803,"قالب نو"),
SUMIFS([7]مرداد!$AF4:$AF803,[7]مرداد!$B4:$B803,B7,[7]مرداد!$C4:$C803,"قالب نو"),
SUMIFS([7]شهریور!$AF4:$AF803,[7]شهریور!$B4:$B803,B7,[7]شهریور!$C4:$C803,"قالب نو"),
SUMIFS([7]مهر!$AF4:$AF803,[7]مهر!$B4:$B803,B7,[7]مهر!$C4:$C803,"قالب نو"),
SUMIFS([7]آبان!$AF4:$AF803,[7]آبان!$B4:$B803,B7,[7]آبان!$C4:$C803,"قالب نو"),
SUMIFS([7]آذر!$AF4:$AF803,[7]آذر!$B4:$B803,B7,[7]آذر!$C4:$C803,"قالب نو"),
SUMIFS([7]دی!$AF4:$AF803,[7]دی!$B4:$B803,B7,[7]دی!$C4:$C803,"قالب نو"),
SUMIFS([7]بهمن!$AF4:$AF803,[7]بهمن!$B4:$B803,B7,[7]بهمن!$C4:$C803,"قالب نو"),
SUMIFS([7]اسفند!$AF4:$AF803,[7]اسفند!$B4:$B803,B7,[7]اسفند!$C4:$C803,"قالب نو")
)</f>
        <v>255.66666666666666</v>
      </c>
      <c r="N7" s="116">
        <v>260</v>
      </c>
    </row>
    <row r="8" spans="1:33" ht="82.5" customHeight="1" x14ac:dyDescent="0.25">
      <c r="A8" s="80">
        <v>5</v>
      </c>
      <c r="B8" s="78" t="s">
        <v>124</v>
      </c>
      <c r="C8" s="78" t="s">
        <v>57</v>
      </c>
      <c r="D8" s="105">
        <v>30303</v>
      </c>
      <c r="E8" s="106" t="s">
        <v>73</v>
      </c>
      <c r="F8" s="105" t="s">
        <v>118</v>
      </c>
      <c r="G8" s="105"/>
      <c r="H8" s="33"/>
      <c r="I8" s="5" t="s">
        <v>134</v>
      </c>
      <c r="J8" s="5"/>
      <c r="K8" s="123">
        <f t="shared" si="0"/>
        <v>0.99761904761904763</v>
      </c>
      <c r="L8" s="9" t="s">
        <v>92</v>
      </c>
      <c r="M8" s="118">
        <f>SUM(
SUMIFS([7]فروردین!$AF8:$AF804,[7]فروردین!$B8:$B804,B8,[7]فروردین!$C8:$C804,"قالب نو"),
SUMIFS([7]اردیبهشت!$AF8:$AF804,[7]اردیبهشت!$B8:$B804,B8,[7]اردیبهشت!$C8:$C804,"قالب نو"),
SUMIFS([7]خرداد!$AF8:$AF804,[7]خرداد!$B8:$B804,B8,[7]خرداد!$C8:$C804,"قالب نو"),
SUMIFS([7]تیر!$AF8:$AF804,[7]تیر!$B8:$B804,B8,[7]تیر!$C8:$C804,"قالب نو"),
SUMIFS([7]مرداد!$AF8:$AF804,[7]مرداد!$B8:$B804,B8,[7]مرداد!$C8:$C804,"قالب نو"),
SUMIFS([7]شهریور!$AF8:$AF804,[7]شهریور!$B8:$B804,B8,[7]شهریور!$C8:$C804,"قالب نو"),
SUMIFS([7]مهر!$AF8:$AF804,[7]مهر!$B8:$B804,B8,[7]مهر!$C8:$C804,"قالب نو"),
SUMIFS([7]آبان!$AF8:$AF804,[7]آبان!$B8:$B804,B8,[7]آبان!$C8:$C804,"قالب نو"),
SUMIFS([7]آذر!$AF8:$AF804,[7]آذر!$B8:$B804,B8,[7]آذر!$C8:$C804,"قالب نو"),
SUMIFS([7]دی!$AF8:$AF804,[7]دی!$B8:$B804,B8,[7]دی!$C8:$C804,"قالب نو"),
SUMIFS([7]بهمن!$AF8:$AF804,[7]بهمن!$B8:$B804,B8,[7]بهمن!$C8:$C804,"قالب نو"),
SUMIFS([7]اسفند!$AF8:$AF804,[7]اسفند!$B8:$B804,B8,[7]اسفند!$C8:$C804,"قالب نو")
)</f>
        <v>209.5</v>
      </c>
      <c r="N8" s="116">
        <v>210</v>
      </c>
    </row>
    <row r="9" spans="1:33" ht="82.5" customHeight="1" x14ac:dyDescent="0.25">
      <c r="A9" s="80">
        <v>6</v>
      </c>
      <c r="B9" s="96" t="s">
        <v>59</v>
      </c>
      <c r="C9" s="96" t="s">
        <v>58</v>
      </c>
      <c r="D9" s="53">
        <v>29935</v>
      </c>
      <c r="E9" s="104" t="s">
        <v>73</v>
      </c>
      <c r="F9" s="53" t="s">
        <v>119</v>
      </c>
      <c r="G9" s="104"/>
      <c r="H9" s="97" t="s">
        <v>54</v>
      </c>
      <c r="I9" s="5" t="s">
        <v>98</v>
      </c>
      <c r="J9" s="5" t="s">
        <v>97</v>
      </c>
      <c r="K9" s="123">
        <f t="shared" si="0"/>
        <v>0.90476190476190477</v>
      </c>
      <c r="L9" s="98" t="s">
        <v>36</v>
      </c>
      <c r="M9" s="118">
        <f>SUM(
SUMIFS([7]فروردین!$AF9:$AF805,[7]فروردین!$B9:$B805,B9,[7]فروردین!$C9:$C805,"قالب نو"),
SUMIFS([7]اردیبهشت!$AF9:$AF805,[7]اردیبهشت!$B9:$B805,B9,[7]اردیبهشت!$C9:$C805,"قالب نو"),
SUMIFS([7]خرداد!$AF9:$AF805,[7]خرداد!$B9:$B805,B9,[7]خرداد!$C9:$C805,"قالب نو"),
SUMIFS([7]تیر!$AF9:$AF805,[7]تیر!$B9:$B805,B9,[7]تیر!$C9:$C805,"قالب نو"),
SUMIFS([7]مرداد!$AF9:$AF805,[7]مرداد!$B9:$B805,B9,[7]مرداد!$C9:$C805,"قالب نو"),
SUMIFS([7]شهریور!$AF9:$AF805,[7]شهریور!$B9:$B805,B9,[7]شهریور!$C9:$C805,"قالب نو"),
SUMIFS([7]مهر!$AF9:$AF805,[7]مهر!$B9:$B805,B9,[7]مهر!$C9:$C805,"قالب نو"),
SUMIFS([7]آبان!$AF9:$AF805,[7]آبان!$B9:$B805,B9,[7]آبان!$C9:$C805,"قالب نو"),
SUMIFS([7]آذر!$AF9:$AF805,[7]آذر!$B9:$B805,B9,[7]آذر!$C9:$C805,"قالب نو"),
SUMIFS([7]دی!$AF9:$AF805,[7]دی!$B9:$B805,B9,[7]دی!$C9:$C805,"قالب نو"),
SUMIFS([7]بهمن!$AF9:$AF805,[7]بهمن!$B9:$B805,B9,[7]بهمن!$C9:$C805,"قالب نو"),
SUMIFS([7]اسفند!$AF9:$AF805,[7]اسفند!$B9:$B805,B9,[7]اسفند!$C9:$C805,"قالب نو")
)</f>
        <v>38</v>
      </c>
      <c r="N9" s="116">
        <v>42</v>
      </c>
    </row>
    <row r="10" spans="1:33" ht="82.5" customHeight="1" x14ac:dyDescent="0.25">
      <c r="A10" s="80">
        <v>7</v>
      </c>
      <c r="B10" s="96" t="s">
        <v>62</v>
      </c>
      <c r="C10" s="96" t="s">
        <v>63</v>
      </c>
      <c r="D10" s="53">
        <v>29889</v>
      </c>
      <c r="E10" s="104"/>
      <c r="F10" s="53"/>
      <c r="G10" s="104"/>
      <c r="H10" s="97"/>
      <c r="I10" s="97"/>
      <c r="J10" s="5" t="s">
        <v>46</v>
      </c>
      <c r="K10" s="123">
        <f t="shared" si="0"/>
        <v>0.30138888888888887</v>
      </c>
      <c r="L10" s="98" t="s">
        <v>8</v>
      </c>
      <c r="M10" s="118">
        <f>SUM(
SUMIFS([7]فروردین!$AF10:$AF806,[7]فروردین!$B10:$B806,B10,[7]فروردین!$C10:$C806,"قالب نو"),
SUMIFS([7]اردیبهشت!$AF10:$AF806,[7]اردیبهشت!$B10:$B806,B10,[7]اردیبهشت!$C10:$C806,"قالب نو"),
SUMIFS([7]خرداد!$AF10:$AF806,[7]خرداد!$B10:$B806,B10,[7]خرداد!$C10:$C806,"قالب نو"),
SUMIFS([7]تیر!$AF10:$AF806,[7]تیر!$B10:$B806,B10,[7]تیر!$C10:$C806,"قالب نو"),
SUMIFS([7]مرداد!$AF10:$AF806,[7]مرداد!$B10:$B806,B10,[7]مرداد!$C10:$C806,"قالب نو"),
SUMIFS([7]شهریور!$AF10:$AF806,[7]شهریور!$B10:$B806,B10,[7]شهریور!$C10:$C806,"قالب نو"),
SUMIFS([7]مهر!$AF10:$AF806,[7]مهر!$B10:$B806,B10,[7]مهر!$C10:$C806,"قالب نو"),
SUMIFS([7]آبان!$AF10:$AF806,[7]آبان!$B10:$B806,B10,[7]آبان!$C10:$C806,"قالب نو"),
SUMIFS([7]آذر!$AF10:$AF806,[7]آذر!$B10:$B806,B10,[7]آذر!$C10:$C806,"قالب نو"),
SUMIFS([7]دی!$AF10:$AF806,[7]دی!$B10:$B806,B10,[7]دی!$C10:$C806,"قالب نو"),
SUMIFS([7]بهمن!$AF10:$AF806,[7]بهمن!$B10:$B806,B10,[7]بهمن!$C10:$C806,"قالب نو"),
SUMIFS([7]اسفند!$AF10:$AF806,[7]اسفند!$B10:$B806,B10,[7]اسفند!$C10:$C806,"قالب نو")
)</f>
        <v>108.5</v>
      </c>
      <c r="N10" s="116">
        <v>360</v>
      </c>
    </row>
    <row r="11" spans="1:33" ht="79.5" customHeight="1" x14ac:dyDescent="0.25">
      <c r="A11" s="80">
        <v>8</v>
      </c>
      <c r="B11" s="96" t="s">
        <v>125</v>
      </c>
      <c r="C11" s="96" t="s">
        <v>63</v>
      </c>
      <c r="D11" s="53">
        <v>29087</v>
      </c>
      <c r="E11" s="104" t="s">
        <v>61</v>
      </c>
      <c r="F11" s="53" t="s">
        <v>116</v>
      </c>
      <c r="G11" s="104"/>
      <c r="H11" s="97"/>
      <c r="I11" s="97" t="s">
        <v>81</v>
      </c>
      <c r="J11" s="5" t="s">
        <v>46</v>
      </c>
      <c r="K11" s="123">
        <f t="shared" si="0"/>
        <v>0.93958333333333321</v>
      </c>
      <c r="L11" s="98" t="s">
        <v>50</v>
      </c>
      <c r="M11" s="118">
        <f>SUM(
SUMIFS([7]فروردین!$AF11:$AF807,[7]فروردین!$B11:$B807,B11,[7]فروردین!$C11:$C807,"قالب نو"),
SUMIFS([7]اردیبهشت!$AF11:$AF807,[7]اردیبهشت!$B11:$B807,B11,[7]اردیبهشت!$C11:$C807,"قالب نو"),
SUMIFS([7]خرداد!$AF11:$AF807,[7]خرداد!$B11:$B807,B11,[7]خرداد!$C11:$C807,"قالب نو"),
SUMIFS([7]تیر!$AF11:$AF807,[7]تیر!$B11:$B807,B11,[7]تیر!$C11:$C807,"قالب نو"),
SUMIFS([7]مرداد!$AF11:$AF807,[7]مرداد!$B11:$B807,B11,[7]مرداد!$C11:$C807,"قالب نو"),
SUMIFS([7]شهریور!$AF11:$AF807,[7]شهریور!$B11:$B807,B11,[7]شهریور!$C11:$C807,"قالب نو"),
SUMIFS([7]مهر!$AF11:$AF807,[7]مهر!$B11:$B807,B11,[7]مهر!$C11:$C807,"قالب نو"),
SUMIFS([7]آبان!$AF11:$AF807,[7]آبان!$B11:$B807,B11,[7]آبان!$C11:$C807,"قالب نو"),
SUMIFS([7]آذر!$AF11:$AF807,[7]آذر!$B11:$B807,B11,[7]آذر!$C11:$C807,"قالب نو"),
SUMIFS([7]دی!$AF11:$AF807,[7]دی!$B11:$B807,B11,[7]دی!$C11:$C807,"قالب نو"),
SUMIFS([7]بهمن!$AF11:$AF807,[7]بهمن!$B11:$B807,B11,[7]بهمن!$C11:$C807,"قالب نو"),
SUMIFS([7]اسفند!$AF11:$AF807,[7]اسفند!$B11:$B807,B11,[7]اسفند!$C11:$C807,"قالب نو")
)</f>
        <v>150.33333333333331</v>
      </c>
      <c r="N11" s="116">
        <v>160</v>
      </c>
    </row>
    <row r="12" spans="1:33" ht="60" x14ac:dyDescent="0.25">
      <c r="A12" s="80">
        <v>9</v>
      </c>
      <c r="B12" s="100" t="s">
        <v>126</v>
      </c>
      <c r="C12" s="96" t="s">
        <v>58</v>
      </c>
      <c r="D12" s="104" t="s">
        <v>67</v>
      </c>
      <c r="E12" s="104" t="s">
        <v>73</v>
      </c>
      <c r="F12" s="53" t="s">
        <v>120</v>
      </c>
      <c r="G12" s="104"/>
      <c r="H12" s="97"/>
      <c r="I12" s="97" t="s">
        <v>135</v>
      </c>
      <c r="J12" s="5"/>
      <c r="K12" s="123">
        <f t="shared" si="0"/>
        <v>0.99835390946502056</v>
      </c>
      <c r="L12" s="98" t="s">
        <v>92</v>
      </c>
      <c r="M12" s="118">
        <f>SUM(
SUMIFS([7]فروردین!$AF12:$AF808,[7]فروردین!$B12:$B808,B12,[7]فروردین!$C12:$C808,"قالب نو"),
SUMIFS([7]اردیبهشت!$AF12:$AF808,[7]اردیبهشت!$B12:$B808,B12,[7]اردیبهشت!$C12:$C808,"قالب نو"),
SUMIFS([7]خرداد!$AF12:$AF808,[7]خرداد!$B12:$B808,B12,[7]خرداد!$C12:$C808,"قالب نو"),
SUMIFS([7]تیر!$AF12:$AF808,[7]تیر!$B12:$B808,B12,[7]تیر!$C12:$C808,"قالب نو"),
SUMIFS([7]مرداد!$AF12:$AF808,[7]مرداد!$B12:$B808,B12,[7]مرداد!$C12:$C808,"قالب نو"),
SUMIFS([7]شهریور!$AF12:$AF808,[7]شهریور!$B12:$B808,B12,[7]شهریور!$C12:$C808,"قالب نو"),
SUMIFS([7]مهر!$AF12:$AF808,[7]مهر!$B12:$B808,B12,[7]مهر!$C12:$C808,"قالب نو"),
SUMIFS([7]آبان!$AF12:$AF808,[7]آبان!$B12:$B808,B12,[7]آبان!$C12:$C808,"قالب نو"),
SUMIFS([7]آذر!$AF12:$AF808,[7]آذر!$B12:$B808,B12,[7]آذر!$C12:$C808,"قالب نو"),
SUMIFS([7]دی!$AF12:$AF808,[7]دی!$B12:$B808,B12,[7]دی!$C12:$C808,"قالب نو"),
SUMIFS([7]بهمن!$AF12:$AF808,[7]بهمن!$B12:$B808,B12,[7]بهمن!$C12:$C808,"قالب نو"),
SUMIFS([7]اسفند!$AF12:$AF808,[7]اسفند!$B12:$B808,B12,[7]اسفند!$C12:$C808,"قالب نو")
)</f>
        <v>404.33333333333331</v>
      </c>
      <c r="N12" s="116">
        <v>405</v>
      </c>
    </row>
    <row r="13" spans="1:33" ht="99" x14ac:dyDescent="0.25">
      <c r="A13" s="80">
        <v>10</v>
      </c>
      <c r="B13" s="100" t="s">
        <v>127</v>
      </c>
      <c r="C13" s="96" t="s">
        <v>71</v>
      </c>
      <c r="D13" s="97">
        <v>30247</v>
      </c>
      <c r="E13" s="97" t="s">
        <v>90</v>
      </c>
      <c r="F13" s="11" t="s">
        <v>115</v>
      </c>
      <c r="G13" s="97"/>
      <c r="H13" s="97" t="s">
        <v>100</v>
      </c>
      <c r="I13" s="5" t="s">
        <v>99</v>
      </c>
      <c r="J13" s="5" t="s">
        <v>46</v>
      </c>
      <c r="K13" s="123">
        <f t="shared" si="0"/>
        <v>0.57187500000000002</v>
      </c>
      <c r="L13" s="98" t="s">
        <v>50</v>
      </c>
      <c r="M13" s="118">
        <f>SUM(
SUMIFS([7]فروردین!$AF13:$AF809,[7]فروردین!$B13:$B809,B13,[7]فروردین!$C13:$C809,"قالب نو"),
SUMIFS([7]اردیبهشت!$AF13:$AF809,[7]اردیبهشت!$B13:$B809,B13,[7]اردیبهشت!$C13:$C809,"قالب نو"),
SUMIFS([7]خرداد!$AF13:$AF809,[7]خرداد!$B13:$B809,B13,[7]خرداد!$C13:$C809,"قالب نو"),
SUMIFS([7]تیر!$AF13:$AF809,[7]تیر!$B13:$B809,B13,[7]تیر!$C13:$C809,"قالب نو"),
SUMIFS([7]مرداد!$AF13:$AF809,[7]مرداد!$B13:$B809,B13,[7]مرداد!$C13:$C809,"قالب نو"),
SUMIFS([7]شهریور!$AF13:$AF809,[7]شهریور!$B13:$B809,B13,[7]شهریور!$C13:$C809,"قالب نو"),
SUMIFS([7]مهر!$AF13:$AF809,[7]مهر!$B13:$B809,B13,[7]مهر!$C13:$C809,"قالب نو"),
SUMIFS([7]آبان!$AF13:$AF809,[7]آبان!$B13:$B809,B13,[7]آبان!$C13:$C809,"قالب نو"),
SUMIFS([7]آذر!$AF13:$AF809,[7]آذر!$B13:$B809,B13,[7]آذر!$C13:$C809,"قالب نو"),
SUMIFS([7]دی!$AF13:$AF809,[7]دی!$B13:$B809,B13,[7]دی!$C13:$C809,"قالب نو"),
SUMIFS([7]بهمن!$AF13:$AF809,[7]بهمن!$B13:$B809,B13,[7]بهمن!$C13:$C809,"قالب نو"),
SUMIFS([7]اسفند!$AF13:$AF809,[7]اسفند!$B13:$B809,B13,[7]اسفند!$C13:$C809,"قالب نو")
)</f>
        <v>91.5</v>
      </c>
      <c r="N13" s="116">
        <v>160</v>
      </c>
    </row>
    <row r="14" spans="1:33" ht="90" customHeight="1" x14ac:dyDescent="0.25">
      <c r="A14" s="80">
        <v>11</v>
      </c>
      <c r="B14" s="100" t="s">
        <v>128</v>
      </c>
      <c r="C14" s="96" t="s">
        <v>71</v>
      </c>
      <c r="D14" s="97">
        <v>30278</v>
      </c>
      <c r="E14" s="97" t="s">
        <v>90</v>
      </c>
      <c r="F14" s="11" t="s">
        <v>115</v>
      </c>
      <c r="G14" s="97"/>
      <c r="H14" s="97" t="s">
        <v>100</v>
      </c>
      <c r="I14" s="5" t="s">
        <v>99</v>
      </c>
      <c r="J14" s="5" t="s">
        <v>46</v>
      </c>
      <c r="K14" s="123">
        <f t="shared" si="0"/>
        <v>0.48749999999999999</v>
      </c>
      <c r="L14" s="98" t="s">
        <v>50</v>
      </c>
      <c r="M14" s="118">
        <f>SUM(
SUMIFS([7]فروردین!$AF14:$AF810,[7]فروردین!$B14:$B810,B14,[7]فروردین!$C14:$C810,"قالب نو"),
SUMIFS([7]اردیبهشت!$AF14:$AF810,[7]اردیبهشت!$B14:$B810,B14,[7]اردیبهشت!$C14:$C810,"قالب نو"),
SUMIFS([7]خرداد!$AF14:$AF810,[7]خرداد!$B14:$B810,B14,[7]خرداد!$C14:$C810,"قالب نو"),
SUMIFS([7]تیر!$AF14:$AF810,[7]تیر!$B14:$B810,B14,[7]تیر!$C14:$C810,"قالب نو"),
SUMIFS([7]مرداد!$AF14:$AF810,[7]مرداد!$B14:$B810,B14,[7]مرداد!$C14:$C810,"قالب نو"),
SUMIFS([7]شهریور!$AF14:$AF810,[7]شهریور!$B14:$B810,B14,[7]شهریور!$C14:$C810,"قالب نو"),
SUMIFS([7]مهر!$AF14:$AF810,[7]مهر!$B14:$B810,B14,[7]مهر!$C14:$C810,"قالب نو"),
SUMIFS([7]آبان!$AF14:$AF810,[7]آبان!$B14:$B810,B14,[7]آبان!$C14:$C810,"قالب نو"),
SUMIFS([7]آذر!$AF14:$AF810,[7]آذر!$B14:$B810,B14,[7]آذر!$C14:$C810,"قالب نو"),
SUMIFS([7]دی!$AF14:$AF810,[7]دی!$B14:$B810,B14,[7]دی!$C14:$C810,"قالب نو"),
SUMIFS([7]بهمن!$AF14:$AF810,[7]بهمن!$B14:$B810,B14,[7]بهمن!$C14:$C810,"قالب نو"),
SUMIFS([7]اسفند!$AF14:$AF810,[7]اسفند!$B14:$B810,B14,[7]اسفند!$C14:$C810,"قالب نو")
)</f>
        <v>78</v>
      </c>
      <c r="N14" s="116">
        <v>160</v>
      </c>
    </row>
    <row r="15" spans="1:33" ht="86.25" customHeight="1" x14ac:dyDescent="0.25">
      <c r="A15" s="80">
        <v>12</v>
      </c>
      <c r="B15" s="90" t="s">
        <v>79</v>
      </c>
      <c r="C15" s="90" t="s">
        <v>57</v>
      </c>
      <c r="D15" s="107" t="s">
        <v>15</v>
      </c>
      <c r="E15" s="108"/>
      <c r="F15" s="11"/>
      <c r="G15" s="97"/>
      <c r="H15" s="97"/>
      <c r="I15" s="5"/>
      <c r="J15" s="5" t="s">
        <v>46</v>
      </c>
      <c r="K15" s="123">
        <f t="shared" si="0"/>
        <v>0</v>
      </c>
      <c r="L15" s="98" t="s">
        <v>8</v>
      </c>
      <c r="M15" s="118">
        <f>SUM(
SUMIFS([7]فروردین!$AF15:$AF811,[7]فروردین!$B15:$B811,B15,[7]فروردین!$C15:$C811,"قالب نو"),
SUMIFS([7]اردیبهشت!$AF15:$AF811,[7]اردیبهشت!$B15:$B811,B15,[7]اردیبهشت!$C15:$C811,"قالب نو"),
SUMIFS([7]خرداد!$AF15:$AF811,[7]خرداد!$B15:$B811,B15,[7]خرداد!$C15:$C811,"قالب نو"),
SUMIFS([7]تیر!$AF15:$AF811,[7]تیر!$B15:$B811,B15,[7]تیر!$C15:$C811,"قالب نو"),
SUMIFS([7]مرداد!$AF15:$AF811,[7]مرداد!$B15:$B811,B15,[7]مرداد!$C15:$C811,"قالب نو"),
SUMIFS([7]شهریور!$AF15:$AF811,[7]شهریور!$B15:$B811,B15,[7]شهریور!$C15:$C811,"قالب نو"),
SUMIFS([7]مهر!$AF15:$AF811,[7]مهر!$B15:$B811,B15,[7]مهر!$C15:$C811,"قالب نو"),
SUMIFS([7]آبان!$AF15:$AF811,[7]آبان!$B15:$B811,B15,[7]آبان!$C15:$C811,"قالب نو"),
SUMIFS([7]آذر!$AF15:$AF811,[7]آذر!$B15:$B811,B15,[7]آذر!$C15:$C811,"قالب نو"),
SUMIFS([7]دی!$AF15:$AF811,[7]دی!$B15:$B811,B15,[7]دی!$C15:$C811,"قالب نو"),
SUMIFS([7]بهمن!$AF15:$AF811,[7]بهمن!$B15:$B811,B15,[7]بهمن!$C15:$C811,"قالب نو"),
SUMIFS([7]اسفند!$AF15:$AF811,[7]اسفند!$B15:$B811,B15,[7]اسفند!$C15:$C811,"قالب نو")
)</f>
        <v>0</v>
      </c>
      <c r="N15" s="116">
        <v>420</v>
      </c>
    </row>
    <row r="16" spans="1:33" ht="99" x14ac:dyDescent="0.25">
      <c r="A16" s="80">
        <v>13</v>
      </c>
      <c r="B16" s="96" t="s">
        <v>78</v>
      </c>
      <c r="C16" s="11" t="s">
        <v>57</v>
      </c>
      <c r="D16" s="53" t="s">
        <v>15</v>
      </c>
      <c r="E16" s="110"/>
      <c r="F16" s="11"/>
      <c r="G16" s="97"/>
      <c r="H16" s="97"/>
      <c r="I16" s="97"/>
      <c r="J16" s="5" t="s">
        <v>46</v>
      </c>
      <c r="K16" s="123">
        <f t="shared" si="0"/>
        <v>0</v>
      </c>
      <c r="L16" s="98" t="s">
        <v>8</v>
      </c>
      <c r="M16" s="118">
        <f>SUM(
SUMIFS([7]فروردین!$AF16:$AF812,[7]فروردین!$B16:$B812,B16,[7]فروردین!$C16:$C812,"قالب نو"),
SUMIFS([7]اردیبهشت!$AF16:$AF812,[7]اردیبهشت!$B16:$B812,B16,[7]اردیبهشت!$C16:$C812,"قالب نو"),
SUMIFS([7]خرداد!$AF16:$AF812,[7]خرداد!$B16:$B812,B16,[7]خرداد!$C16:$C812,"قالب نو"),
SUMIFS([7]تیر!$AF16:$AF812,[7]تیر!$B16:$B812,B16,[7]تیر!$C16:$C812,"قالب نو"),
SUMIFS([7]مرداد!$AF16:$AF812,[7]مرداد!$B16:$B812,B16,[7]مرداد!$C16:$C812,"قالب نو"),
SUMIFS([7]شهریور!$AF16:$AF812,[7]شهریور!$B16:$B812,B16,[7]شهریور!$C16:$C812,"قالب نو"),
SUMIFS([7]مهر!$AF16:$AF812,[7]مهر!$B16:$B812,B16,[7]مهر!$C16:$C812,"قالب نو"),
SUMIFS([7]آبان!$AF16:$AF812,[7]آبان!$B16:$B812,B16,[7]آبان!$C16:$C812,"قالب نو"),
SUMIFS([7]آذر!$AF16:$AF812,[7]آذر!$B16:$B812,B16,[7]آذر!$C16:$C812,"قالب نو"),
SUMIFS([7]دی!$AF16:$AF812,[7]دی!$B16:$B812,B16,[7]دی!$C16:$C812,"قالب نو"),
SUMIFS([7]بهمن!$AF16:$AF812,[7]بهمن!$B16:$B812,B16,[7]بهمن!$C16:$C812,"قالب نو"),
SUMIFS([7]اسفند!$AF16:$AF812,[7]اسفند!$B16:$B812,B16,[7]اسفند!$C16:$C812,"قالب نو")
)</f>
        <v>0</v>
      </c>
      <c r="N16" s="116">
        <v>560</v>
      </c>
    </row>
    <row r="17" spans="1:14" ht="99" x14ac:dyDescent="0.25">
      <c r="A17" s="80">
        <v>14</v>
      </c>
      <c r="B17" s="96" t="s">
        <v>133</v>
      </c>
      <c r="C17" s="11" t="s">
        <v>57</v>
      </c>
      <c r="D17" s="53" t="s">
        <v>132</v>
      </c>
      <c r="E17" s="110"/>
      <c r="F17" s="11"/>
      <c r="G17" s="97"/>
      <c r="H17" s="97"/>
      <c r="I17" s="97"/>
      <c r="J17" s="5" t="s">
        <v>46</v>
      </c>
      <c r="K17" s="123">
        <f t="shared" si="0"/>
        <v>0.1711111111111111</v>
      </c>
      <c r="L17" s="98" t="s">
        <v>8</v>
      </c>
      <c r="M17" s="118">
        <f>SUM(
SUMIFS([7]فروردین!$AF17:$AF813,[7]فروردین!$B17:$B813,B17,[7]فروردین!$C17:$C813,"قالب نو"),
SUMIFS([7]اردیبهشت!$AF17:$AF813,[7]اردیبهشت!$B17:$B813,B17,[7]اردیبهشت!$C17:$C813,"قالب نو"),
SUMIFS([7]خرداد!$AF17:$AF813,[7]خرداد!$B17:$B813,B17,[7]خرداد!$C17:$C813,"قالب نو"),
SUMIFS([7]تیر!$AF17:$AF813,[7]تیر!$B17:$B813,B17,[7]تیر!$C17:$C813,"قالب نو"),
SUMIFS([7]مرداد!$AF17:$AF813,[7]مرداد!$B17:$B813,B17,[7]مرداد!$C17:$C813,"قالب نو"),
SUMIFS([7]شهریور!$AF17:$AF813,[7]شهریور!$B17:$B813,B17,[7]شهریور!$C17:$C813,"قالب نو"),
SUMIFS([7]مهر!$AF17:$AF813,[7]مهر!$B17:$B813,B17,[7]مهر!$C17:$C813,"قالب نو"),
SUMIFS([7]آبان!$AF17:$AF813,[7]آبان!$B17:$B813,B17,[7]آبان!$C17:$C813,"قالب نو"),
SUMIFS([7]آذر!$AF17:$AF813,[7]آذر!$B17:$B813,B17,[7]آذر!$C17:$C813,"قالب نو"),
SUMIFS([7]دی!$AF17:$AF813,[7]دی!$B17:$B813,B17,[7]دی!$C17:$C813,"قالب نو"),
SUMIFS([7]بهمن!$AF17:$AF813,[7]بهمن!$B17:$B813,B17,[7]بهمن!$C17:$C813,"قالب نو"),
SUMIFS([7]اسفند!$AF17:$AF813,[7]اسفند!$B17:$B813,B17,[7]اسفند!$C17:$C813,"قالب نو")
)</f>
        <v>77</v>
      </c>
      <c r="N17" s="116">
        <v>450</v>
      </c>
    </row>
  </sheetData>
  <mergeCells count="1">
    <mergeCell ref="A1:I2"/>
  </mergeCells>
  <printOptions horizontalCentered="1" verticalCentered="1"/>
  <pageMargins left="0" right="0" top="0" bottom="0" header="0" footer="0"/>
  <pageSetup scale="4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</vt:i4>
      </vt:variant>
    </vt:vector>
  </HeadingPairs>
  <TitlesOfParts>
    <vt:vector size="36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'16'!Print_Titles</vt:lpstr>
      <vt:lpstr>'17'!Print_Titles</vt:lpstr>
      <vt:lpstr>'18'!Print_Titles</vt:lpstr>
      <vt:lpstr>'19'!Print_Titles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 pc</dc:creator>
  <cp:lastModifiedBy>alizadeh pc</cp:lastModifiedBy>
  <cp:lastPrinted>2026-09-13T12:36:57Z</cp:lastPrinted>
  <dcterms:created xsi:type="dcterms:W3CDTF">2025-04-08T09:01:44Z</dcterms:created>
  <dcterms:modified xsi:type="dcterms:W3CDTF">2026-09-13T12:58:42Z</dcterms:modified>
</cp:coreProperties>
</file>