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"/>
    </mc:Choice>
  </mc:AlternateContent>
  <xr:revisionPtr revIDLastSave="0" documentId="8_{CF228F4D-D153-4BF8-B4C9-8610597B4D77}" xr6:coauthVersionLast="47" xr6:coauthVersionMax="47" xr10:uidLastSave="{00000000-0000-0000-0000-000000000000}"/>
  <bookViews>
    <workbookView xWindow="-120" yWindow="-120" windowWidth="24240" windowHeight="13020" xr2:uid="{BB5B6935-7B66-417D-B458-171C0471284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7" i="1"/>
  <c r="L6" i="1"/>
  <c r="L5" i="1"/>
  <c r="L4" i="1"/>
  <c r="L21" i="1" s="1"/>
</calcChain>
</file>

<file path=xl/sharedStrings.xml><?xml version="1.0" encoding="utf-8"?>
<sst xmlns="http://schemas.openxmlformats.org/spreadsheetml/2006/main" count="34" uniqueCount="27">
  <si>
    <t>قطعات تعمیری و ساخته شده</t>
  </si>
  <si>
    <t>1405/01/15</t>
  </si>
  <si>
    <t>نام قطعه</t>
  </si>
  <si>
    <t>دستگاه / قالب</t>
  </si>
  <si>
    <t>درخواست کننده</t>
  </si>
  <si>
    <t>تعداد درخواست</t>
  </si>
  <si>
    <t>نو ع قطعه</t>
  </si>
  <si>
    <t>علت ساخت / تعمیر</t>
  </si>
  <si>
    <t>شماره نامه</t>
  </si>
  <si>
    <t xml:space="preserve">کد دستگاه </t>
  </si>
  <si>
    <t>تاریخ شروع</t>
  </si>
  <si>
    <t>تاریخ تحویل</t>
  </si>
  <si>
    <t>مقدار نفر ساعت کار شده</t>
  </si>
  <si>
    <t>عملیات در حال انجام</t>
  </si>
  <si>
    <t>محافظ تیغه</t>
  </si>
  <si>
    <t>برش جمعی عقب ریو</t>
  </si>
  <si>
    <t>جهان لنت</t>
  </si>
  <si>
    <t>جدید</t>
  </si>
  <si>
    <t>درخواست ساخت</t>
  </si>
  <si>
    <t>1404/12/19</t>
  </si>
  <si>
    <t>تیغه</t>
  </si>
  <si>
    <t>دستگاه پشم فلز چینی</t>
  </si>
  <si>
    <t>تولید پشم فلز</t>
  </si>
  <si>
    <t>1404/12/02</t>
  </si>
  <si>
    <t>Blade Holder</t>
  </si>
  <si>
    <t>04/د/13047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</si>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</sst>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8"/>
      <color theme="1"/>
      <name val="Calibri"/>
      <family val="2"/>
      <scheme val="minor"/>
    </font>
    <font>
      <b/>
      <sz val="8"/>
      <color theme="1"/>
      <name val="B Nazanin"/>
      <charset val="178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3" borderId="4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7" fillId="3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25" xfId="0" applyFill="1" applyBorder="1"/>
    <xf numFmtId="0" fontId="0" fillId="3" borderId="26" xfId="0" applyFill="1" applyBorder="1" applyAlignment="1">
      <alignment horizontal="center" vertical="center"/>
    </xf>
    <xf numFmtId="0" fontId="0" fillId="3" borderId="26" xfId="0" applyFill="1" applyBorder="1"/>
    <xf numFmtId="0" fontId="7" fillId="3" borderId="26" xfId="0" applyFont="1" applyFill="1" applyBorder="1" applyAlignment="1">
      <alignment horizontal="center" vertical="center"/>
    </xf>
    <xf numFmtId="0" fontId="0" fillId="3" borderId="2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>
        <row r="2">
          <cell r="B2" t="str">
            <v>دستگاه پشم فلز چینی</v>
          </cell>
          <cell r="C2" t="str">
            <v>قطعه نو</v>
          </cell>
          <cell r="O2" t="str">
            <v>تیغه</v>
          </cell>
          <cell r="AD2">
            <v>8</v>
          </cell>
        </row>
        <row r="3">
          <cell r="B3" t="str">
            <v>قالب ولوو سوپر</v>
          </cell>
          <cell r="C3" t="str">
            <v>قالب تعمیری</v>
          </cell>
          <cell r="O3" t="str">
            <v>سنبه</v>
          </cell>
          <cell r="AD3">
            <v>8</v>
          </cell>
        </row>
        <row r="4">
          <cell r="B4" t="str">
            <v>کوره ابزار زنی</v>
          </cell>
          <cell r="C4" t="str">
            <v>قطعه تعمیری</v>
          </cell>
          <cell r="O4" t="str">
            <v>فولی</v>
          </cell>
          <cell r="AD4">
            <v>8</v>
          </cell>
        </row>
        <row r="5">
          <cell r="B5" t="str">
            <v>کوره ابزار زنی</v>
          </cell>
          <cell r="C5" t="str">
            <v>قطعه تعمیری</v>
          </cell>
          <cell r="O5" t="str">
            <v>صفحه آلمینیوم</v>
          </cell>
          <cell r="AD5">
            <v>8</v>
          </cell>
        </row>
        <row r="6">
          <cell r="B6" t="str">
            <v>برش توری پگاسوز</v>
          </cell>
          <cell r="C6" t="str">
            <v>قالب تعمیری</v>
          </cell>
          <cell r="O6" t="str">
            <v>ورقگیر</v>
          </cell>
          <cell r="AD6">
            <v>8</v>
          </cell>
        </row>
        <row r="7">
          <cell r="B7" t="str">
            <v>دستگاه پشم فلز چینی</v>
          </cell>
          <cell r="C7" t="str">
            <v>قطعه نو</v>
          </cell>
          <cell r="O7" t="str">
            <v>تیغه</v>
          </cell>
          <cell r="AD7">
            <v>8</v>
          </cell>
        </row>
        <row r="8">
          <cell r="B8" t="str">
            <v>دستگاه پشم فلز چینی</v>
          </cell>
          <cell r="C8" t="str">
            <v>قطعه نو</v>
          </cell>
          <cell r="O8" t="str">
            <v>تیغه</v>
          </cell>
          <cell r="AD8">
            <v>8</v>
          </cell>
        </row>
        <row r="9">
          <cell r="B9" t="str">
            <v>قالب ولوو سوپر</v>
          </cell>
          <cell r="C9" t="str">
            <v>قالب تعمیری</v>
          </cell>
          <cell r="O9" t="str">
            <v>سنبه</v>
          </cell>
          <cell r="AD9">
            <v>8</v>
          </cell>
        </row>
        <row r="10">
          <cell r="B10" t="str">
            <v>قالب پخت کلاچ پیکان آرژانتینی</v>
          </cell>
          <cell r="C10" t="str">
            <v>قالب تعمیری</v>
          </cell>
          <cell r="O10" t="str">
            <v>Stop</v>
          </cell>
          <cell r="AD10">
            <v>2</v>
          </cell>
        </row>
        <row r="11">
          <cell r="B11" t="str">
            <v>قالب پخت کلاچ پیکان آرژانتینی</v>
          </cell>
          <cell r="C11" t="str">
            <v>قالب تعمیری</v>
          </cell>
          <cell r="O11" t="str">
            <v>Plate Up</v>
          </cell>
          <cell r="AD11">
            <v>5</v>
          </cell>
        </row>
        <row r="12">
          <cell r="B12" t="str">
            <v>قالب پخت کلاچ پیکان آرژانتینی</v>
          </cell>
          <cell r="C12" t="str">
            <v>قالب تعمیری</v>
          </cell>
          <cell r="O12" t="str">
            <v>Plate Up</v>
          </cell>
          <cell r="AD12">
            <v>2</v>
          </cell>
        </row>
        <row r="13">
          <cell r="B13" t="str">
            <v>قالب اکسپرس</v>
          </cell>
          <cell r="C13" t="str">
            <v>قالب تعمیری</v>
          </cell>
          <cell r="O13" t="str">
            <v>Plate Down</v>
          </cell>
          <cell r="AD13">
            <v>5</v>
          </cell>
        </row>
        <row r="14">
          <cell r="B14" t="str">
            <v>قالب پخت کلاچ پیکان آرژانتینی</v>
          </cell>
          <cell r="C14" t="str">
            <v>قالب تعمیری</v>
          </cell>
          <cell r="O14" t="str">
            <v>Plate Up</v>
          </cell>
          <cell r="AD14">
            <v>7</v>
          </cell>
        </row>
        <row r="15">
          <cell r="B15" t="str">
            <v>قالب اکسپرس</v>
          </cell>
          <cell r="C15" t="str">
            <v>قالب تعمیری</v>
          </cell>
          <cell r="O15" t="str">
            <v>Plate Down</v>
          </cell>
          <cell r="AD15">
            <v>5</v>
          </cell>
        </row>
        <row r="16">
          <cell r="B16" t="str">
            <v>کوره ابزار زنی</v>
          </cell>
          <cell r="C16" t="str">
            <v>قطعه تعمیری</v>
          </cell>
          <cell r="O16" t="str">
            <v>Shaft</v>
          </cell>
          <cell r="AD16">
            <v>0.5</v>
          </cell>
        </row>
        <row r="17">
          <cell r="B17" t="str">
            <v>دستگاه پشم فلز چینی</v>
          </cell>
          <cell r="C17" t="str">
            <v>قطعه نو</v>
          </cell>
          <cell r="O17" t="str">
            <v>Blade Holder</v>
          </cell>
          <cell r="AD17">
            <v>2</v>
          </cell>
        </row>
        <row r="18">
          <cell r="B18" t="str">
            <v>پخت کلاچ پراید</v>
          </cell>
          <cell r="C18" t="str">
            <v>قالب تعمیری</v>
          </cell>
          <cell r="O18" t="str">
            <v>mandrel</v>
          </cell>
          <cell r="AD18">
            <v>2</v>
          </cell>
        </row>
        <row r="19">
          <cell r="B19" t="str">
            <v>قالب پخت کلاچ پیکان</v>
          </cell>
          <cell r="C19" t="str">
            <v>قالب تعمیری</v>
          </cell>
          <cell r="O19" t="str">
            <v>mandrel</v>
          </cell>
          <cell r="AD19">
            <v>2</v>
          </cell>
        </row>
        <row r="20">
          <cell r="B20" t="str">
            <v>قالب پخت کلاچ پیکان</v>
          </cell>
          <cell r="C20" t="str">
            <v>قالب تعمیری</v>
          </cell>
          <cell r="O20" t="str">
            <v>Dowel pin</v>
          </cell>
          <cell r="AD20">
            <v>2.5</v>
          </cell>
        </row>
        <row r="21">
          <cell r="B21" t="str">
            <v>پخت کلاچ پراید</v>
          </cell>
          <cell r="C21" t="str">
            <v>قالب تعمیری</v>
          </cell>
          <cell r="O21" t="str">
            <v>Dowel pin</v>
          </cell>
          <cell r="AD21">
            <v>2</v>
          </cell>
        </row>
        <row r="22">
          <cell r="B22" t="str">
            <v>پخت کلاچ پراید</v>
          </cell>
          <cell r="C22" t="str">
            <v>قالب تعمیری</v>
          </cell>
          <cell r="O22" t="str">
            <v>Dowel pin</v>
          </cell>
          <cell r="AD22">
            <v>2</v>
          </cell>
        </row>
        <row r="23">
          <cell r="B23" t="str">
            <v>قالب اکسپرس</v>
          </cell>
          <cell r="C23" t="str">
            <v>قالب تعمیری</v>
          </cell>
          <cell r="O23" t="str">
            <v>Dowel pin</v>
          </cell>
          <cell r="AD23">
            <v>2.5</v>
          </cell>
        </row>
        <row r="24">
          <cell r="B24" t="str">
            <v>قالب ولوو سوپر</v>
          </cell>
          <cell r="C24" t="str">
            <v>قالب تعمیری</v>
          </cell>
          <cell r="O24" t="str">
            <v>mold</v>
          </cell>
          <cell r="AD24">
            <v>4</v>
          </cell>
        </row>
        <row r="25">
          <cell r="B25" t="str">
            <v>قالب پخت کلاچ پیکان</v>
          </cell>
          <cell r="C25" t="str">
            <v>قالب تعمیری</v>
          </cell>
          <cell r="O25" t="str">
            <v>top Plate</v>
          </cell>
          <cell r="AD25">
            <v>2.5</v>
          </cell>
        </row>
        <row r="26">
          <cell r="B26" t="str">
            <v>قالب پخت کلاچ پیکان</v>
          </cell>
          <cell r="C26" t="str">
            <v>قالب تعمیری</v>
          </cell>
          <cell r="O26" t="str">
            <v>mandrel</v>
          </cell>
          <cell r="AD26">
            <v>4</v>
          </cell>
        </row>
        <row r="27">
          <cell r="B27" t="str">
            <v>شابلون پراید خاردار</v>
          </cell>
          <cell r="C27" t="str">
            <v>قطعه نو</v>
          </cell>
          <cell r="O27" t="str">
            <v>شابلون</v>
          </cell>
          <cell r="AD27">
            <v>3</v>
          </cell>
        </row>
        <row r="28">
          <cell r="B28" t="str">
            <v>کوره ابزار زنی</v>
          </cell>
          <cell r="C28" t="str">
            <v>قطعه تعمیری</v>
          </cell>
          <cell r="O28" t="str">
            <v>Shaft</v>
          </cell>
          <cell r="AD28">
            <v>1</v>
          </cell>
        </row>
        <row r="29">
          <cell r="B29" t="str">
            <v>قالب پخت کلاچ پیکان</v>
          </cell>
          <cell r="C29" t="str">
            <v>قالب تعمیری</v>
          </cell>
          <cell r="O29" t="str">
            <v>mandrel</v>
          </cell>
          <cell r="AD29">
            <v>4</v>
          </cell>
        </row>
        <row r="30">
          <cell r="B30" t="str">
            <v>قالب ولوو سوپر</v>
          </cell>
          <cell r="C30" t="str">
            <v>قالب تعمیری</v>
          </cell>
          <cell r="O30" t="str">
            <v>سنبه</v>
          </cell>
          <cell r="AD30">
            <v>8</v>
          </cell>
        </row>
        <row r="31">
          <cell r="B31" t="str">
            <v>دستگاه پشم فلز چینی</v>
          </cell>
          <cell r="C31" t="str">
            <v>قطعه نو</v>
          </cell>
          <cell r="O31" t="str">
            <v>تیغه</v>
          </cell>
          <cell r="AD31">
            <v>8</v>
          </cell>
        </row>
        <row r="32">
          <cell r="B32" t="str">
            <v>برش جمعی عقب ریو</v>
          </cell>
          <cell r="C32" t="str">
            <v>قطعه نو</v>
          </cell>
          <cell r="O32" t="str">
            <v>محافظ تیغه</v>
          </cell>
          <cell r="AD32">
            <v>8</v>
          </cell>
        </row>
        <row r="33">
          <cell r="B33" t="str">
            <v>شابلون پراید بی خار</v>
          </cell>
          <cell r="C33" t="str">
            <v>قطعه نو</v>
          </cell>
          <cell r="O33" t="str">
            <v>چوبی</v>
          </cell>
          <cell r="AD33">
            <v>7.5</v>
          </cell>
        </row>
        <row r="34">
          <cell r="B34" t="str">
            <v>قالب ترنست</v>
          </cell>
          <cell r="C34" t="str">
            <v>قالب تعمیری</v>
          </cell>
          <cell r="O34" t="str">
            <v>صفحه زیر</v>
          </cell>
          <cell r="AD34">
            <v>3.5</v>
          </cell>
        </row>
        <row r="35">
          <cell r="B35" t="str">
            <v>ویوینگ</v>
          </cell>
          <cell r="C35" t="str">
            <v>قطعه نو</v>
          </cell>
          <cell r="O35" t="str">
            <v>weaving wheal</v>
          </cell>
          <cell r="AD35">
            <v>7.5</v>
          </cell>
        </row>
        <row r="36">
          <cell r="B36" t="str">
            <v>ساب سمباده ای</v>
          </cell>
          <cell r="C36" t="str">
            <v>قطعه تعمیری</v>
          </cell>
          <cell r="O36" t="str">
            <v>Shaft</v>
          </cell>
          <cell r="AD36">
            <v>2.5</v>
          </cell>
        </row>
        <row r="37">
          <cell r="B37" t="str">
            <v>دستگاه پشم فلز آلمانی</v>
          </cell>
          <cell r="C37" t="str">
            <v>قطعه نو</v>
          </cell>
          <cell r="O37" t="str">
            <v>whell</v>
          </cell>
          <cell r="AD37">
            <v>2.6666666666666665</v>
          </cell>
        </row>
        <row r="38">
          <cell r="B38" t="str">
            <v>دستگاه پشم فلز آلمانی</v>
          </cell>
          <cell r="C38" t="str">
            <v>قطعه نو</v>
          </cell>
          <cell r="O38" t="str">
            <v>mahak</v>
          </cell>
          <cell r="AD38">
            <v>2.6666666666666665</v>
          </cell>
        </row>
        <row r="39">
          <cell r="B39" t="str">
            <v>قالب پراید خاردار</v>
          </cell>
          <cell r="C39" t="str">
            <v>قالب تعمیری</v>
          </cell>
          <cell r="O39" t="str">
            <v>bottom plate</v>
          </cell>
          <cell r="AD39">
            <v>6.5</v>
          </cell>
        </row>
        <row r="40">
          <cell r="B40" t="str">
            <v>قالب پخت کلاچ پیکان</v>
          </cell>
          <cell r="C40" t="str">
            <v>قالب تعمیری</v>
          </cell>
          <cell r="O40" t="str">
            <v>top Plate</v>
          </cell>
          <cell r="AD40">
            <v>6.5</v>
          </cell>
        </row>
        <row r="41">
          <cell r="B41" t="str">
            <v>قالب پخت کلاچ پیکان</v>
          </cell>
          <cell r="C41" t="str">
            <v>قالب تعمیری</v>
          </cell>
          <cell r="O41" t="str">
            <v>bottom plate</v>
          </cell>
          <cell r="AD41">
            <v>6.5</v>
          </cell>
        </row>
        <row r="42">
          <cell r="B42" t="str">
            <v>پخت کلاچ پراید</v>
          </cell>
          <cell r="C42" t="str">
            <v>قالب تعمیری</v>
          </cell>
          <cell r="O42" t="str">
            <v>top Plate</v>
          </cell>
          <cell r="AD42">
            <v>5.5</v>
          </cell>
        </row>
        <row r="43">
          <cell r="B43" t="str">
            <v>پخت کلاچ پراید</v>
          </cell>
          <cell r="C43" t="str">
            <v>قالب تعمیری</v>
          </cell>
          <cell r="O43" t="str">
            <v>bottom plate</v>
          </cell>
          <cell r="AD43">
            <v>4.5</v>
          </cell>
        </row>
        <row r="44">
          <cell r="B44" t="str">
            <v>ساب سمباده ای</v>
          </cell>
          <cell r="C44" t="str">
            <v>قطعه تعمیری</v>
          </cell>
          <cell r="O44" t="str">
            <v>پیچ ساب</v>
          </cell>
          <cell r="AD44">
            <v>1</v>
          </cell>
        </row>
        <row r="45">
          <cell r="B45" t="str">
            <v>قالب پراید خاردار</v>
          </cell>
          <cell r="C45" t="str">
            <v>قالب تعمیری</v>
          </cell>
          <cell r="O45" t="str">
            <v>bottom plate</v>
          </cell>
          <cell r="AD45">
            <v>8</v>
          </cell>
        </row>
        <row r="46">
          <cell r="B46" t="str">
            <v>قالب پخت کلاچ پیکان</v>
          </cell>
          <cell r="C46" t="str">
            <v>قالب تعمیری</v>
          </cell>
          <cell r="O46" t="str">
            <v>Stoper</v>
          </cell>
          <cell r="AD46">
            <v>3</v>
          </cell>
        </row>
        <row r="47">
          <cell r="B47" t="str">
            <v>کوره ابزار زنی</v>
          </cell>
          <cell r="C47" t="str">
            <v>قطعه تعمیری</v>
          </cell>
          <cell r="O47" t="str">
            <v>Shaft</v>
          </cell>
          <cell r="AD47">
            <v>0.5</v>
          </cell>
        </row>
        <row r="48">
          <cell r="B48" t="str">
            <v>دستگاه پشم فلز چینی</v>
          </cell>
          <cell r="C48" t="str">
            <v>قطعه نو</v>
          </cell>
          <cell r="O48" t="str">
            <v>Blade Holder</v>
          </cell>
          <cell r="AD48">
            <v>2</v>
          </cell>
        </row>
        <row r="49">
          <cell r="B49" t="str">
            <v>پخت کلاچ پراید</v>
          </cell>
          <cell r="C49" t="str">
            <v>قالب تعمیری</v>
          </cell>
          <cell r="O49" t="str">
            <v>mandrel</v>
          </cell>
          <cell r="AD49">
            <v>2</v>
          </cell>
        </row>
        <row r="50">
          <cell r="B50" t="str">
            <v>قالب پخت کلاچ پیکان</v>
          </cell>
          <cell r="C50" t="str">
            <v>قالب تعمیری</v>
          </cell>
          <cell r="O50" t="str">
            <v>mandrel</v>
          </cell>
          <cell r="AD50">
            <v>2</v>
          </cell>
        </row>
        <row r="51">
          <cell r="B51" t="str">
            <v>قالب پخت کلاچ پیکان</v>
          </cell>
          <cell r="C51" t="str">
            <v>قالب تعمیری</v>
          </cell>
          <cell r="O51" t="str">
            <v>Dowel pin</v>
          </cell>
          <cell r="AD51">
            <v>2.5</v>
          </cell>
        </row>
        <row r="52">
          <cell r="B52" t="str">
            <v>پخت کلاچ پراید</v>
          </cell>
          <cell r="C52" t="str">
            <v>قالب تعمیری</v>
          </cell>
          <cell r="O52" t="str">
            <v>Dowel pin</v>
          </cell>
          <cell r="AD52">
            <v>2</v>
          </cell>
        </row>
        <row r="53">
          <cell r="B53" t="str">
            <v>پخت کلاچ پراید</v>
          </cell>
          <cell r="C53" t="str">
            <v>قالب تعمیری</v>
          </cell>
          <cell r="O53" t="str">
            <v>Dowel pin</v>
          </cell>
          <cell r="AD53">
            <v>2</v>
          </cell>
        </row>
        <row r="54">
          <cell r="B54" t="str">
            <v>قالب اکسپرس</v>
          </cell>
          <cell r="C54" t="str">
            <v>قالب تعمیری</v>
          </cell>
          <cell r="O54" t="str">
            <v>Dowel pin</v>
          </cell>
          <cell r="AD54">
            <v>2.5</v>
          </cell>
        </row>
        <row r="55">
          <cell r="B55" t="str">
            <v>قالب ولوو سوپر</v>
          </cell>
          <cell r="C55" t="str">
            <v>قالب تعمیری</v>
          </cell>
          <cell r="O55" t="str">
            <v>mold</v>
          </cell>
          <cell r="AD55">
            <v>4</v>
          </cell>
        </row>
        <row r="56">
          <cell r="B56" t="str">
            <v>قالب پخت کلاچ پیکان</v>
          </cell>
          <cell r="C56" t="str">
            <v>قالب تعمیری</v>
          </cell>
          <cell r="O56" t="str">
            <v>top Plate</v>
          </cell>
          <cell r="AD56">
            <v>2.5</v>
          </cell>
        </row>
        <row r="57">
          <cell r="B57" t="str">
            <v>قالب پخت کلاچ پیکان</v>
          </cell>
          <cell r="C57" t="str">
            <v>قالب تعمیری</v>
          </cell>
          <cell r="O57" t="str">
            <v>mandrel</v>
          </cell>
          <cell r="AD57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484D-7142-4541-8DF4-2105AD9364CD}">
  <dimension ref="A1:M22"/>
  <sheetViews>
    <sheetView rightToLeft="1" tabSelected="1" view="pageLayout" zoomScaleNormal="100" workbookViewId="0">
      <selection activeCell="C3" sqref="C1:C1048576"/>
    </sheetView>
  </sheetViews>
  <sheetFormatPr defaultRowHeight="15" x14ac:dyDescent="0.25"/>
  <cols>
    <col min="1" max="1" width="2.85546875" bestFit="1" customWidth="1"/>
    <col min="2" max="2" width="14.42578125" customWidth="1"/>
    <col min="3" max="3" width="14.42578125" bestFit="1" customWidth="1"/>
    <col min="4" max="4" width="9.5703125" bestFit="1" customWidth="1"/>
    <col min="5" max="5" width="7.140625" bestFit="1" customWidth="1"/>
    <col min="6" max="6" width="10.42578125" customWidth="1"/>
    <col min="7" max="7" width="11.85546875" customWidth="1"/>
    <col min="8" max="8" width="11.28515625" customWidth="1"/>
    <col min="10" max="10" width="10.7109375" customWidth="1"/>
    <col min="12" max="12" width="10.5703125" customWidth="1"/>
  </cols>
  <sheetData>
    <row r="1" spans="1:13" ht="22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</row>
    <row r="2" spans="1:13" ht="15.75" thickBot="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>
        <v>1</v>
      </c>
    </row>
    <row r="3" spans="1:13" ht="36.75" thickBot="1" x14ac:dyDescent="0.3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</row>
    <row r="4" spans="1:13" ht="25.5" x14ac:dyDescent="0.25">
      <c r="A4" s="11">
        <v>1</v>
      </c>
      <c r="B4" s="12" t="s">
        <v>14</v>
      </c>
      <c r="C4" s="13" t="s">
        <v>15</v>
      </c>
      <c r="D4" s="14" t="s">
        <v>16</v>
      </c>
      <c r="E4" s="14">
        <v>19</v>
      </c>
      <c r="F4" s="15" t="s">
        <v>17</v>
      </c>
      <c r="G4" s="16" t="s">
        <v>18</v>
      </c>
      <c r="H4" s="16">
        <v>14046</v>
      </c>
      <c r="I4" s="17"/>
      <c r="J4" s="18" t="s">
        <v>19</v>
      </c>
      <c r="K4" s="19"/>
      <c r="L4" s="13">
        <f>SUMIFS([1]فروردین!$AD$2:$AD$57,[1]فروردین!$C$2:$C$57,"قطعه نو",[1]فروردین!$B$2:$B$57,C4,[1]فروردین!$O$2:$O$57,B4)</f>
        <v>8</v>
      </c>
      <c r="M4" s="20"/>
    </row>
    <row r="5" spans="1:13" ht="25.5" x14ac:dyDescent="0.25">
      <c r="A5" s="21">
        <v>2</v>
      </c>
      <c r="B5" s="22" t="s">
        <v>20</v>
      </c>
      <c r="C5" s="15" t="s">
        <v>21</v>
      </c>
      <c r="D5" s="16" t="s">
        <v>22</v>
      </c>
      <c r="E5" s="16">
        <v>24</v>
      </c>
      <c r="F5" s="16" t="s">
        <v>17</v>
      </c>
      <c r="G5" s="16" t="s">
        <v>18</v>
      </c>
      <c r="H5" s="16"/>
      <c r="I5" s="15"/>
      <c r="J5" s="18" t="s">
        <v>23</v>
      </c>
      <c r="K5" s="23"/>
      <c r="L5" s="15">
        <f>SUMIFS([1]فروردین!$AD$2:$AD$57,[1]فروردین!$C$2:$C$57,"قطعه نو",[1]فروردین!$B$2:$B$57,C5,[1]فروردین!$O$2:$O$57,B5)</f>
        <v>32</v>
      </c>
      <c r="M5" s="24"/>
    </row>
    <row r="6" spans="1:13" ht="30" x14ac:dyDescent="0.25">
      <c r="A6" s="21">
        <v>3</v>
      </c>
      <c r="B6" s="25" t="s">
        <v>24</v>
      </c>
      <c r="C6" s="15" t="s">
        <v>21</v>
      </c>
      <c r="D6" s="15" t="s">
        <v>22</v>
      </c>
      <c r="E6" s="15">
        <v>8</v>
      </c>
      <c r="F6" s="15" t="s">
        <v>17</v>
      </c>
      <c r="G6" s="26" t="s">
        <v>18</v>
      </c>
      <c r="H6" s="27" t="s">
        <v>25</v>
      </c>
      <c r="I6" s="17"/>
      <c r="J6" s="18" t="s">
        <v>23</v>
      </c>
      <c r="K6" s="23"/>
      <c r="L6" s="15">
        <f>SUMIFS([1]فروردین!$AD$2:$AD$57,[1]فروردین!$C$2:$C$57,"قطعه نو",[1]فروردین!$B$2:$B$57,C6,[1]فروردین!$O$2:$O$57,B6)</f>
        <v>4</v>
      </c>
      <c r="M6" s="24"/>
    </row>
    <row r="7" spans="1:13" x14ac:dyDescent="0.25">
      <c r="A7" s="21">
        <v>4</v>
      </c>
      <c r="B7" s="25"/>
      <c r="C7" s="15"/>
      <c r="D7" s="15"/>
      <c r="E7" s="15"/>
      <c r="F7" s="15"/>
      <c r="G7" s="15"/>
      <c r="H7" s="15"/>
      <c r="I7" s="15"/>
      <c r="J7" s="23"/>
      <c r="K7" s="23"/>
      <c r="L7" s="15">
        <f>SUMIFS([1]فروردین!$AD$2:$AD$57,[1]فروردین!$C$2:$C$57,"قطعه نو",[1]فروردین!$B$2:$B$57,C7,[1]فروردین!$O$2:$O$57,B7)</f>
        <v>0</v>
      </c>
      <c r="M7" s="24"/>
    </row>
    <row r="8" spans="1:13" x14ac:dyDescent="0.25">
      <c r="A8" s="21">
        <v>5</v>
      </c>
      <c r="B8" s="25"/>
      <c r="C8" s="15"/>
      <c r="D8" s="15"/>
      <c r="E8" s="15"/>
      <c r="F8" s="15"/>
      <c r="G8" s="15"/>
      <c r="H8" s="15"/>
      <c r="I8" s="15"/>
      <c r="J8" s="23"/>
      <c r="K8" s="23"/>
      <c r="L8" s="15">
        <f>SUMIFS([1]فروردین!$AD$2:$AD$57,[1]فروردین!$C$2:$C$57,"قطعه نو",[1]فروردین!$B$2:$B$57,C8,[1]فروردین!$O$2:$O$57,B8)</f>
        <v>0</v>
      </c>
      <c r="M8" s="24"/>
    </row>
    <row r="9" spans="1:13" x14ac:dyDescent="0.25">
      <c r="A9" s="21">
        <v>6</v>
      </c>
      <c r="B9" s="25"/>
      <c r="C9" s="15"/>
      <c r="D9" s="15"/>
      <c r="E9" s="15"/>
      <c r="F9" s="15"/>
      <c r="G9" s="15"/>
      <c r="H9" s="15"/>
      <c r="I9" s="17"/>
      <c r="J9" s="23"/>
      <c r="K9" s="23"/>
      <c r="L9" s="15">
        <f>SUMIFS([1]فروردین!$AD$2:$AD$57,[1]فروردین!$C$2:$C$57,"قطعه نو",[1]فروردین!$B$2:$B$57,C9,[1]فروردین!$O$2:$O$57,B9)</f>
        <v>0</v>
      </c>
      <c r="M9" s="24"/>
    </row>
    <row r="10" spans="1:13" x14ac:dyDescent="0.25">
      <c r="A10" s="21">
        <v>7</v>
      </c>
      <c r="B10" s="25"/>
      <c r="C10" s="15"/>
      <c r="D10" s="15"/>
      <c r="E10" s="15"/>
      <c r="F10" s="15"/>
      <c r="G10" s="15"/>
      <c r="H10" s="17"/>
      <c r="I10" s="17"/>
      <c r="J10" s="23"/>
      <c r="K10" s="23"/>
      <c r="L10" s="15">
        <f>SUMIFS([1]فروردین!$AD$2:$AD$57,[1]فروردین!$C$2:$C$57,"قطعه نو",[1]فروردین!$B$2:$B$57,C10,[1]فروردین!$O$2:$O$57,B10)</f>
        <v>0</v>
      </c>
      <c r="M10" s="24"/>
    </row>
    <row r="11" spans="1:13" x14ac:dyDescent="0.25">
      <c r="A11" s="21">
        <v>8</v>
      </c>
      <c r="B11" s="25"/>
      <c r="C11" s="15"/>
      <c r="D11" s="15"/>
      <c r="E11" s="15"/>
      <c r="F11" s="15"/>
      <c r="G11" s="15"/>
      <c r="H11" s="17"/>
      <c r="I11" s="17"/>
      <c r="J11" s="23"/>
      <c r="K11" s="23"/>
      <c r="L11" s="15">
        <f>SUMIFS([1]فروردین!$AD$2:$AD$57,[1]فروردین!$C$2:$C$57,"قطعه نو",[1]فروردین!$B$2:$B$57,C11,[1]فروردین!$O$2:$O$57,B11)</f>
        <v>0</v>
      </c>
      <c r="M11" s="24"/>
    </row>
    <row r="12" spans="1:13" x14ac:dyDescent="0.25">
      <c r="A12" s="21">
        <v>9</v>
      </c>
      <c r="B12" s="25"/>
      <c r="C12" s="15"/>
      <c r="D12" s="15"/>
      <c r="E12" s="15"/>
      <c r="F12" s="15"/>
      <c r="G12" s="15"/>
      <c r="H12" s="17"/>
      <c r="I12" s="17"/>
      <c r="J12" s="23"/>
      <c r="K12" s="23"/>
      <c r="L12" s="15"/>
      <c r="M12" s="24"/>
    </row>
    <row r="13" spans="1:13" x14ac:dyDescent="0.25">
      <c r="A13" s="21">
        <v>10</v>
      </c>
      <c r="B13" s="25"/>
      <c r="C13" s="15"/>
      <c r="D13" s="15"/>
      <c r="E13" s="15"/>
      <c r="F13" s="15"/>
      <c r="G13" s="15"/>
      <c r="H13" s="17"/>
      <c r="I13" s="17"/>
      <c r="J13" s="23"/>
      <c r="K13" s="23"/>
      <c r="L13" s="15"/>
      <c r="M13" s="24"/>
    </row>
    <row r="14" spans="1:13" x14ac:dyDescent="0.25">
      <c r="A14" s="21">
        <v>11</v>
      </c>
      <c r="B14" s="25"/>
      <c r="C14" s="15"/>
      <c r="D14" s="15"/>
      <c r="E14" s="15"/>
      <c r="F14" s="15"/>
      <c r="G14" s="15"/>
      <c r="H14" s="15"/>
      <c r="I14" s="17"/>
      <c r="J14" s="23"/>
      <c r="K14" s="23"/>
      <c r="L14" s="15"/>
      <c r="M14" s="24"/>
    </row>
    <row r="15" spans="1:13" x14ac:dyDescent="0.25">
      <c r="A15" s="21">
        <v>12</v>
      </c>
      <c r="B15" s="25"/>
      <c r="C15" s="15"/>
      <c r="D15" s="15"/>
      <c r="E15" s="15"/>
      <c r="F15" s="15"/>
      <c r="G15" s="15"/>
      <c r="H15" s="17"/>
      <c r="I15" s="17"/>
      <c r="J15" s="23"/>
      <c r="K15" s="23"/>
      <c r="L15" s="15"/>
      <c r="M15" s="24"/>
    </row>
    <row r="16" spans="1:13" x14ac:dyDescent="0.25">
      <c r="A16" s="21">
        <v>13</v>
      </c>
      <c r="B16" s="25"/>
      <c r="C16" s="15"/>
      <c r="D16" s="15"/>
      <c r="E16" s="15"/>
      <c r="F16" s="15"/>
      <c r="G16" s="15"/>
      <c r="H16" s="17"/>
      <c r="I16" s="17"/>
      <c r="J16" s="23"/>
      <c r="K16" s="23"/>
      <c r="L16" s="15"/>
      <c r="M16" s="24"/>
    </row>
    <row r="17" spans="1:13" x14ac:dyDescent="0.25">
      <c r="A17" s="21">
        <v>14</v>
      </c>
      <c r="B17" s="25"/>
      <c r="C17" s="15"/>
      <c r="D17" s="15"/>
      <c r="E17" s="15"/>
      <c r="F17" s="15"/>
      <c r="G17" s="15"/>
      <c r="H17" s="17"/>
      <c r="I17" s="17"/>
      <c r="J17" s="23"/>
      <c r="K17" s="23"/>
      <c r="L17" s="15"/>
      <c r="M17" s="24"/>
    </row>
    <row r="18" spans="1:13" x14ac:dyDescent="0.25">
      <c r="A18" s="21">
        <v>15</v>
      </c>
      <c r="B18" s="25"/>
      <c r="C18" s="15"/>
      <c r="D18" s="15"/>
      <c r="E18" s="15"/>
      <c r="F18" s="15"/>
      <c r="G18" s="15"/>
      <c r="H18" s="17"/>
      <c r="I18" s="17"/>
      <c r="J18" s="23"/>
      <c r="K18" s="23"/>
      <c r="L18" s="15"/>
      <c r="M18" s="24"/>
    </row>
    <row r="19" spans="1:13" x14ac:dyDescent="0.25">
      <c r="A19" s="21">
        <v>16</v>
      </c>
      <c r="B19" s="25"/>
      <c r="C19" s="15"/>
      <c r="D19" s="15"/>
      <c r="E19" s="15"/>
      <c r="F19" s="15"/>
      <c r="G19" s="15"/>
      <c r="H19" s="17"/>
      <c r="I19" s="17"/>
      <c r="J19" s="23"/>
      <c r="K19" s="23"/>
      <c r="L19" s="15"/>
      <c r="M19" s="24"/>
    </row>
    <row r="20" spans="1:13" ht="15.75" thickBot="1" x14ac:dyDescent="0.3">
      <c r="A20" s="28">
        <v>17</v>
      </c>
      <c r="B20" s="29"/>
      <c r="C20" s="30"/>
      <c r="D20" s="30"/>
      <c r="E20" s="30"/>
      <c r="F20" s="30"/>
      <c r="G20" s="30"/>
      <c r="H20" s="31"/>
      <c r="I20" s="31"/>
      <c r="J20" s="32"/>
      <c r="K20" s="32"/>
      <c r="L20" s="30"/>
      <c r="M20" s="33"/>
    </row>
    <row r="21" spans="1:13" x14ac:dyDescent="0.25">
      <c r="A21" s="34"/>
      <c r="B21" s="35" t="s">
        <v>26</v>
      </c>
      <c r="C21" s="36"/>
      <c r="D21" s="36"/>
      <c r="E21" s="36"/>
      <c r="F21" s="36"/>
      <c r="G21" s="36"/>
      <c r="H21" s="36"/>
      <c r="I21" s="36"/>
      <c r="J21" s="36"/>
      <c r="K21" s="36"/>
      <c r="L21" s="37">
        <f>SUM(L4:L20)</f>
        <v>44</v>
      </c>
      <c r="M21" s="38"/>
    </row>
    <row r="22" spans="1:13" ht="15.75" thickBot="1" x14ac:dyDescent="0.3">
      <c r="A22" s="39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  <c r="M22" s="43"/>
    </row>
  </sheetData>
  <mergeCells count="3">
    <mergeCell ref="A1:L2"/>
    <mergeCell ref="B21:B22"/>
    <mergeCell ref="L21:L22"/>
  </mergeCells>
  <printOptions horizontalCentered="1" verticalCentered="1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dcterms:created xsi:type="dcterms:W3CDTF">2026-05-10T09:19:59Z</dcterms:created>
  <dcterms:modified xsi:type="dcterms:W3CDTF">2026-05-10T09:21:48Z</dcterms:modified>
</cp:coreProperties>
</file>