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TK-Files\قالب سازی\1405\گزارش هفتگی\"/>
    </mc:Choice>
  </mc:AlternateContent>
  <xr:revisionPtr revIDLastSave="0" documentId="13_ncr:1_{2AE646E6-CD9F-4AEE-B525-BCFDD4E04677}" xr6:coauthVersionLast="47" xr6:coauthVersionMax="47" xr10:uidLastSave="{00000000-0000-0000-0000-000000000000}"/>
  <bookViews>
    <workbookView xWindow="-120" yWindow="-120" windowWidth="24240" windowHeight="13020" xr2:uid="{B38E22F0-3F1D-4C8F-9FF4-99F67BB47E0E}"/>
  </bookViews>
  <sheets>
    <sheet name="01" sheetId="1" r:id="rId1"/>
    <sheet name="02" sheetId="2" r:id="rId2"/>
    <sheet name="03" sheetId="3" r:id="rId3"/>
    <sheet name="04" sheetId="5" r:id="rId4"/>
    <sheet name="05" sheetId="6" r:id="rId5"/>
    <sheet name="06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2" i="7" l="1"/>
  <c r="M24" i="7"/>
  <c r="N16" i="7" s="1"/>
  <c r="N13" i="7" l="1"/>
  <c r="N14" i="7"/>
  <c r="N11" i="7"/>
  <c r="N15" i="7"/>
  <c r="N12" i="7"/>
  <c r="M32" i="6"/>
  <c r="M24" i="6"/>
  <c r="N23" i="6" s="1"/>
  <c r="N20" i="6"/>
  <c r="M32" i="5"/>
  <c r="M24" i="5"/>
  <c r="N22" i="5" s="1"/>
  <c r="N17" i="7" l="1"/>
  <c r="N18" i="6"/>
  <c r="N19" i="6"/>
  <c r="N21" i="6"/>
  <c r="N22" i="6"/>
  <c r="N23" i="5"/>
  <c r="N19" i="5"/>
  <c r="N20" i="5"/>
  <c r="N21" i="5"/>
  <c r="N18" i="5"/>
  <c r="N24" i="6" l="1"/>
  <c r="N24" i="5"/>
  <c r="M32" i="3" l="1"/>
  <c r="M24" i="3"/>
  <c r="N21" i="3" s="1"/>
  <c r="N23" i="3"/>
  <c r="N18" i="3"/>
  <c r="M32" i="2"/>
  <c r="M24" i="2"/>
  <c r="N21" i="2" s="1"/>
  <c r="M32" i="1"/>
  <c r="M24" i="1"/>
  <c r="N22" i="1" s="1"/>
  <c r="N18" i="2" l="1"/>
  <c r="N19" i="2"/>
  <c r="N22" i="2"/>
  <c r="N23" i="2"/>
  <c r="N19" i="3"/>
  <c r="N20" i="3"/>
  <c r="N22" i="3"/>
  <c r="N20" i="2"/>
  <c r="N19" i="1"/>
  <c r="N23" i="1"/>
  <c r="N20" i="1"/>
  <c r="N21" i="1"/>
  <c r="N18" i="1"/>
  <c r="N24" i="2" l="1"/>
  <c r="N24" i="3"/>
  <c r="N24" i="1"/>
</calcChain>
</file>

<file path=xl/sharedStrings.xml><?xml version="1.0" encoding="utf-8"?>
<sst xmlns="http://schemas.openxmlformats.org/spreadsheetml/2006/main" count="137" uniqueCount="27">
  <si>
    <r>
      <rPr>
        <sz val="20"/>
        <color theme="1"/>
        <rFont val="Calibri"/>
        <family val="2"/>
        <scheme val="minor"/>
      </rPr>
      <t>گزارش درخواست های هفتگی
واحد قالب سازی</t>
    </r>
    <r>
      <rPr>
        <sz val="11"/>
        <color theme="1"/>
        <rFont val="Calibri"/>
        <family val="2"/>
        <scheme val="minor"/>
      </rPr>
      <t xml:space="preserve">
شرکت جهان ترمز   شماره 45  .   هفته 45</t>
    </r>
  </si>
  <si>
    <t>ساخت دستگاه</t>
  </si>
  <si>
    <t>ساخت قالب</t>
  </si>
  <si>
    <t>ساخت قطعه</t>
  </si>
  <si>
    <t>تعمیر دستگاه</t>
  </si>
  <si>
    <t>تعمیر قالب</t>
  </si>
  <si>
    <t>تعمیر قطعه</t>
  </si>
  <si>
    <t>توزیع تعداد درخواست</t>
  </si>
  <si>
    <t>توزیع ساعات کار</t>
  </si>
  <si>
    <t>F</t>
  </si>
  <si>
    <t>e</t>
  </si>
  <si>
    <t>@</t>
  </si>
  <si>
    <r>
      <rPr>
        <b/>
        <sz val="11"/>
        <color theme="1"/>
        <rFont val="B Nazanin"/>
        <charset val="178"/>
      </rPr>
      <t>6</t>
    </r>
    <r>
      <rPr>
        <sz val="11"/>
        <color theme="1"/>
        <rFont val="B Nazanin"/>
        <charset val="178"/>
      </rPr>
      <t xml:space="preserve"> دستگاه خراب(CNC ، وایر ، سنگ)</t>
    </r>
  </si>
  <si>
    <r>
      <rPr>
        <b/>
        <sz val="11"/>
        <color theme="1"/>
        <rFont val="B Nazanin"/>
        <charset val="178"/>
      </rPr>
      <t>64</t>
    </r>
    <r>
      <rPr>
        <sz val="11"/>
        <color theme="1"/>
        <rFont val="B Nazanin"/>
        <charset val="178"/>
      </rPr>
      <t xml:space="preserve"> طزح تکمیل شده</t>
    </r>
  </si>
  <si>
    <r>
      <rPr>
        <b/>
        <sz val="11"/>
        <color theme="1"/>
        <rFont val="B Nazanin"/>
        <charset val="178"/>
      </rPr>
      <t>6</t>
    </r>
    <r>
      <rPr>
        <sz val="11"/>
        <color theme="1"/>
        <rFont val="B Nazanin"/>
        <charset val="178"/>
      </rPr>
      <t xml:space="preserve"> پروژه جدید ( پیشرفت 50-100%)</t>
    </r>
  </si>
  <si>
    <r>
      <rPr>
        <b/>
        <sz val="11"/>
        <color theme="1"/>
        <rFont val="B Nazanin"/>
        <charset val="178"/>
      </rPr>
      <t>48</t>
    </r>
    <r>
      <rPr>
        <sz val="11"/>
        <color theme="1"/>
        <rFont val="B Nazanin"/>
        <charset val="178"/>
      </rPr>
      <t xml:space="preserve"> قالب ساخته شده در 1404</t>
    </r>
  </si>
  <si>
    <t>92 قطعه ساخت /تعمیر(هفته)</t>
  </si>
  <si>
    <r>
      <rPr>
        <b/>
        <sz val="11"/>
        <color theme="1"/>
        <rFont val="B Nazanin"/>
        <charset val="178"/>
      </rPr>
      <t>50</t>
    </r>
    <r>
      <rPr>
        <sz val="11"/>
        <color theme="1"/>
        <rFont val="B Nazanin"/>
        <charset val="178"/>
      </rPr>
      <t xml:space="preserve"> طرح تکمیل شده</t>
    </r>
  </si>
  <si>
    <r>
      <rPr>
        <b/>
        <sz val="11"/>
        <color theme="1"/>
        <rFont val="B Nazanin"/>
        <charset val="178"/>
      </rPr>
      <t>30</t>
    </r>
    <r>
      <rPr>
        <sz val="11"/>
        <color theme="1"/>
        <rFont val="B Nazanin"/>
        <charset val="178"/>
      </rPr>
      <t xml:space="preserve"> طرح تکمیل شده</t>
    </r>
  </si>
  <si>
    <r>
      <rPr>
        <b/>
        <sz val="11"/>
        <color theme="1"/>
        <rFont val="B Nazanin"/>
        <charset val="178"/>
      </rPr>
      <t>27</t>
    </r>
    <r>
      <rPr>
        <sz val="11"/>
        <color theme="1"/>
        <rFont val="B Nazanin"/>
        <charset val="178"/>
      </rPr>
      <t xml:space="preserve"> طرح تکمیل شده</t>
    </r>
  </si>
  <si>
    <t>95 قطعه ساخت /تعمیر(هفته)</t>
  </si>
  <si>
    <t>136 قطعه ساخت /تعمیر(هفته)</t>
  </si>
  <si>
    <r>
      <rPr>
        <b/>
        <sz val="11"/>
        <color theme="1"/>
        <rFont val="B Nazanin"/>
        <charset val="178"/>
      </rPr>
      <t>4</t>
    </r>
    <r>
      <rPr>
        <sz val="11"/>
        <color theme="1"/>
        <rFont val="B Nazanin"/>
        <charset val="178"/>
      </rPr>
      <t xml:space="preserve"> دستگاه خراب(CNC ، وایر ، سنگ)</t>
    </r>
  </si>
  <si>
    <r>
      <rPr>
        <b/>
        <sz val="11"/>
        <color theme="1"/>
        <rFont val="B Nazanin"/>
        <charset val="178"/>
      </rPr>
      <t>54</t>
    </r>
    <r>
      <rPr>
        <sz val="11"/>
        <color theme="1"/>
        <rFont val="B Nazanin"/>
        <charset val="178"/>
      </rPr>
      <t xml:space="preserve"> قطعه ساخت /تعمیر(هفته)</t>
    </r>
  </si>
  <si>
    <r>
      <rPr>
        <b/>
        <sz val="11"/>
        <color theme="1"/>
        <rFont val="B Nazanin"/>
        <charset val="178"/>
      </rPr>
      <t>21</t>
    </r>
    <r>
      <rPr>
        <sz val="11"/>
        <color theme="1"/>
        <rFont val="B Nazanin"/>
        <charset val="178"/>
      </rPr>
      <t xml:space="preserve"> طزح تکمیل شده</t>
    </r>
  </si>
  <si>
    <r>
      <rPr>
        <b/>
        <sz val="11"/>
        <color theme="1"/>
        <rFont val="B Nazanin"/>
        <charset val="178"/>
      </rPr>
      <t>53</t>
    </r>
    <r>
      <rPr>
        <sz val="11"/>
        <color theme="1"/>
        <rFont val="B Nazanin"/>
        <charset val="178"/>
      </rPr>
      <t xml:space="preserve"> قطعه ساخت /تعمیر(هفته)</t>
    </r>
  </si>
  <si>
    <t>0 قالب ساخته شده 1405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</si>
</sst>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B Nazanin"/>
      <charset val="178"/>
    </font>
    <font>
      <sz val="24"/>
      <color theme="1"/>
      <name val="Webdings"/>
      <family val="1"/>
      <charset val="2"/>
    </font>
    <font>
      <sz val="24"/>
      <color theme="1"/>
      <name val="B Nazanin"/>
      <charset val="178"/>
    </font>
    <font>
      <sz val="26"/>
      <color theme="1"/>
      <name val="Webdings"/>
      <family val="1"/>
      <charset val="2"/>
    </font>
    <font>
      <sz val="26"/>
      <color theme="1"/>
      <name val="B Nazanin"/>
      <charset val="178"/>
    </font>
    <font>
      <b/>
      <sz val="11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9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0" xfId="0" applyFont="1" applyBorder="1" applyAlignment="1">
      <alignment readingOrder="2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" fillId="0" borderId="4" xfId="0" applyFont="1" applyBorder="1" applyAlignment="1">
      <alignment horizontal="center" vertical="center" readingOrder="2"/>
    </xf>
    <xf numFmtId="0" fontId="6" fillId="0" borderId="4" xfId="0" applyFont="1" applyBorder="1" applyAlignment="1">
      <alignment horizontal="center" vertical="center" readingOrder="2"/>
    </xf>
    <xf numFmtId="0" fontId="2" fillId="0" borderId="0" xfId="0" applyFont="1" applyBorder="1" applyAlignment="1">
      <alignment horizontal="center" vertical="center" readingOrder="2"/>
    </xf>
    <xf numFmtId="0" fontId="2" fillId="0" borderId="0" xfId="0" applyFont="1" applyBorder="1" applyAlignment="1">
      <alignment horizontal="center" readingOrder="2"/>
    </xf>
    <xf numFmtId="0" fontId="2" fillId="0" borderId="5" xfId="0" applyFont="1" applyBorder="1" applyAlignment="1">
      <alignment horizontal="center" vertical="center" readingOrder="2"/>
    </xf>
    <xf numFmtId="0" fontId="3" fillId="0" borderId="4" xfId="0" applyFont="1" applyBorder="1" applyAlignment="1">
      <alignment horizontal="center" vertical="center" readingOrder="2"/>
    </xf>
    <xf numFmtId="0" fontId="4" fillId="0" borderId="4" xfId="0" applyFont="1" applyBorder="1" applyAlignment="1">
      <alignment horizontal="center" vertical="center" readingOrder="2"/>
    </xf>
    <xf numFmtId="0" fontId="3" fillId="0" borderId="0" xfId="0" applyFont="1" applyBorder="1" applyAlignment="1">
      <alignment horizontal="left" vertical="center" readingOrder="2"/>
    </xf>
    <xf numFmtId="0" fontId="0" fillId="2" borderId="0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66CC"/>
      <color rgb="FF0066CC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243076609883597"/>
          <c:y val="0.16153142315543889"/>
          <c:w val="0.41207261834652942"/>
          <c:h val="0.51652158063575382"/>
        </c:manualLayout>
      </c:layout>
      <c:pieChart>
        <c:varyColors val="1"/>
        <c:ser>
          <c:idx val="0"/>
          <c:order val="0"/>
          <c:tx>
            <c:strRef>
              <c:f>'01'!$L$17</c:f>
              <c:strCache>
                <c:ptCount val="1"/>
                <c:pt idx="0">
                  <c:v>توزیع تعداد درخواست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4A5-49DB-A21B-982226F90A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A4A5-49DB-A21B-982226F90A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A08-43AA-B263-FDA49B465F4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A4A5-49DB-A21B-982226F90A5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A08-43AA-B263-FDA49B465F4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A08-43AA-B263-FDA49B465F47}"/>
              </c:ext>
            </c:extLst>
          </c:dPt>
          <c:dLbls>
            <c:dLbl>
              <c:idx val="0"/>
              <c:layout>
                <c:manualLayout>
                  <c:x val="-6.6955954623948877E-2"/>
                  <c:y val="-1.9641358475469164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4A5-49DB-A21B-982226F90A56}"/>
                </c:ext>
              </c:extLst>
            </c:dLbl>
            <c:dLbl>
              <c:idx val="1"/>
              <c:layout>
                <c:manualLayout>
                  <c:x val="1.3964814338480458E-2"/>
                  <c:y val="-5.0444984000323134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4A5-49DB-A21B-982226F90A56}"/>
                </c:ext>
              </c:extLst>
            </c:dLbl>
            <c:dLbl>
              <c:idx val="3"/>
              <c:layout>
                <c:manualLayout>
                  <c:x val="8.2068296555641348E-3"/>
                  <c:y val="1.7315543890346191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4A5-49DB-A21B-982226F90A5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'01'!$L$18:$L$23</c:f>
              <c:strCache>
                <c:ptCount val="6"/>
                <c:pt idx="0">
                  <c:v>ساخت دستگاه</c:v>
                </c:pt>
                <c:pt idx="1">
                  <c:v>ساخت قالب</c:v>
                </c:pt>
                <c:pt idx="2">
                  <c:v>ساخت قطعه</c:v>
                </c:pt>
                <c:pt idx="3">
                  <c:v>تعمیر دستگاه</c:v>
                </c:pt>
                <c:pt idx="4">
                  <c:v>تعمیر قالب</c:v>
                </c:pt>
                <c:pt idx="5">
                  <c:v>تعمیر قطعه</c:v>
                </c:pt>
              </c:strCache>
            </c:strRef>
          </c:cat>
          <c:val>
            <c:numRef>
              <c:f>'01'!$M$18:$M$23</c:f>
              <c:numCache>
                <c:formatCode>General</c:formatCode>
                <c:ptCount val="6"/>
                <c:pt idx="0">
                  <c:v>0</c:v>
                </c:pt>
                <c:pt idx="1">
                  <c:v>3</c:v>
                </c:pt>
                <c:pt idx="2">
                  <c:v>51</c:v>
                </c:pt>
                <c:pt idx="3">
                  <c:v>3</c:v>
                </c:pt>
                <c:pt idx="4">
                  <c:v>17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A5-49DB-A21B-982226F90A5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8569303764340405E-2"/>
          <c:y val="0.72569335083114617"/>
          <c:w val="0.89517647179845883"/>
          <c:h val="0.246528871391076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'01'!$L$25</c:f>
              <c:strCache>
                <c:ptCount val="1"/>
                <c:pt idx="0">
                  <c:v>توزیع ساعات کار</c:v>
                </c:pt>
              </c:strCache>
            </c:strRef>
          </c:tx>
          <c:spPr>
            <a:effectLst>
              <a:glow rad="88900">
                <a:schemeClr val="bg1">
                  <a:lumMod val="50000"/>
                </a:schemeClr>
              </a:glow>
              <a:outerShdw blurRad="520700" dist="876300" dir="8400000" sx="101000" sy="101000" algn="ctr" rotWithShape="0">
                <a:srgbClr val="000000">
                  <a:alpha val="8000"/>
                </a:srgbClr>
              </a:outerShdw>
            </a:effectLst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glow rad="88900">
                  <a:schemeClr val="bg1">
                    <a:lumMod val="50000"/>
                  </a:schemeClr>
                </a:glow>
                <a:outerShdw blurRad="520700" dist="876300" dir="8400000" sx="101000" sy="101000" algn="ctr" rotWithShape="0">
                  <a:srgbClr val="000000">
                    <a:alpha val="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C87-4562-A86B-DA922699F64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glow rad="88900">
                  <a:schemeClr val="bg1">
                    <a:lumMod val="50000"/>
                  </a:schemeClr>
                </a:glow>
                <a:outerShdw blurRad="520700" dist="876300" dir="8400000" sx="101000" sy="101000" algn="ctr" rotWithShape="0">
                  <a:srgbClr val="000000">
                    <a:alpha val="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7C87-4562-A86B-DA922699F64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glow rad="88900">
                  <a:schemeClr val="bg1">
                    <a:lumMod val="50000"/>
                  </a:schemeClr>
                </a:glow>
                <a:outerShdw blurRad="520700" dist="876300" dir="8400000" sx="101000" sy="101000" algn="ctr" rotWithShape="0">
                  <a:srgbClr val="000000">
                    <a:alpha val="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C87-4562-A86B-DA922699F64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glow rad="88900">
                  <a:schemeClr val="bg1">
                    <a:lumMod val="50000"/>
                  </a:schemeClr>
                </a:glow>
                <a:outerShdw blurRad="520700" dist="876300" dir="8400000" sx="101000" sy="101000" algn="ctr" rotWithShape="0">
                  <a:srgbClr val="000000">
                    <a:alpha val="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7B6-4F94-A8C4-54DA73001C1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glow rad="88900">
                  <a:schemeClr val="bg1">
                    <a:lumMod val="50000"/>
                  </a:schemeClr>
                </a:glow>
                <a:outerShdw blurRad="520700" dist="876300" dir="8400000" sx="101000" sy="101000" algn="ctr" rotWithShape="0">
                  <a:srgbClr val="000000">
                    <a:alpha val="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7B6-4F94-A8C4-54DA73001C1C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glow rad="88900">
                  <a:schemeClr val="bg1">
                    <a:lumMod val="50000"/>
                  </a:schemeClr>
                </a:glow>
                <a:outerShdw blurRad="520700" dist="876300" dir="8400000" sx="101000" sy="101000" algn="ctr" rotWithShape="0">
                  <a:srgbClr val="000000">
                    <a:alpha val="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7C87-4562-A86B-DA922699F64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'01'!$L$26:$L$31</c:f>
              <c:strCache>
                <c:ptCount val="6"/>
                <c:pt idx="0">
                  <c:v>ساخت دستگاه</c:v>
                </c:pt>
                <c:pt idx="1">
                  <c:v>ساخت قالب</c:v>
                </c:pt>
                <c:pt idx="2">
                  <c:v>ساخت قطعه</c:v>
                </c:pt>
                <c:pt idx="3">
                  <c:v>تعمیر دستگاه</c:v>
                </c:pt>
                <c:pt idx="4">
                  <c:v>تعمیر قالب</c:v>
                </c:pt>
                <c:pt idx="5">
                  <c:v>تعمیر قطعه</c:v>
                </c:pt>
              </c:strCache>
            </c:strRef>
          </c:cat>
          <c:val>
            <c:numRef>
              <c:f>'01'!$M$26:$M$31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44</c:v>
                </c:pt>
                <c:pt idx="3">
                  <c:v>0</c:v>
                </c:pt>
                <c:pt idx="4">
                  <c:v>153</c:v>
                </c:pt>
                <c:pt idx="5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87-4562-A86B-DA922699F646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829615678443655E-2"/>
          <c:y val="0.79134767224096125"/>
          <c:w val="0.97202538443501474"/>
          <c:h val="0.18422485075837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243076609883597"/>
          <c:y val="0.16153142315543889"/>
          <c:w val="0.41207261834652942"/>
          <c:h val="0.51652158063575382"/>
        </c:manualLayout>
      </c:layout>
      <c:pieChart>
        <c:varyColors val="1"/>
        <c:ser>
          <c:idx val="0"/>
          <c:order val="0"/>
          <c:tx>
            <c:strRef>
              <c:f>'02'!$L$17</c:f>
              <c:strCache>
                <c:ptCount val="1"/>
                <c:pt idx="0">
                  <c:v>توزیع تعداد درخواست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B97-4C49-87B1-A9AEB0E649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B97-4C49-87B1-A9AEB0E6497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B97-4C49-87B1-A9AEB0E6497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B97-4C49-87B1-A9AEB0E6497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B97-4C49-87B1-A9AEB0E6497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B97-4C49-87B1-A9AEB0E64975}"/>
              </c:ext>
            </c:extLst>
          </c:dPt>
          <c:dLbls>
            <c:dLbl>
              <c:idx val="0"/>
              <c:layout>
                <c:manualLayout>
                  <c:x val="-6.6955954623948877E-2"/>
                  <c:y val="-1.9641358475469164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B97-4C49-87B1-A9AEB0E64975}"/>
                </c:ext>
              </c:extLst>
            </c:dLbl>
            <c:dLbl>
              <c:idx val="1"/>
              <c:layout>
                <c:manualLayout>
                  <c:x val="1.3964814338480458E-2"/>
                  <c:y val="-5.0444984000323134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B97-4C49-87B1-A9AEB0E64975}"/>
                </c:ext>
              </c:extLst>
            </c:dLbl>
            <c:dLbl>
              <c:idx val="3"/>
              <c:layout>
                <c:manualLayout>
                  <c:x val="8.2068296555641348E-3"/>
                  <c:y val="1.7315543890346191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B97-4C49-87B1-A9AEB0E6497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'02'!$L$18:$L$23</c:f>
              <c:strCache>
                <c:ptCount val="6"/>
                <c:pt idx="0">
                  <c:v>ساخت دستگاه</c:v>
                </c:pt>
                <c:pt idx="1">
                  <c:v>ساخت قالب</c:v>
                </c:pt>
                <c:pt idx="2">
                  <c:v>ساخت قطعه</c:v>
                </c:pt>
                <c:pt idx="3">
                  <c:v>تعمیر دستگاه</c:v>
                </c:pt>
                <c:pt idx="4">
                  <c:v>تعمیر قالب</c:v>
                </c:pt>
                <c:pt idx="5">
                  <c:v>تعمیر قطعه</c:v>
                </c:pt>
              </c:strCache>
            </c:strRef>
          </c:cat>
          <c:val>
            <c:numRef>
              <c:f>'02'!$M$18:$M$23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51</c:v>
                </c:pt>
                <c:pt idx="3">
                  <c:v>2</c:v>
                </c:pt>
                <c:pt idx="4">
                  <c:v>20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B97-4C49-87B1-A9AEB0E6497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8569303764340405E-2"/>
          <c:y val="0.72569335083114617"/>
          <c:w val="0.89517647179845883"/>
          <c:h val="0.246528871391076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'02'!$L$25</c:f>
              <c:strCache>
                <c:ptCount val="1"/>
                <c:pt idx="0">
                  <c:v>توزیع ساعات کار</c:v>
                </c:pt>
              </c:strCache>
            </c:strRef>
          </c:tx>
          <c:spPr>
            <a:effectLst>
              <a:glow rad="88900">
                <a:schemeClr val="bg1">
                  <a:lumMod val="50000"/>
                </a:schemeClr>
              </a:glow>
              <a:outerShdw blurRad="520700" dist="876300" dir="8400000" sx="101000" sy="101000" algn="ctr" rotWithShape="0">
                <a:srgbClr val="000000">
                  <a:alpha val="8000"/>
                </a:srgbClr>
              </a:outerShdw>
            </a:effectLst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glow rad="88900">
                  <a:schemeClr val="bg1">
                    <a:lumMod val="50000"/>
                  </a:schemeClr>
                </a:glow>
                <a:outerShdw blurRad="520700" dist="876300" dir="8400000" sx="101000" sy="101000" algn="ctr" rotWithShape="0">
                  <a:srgbClr val="000000">
                    <a:alpha val="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956-4950-834D-319DCCFB69A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glow rad="88900">
                  <a:schemeClr val="bg1">
                    <a:lumMod val="50000"/>
                  </a:schemeClr>
                </a:glow>
                <a:outerShdw blurRad="520700" dist="876300" dir="8400000" sx="101000" sy="101000" algn="ctr" rotWithShape="0">
                  <a:srgbClr val="000000">
                    <a:alpha val="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956-4950-834D-319DCCFB69A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glow rad="88900">
                  <a:schemeClr val="bg1">
                    <a:lumMod val="50000"/>
                  </a:schemeClr>
                </a:glow>
                <a:outerShdw blurRad="520700" dist="876300" dir="8400000" sx="101000" sy="101000" algn="ctr" rotWithShape="0">
                  <a:srgbClr val="000000">
                    <a:alpha val="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956-4950-834D-319DCCFB69A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glow rad="88900">
                  <a:schemeClr val="bg1">
                    <a:lumMod val="50000"/>
                  </a:schemeClr>
                </a:glow>
                <a:outerShdw blurRad="520700" dist="876300" dir="8400000" sx="101000" sy="101000" algn="ctr" rotWithShape="0">
                  <a:srgbClr val="000000">
                    <a:alpha val="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956-4950-834D-319DCCFB69A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glow rad="88900">
                  <a:schemeClr val="bg1">
                    <a:lumMod val="50000"/>
                  </a:schemeClr>
                </a:glow>
                <a:outerShdw blurRad="520700" dist="876300" dir="8400000" sx="101000" sy="101000" algn="ctr" rotWithShape="0">
                  <a:srgbClr val="000000">
                    <a:alpha val="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956-4950-834D-319DCCFB69A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glow rad="88900">
                  <a:schemeClr val="bg1">
                    <a:lumMod val="50000"/>
                  </a:schemeClr>
                </a:glow>
                <a:outerShdw blurRad="520700" dist="876300" dir="8400000" sx="101000" sy="101000" algn="ctr" rotWithShape="0">
                  <a:srgbClr val="000000">
                    <a:alpha val="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956-4950-834D-319DCCFB69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'02'!$L$26:$L$31</c:f>
              <c:strCache>
                <c:ptCount val="6"/>
                <c:pt idx="0">
                  <c:v>ساخت دستگاه</c:v>
                </c:pt>
                <c:pt idx="1">
                  <c:v>ساخت قالب</c:v>
                </c:pt>
                <c:pt idx="2">
                  <c:v>ساخت قطعه</c:v>
                </c:pt>
                <c:pt idx="3">
                  <c:v>تعمیر دستگاه</c:v>
                </c:pt>
                <c:pt idx="4">
                  <c:v>تعمیر قالب</c:v>
                </c:pt>
                <c:pt idx="5">
                  <c:v>تعمیر قطعه</c:v>
                </c:pt>
              </c:strCache>
            </c:strRef>
          </c:cat>
          <c:val>
            <c:numRef>
              <c:f>'02'!$M$26:$M$31</c:f>
              <c:numCache>
                <c:formatCode>General</c:formatCode>
                <c:ptCount val="6"/>
                <c:pt idx="0">
                  <c:v>35</c:v>
                </c:pt>
                <c:pt idx="1">
                  <c:v>0</c:v>
                </c:pt>
                <c:pt idx="2">
                  <c:v>214</c:v>
                </c:pt>
                <c:pt idx="3">
                  <c:v>3</c:v>
                </c:pt>
                <c:pt idx="4">
                  <c:v>278</c:v>
                </c:pt>
                <c:pt idx="5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956-4950-834D-319DCCFB69A4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829615678443655E-2"/>
          <c:y val="0.79134767224096125"/>
          <c:w val="0.97202538443501474"/>
          <c:h val="0.18422485075837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243076609883597"/>
          <c:y val="0.16153142315543889"/>
          <c:w val="0.41207261834652942"/>
          <c:h val="0.51652158063575382"/>
        </c:manualLayout>
      </c:layout>
      <c:pieChart>
        <c:varyColors val="1"/>
        <c:ser>
          <c:idx val="0"/>
          <c:order val="0"/>
          <c:tx>
            <c:strRef>
              <c:f>'03'!$L$17</c:f>
              <c:strCache>
                <c:ptCount val="1"/>
                <c:pt idx="0">
                  <c:v>توزیع تعداد درخواست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254-4F03-AF4A-BC96157862D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254-4F03-AF4A-BC96157862D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254-4F03-AF4A-BC96157862D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254-4F03-AF4A-BC96157862D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254-4F03-AF4A-BC96157862D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254-4F03-AF4A-BC96157862DF}"/>
              </c:ext>
            </c:extLst>
          </c:dPt>
          <c:dLbls>
            <c:dLbl>
              <c:idx val="0"/>
              <c:layout>
                <c:manualLayout>
                  <c:x val="-6.6955954623948877E-2"/>
                  <c:y val="-1.9641358475469164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54-4F03-AF4A-BC96157862DF}"/>
                </c:ext>
              </c:extLst>
            </c:dLbl>
            <c:dLbl>
              <c:idx val="1"/>
              <c:layout>
                <c:manualLayout>
                  <c:x val="1.3964814338480458E-2"/>
                  <c:y val="-5.0444984000323134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254-4F03-AF4A-BC96157862DF}"/>
                </c:ext>
              </c:extLst>
            </c:dLbl>
            <c:dLbl>
              <c:idx val="3"/>
              <c:layout>
                <c:manualLayout>
                  <c:x val="8.2068296555641348E-3"/>
                  <c:y val="1.7315543890346191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254-4F03-AF4A-BC96157862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'03'!$L$18:$L$23</c:f>
              <c:strCache>
                <c:ptCount val="6"/>
                <c:pt idx="0">
                  <c:v>ساخت دستگاه</c:v>
                </c:pt>
                <c:pt idx="1">
                  <c:v>ساخت قالب</c:v>
                </c:pt>
                <c:pt idx="2">
                  <c:v>ساخت قطعه</c:v>
                </c:pt>
                <c:pt idx="3">
                  <c:v>تعمیر دستگاه</c:v>
                </c:pt>
                <c:pt idx="4">
                  <c:v>تعمیر قالب</c:v>
                </c:pt>
                <c:pt idx="5">
                  <c:v>تعمیر قطعه</c:v>
                </c:pt>
              </c:strCache>
            </c:strRef>
          </c:cat>
          <c:val>
            <c:numRef>
              <c:f>'03'!$M$18:$M$23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73</c:v>
                </c:pt>
                <c:pt idx="3">
                  <c:v>2</c:v>
                </c:pt>
                <c:pt idx="4">
                  <c:v>14</c:v>
                </c:pt>
                <c:pt idx="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254-4F03-AF4A-BC96157862D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8569303764340405E-2"/>
          <c:y val="0.72569335083114617"/>
          <c:w val="0.89517647179845883"/>
          <c:h val="0.246528871391076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'03'!$L$25</c:f>
              <c:strCache>
                <c:ptCount val="1"/>
                <c:pt idx="0">
                  <c:v>توزیع ساعات کار</c:v>
                </c:pt>
              </c:strCache>
            </c:strRef>
          </c:tx>
          <c:spPr>
            <a:effectLst>
              <a:glow rad="88900">
                <a:schemeClr val="bg1">
                  <a:lumMod val="50000"/>
                </a:schemeClr>
              </a:glow>
              <a:outerShdw blurRad="520700" dist="876300" dir="8400000" sx="101000" sy="101000" algn="ctr" rotWithShape="0">
                <a:srgbClr val="000000">
                  <a:alpha val="8000"/>
                </a:srgbClr>
              </a:outerShdw>
            </a:effectLst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glow rad="88900">
                  <a:schemeClr val="bg1">
                    <a:lumMod val="50000"/>
                  </a:schemeClr>
                </a:glow>
                <a:outerShdw blurRad="520700" dist="876300" dir="8400000" sx="101000" sy="101000" algn="ctr" rotWithShape="0">
                  <a:srgbClr val="000000">
                    <a:alpha val="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C8C-4994-A7DA-E7DAE84BEC4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glow rad="88900">
                  <a:schemeClr val="bg1">
                    <a:lumMod val="50000"/>
                  </a:schemeClr>
                </a:glow>
                <a:outerShdw blurRad="520700" dist="876300" dir="8400000" sx="101000" sy="101000" algn="ctr" rotWithShape="0">
                  <a:srgbClr val="000000">
                    <a:alpha val="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C8C-4994-A7DA-E7DAE84BEC4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glow rad="88900">
                  <a:schemeClr val="bg1">
                    <a:lumMod val="50000"/>
                  </a:schemeClr>
                </a:glow>
                <a:outerShdw blurRad="520700" dist="876300" dir="8400000" sx="101000" sy="101000" algn="ctr" rotWithShape="0">
                  <a:srgbClr val="000000">
                    <a:alpha val="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C8C-4994-A7DA-E7DAE84BEC4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glow rad="88900">
                  <a:schemeClr val="bg1">
                    <a:lumMod val="50000"/>
                  </a:schemeClr>
                </a:glow>
                <a:outerShdw blurRad="520700" dist="876300" dir="8400000" sx="101000" sy="101000" algn="ctr" rotWithShape="0">
                  <a:srgbClr val="000000">
                    <a:alpha val="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C8C-4994-A7DA-E7DAE84BEC4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glow rad="88900">
                  <a:schemeClr val="bg1">
                    <a:lumMod val="50000"/>
                  </a:schemeClr>
                </a:glow>
                <a:outerShdw blurRad="520700" dist="876300" dir="8400000" sx="101000" sy="101000" algn="ctr" rotWithShape="0">
                  <a:srgbClr val="000000">
                    <a:alpha val="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C8C-4994-A7DA-E7DAE84BEC4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glow rad="88900">
                  <a:schemeClr val="bg1">
                    <a:lumMod val="50000"/>
                  </a:schemeClr>
                </a:glow>
                <a:outerShdw blurRad="520700" dist="876300" dir="8400000" sx="101000" sy="101000" algn="ctr" rotWithShape="0">
                  <a:srgbClr val="000000">
                    <a:alpha val="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C8C-4994-A7DA-E7DAE84BEC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'03'!$L$26:$L$31</c:f>
              <c:strCache>
                <c:ptCount val="6"/>
                <c:pt idx="0">
                  <c:v>ساخت دستگاه</c:v>
                </c:pt>
                <c:pt idx="1">
                  <c:v>ساخت قالب</c:v>
                </c:pt>
                <c:pt idx="2">
                  <c:v>ساخت قطعه</c:v>
                </c:pt>
                <c:pt idx="3">
                  <c:v>تعمیر دستگاه</c:v>
                </c:pt>
                <c:pt idx="4">
                  <c:v>تعمیر قالب</c:v>
                </c:pt>
                <c:pt idx="5">
                  <c:v>تعمیر قطعه</c:v>
                </c:pt>
              </c:strCache>
            </c:strRef>
          </c:cat>
          <c:val>
            <c:numRef>
              <c:f>'03'!$M$26:$M$31</c:f>
              <c:numCache>
                <c:formatCode>General</c:formatCode>
                <c:ptCount val="6"/>
                <c:pt idx="0">
                  <c:v>61</c:v>
                </c:pt>
                <c:pt idx="1">
                  <c:v>66</c:v>
                </c:pt>
                <c:pt idx="2">
                  <c:v>275</c:v>
                </c:pt>
                <c:pt idx="3">
                  <c:v>3</c:v>
                </c:pt>
                <c:pt idx="4">
                  <c:v>219</c:v>
                </c:pt>
                <c:pt idx="5">
                  <c:v>43.3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C8C-4994-A7DA-E7DAE84BEC44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829615678443655E-2"/>
          <c:y val="0.79134767224096125"/>
          <c:w val="0.97202538443501474"/>
          <c:h val="0.18422485075837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243076609883597"/>
          <c:y val="0.16153142315543889"/>
          <c:w val="0.41207261834652942"/>
          <c:h val="0.51652158063575382"/>
        </c:manualLayout>
      </c:layout>
      <c:pieChart>
        <c:varyColors val="1"/>
        <c:ser>
          <c:idx val="0"/>
          <c:order val="0"/>
          <c:tx>
            <c:strRef>
              <c:f>'04'!$L$17</c:f>
              <c:strCache>
                <c:ptCount val="1"/>
                <c:pt idx="0">
                  <c:v>توزیع تعداد درخواست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E02-4969-9388-EA25B2939AC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E02-4969-9388-EA25B2939AC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E02-4969-9388-EA25B2939AC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E02-4969-9388-EA25B2939AC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E02-4969-9388-EA25B2939AC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E02-4969-9388-EA25B2939AC9}"/>
              </c:ext>
            </c:extLst>
          </c:dPt>
          <c:dLbls>
            <c:dLbl>
              <c:idx val="0"/>
              <c:layout>
                <c:manualLayout>
                  <c:x val="-6.6955954623948877E-2"/>
                  <c:y val="-1.9641358475469164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E02-4969-9388-EA25B2939AC9}"/>
                </c:ext>
              </c:extLst>
            </c:dLbl>
            <c:dLbl>
              <c:idx val="1"/>
              <c:layout>
                <c:manualLayout>
                  <c:x val="1.3964814338480458E-2"/>
                  <c:y val="-5.0444984000323134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E02-4969-9388-EA25B2939AC9}"/>
                </c:ext>
              </c:extLst>
            </c:dLbl>
            <c:dLbl>
              <c:idx val="3"/>
              <c:layout>
                <c:manualLayout>
                  <c:x val="8.2068296555641348E-3"/>
                  <c:y val="1.7315543890346191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E02-4969-9388-EA25B2939A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'04'!$L$18:$L$23</c:f>
              <c:strCache>
                <c:ptCount val="6"/>
                <c:pt idx="0">
                  <c:v>ساخت دستگاه</c:v>
                </c:pt>
                <c:pt idx="1">
                  <c:v>ساخت قالب</c:v>
                </c:pt>
                <c:pt idx="2">
                  <c:v>ساخت قطعه</c:v>
                </c:pt>
                <c:pt idx="3">
                  <c:v>تعمیر دستگاه</c:v>
                </c:pt>
                <c:pt idx="4">
                  <c:v>تعمیر قالب</c:v>
                </c:pt>
                <c:pt idx="5">
                  <c:v>تعمیر قطعه</c:v>
                </c:pt>
              </c:strCache>
            </c:strRef>
          </c:cat>
          <c:val>
            <c:numRef>
              <c:f>'04'!$M$18:$M$23</c:f>
              <c:numCache>
                <c:formatCode>General</c:formatCode>
                <c:ptCount val="6"/>
                <c:pt idx="0">
                  <c:v>3</c:v>
                </c:pt>
                <c:pt idx="1">
                  <c:v>1</c:v>
                </c:pt>
                <c:pt idx="2">
                  <c:v>118</c:v>
                </c:pt>
                <c:pt idx="3">
                  <c:v>0</c:v>
                </c:pt>
                <c:pt idx="4">
                  <c:v>12</c:v>
                </c:pt>
                <c:pt idx="5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E02-4969-9388-EA25B2939AC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8569303764340405E-2"/>
          <c:y val="0.72569335083114617"/>
          <c:w val="0.89517647179845883"/>
          <c:h val="0.246528871391076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'04'!$L$25</c:f>
              <c:strCache>
                <c:ptCount val="1"/>
                <c:pt idx="0">
                  <c:v>توزیع ساعات کار</c:v>
                </c:pt>
              </c:strCache>
            </c:strRef>
          </c:tx>
          <c:spPr>
            <a:effectLst>
              <a:glow rad="88900">
                <a:schemeClr val="bg1">
                  <a:lumMod val="50000"/>
                </a:schemeClr>
              </a:glow>
              <a:outerShdw blurRad="520700" dist="876300" dir="8400000" sx="101000" sy="101000" algn="ctr" rotWithShape="0">
                <a:srgbClr val="000000">
                  <a:alpha val="8000"/>
                </a:srgbClr>
              </a:outerShdw>
            </a:effectLst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glow rad="88900">
                  <a:schemeClr val="bg1">
                    <a:lumMod val="50000"/>
                  </a:schemeClr>
                </a:glow>
                <a:outerShdw blurRad="520700" dist="876300" dir="8400000" sx="101000" sy="101000" algn="ctr" rotWithShape="0">
                  <a:srgbClr val="000000">
                    <a:alpha val="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894-4F71-96B4-4A2AEDFA433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glow rad="88900">
                  <a:schemeClr val="bg1">
                    <a:lumMod val="50000"/>
                  </a:schemeClr>
                </a:glow>
                <a:outerShdw blurRad="520700" dist="876300" dir="8400000" sx="101000" sy="101000" algn="ctr" rotWithShape="0">
                  <a:srgbClr val="000000">
                    <a:alpha val="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894-4F71-96B4-4A2AEDFA433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glow rad="88900">
                  <a:schemeClr val="bg1">
                    <a:lumMod val="50000"/>
                  </a:schemeClr>
                </a:glow>
                <a:outerShdw blurRad="520700" dist="876300" dir="8400000" sx="101000" sy="101000" algn="ctr" rotWithShape="0">
                  <a:srgbClr val="000000">
                    <a:alpha val="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894-4F71-96B4-4A2AEDFA433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glow rad="88900">
                  <a:schemeClr val="bg1">
                    <a:lumMod val="50000"/>
                  </a:schemeClr>
                </a:glow>
                <a:outerShdw blurRad="520700" dist="876300" dir="8400000" sx="101000" sy="101000" algn="ctr" rotWithShape="0">
                  <a:srgbClr val="000000">
                    <a:alpha val="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894-4F71-96B4-4A2AEDFA433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glow rad="88900">
                  <a:schemeClr val="bg1">
                    <a:lumMod val="50000"/>
                  </a:schemeClr>
                </a:glow>
                <a:outerShdw blurRad="520700" dist="876300" dir="8400000" sx="101000" sy="101000" algn="ctr" rotWithShape="0">
                  <a:srgbClr val="000000">
                    <a:alpha val="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894-4F71-96B4-4A2AEDFA433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glow rad="88900">
                  <a:schemeClr val="bg1">
                    <a:lumMod val="50000"/>
                  </a:schemeClr>
                </a:glow>
                <a:outerShdw blurRad="520700" dist="876300" dir="8400000" sx="101000" sy="101000" algn="ctr" rotWithShape="0">
                  <a:srgbClr val="000000">
                    <a:alpha val="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894-4F71-96B4-4A2AEDFA433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'04'!$L$26:$L$31</c:f>
              <c:strCache>
                <c:ptCount val="6"/>
                <c:pt idx="0">
                  <c:v>ساخت دستگاه</c:v>
                </c:pt>
                <c:pt idx="1">
                  <c:v>ساخت قالب</c:v>
                </c:pt>
                <c:pt idx="2">
                  <c:v>ساخت قطعه</c:v>
                </c:pt>
                <c:pt idx="3">
                  <c:v>تعمیر دستگاه</c:v>
                </c:pt>
                <c:pt idx="4">
                  <c:v>تعمیر قالب</c:v>
                </c:pt>
                <c:pt idx="5">
                  <c:v>تعمیر قطعه</c:v>
                </c:pt>
              </c:strCache>
            </c:strRef>
          </c:cat>
          <c:val>
            <c:numRef>
              <c:f>'04'!$M$26:$M$31</c:f>
              <c:numCache>
                <c:formatCode>General</c:formatCode>
                <c:ptCount val="6"/>
                <c:pt idx="0">
                  <c:v>73</c:v>
                </c:pt>
                <c:pt idx="1">
                  <c:v>32</c:v>
                </c:pt>
                <c:pt idx="2">
                  <c:v>178</c:v>
                </c:pt>
                <c:pt idx="3">
                  <c:v>0</c:v>
                </c:pt>
                <c:pt idx="4">
                  <c:v>144</c:v>
                </c:pt>
                <c:pt idx="5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894-4F71-96B4-4A2AEDFA433A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829615678443655E-2"/>
          <c:y val="0.79134767224096125"/>
          <c:w val="0.97202538443501474"/>
          <c:h val="0.18422485075837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243076609883597"/>
          <c:y val="0.16153142315543889"/>
          <c:w val="0.41207261834652942"/>
          <c:h val="0.51652158063575382"/>
        </c:manualLayout>
      </c:layout>
      <c:pieChart>
        <c:varyColors val="1"/>
        <c:ser>
          <c:idx val="0"/>
          <c:order val="0"/>
          <c:tx>
            <c:strRef>
              <c:f>'05'!$L$17</c:f>
              <c:strCache>
                <c:ptCount val="1"/>
                <c:pt idx="0">
                  <c:v>توزیع تعداد درخواست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9E-4FDF-914D-3443F11190E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9E-4FDF-914D-3443F11190E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9E-4FDF-914D-3443F11190E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9E-4FDF-914D-3443F11190E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9E-4FDF-914D-3443F11190E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9E-4FDF-914D-3443F11190E3}"/>
              </c:ext>
            </c:extLst>
          </c:dPt>
          <c:dLbls>
            <c:dLbl>
              <c:idx val="0"/>
              <c:layout>
                <c:manualLayout>
                  <c:x val="-6.6955954623948877E-2"/>
                  <c:y val="-1.9641358475469164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B9E-4FDF-914D-3443F11190E3}"/>
                </c:ext>
              </c:extLst>
            </c:dLbl>
            <c:dLbl>
              <c:idx val="1"/>
              <c:layout>
                <c:manualLayout>
                  <c:x val="1.3964814338480458E-2"/>
                  <c:y val="-5.0444984000323134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B9E-4FDF-914D-3443F11190E3}"/>
                </c:ext>
              </c:extLst>
            </c:dLbl>
            <c:dLbl>
              <c:idx val="3"/>
              <c:layout>
                <c:manualLayout>
                  <c:x val="8.2068296555641348E-3"/>
                  <c:y val="1.7315543890346191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B9E-4FDF-914D-3443F11190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'05'!$L$18:$L$23</c:f>
              <c:strCache>
                <c:ptCount val="6"/>
                <c:pt idx="0">
                  <c:v>ساخت دستگاه</c:v>
                </c:pt>
                <c:pt idx="1">
                  <c:v>ساخت قالب</c:v>
                </c:pt>
                <c:pt idx="2">
                  <c:v>ساخت قطعه</c:v>
                </c:pt>
                <c:pt idx="3">
                  <c:v>تعمیر دستگاه</c:v>
                </c:pt>
                <c:pt idx="4">
                  <c:v>تعمیر قالب</c:v>
                </c:pt>
                <c:pt idx="5">
                  <c:v>تعمیر قطعه</c:v>
                </c:pt>
              </c:strCache>
            </c:strRef>
          </c:cat>
          <c:val>
            <c:numRef>
              <c:f>'05'!$M$18:$M$23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58</c:v>
                </c:pt>
                <c:pt idx="3">
                  <c:v>0</c:v>
                </c:pt>
                <c:pt idx="4">
                  <c:v>10</c:v>
                </c:pt>
                <c:pt idx="5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7B9E-4FDF-914D-3443F11190E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8569303764340405E-2"/>
          <c:y val="0.72569335083114617"/>
          <c:w val="0.89517647179845883"/>
          <c:h val="0.246528871391076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'05'!$L$25</c:f>
              <c:strCache>
                <c:ptCount val="1"/>
                <c:pt idx="0">
                  <c:v>توزیع ساعات کار</c:v>
                </c:pt>
              </c:strCache>
            </c:strRef>
          </c:tx>
          <c:spPr>
            <a:effectLst>
              <a:glow rad="88900">
                <a:schemeClr val="bg1">
                  <a:lumMod val="50000"/>
                </a:schemeClr>
              </a:glow>
              <a:outerShdw blurRad="520700" dist="876300" dir="8400000" sx="101000" sy="101000" algn="ctr" rotWithShape="0">
                <a:srgbClr val="000000">
                  <a:alpha val="8000"/>
                </a:srgbClr>
              </a:outerShdw>
            </a:effectLst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glow rad="88900">
                  <a:schemeClr val="bg1">
                    <a:lumMod val="50000"/>
                  </a:schemeClr>
                </a:glow>
                <a:outerShdw blurRad="520700" dist="876300" dir="8400000" sx="101000" sy="101000" algn="ctr" rotWithShape="0">
                  <a:srgbClr val="000000">
                    <a:alpha val="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DBF-4013-9BD0-FED233485B9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glow rad="88900">
                  <a:schemeClr val="bg1">
                    <a:lumMod val="50000"/>
                  </a:schemeClr>
                </a:glow>
                <a:outerShdw blurRad="520700" dist="876300" dir="8400000" sx="101000" sy="101000" algn="ctr" rotWithShape="0">
                  <a:srgbClr val="000000">
                    <a:alpha val="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DBF-4013-9BD0-FED233485B9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glow rad="88900">
                  <a:schemeClr val="bg1">
                    <a:lumMod val="50000"/>
                  </a:schemeClr>
                </a:glow>
                <a:outerShdw blurRad="520700" dist="876300" dir="8400000" sx="101000" sy="101000" algn="ctr" rotWithShape="0">
                  <a:srgbClr val="000000">
                    <a:alpha val="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DBF-4013-9BD0-FED233485B9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glow rad="88900">
                  <a:schemeClr val="bg1">
                    <a:lumMod val="50000"/>
                  </a:schemeClr>
                </a:glow>
                <a:outerShdw blurRad="520700" dist="876300" dir="8400000" sx="101000" sy="101000" algn="ctr" rotWithShape="0">
                  <a:srgbClr val="000000">
                    <a:alpha val="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DBF-4013-9BD0-FED233485B9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glow rad="88900">
                  <a:schemeClr val="bg1">
                    <a:lumMod val="50000"/>
                  </a:schemeClr>
                </a:glow>
                <a:outerShdw blurRad="520700" dist="876300" dir="8400000" sx="101000" sy="101000" algn="ctr" rotWithShape="0">
                  <a:srgbClr val="000000">
                    <a:alpha val="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DBF-4013-9BD0-FED233485B9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glow rad="88900">
                  <a:schemeClr val="bg1">
                    <a:lumMod val="50000"/>
                  </a:schemeClr>
                </a:glow>
                <a:outerShdw blurRad="520700" dist="876300" dir="8400000" sx="101000" sy="101000" algn="ctr" rotWithShape="0">
                  <a:srgbClr val="000000">
                    <a:alpha val="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DBF-4013-9BD0-FED233485B9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'05'!$L$26:$L$31</c:f>
              <c:strCache>
                <c:ptCount val="6"/>
                <c:pt idx="0">
                  <c:v>ساخت دستگاه</c:v>
                </c:pt>
                <c:pt idx="1">
                  <c:v>ساخت قالب</c:v>
                </c:pt>
                <c:pt idx="2">
                  <c:v>ساخت قطعه</c:v>
                </c:pt>
                <c:pt idx="3">
                  <c:v>تعمیر دستگاه</c:v>
                </c:pt>
                <c:pt idx="4">
                  <c:v>تعمیر قالب</c:v>
                </c:pt>
                <c:pt idx="5">
                  <c:v>تعمیر قطعه</c:v>
                </c:pt>
              </c:strCache>
            </c:strRef>
          </c:cat>
          <c:val>
            <c:numRef>
              <c:f>'05'!$M$26:$M$31</c:f>
              <c:numCache>
                <c:formatCode>General</c:formatCode>
                <c:ptCount val="6"/>
                <c:pt idx="0">
                  <c:v>59</c:v>
                </c:pt>
                <c:pt idx="1">
                  <c:v>29</c:v>
                </c:pt>
                <c:pt idx="2">
                  <c:v>248</c:v>
                </c:pt>
                <c:pt idx="3">
                  <c:v>0</c:v>
                </c:pt>
                <c:pt idx="4">
                  <c:v>175</c:v>
                </c:pt>
                <c:pt idx="5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DBF-4013-9BD0-FED233485B94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829615678443655E-2"/>
          <c:y val="0.79134767224096125"/>
          <c:w val="0.97202538443501474"/>
          <c:h val="0.18422485075837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243076609883597"/>
          <c:y val="0.16153142315543889"/>
          <c:w val="0.41207261834652942"/>
          <c:h val="0.51652158063575382"/>
        </c:manualLayout>
      </c:layout>
      <c:pieChart>
        <c:varyColors val="1"/>
        <c:ser>
          <c:idx val="0"/>
          <c:order val="0"/>
          <c:tx>
            <c:strRef>
              <c:f>'06'!$L$17</c:f>
              <c:strCache>
                <c:ptCount val="1"/>
                <c:pt idx="0">
                  <c:v>توزیع تعداد درخواست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C29-4A3D-947C-6CD9A1A465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C29-4A3D-947C-6CD9A1A465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C29-4A3D-947C-6CD9A1A465A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C29-4A3D-947C-6CD9A1A465A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C29-4A3D-947C-6CD9A1A465A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C29-4A3D-947C-6CD9A1A465A1}"/>
              </c:ext>
            </c:extLst>
          </c:dPt>
          <c:dLbls>
            <c:dLbl>
              <c:idx val="0"/>
              <c:layout>
                <c:manualLayout>
                  <c:x val="-6.6955954623948877E-2"/>
                  <c:y val="-1.9641358475469164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C29-4A3D-947C-6CD9A1A465A1}"/>
                </c:ext>
              </c:extLst>
            </c:dLbl>
            <c:dLbl>
              <c:idx val="1"/>
              <c:layout>
                <c:manualLayout>
                  <c:x val="1.3964814338480458E-2"/>
                  <c:y val="-5.0444984000323134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C29-4A3D-947C-6CD9A1A465A1}"/>
                </c:ext>
              </c:extLst>
            </c:dLbl>
            <c:dLbl>
              <c:idx val="3"/>
              <c:layout>
                <c:manualLayout>
                  <c:x val="8.2068296555641348E-3"/>
                  <c:y val="1.7315543890346191E-3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C29-4A3D-947C-6CD9A1A465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'06'!$L$18:$L$23</c:f>
              <c:strCache>
                <c:ptCount val="6"/>
                <c:pt idx="0">
                  <c:v>ساخت دستگاه</c:v>
                </c:pt>
                <c:pt idx="1">
                  <c:v>ساخت قالب</c:v>
                </c:pt>
                <c:pt idx="2">
                  <c:v>ساخت قطعه</c:v>
                </c:pt>
                <c:pt idx="3">
                  <c:v>تعمیر دستگاه</c:v>
                </c:pt>
                <c:pt idx="4">
                  <c:v>تعمیر قالب</c:v>
                </c:pt>
                <c:pt idx="5">
                  <c:v>تعمیر قطعه</c:v>
                </c:pt>
              </c:strCache>
            </c:strRef>
          </c:cat>
          <c:val>
            <c:numRef>
              <c:f>'06'!$M$18:$M$23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117</c:v>
                </c:pt>
                <c:pt idx="3">
                  <c:v>0</c:v>
                </c:pt>
                <c:pt idx="4">
                  <c:v>8</c:v>
                </c:pt>
                <c:pt idx="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C29-4A3D-947C-6CD9A1A465A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8569303764340405E-2"/>
          <c:y val="0.72569335083114617"/>
          <c:w val="0.89517647179845883"/>
          <c:h val="0.246528871391076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'06'!$L$25</c:f>
              <c:strCache>
                <c:ptCount val="1"/>
                <c:pt idx="0">
                  <c:v>توزیع ساعات کار</c:v>
                </c:pt>
              </c:strCache>
            </c:strRef>
          </c:tx>
          <c:spPr>
            <a:effectLst>
              <a:glow rad="88900">
                <a:schemeClr val="bg1">
                  <a:lumMod val="50000"/>
                </a:schemeClr>
              </a:glow>
              <a:outerShdw blurRad="520700" dist="876300" dir="8400000" sx="101000" sy="101000" algn="ctr" rotWithShape="0">
                <a:srgbClr val="000000">
                  <a:alpha val="8000"/>
                </a:srgbClr>
              </a:outerShdw>
            </a:effectLst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glow rad="88900">
                  <a:schemeClr val="bg1">
                    <a:lumMod val="50000"/>
                  </a:schemeClr>
                </a:glow>
                <a:outerShdw blurRad="520700" dist="876300" dir="8400000" sx="101000" sy="101000" algn="ctr" rotWithShape="0">
                  <a:srgbClr val="000000">
                    <a:alpha val="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9D9-4623-8762-EFAE08DECD9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glow rad="88900">
                  <a:schemeClr val="bg1">
                    <a:lumMod val="50000"/>
                  </a:schemeClr>
                </a:glow>
                <a:outerShdw blurRad="520700" dist="876300" dir="8400000" sx="101000" sy="101000" algn="ctr" rotWithShape="0">
                  <a:srgbClr val="000000">
                    <a:alpha val="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9D9-4623-8762-EFAE08DECD9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glow rad="88900">
                  <a:schemeClr val="bg1">
                    <a:lumMod val="50000"/>
                  </a:schemeClr>
                </a:glow>
                <a:outerShdw blurRad="520700" dist="876300" dir="8400000" sx="101000" sy="101000" algn="ctr" rotWithShape="0">
                  <a:srgbClr val="000000">
                    <a:alpha val="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9D9-4623-8762-EFAE08DECD9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glow rad="88900">
                  <a:schemeClr val="bg1">
                    <a:lumMod val="50000"/>
                  </a:schemeClr>
                </a:glow>
                <a:outerShdw blurRad="520700" dist="876300" dir="8400000" sx="101000" sy="101000" algn="ctr" rotWithShape="0">
                  <a:srgbClr val="000000">
                    <a:alpha val="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9D9-4623-8762-EFAE08DECD9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glow rad="88900">
                  <a:schemeClr val="bg1">
                    <a:lumMod val="50000"/>
                  </a:schemeClr>
                </a:glow>
                <a:outerShdw blurRad="520700" dist="876300" dir="8400000" sx="101000" sy="101000" algn="ctr" rotWithShape="0">
                  <a:srgbClr val="000000">
                    <a:alpha val="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9D9-4623-8762-EFAE08DECD9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glow rad="88900">
                  <a:schemeClr val="bg1">
                    <a:lumMod val="50000"/>
                  </a:schemeClr>
                </a:glow>
                <a:outerShdw blurRad="520700" dist="876300" dir="8400000" sx="101000" sy="101000" algn="ctr" rotWithShape="0">
                  <a:srgbClr val="000000">
                    <a:alpha val="8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9D9-4623-8762-EFAE08DECD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'06'!$L$26:$L$31</c:f>
              <c:strCache>
                <c:ptCount val="6"/>
                <c:pt idx="0">
                  <c:v>ساخت دستگاه</c:v>
                </c:pt>
                <c:pt idx="1">
                  <c:v>ساخت قالب</c:v>
                </c:pt>
                <c:pt idx="2">
                  <c:v>ساخت قطعه</c:v>
                </c:pt>
                <c:pt idx="3">
                  <c:v>تعمیر دستگاه</c:v>
                </c:pt>
                <c:pt idx="4">
                  <c:v>تعمیر قالب</c:v>
                </c:pt>
                <c:pt idx="5">
                  <c:v>تعمیر قطعه</c:v>
                </c:pt>
              </c:strCache>
            </c:strRef>
          </c:cat>
          <c:val>
            <c:numRef>
              <c:f>'06'!$M$26:$M$31</c:f>
              <c:numCache>
                <c:formatCode>General</c:formatCode>
                <c:ptCount val="6"/>
                <c:pt idx="0">
                  <c:v>31</c:v>
                </c:pt>
                <c:pt idx="1">
                  <c:v>42</c:v>
                </c:pt>
                <c:pt idx="2">
                  <c:v>284</c:v>
                </c:pt>
                <c:pt idx="3">
                  <c:v>0</c:v>
                </c:pt>
                <c:pt idx="4">
                  <c:v>124</c:v>
                </c:pt>
                <c:pt idx="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9D9-4623-8762-EFAE08DECD9A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1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829615678443655E-2"/>
          <c:y val="0.79134767224096125"/>
          <c:w val="0.97202538443501474"/>
          <c:h val="0.184224850758373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8</xdr:row>
      <xdr:rowOff>114300</xdr:rowOff>
    </xdr:from>
    <xdr:to>
      <xdr:col>2</xdr:col>
      <xdr:colOff>371475</xdr:colOff>
      <xdr:row>13</xdr:row>
      <xdr:rowOff>57150</xdr:rowOff>
    </xdr:to>
    <xdr:sp macro="" textlink="">
      <xdr:nvSpPr>
        <xdr:cNvPr id="2" name="Flowchart: Alternate Process 1">
          <a:extLst>
            <a:ext uri="{FF2B5EF4-FFF2-40B4-BE49-F238E27FC236}">
              <a16:creationId xmlns:a16="http://schemas.microsoft.com/office/drawing/2014/main" id="{5BB638D6-D6B7-40F4-B18D-17E25AE5DD73}"/>
            </a:ext>
          </a:extLst>
        </xdr:cNvPr>
        <xdr:cNvSpPr/>
      </xdr:nvSpPr>
      <xdr:spPr>
        <a:xfrm>
          <a:off x="10766507550" y="1638300"/>
          <a:ext cx="1238250" cy="895350"/>
        </a:xfrm>
        <a:prstGeom prst="flowChartAlternate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fa-IR" sz="1800">
              <a:latin typeface="+mn-lt"/>
              <a:cs typeface="B Nazanin" panose="00000400000000000000" pitchFamily="2" charset="-78"/>
            </a:rPr>
            <a:t>77</a:t>
          </a:r>
        </a:p>
        <a:p>
          <a:pPr algn="r" rtl="1"/>
          <a:r>
            <a:rPr lang="fa-IR" sz="1100">
              <a:cs typeface="B Nazanin" panose="00000400000000000000" pitchFamily="2" charset="-78"/>
            </a:rPr>
            <a:t>   </a:t>
          </a:r>
          <a:r>
            <a:rPr lang="fa-IR" sz="1800" b="1">
              <a:solidFill>
                <a:sysClr val="windowText" lastClr="000000"/>
              </a:solidFill>
              <a:latin typeface="Aglio Picasso" pitchFamily="2" charset="0"/>
              <a:cs typeface="B Nazanin" panose="00000400000000000000" pitchFamily="2" charset="-78"/>
            </a:rPr>
            <a:t>√</a:t>
          </a:r>
          <a:r>
            <a:rPr lang="fa-IR" sz="1100">
              <a:cs typeface="B Nazanin" panose="00000400000000000000" pitchFamily="2" charset="-78"/>
            </a:rPr>
            <a:t>  </a:t>
          </a:r>
          <a:r>
            <a:rPr lang="fa-IR" sz="1200">
              <a:cs typeface="B Nazanin" panose="00000400000000000000" pitchFamily="2" charset="-78"/>
            </a:rPr>
            <a:t>درخواست فعال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2</xdr:col>
      <xdr:colOff>561975</xdr:colOff>
      <xdr:row>8</xdr:row>
      <xdr:rowOff>142875</xdr:rowOff>
    </xdr:from>
    <xdr:to>
      <xdr:col>4</xdr:col>
      <xdr:colOff>485775</xdr:colOff>
      <xdr:row>13</xdr:row>
      <xdr:rowOff>85725</xdr:rowOff>
    </xdr:to>
    <xdr:sp macro="" textlink="">
      <xdr:nvSpPr>
        <xdr:cNvPr id="3" name="Flowchart: Alternate Process 2">
          <a:extLst>
            <a:ext uri="{FF2B5EF4-FFF2-40B4-BE49-F238E27FC236}">
              <a16:creationId xmlns:a16="http://schemas.microsoft.com/office/drawing/2014/main" id="{BD78A1C1-C489-4AE5-B0B1-6FC598D416CC}"/>
            </a:ext>
          </a:extLst>
        </xdr:cNvPr>
        <xdr:cNvSpPr/>
      </xdr:nvSpPr>
      <xdr:spPr>
        <a:xfrm>
          <a:off x="10765078800" y="1666875"/>
          <a:ext cx="1238250" cy="895350"/>
        </a:xfrm>
        <a:prstGeom prst="flowChartAlternate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fa-IR" sz="1800">
              <a:cs typeface="B Nazanin" panose="00000400000000000000" pitchFamily="2" charset="-78"/>
            </a:rPr>
            <a:t>137</a:t>
          </a:r>
          <a:endParaRPr lang="en-US" sz="1800">
            <a:cs typeface="B Nazanin" panose="00000400000000000000" pitchFamily="2" charset="-78"/>
          </a:endParaRPr>
        </a:p>
        <a:p>
          <a:pPr algn="ctr" rtl="1"/>
          <a:r>
            <a:rPr lang="fa-IR" sz="1200">
              <a:cs typeface="B Nazanin" panose="00000400000000000000" pitchFamily="2" charset="-78"/>
            </a:rPr>
            <a:t>     کل</a:t>
          </a:r>
          <a:r>
            <a:rPr lang="fa-IR" sz="1200" baseline="0">
              <a:cs typeface="B Nazanin" panose="00000400000000000000" pitchFamily="2" charset="-78"/>
            </a:rPr>
            <a:t> درخواست ها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7</xdr:col>
      <xdr:colOff>19050</xdr:colOff>
      <xdr:row>8</xdr:row>
      <xdr:rowOff>133350</xdr:rowOff>
    </xdr:from>
    <xdr:to>
      <xdr:col>8</xdr:col>
      <xdr:colOff>600075</xdr:colOff>
      <xdr:row>13</xdr:row>
      <xdr:rowOff>76200</xdr:rowOff>
    </xdr:to>
    <xdr:sp macro="" textlink="">
      <xdr:nvSpPr>
        <xdr:cNvPr id="4" name="Flowchart: Alternate Process 3">
          <a:extLst>
            <a:ext uri="{FF2B5EF4-FFF2-40B4-BE49-F238E27FC236}">
              <a16:creationId xmlns:a16="http://schemas.microsoft.com/office/drawing/2014/main" id="{4FA9906E-A2E1-435E-89AA-48AB65EABEB0}"/>
            </a:ext>
          </a:extLst>
        </xdr:cNvPr>
        <xdr:cNvSpPr/>
      </xdr:nvSpPr>
      <xdr:spPr>
        <a:xfrm>
          <a:off x="10762335600" y="1657350"/>
          <a:ext cx="1238250" cy="895350"/>
        </a:xfrm>
        <a:prstGeom prst="flowChartAlternate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fa-IR" sz="1800">
              <a:cs typeface="B Nazanin" panose="00000400000000000000" pitchFamily="2" charset="-78"/>
            </a:rPr>
            <a:t>133.5</a:t>
          </a:r>
        </a:p>
        <a:p>
          <a:pPr algn="ctr" rtl="1"/>
          <a:r>
            <a:rPr lang="fa-IR" sz="1100">
              <a:cs typeface="B Nazanin" panose="00000400000000000000" pitchFamily="2" charset="-78"/>
            </a:rPr>
            <a:t>      تعمیرات میلیون</a:t>
          </a:r>
        </a:p>
        <a:p>
          <a:pPr algn="ctr" rtl="1"/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9</xdr:col>
      <xdr:colOff>47625</xdr:colOff>
      <xdr:row>8</xdr:row>
      <xdr:rowOff>133350</xdr:rowOff>
    </xdr:from>
    <xdr:to>
      <xdr:col>10</xdr:col>
      <xdr:colOff>352425</xdr:colOff>
      <xdr:row>13</xdr:row>
      <xdr:rowOff>76200</xdr:rowOff>
    </xdr:to>
    <xdr:sp macro="" textlink="">
      <xdr:nvSpPr>
        <xdr:cNvPr id="5" name="Flowchart: Alternate Process 4">
          <a:extLst>
            <a:ext uri="{FF2B5EF4-FFF2-40B4-BE49-F238E27FC236}">
              <a16:creationId xmlns:a16="http://schemas.microsoft.com/office/drawing/2014/main" id="{9C11DA67-355C-4D07-818F-5F1BAA5EDD45}"/>
            </a:ext>
          </a:extLst>
        </xdr:cNvPr>
        <xdr:cNvSpPr/>
      </xdr:nvSpPr>
      <xdr:spPr>
        <a:xfrm>
          <a:off x="10760992575" y="1657350"/>
          <a:ext cx="1238250" cy="895350"/>
        </a:xfrm>
        <a:prstGeom prst="flowChartAlternate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fa-IR" sz="1400">
              <a:cs typeface="B Nazanin" panose="00000400000000000000" pitchFamily="2" charset="-78"/>
            </a:rPr>
            <a:t>56.125</a:t>
          </a:r>
        </a:p>
        <a:p>
          <a:pPr algn="ctr" rtl="1"/>
          <a:r>
            <a:rPr lang="en-US" sz="1400"/>
            <a:t>    </a:t>
          </a:r>
          <a:r>
            <a:rPr lang="fa-IR" sz="1400"/>
            <a:t>ساخت</a:t>
          </a:r>
          <a:r>
            <a:rPr lang="en-US" sz="1400"/>
            <a:t> </a:t>
          </a:r>
          <a:r>
            <a:rPr lang="fa-IR" sz="1400"/>
            <a:t>میلیون</a:t>
          </a:r>
          <a:endParaRPr lang="en-US" sz="1400"/>
        </a:p>
      </xdr:txBody>
    </xdr:sp>
    <xdr:clientData/>
  </xdr:twoCellAnchor>
  <xdr:twoCellAnchor>
    <xdr:from>
      <xdr:col>2</xdr:col>
      <xdr:colOff>600075</xdr:colOff>
      <xdr:row>10</xdr:row>
      <xdr:rowOff>152400</xdr:rowOff>
    </xdr:from>
    <xdr:to>
      <xdr:col>3</xdr:col>
      <xdr:colOff>200025</xdr:colOff>
      <xdr:row>12</xdr:row>
      <xdr:rowOff>19050</xdr:rowOff>
    </xdr:to>
    <xdr:sp macro="" textlink="">
      <xdr:nvSpPr>
        <xdr:cNvPr id="9" name="Cube 8">
          <a:extLst>
            <a:ext uri="{FF2B5EF4-FFF2-40B4-BE49-F238E27FC236}">
              <a16:creationId xmlns:a16="http://schemas.microsoft.com/office/drawing/2014/main" id="{62A46133-EB82-464D-B052-6839865F7AD2}"/>
            </a:ext>
          </a:extLst>
        </xdr:cNvPr>
        <xdr:cNvSpPr/>
      </xdr:nvSpPr>
      <xdr:spPr>
        <a:xfrm>
          <a:off x="10766021775" y="2057400"/>
          <a:ext cx="257175" cy="247650"/>
        </a:xfrm>
        <a:prstGeom prst="cub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169734</xdr:colOff>
      <xdr:row>14</xdr:row>
      <xdr:rowOff>71437</xdr:rowOff>
    </xdr:from>
    <xdr:to>
      <xdr:col>5</xdr:col>
      <xdr:colOff>409575</xdr:colOff>
      <xdr:row>30</xdr:row>
      <xdr:rowOff>142875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DB786BD-5495-4E45-81D0-093FEAEE03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590550</xdr:colOff>
      <xdr:row>14</xdr:row>
      <xdr:rowOff>61912</xdr:rowOff>
    </xdr:from>
    <xdr:to>
      <xdr:col>10</xdr:col>
      <xdr:colOff>333375</xdr:colOff>
      <xdr:row>30</xdr:row>
      <xdr:rowOff>133350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7D57CB5-A51C-41D7-92CC-B7FA3EF51A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38101</xdr:colOff>
      <xdr:row>10</xdr:row>
      <xdr:rowOff>47625</xdr:rowOff>
    </xdr:from>
    <xdr:to>
      <xdr:col>7</xdr:col>
      <xdr:colOff>257176</xdr:colOff>
      <xdr:row>11</xdr:row>
      <xdr:rowOff>171450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EBD7EBF-0655-4304-A543-E2C8A33723D0}"/>
            </a:ext>
          </a:extLst>
        </xdr:cNvPr>
        <xdr:cNvSpPr txBox="1"/>
      </xdr:nvSpPr>
      <xdr:spPr>
        <a:xfrm>
          <a:off x="10763335724" y="1952625"/>
          <a:ext cx="219075" cy="314325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1800">
              <a:latin typeface="Aglio Picasso" pitchFamily="2" charset="0"/>
            </a:rPr>
            <a:t>$</a:t>
          </a:r>
          <a:endParaRPr lang="en-US" sz="1800"/>
        </a:p>
      </xdr:txBody>
    </xdr:sp>
    <xdr:clientData/>
  </xdr:twoCellAnchor>
  <xdr:twoCellAnchor>
    <xdr:from>
      <xdr:col>4</xdr:col>
      <xdr:colOff>628650</xdr:colOff>
      <xdr:row>8</xdr:row>
      <xdr:rowOff>133350</xdr:rowOff>
    </xdr:from>
    <xdr:to>
      <xdr:col>6</xdr:col>
      <xdr:colOff>552450</xdr:colOff>
      <xdr:row>13</xdr:row>
      <xdr:rowOff>76200</xdr:rowOff>
    </xdr:to>
    <xdr:sp macro="" textlink="">
      <xdr:nvSpPr>
        <xdr:cNvPr id="17" name="Flowchart: Alternate Process 16">
          <a:extLst>
            <a:ext uri="{FF2B5EF4-FFF2-40B4-BE49-F238E27FC236}">
              <a16:creationId xmlns:a16="http://schemas.microsoft.com/office/drawing/2014/main" id="{5898665C-D2F5-4E69-AF9F-EFAB986AD491}"/>
            </a:ext>
          </a:extLst>
        </xdr:cNvPr>
        <xdr:cNvSpPr/>
      </xdr:nvSpPr>
      <xdr:spPr>
        <a:xfrm>
          <a:off x="10763697675" y="1657350"/>
          <a:ext cx="1238250" cy="895350"/>
        </a:xfrm>
        <a:prstGeom prst="flowChartAlternateProcess">
          <a:avLst/>
        </a:prstGeom>
        <a:solidFill>
          <a:schemeClr val="accent1"/>
        </a:solidFill>
        <a:ln cmpd="dbl">
          <a:solidFill>
            <a:schemeClr val="accent1">
              <a:shade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800">
              <a:cs typeface="B Nazanin" panose="00000400000000000000" pitchFamily="2" charset="-78"/>
            </a:rPr>
            <a:t>162</a:t>
          </a:r>
          <a:endParaRPr lang="en-US" sz="1100">
            <a:cs typeface="B Nazanin" panose="00000400000000000000" pitchFamily="2" charset="-78"/>
          </a:endParaRPr>
        </a:p>
        <a:p>
          <a:pPr algn="ctr" rtl="1"/>
          <a:r>
            <a:rPr lang="fa-IR" sz="1200">
              <a:solidFill>
                <a:schemeClr val="bg1"/>
              </a:solidFill>
              <a:latin typeface="Walbaum Display Light" panose="020B0604020202020204" pitchFamily="18" charset="0"/>
              <a:cs typeface="B Nazanin" panose="00000400000000000000" pitchFamily="2" charset="-78"/>
            </a:rPr>
            <a:t>ساعت کاری</a:t>
          </a:r>
          <a:endParaRPr lang="en-US" sz="1200">
            <a:solidFill>
              <a:schemeClr val="bg1"/>
            </a:solidFill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95250</xdr:colOff>
      <xdr:row>0</xdr:row>
      <xdr:rowOff>190499</xdr:rowOff>
    </xdr:from>
    <xdr:to>
      <xdr:col>10</xdr:col>
      <xdr:colOff>323850</xdr:colOff>
      <xdr:row>8</xdr:row>
      <xdr:rowOff>28574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6649D50-FF9F-4FBC-9F4E-29BA494A4539}"/>
            </a:ext>
          </a:extLst>
        </xdr:cNvPr>
        <xdr:cNvSpPr txBox="1"/>
      </xdr:nvSpPr>
      <xdr:spPr>
        <a:xfrm>
          <a:off x="10761021150" y="190499"/>
          <a:ext cx="6781800" cy="1362075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r>
            <a:rPr lang="fa-IR" sz="2400">
              <a:cs typeface="B Nazanin" panose="00000400000000000000" pitchFamily="2" charset="-78"/>
            </a:rPr>
            <a:t>گزارش درخواست های هفتگی</a:t>
          </a:r>
        </a:p>
        <a:p>
          <a:pPr algn="ctr" rtl="1"/>
          <a:r>
            <a:rPr lang="fa-IR" sz="2400">
              <a:cs typeface="B Nazanin" panose="00000400000000000000" pitchFamily="2" charset="-78"/>
            </a:rPr>
            <a:t>واحد قالب سازی</a:t>
          </a:r>
        </a:p>
        <a:p>
          <a:pPr algn="ctr" rtl="1"/>
          <a:r>
            <a:rPr lang="fa-IR" sz="1600">
              <a:cs typeface="B Nazanin" panose="00000400000000000000" pitchFamily="2" charset="-78"/>
            </a:rPr>
            <a:t>شرکت جهان ترمز   شماره 1  .   هفته 2</a:t>
          </a:r>
          <a:endParaRPr lang="en-US" sz="1600">
            <a:cs typeface="B Nazanin" panose="00000400000000000000" pitchFamily="2" charset="-78"/>
          </a:endParaRPr>
        </a:p>
      </xdr:txBody>
    </xdr:sp>
    <xdr:clientData/>
  </xdr:twoCellAnchor>
  <xdr:twoCellAnchor>
    <xdr:from>
      <xdr:col>9</xdr:col>
      <xdr:colOff>66676</xdr:colOff>
      <xdr:row>10</xdr:row>
      <xdr:rowOff>47625</xdr:rowOff>
    </xdr:from>
    <xdr:to>
      <xdr:col>9</xdr:col>
      <xdr:colOff>285751</xdr:colOff>
      <xdr:row>11</xdr:row>
      <xdr:rowOff>171450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3DE04A4-4B67-4EF7-8142-A8C64CEDC998}"/>
            </a:ext>
          </a:extLst>
        </xdr:cNvPr>
        <xdr:cNvSpPr txBox="1"/>
      </xdr:nvSpPr>
      <xdr:spPr>
        <a:xfrm>
          <a:off x="10761992699" y="1952625"/>
          <a:ext cx="219075" cy="314325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1800">
              <a:latin typeface="Aglio Picasso" pitchFamily="2" charset="0"/>
            </a:rPr>
            <a:t>$</a:t>
          </a:r>
          <a:endParaRPr lang="en-US" sz="1800"/>
        </a:p>
      </xdr:txBody>
    </xdr:sp>
    <xdr:clientData/>
  </xdr:twoCellAnchor>
  <xdr:twoCellAnchor>
    <xdr:from>
      <xdr:col>0</xdr:col>
      <xdr:colOff>180975</xdr:colOff>
      <xdr:row>31</xdr:row>
      <xdr:rowOff>95250</xdr:rowOff>
    </xdr:from>
    <xdr:to>
      <xdr:col>5</xdr:col>
      <xdr:colOff>381000</xdr:colOff>
      <xdr:row>34</xdr:row>
      <xdr:rowOff>95250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CDEE3A0E-2583-4A7B-87C1-89C2E5211D1B}"/>
            </a:ext>
          </a:extLst>
        </xdr:cNvPr>
        <xdr:cNvSpPr txBox="1"/>
      </xdr:nvSpPr>
      <xdr:spPr>
        <a:xfrm>
          <a:off x="10764526350" y="6000750"/>
          <a:ext cx="3190875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/>
            <a:t>77 درخواست</a:t>
          </a:r>
          <a:r>
            <a:rPr lang="fa-IR" sz="1100" baseline="0"/>
            <a:t> فعال . بیشترین مربوط به ساخت قطعه (51)</a:t>
          </a:r>
          <a:endParaRPr lang="en-US" sz="1100"/>
        </a:p>
      </xdr:txBody>
    </xdr:sp>
    <xdr:clientData/>
  </xdr:twoCellAnchor>
  <xdr:twoCellAnchor>
    <xdr:from>
      <xdr:col>5</xdr:col>
      <xdr:colOff>647700</xdr:colOff>
      <xdr:row>31</xdr:row>
      <xdr:rowOff>104775</xdr:rowOff>
    </xdr:from>
    <xdr:to>
      <xdr:col>10</xdr:col>
      <xdr:colOff>276225</xdr:colOff>
      <xdr:row>34</xdr:row>
      <xdr:rowOff>104775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15687ED0-7B7E-4A7D-980D-68E356F019CB}"/>
            </a:ext>
          </a:extLst>
        </xdr:cNvPr>
        <xdr:cNvSpPr txBox="1"/>
      </xdr:nvSpPr>
      <xdr:spPr>
        <a:xfrm>
          <a:off x="10761068775" y="6010275"/>
          <a:ext cx="3190875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r>
            <a:rPr lang="fa-IR" sz="1100"/>
            <a:t>مجموع 219 ساعت</a:t>
          </a:r>
          <a:r>
            <a:rPr lang="fa-IR" sz="1100" baseline="0"/>
            <a:t> . بیشترین تعمیر قالب (153)</a:t>
          </a:r>
          <a:endParaRPr lang="en-US" sz="1100"/>
        </a:p>
      </xdr:txBody>
    </xdr:sp>
    <xdr:clientData/>
  </xdr:twoCellAnchor>
  <xdr:twoCellAnchor>
    <xdr:from>
      <xdr:col>4</xdr:col>
      <xdr:colOff>333375</xdr:colOff>
      <xdr:row>36</xdr:row>
      <xdr:rowOff>19049</xdr:rowOff>
    </xdr:from>
    <xdr:to>
      <xdr:col>7</xdr:col>
      <xdr:colOff>228600</xdr:colOff>
      <xdr:row>38</xdr:row>
      <xdr:rowOff>133350</xdr:rowOff>
    </xdr:to>
    <xdr:sp macro="" textlink="">
      <xdr:nvSpPr>
        <xdr:cNvPr id="25" name="Flowchart: Terminator 24">
          <a:extLst>
            <a:ext uri="{FF2B5EF4-FFF2-40B4-BE49-F238E27FC236}">
              <a16:creationId xmlns:a16="http://schemas.microsoft.com/office/drawing/2014/main" id="{5BC0D253-EC6D-4F93-BAB6-A247B1585B8B}"/>
            </a:ext>
          </a:extLst>
        </xdr:cNvPr>
        <xdr:cNvSpPr/>
      </xdr:nvSpPr>
      <xdr:spPr>
        <a:xfrm>
          <a:off x="10763364300" y="6877049"/>
          <a:ext cx="1866900" cy="495301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200">
              <a:cs typeface="B Nazanin" panose="00000400000000000000" pitchFamily="2" charset="-78"/>
            </a:rPr>
            <a:t>17     تعمیر قالب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333375</xdr:colOff>
      <xdr:row>36</xdr:row>
      <xdr:rowOff>19049</xdr:rowOff>
    </xdr:from>
    <xdr:to>
      <xdr:col>3</xdr:col>
      <xdr:colOff>523875</xdr:colOff>
      <xdr:row>38</xdr:row>
      <xdr:rowOff>133350</xdr:rowOff>
    </xdr:to>
    <xdr:sp macro="" textlink="">
      <xdr:nvSpPr>
        <xdr:cNvPr id="30" name="Flowchart: Terminator 29">
          <a:extLst>
            <a:ext uri="{FF2B5EF4-FFF2-40B4-BE49-F238E27FC236}">
              <a16:creationId xmlns:a16="http://schemas.microsoft.com/office/drawing/2014/main" id="{9460689F-0D71-46C8-8D73-BF34D3160D23}"/>
            </a:ext>
          </a:extLst>
        </xdr:cNvPr>
        <xdr:cNvSpPr/>
      </xdr:nvSpPr>
      <xdr:spPr>
        <a:xfrm>
          <a:off x="10765697925" y="6877049"/>
          <a:ext cx="1866900" cy="495301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200">
              <a:cs typeface="B Nazanin" panose="00000400000000000000" pitchFamily="2" charset="-78"/>
            </a:rPr>
            <a:t>3     تعمیر قطعه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7</xdr:col>
      <xdr:colOff>581025</xdr:colOff>
      <xdr:row>36</xdr:row>
      <xdr:rowOff>19049</xdr:rowOff>
    </xdr:from>
    <xdr:to>
      <xdr:col>10</xdr:col>
      <xdr:colOff>200025</xdr:colOff>
      <xdr:row>38</xdr:row>
      <xdr:rowOff>133350</xdr:rowOff>
    </xdr:to>
    <xdr:sp macro="" textlink="">
      <xdr:nvSpPr>
        <xdr:cNvPr id="31" name="Flowchart: Terminator 30">
          <a:extLst>
            <a:ext uri="{FF2B5EF4-FFF2-40B4-BE49-F238E27FC236}">
              <a16:creationId xmlns:a16="http://schemas.microsoft.com/office/drawing/2014/main" id="{4425D682-9254-4355-8F86-762D943B060C}"/>
            </a:ext>
          </a:extLst>
        </xdr:cNvPr>
        <xdr:cNvSpPr/>
      </xdr:nvSpPr>
      <xdr:spPr>
        <a:xfrm>
          <a:off x="10761144975" y="6877049"/>
          <a:ext cx="1866900" cy="495301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200">
              <a:cs typeface="B Nazanin" panose="00000400000000000000" pitchFamily="2" charset="-78"/>
            </a:rPr>
            <a:t>51   ساخت قطعه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5</xdr:col>
      <xdr:colOff>638175</xdr:colOff>
      <xdr:row>39</xdr:row>
      <xdr:rowOff>66674</xdr:rowOff>
    </xdr:from>
    <xdr:to>
      <xdr:col>8</xdr:col>
      <xdr:colOff>533400</xdr:colOff>
      <xdr:row>41</xdr:row>
      <xdr:rowOff>180975</xdr:rowOff>
    </xdr:to>
    <xdr:sp macro="" textlink="">
      <xdr:nvSpPr>
        <xdr:cNvPr id="32" name="Flowchart: Terminator 31">
          <a:extLst>
            <a:ext uri="{FF2B5EF4-FFF2-40B4-BE49-F238E27FC236}">
              <a16:creationId xmlns:a16="http://schemas.microsoft.com/office/drawing/2014/main" id="{6C7160BC-EAF9-41AA-8424-829EDBD63B57}"/>
            </a:ext>
          </a:extLst>
        </xdr:cNvPr>
        <xdr:cNvSpPr/>
      </xdr:nvSpPr>
      <xdr:spPr>
        <a:xfrm>
          <a:off x="10762402275" y="7496174"/>
          <a:ext cx="1866900" cy="495301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200">
              <a:cs typeface="B Nazanin" panose="00000400000000000000" pitchFamily="2" charset="-78"/>
            </a:rPr>
            <a:t>0    تعمیر دستگاه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2</xdr:col>
      <xdr:colOff>352425</xdr:colOff>
      <xdr:row>39</xdr:row>
      <xdr:rowOff>76199</xdr:rowOff>
    </xdr:from>
    <xdr:to>
      <xdr:col>5</xdr:col>
      <xdr:colOff>247650</xdr:colOff>
      <xdr:row>42</xdr:row>
      <xdr:rowOff>0</xdr:rowOff>
    </xdr:to>
    <xdr:sp macro="" textlink="">
      <xdr:nvSpPr>
        <xdr:cNvPr id="33" name="Flowchart: Terminator 32">
          <a:extLst>
            <a:ext uri="{FF2B5EF4-FFF2-40B4-BE49-F238E27FC236}">
              <a16:creationId xmlns:a16="http://schemas.microsoft.com/office/drawing/2014/main" id="{ADB5237B-E347-4CCC-8991-FEFA4C2F209E}"/>
            </a:ext>
          </a:extLst>
        </xdr:cNvPr>
        <xdr:cNvSpPr/>
      </xdr:nvSpPr>
      <xdr:spPr>
        <a:xfrm>
          <a:off x="10764659700" y="7505699"/>
          <a:ext cx="1866900" cy="495301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200">
              <a:cs typeface="B Nazanin" panose="00000400000000000000" pitchFamily="2" charset="-78"/>
            </a:rPr>
            <a:t>3    ساخت قالب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4</xdr:col>
      <xdr:colOff>257175</xdr:colOff>
      <xdr:row>43</xdr:row>
      <xdr:rowOff>9524</xdr:rowOff>
    </xdr:from>
    <xdr:to>
      <xdr:col>7</xdr:col>
      <xdr:colOff>152400</xdr:colOff>
      <xdr:row>45</xdr:row>
      <xdr:rowOff>123825</xdr:rowOff>
    </xdr:to>
    <xdr:sp macro="" textlink="">
      <xdr:nvSpPr>
        <xdr:cNvPr id="34" name="Flowchart: Terminator 33">
          <a:extLst>
            <a:ext uri="{FF2B5EF4-FFF2-40B4-BE49-F238E27FC236}">
              <a16:creationId xmlns:a16="http://schemas.microsoft.com/office/drawing/2014/main" id="{56878F12-0C9B-4E07-B0FD-0DDF61986D07}"/>
            </a:ext>
          </a:extLst>
        </xdr:cNvPr>
        <xdr:cNvSpPr/>
      </xdr:nvSpPr>
      <xdr:spPr>
        <a:xfrm>
          <a:off x="10763440500" y="8201024"/>
          <a:ext cx="1866900" cy="495301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200">
              <a:cs typeface="B Nazanin" panose="00000400000000000000" pitchFamily="2" charset="-78"/>
            </a:rPr>
            <a:t>3 ساخت دستگاه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7</xdr:col>
      <xdr:colOff>257175</xdr:colOff>
      <xdr:row>46</xdr:row>
      <xdr:rowOff>57150</xdr:rowOff>
    </xdr:from>
    <xdr:to>
      <xdr:col>7</xdr:col>
      <xdr:colOff>571500</xdr:colOff>
      <xdr:row>47</xdr:row>
      <xdr:rowOff>152400</xdr:rowOff>
    </xdr:to>
    <xdr:sp macro="" textlink="">
      <xdr:nvSpPr>
        <xdr:cNvPr id="35" name="Octagon 34">
          <a:extLst>
            <a:ext uri="{FF2B5EF4-FFF2-40B4-BE49-F238E27FC236}">
              <a16:creationId xmlns:a16="http://schemas.microsoft.com/office/drawing/2014/main" id="{F2BACD74-4B16-4AAD-8ACF-2DC360E5EFC7}"/>
            </a:ext>
          </a:extLst>
        </xdr:cNvPr>
        <xdr:cNvSpPr/>
      </xdr:nvSpPr>
      <xdr:spPr>
        <a:xfrm>
          <a:off x="10763021400" y="8820150"/>
          <a:ext cx="314325" cy="323850"/>
        </a:xfrm>
        <a:prstGeom prst="octagon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3</xdr:col>
      <xdr:colOff>219075</xdr:colOff>
      <xdr:row>46</xdr:row>
      <xdr:rowOff>76200</xdr:rowOff>
    </xdr:from>
    <xdr:to>
      <xdr:col>4</xdr:col>
      <xdr:colOff>9526</xdr:colOff>
      <xdr:row>47</xdr:row>
      <xdr:rowOff>152399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2B23EDC2-3888-41AB-A605-EACBF4BC46B1}"/>
            </a:ext>
          </a:extLst>
        </xdr:cNvPr>
        <xdr:cNvSpPr/>
      </xdr:nvSpPr>
      <xdr:spPr>
        <a:xfrm>
          <a:off x="10765555049" y="8839200"/>
          <a:ext cx="447676" cy="30479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en-US" sz="800"/>
            <a:t>NEW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8</xdr:row>
      <xdr:rowOff>114300</xdr:rowOff>
    </xdr:from>
    <xdr:to>
      <xdr:col>2</xdr:col>
      <xdr:colOff>371475</xdr:colOff>
      <xdr:row>13</xdr:row>
      <xdr:rowOff>57150</xdr:rowOff>
    </xdr:to>
    <xdr:sp macro="" textlink="">
      <xdr:nvSpPr>
        <xdr:cNvPr id="2" name="Flowchart: Alternate Process 1">
          <a:extLst>
            <a:ext uri="{FF2B5EF4-FFF2-40B4-BE49-F238E27FC236}">
              <a16:creationId xmlns:a16="http://schemas.microsoft.com/office/drawing/2014/main" id="{9AFC1898-A84D-4EDD-A32E-02AA15CFF703}"/>
            </a:ext>
          </a:extLst>
        </xdr:cNvPr>
        <xdr:cNvSpPr/>
      </xdr:nvSpPr>
      <xdr:spPr>
        <a:xfrm>
          <a:off x="10766507550" y="1638300"/>
          <a:ext cx="1238250" cy="895350"/>
        </a:xfrm>
        <a:prstGeom prst="flowChartAlternate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fa-IR" sz="1800">
              <a:latin typeface="+mn-lt"/>
              <a:cs typeface="B Nazanin" panose="00000400000000000000" pitchFamily="2" charset="-78"/>
            </a:rPr>
            <a:t>73</a:t>
          </a:r>
        </a:p>
        <a:p>
          <a:pPr algn="r" rtl="1"/>
          <a:r>
            <a:rPr lang="fa-IR" sz="1100">
              <a:cs typeface="B Nazanin" panose="00000400000000000000" pitchFamily="2" charset="-78"/>
            </a:rPr>
            <a:t>    </a:t>
          </a:r>
          <a:r>
            <a:rPr lang="fa-IR" sz="1600">
              <a:solidFill>
                <a:sysClr val="windowText" lastClr="000000"/>
              </a:solidFill>
              <a:latin typeface="Aglio Picasso" pitchFamily="2" charset="0"/>
              <a:cs typeface="B Nazanin" panose="00000400000000000000" pitchFamily="2" charset="-78"/>
            </a:rPr>
            <a:t>√</a:t>
          </a:r>
          <a:r>
            <a:rPr lang="fa-IR" sz="1100">
              <a:cs typeface="B Nazanin" panose="00000400000000000000" pitchFamily="2" charset="-78"/>
            </a:rPr>
            <a:t> </a:t>
          </a:r>
          <a:r>
            <a:rPr lang="fa-IR" sz="1200">
              <a:cs typeface="B Nazanin" panose="00000400000000000000" pitchFamily="2" charset="-78"/>
            </a:rPr>
            <a:t>درخواست فعال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2</xdr:col>
      <xdr:colOff>561975</xdr:colOff>
      <xdr:row>8</xdr:row>
      <xdr:rowOff>142875</xdr:rowOff>
    </xdr:from>
    <xdr:to>
      <xdr:col>4</xdr:col>
      <xdr:colOff>485775</xdr:colOff>
      <xdr:row>13</xdr:row>
      <xdr:rowOff>85725</xdr:rowOff>
    </xdr:to>
    <xdr:sp macro="" textlink="">
      <xdr:nvSpPr>
        <xdr:cNvPr id="3" name="Flowchart: Alternate Process 2">
          <a:extLst>
            <a:ext uri="{FF2B5EF4-FFF2-40B4-BE49-F238E27FC236}">
              <a16:creationId xmlns:a16="http://schemas.microsoft.com/office/drawing/2014/main" id="{5D71E67A-0991-40B0-A8F9-DB82457ED555}"/>
            </a:ext>
          </a:extLst>
        </xdr:cNvPr>
        <xdr:cNvSpPr/>
      </xdr:nvSpPr>
      <xdr:spPr>
        <a:xfrm>
          <a:off x="10765078800" y="1666875"/>
          <a:ext cx="1238250" cy="895350"/>
        </a:xfrm>
        <a:prstGeom prst="flowChartAlternate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fa-IR" sz="1800">
              <a:cs typeface="B Nazanin" panose="00000400000000000000" pitchFamily="2" charset="-78"/>
            </a:rPr>
            <a:t>91</a:t>
          </a:r>
          <a:endParaRPr lang="en-US" sz="1800">
            <a:cs typeface="B Nazanin" panose="00000400000000000000" pitchFamily="2" charset="-78"/>
          </a:endParaRPr>
        </a:p>
        <a:p>
          <a:pPr algn="ctr" rtl="1"/>
          <a:r>
            <a:rPr lang="fa-IR" sz="1200">
              <a:cs typeface="B Nazanin" panose="00000400000000000000" pitchFamily="2" charset="-78"/>
            </a:rPr>
            <a:t>     کل</a:t>
          </a:r>
          <a:r>
            <a:rPr lang="fa-IR" sz="1200" baseline="0">
              <a:cs typeface="B Nazanin" panose="00000400000000000000" pitchFamily="2" charset="-78"/>
            </a:rPr>
            <a:t> درخواست ها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7</xdr:col>
      <xdr:colOff>19050</xdr:colOff>
      <xdr:row>8</xdr:row>
      <xdr:rowOff>133350</xdr:rowOff>
    </xdr:from>
    <xdr:to>
      <xdr:col>8</xdr:col>
      <xdr:colOff>600075</xdr:colOff>
      <xdr:row>13</xdr:row>
      <xdr:rowOff>76200</xdr:rowOff>
    </xdr:to>
    <xdr:sp macro="" textlink="">
      <xdr:nvSpPr>
        <xdr:cNvPr id="4" name="Flowchart: Alternate Process 3">
          <a:extLst>
            <a:ext uri="{FF2B5EF4-FFF2-40B4-BE49-F238E27FC236}">
              <a16:creationId xmlns:a16="http://schemas.microsoft.com/office/drawing/2014/main" id="{5A41C96F-8334-492A-974F-48C877A9AE5F}"/>
            </a:ext>
          </a:extLst>
        </xdr:cNvPr>
        <xdr:cNvSpPr/>
      </xdr:nvSpPr>
      <xdr:spPr>
        <a:xfrm>
          <a:off x="10762335600" y="1657350"/>
          <a:ext cx="1238250" cy="895350"/>
        </a:xfrm>
        <a:prstGeom prst="flowChartAlternate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fa-IR" sz="1800">
              <a:cs typeface="B Nazanin" panose="00000400000000000000" pitchFamily="2" charset="-78"/>
            </a:rPr>
            <a:t>221.86</a:t>
          </a:r>
        </a:p>
        <a:p>
          <a:pPr algn="ctr" rtl="1"/>
          <a:r>
            <a:rPr lang="fa-IR" sz="1100">
              <a:cs typeface="B Nazanin" panose="00000400000000000000" pitchFamily="2" charset="-78"/>
            </a:rPr>
            <a:t>      تعمیرات میلیون</a:t>
          </a:r>
        </a:p>
        <a:p>
          <a:pPr algn="ctr" rtl="1"/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9</xdr:col>
      <xdr:colOff>47625</xdr:colOff>
      <xdr:row>8</xdr:row>
      <xdr:rowOff>133350</xdr:rowOff>
    </xdr:from>
    <xdr:to>
      <xdr:col>10</xdr:col>
      <xdr:colOff>352425</xdr:colOff>
      <xdr:row>13</xdr:row>
      <xdr:rowOff>76200</xdr:rowOff>
    </xdr:to>
    <xdr:sp macro="" textlink="">
      <xdr:nvSpPr>
        <xdr:cNvPr id="5" name="Flowchart: Alternate Process 4">
          <a:extLst>
            <a:ext uri="{FF2B5EF4-FFF2-40B4-BE49-F238E27FC236}">
              <a16:creationId xmlns:a16="http://schemas.microsoft.com/office/drawing/2014/main" id="{05DC32AE-E226-4126-AD53-68BAB571D769}"/>
            </a:ext>
          </a:extLst>
        </xdr:cNvPr>
        <xdr:cNvSpPr/>
      </xdr:nvSpPr>
      <xdr:spPr>
        <a:xfrm>
          <a:off x="10760992575" y="1657350"/>
          <a:ext cx="1238250" cy="895350"/>
        </a:xfrm>
        <a:prstGeom prst="flowChartAlternate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fa-IR" sz="1400">
              <a:cs typeface="B Nazanin" panose="00000400000000000000" pitchFamily="2" charset="-78"/>
            </a:rPr>
            <a:t>215.87</a:t>
          </a:r>
        </a:p>
        <a:p>
          <a:pPr algn="ctr" rtl="1"/>
          <a:r>
            <a:rPr lang="en-US" sz="1400"/>
            <a:t>    </a:t>
          </a:r>
          <a:r>
            <a:rPr lang="fa-IR" sz="1400"/>
            <a:t>ساخت</a:t>
          </a:r>
          <a:r>
            <a:rPr lang="en-US" sz="1400"/>
            <a:t> </a:t>
          </a:r>
          <a:r>
            <a:rPr lang="fa-IR" sz="1400"/>
            <a:t>میلیون</a:t>
          </a:r>
          <a:endParaRPr lang="en-US" sz="1400"/>
        </a:p>
      </xdr:txBody>
    </xdr:sp>
    <xdr:clientData/>
  </xdr:twoCellAnchor>
  <xdr:twoCellAnchor>
    <xdr:from>
      <xdr:col>2</xdr:col>
      <xdr:colOff>600075</xdr:colOff>
      <xdr:row>10</xdr:row>
      <xdr:rowOff>152400</xdr:rowOff>
    </xdr:from>
    <xdr:to>
      <xdr:col>3</xdr:col>
      <xdr:colOff>200025</xdr:colOff>
      <xdr:row>12</xdr:row>
      <xdr:rowOff>19050</xdr:rowOff>
    </xdr:to>
    <xdr:sp macro="" textlink="">
      <xdr:nvSpPr>
        <xdr:cNvPr id="7" name="Cube 6">
          <a:extLst>
            <a:ext uri="{FF2B5EF4-FFF2-40B4-BE49-F238E27FC236}">
              <a16:creationId xmlns:a16="http://schemas.microsoft.com/office/drawing/2014/main" id="{D56BE520-AF84-493B-9F13-62E135FE722E}"/>
            </a:ext>
          </a:extLst>
        </xdr:cNvPr>
        <xdr:cNvSpPr/>
      </xdr:nvSpPr>
      <xdr:spPr>
        <a:xfrm>
          <a:off x="10766021775" y="2057400"/>
          <a:ext cx="257175" cy="247650"/>
        </a:xfrm>
        <a:prstGeom prst="cub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169734</xdr:colOff>
      <xdr:row>14</xdr:row>
      <xdr:rowOff>71437</xdr:rowOff>
    </xdr:from>
    <xdr:to>
      <xdr:col>5</xdr:col>
      <xdr:colOff>409575</xdr:colOff>
      <xdr:row>30</xdr:row>
      <xdr:rowOff>142875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D1FD900-AF49-4743-994F-66AEB0A7AA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590550</xdr:colOff>
      <xdr:row>14</xdr:row>
      <xdr:rowOff>61912</xdr:rowOff>
    </xdr:from>
    <xdr:to>
      <xdr:col>10</xdr:col>
      <xdr:colOff>333375</xdr:colOff>
      <xdr:row>30</xdr:row>
      <xdr:rowOff>133350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2CC2E67-CF51-4F64-BBFB-22527A65E8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76201</xdr:colOff>
      <xdr:row>10</xdr:row>
      <xdr:rowOff>76200</xdr:rowOff>
    </xdr:from>
    <xdr:to>
      <xdr:col>7</xdr:col>
      <xdr:colOff>295276</xdr:colOff>
      <xdr:row>12</xdr:row>
      <xdr:rowOff>9525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0CACF23-31D9-4967-B898-49AA0F6AD437}"/>
            </a:ext>
          </a:extLst>
        </xdr:cNvPr>
        <xdr:cNvSpPr txBox="1"/>
      </xdr:nvSpPr>
      <xdr:spPr>
        <a:xfrm>
          <a:off x="10763297624" y="1981200"/>
          <a:ext cx="219075" cy="314325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1800">
              <a:latin typeface="Aglio Picasso" pitchFamily="2" charset="0"/>
            </a:rPr>
            <a:t>$</a:t>
          </a:r>
          <a:endParaRPr lang="en-US" sz="1800"/>
        </a:p>
      </xdr:txBody>
    </xdr:sp>
    <xdr:clientData/>
  </xdr:twoCellAnchor>
  <xdr:twoCellAnchor>
    <xdr:from>
      <xdr:col>4</xdr:col>
      <xdr:colOff>628650</xdr:colOff>
      <xdr:row>8</xdr:row>
      <xdr:rowOff>133350</xdr:rowOff>
    </xdr:from>
    <xdr:to>
      <xdr:col>6</xdr:col>
      <xdr:colOff>552450</xdr:colOff>
      <xdr:row>13</xdr:row>
      <xdr:rowOff>76200</xdr:rowOff>
    </xdr:to>
    <xdr:sp macro="" textlink="">
      <xdr:nvSpPr>
        <xdr:cNvPr id="11" name="Flowchart: Alternate Process 10">
          <a:extLst>
            <a:ext uri="{FF2B5EF4-FFF2-40B4-BE49-F238E27FC236}">
              <a16:creationId xmlns:a16="http://schemas.microsoft.com/office/drawing/2014/main" id="{BB97B2E9-DF9A-4553-8163-C0347C7BC5AA}"/>
            </a:ext>
          </a:extLst>
        </xdr:cNvPr>
        <xdr:cNvSpPr/>
      </xdr:nvSpPr>
      <xdr:spPr>
        <a:xfrm>
          <a:off x="10763697675" y="1657350"/>
          <a:ext cx="1238250" cy="895350"/>
        </a:xfrm>
        <a:prstGeom prst="flowChartAlternateProcess">
          <a:avLst/>
        </a:prstGeom>
        <a:solidFill>
          <a:schemeClr val="accent1"/>
        </a:solidFill>
        <a:ln cmpd="dbl">
          <a:solidFill>
            <a:schemeClr val="accent1">
              <a:shade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800">
              <a:cs typeface="B Nazanin" panose="00000400000000000000" pitchFamily="2" charset="-78"/>
            </a:rPr>
            <a:t>589</a:t>
          </a:r>
        </a:p>
        <a:p>
          <a:pPr algn="ctr" rtl="1"/>
          <a:r>
            <a:rPr lang="fa-IR" sz="1200">
              <a:solidFill>
                <a:schemeClr val="bg1"/>
              </a:solidFill>
              <a:latin typeface="Walbaum Display Light" panose="020B0604020202020204" pitchFamily="18" charset="0"/>
              <a:cs typeface="B Nazanin" panose="00000400000000000000" pitchFamily="2" charset="-78"/>
            </a:rPr>
            <a:t>ساعت کاری</a:t>
          </a:r>
          <a:endParaRPr lang="en-US" sz="1200">
            <a:solidFill>
              <a:schemeClr val="bg1"/>
            </a:solidFill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95250</xdr:colOff>
      <xdr:row>0</xdr:row>
      <xdr:rowOff>190499</xdr:rowOff>
    </xdr:from>
    <xdr:to>
      <xdr:col>10</xdr:col>
      <xdr:colOff>323850</xdr:colOff>
      <xdr:row>8</xdr:row>
      <xdr:rowOff>28574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EC19DFD-C544-4E1C-AA90-7F99F540BEA1}"/>
            </a:ext>
          </a:extLst>
        </xdr:cNvPr>
        <xdr:cNvSpPr txBox="1"/>
      </xdr:nvSpPr>
      <xdr:spPr>
        <a:xfrm>
          <a:off x="10761021150" y="190499"/>
          <a:ext cx="6781800" cy="1362075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r>
            <a:rPr lang="fa-IR" sz="2400">
              <a:cs typeface="B Nazanin" panose="00000400000000000000" pitchFamily="2" charset="-78"/>
            </a:rPr>
            <a:t>گزارش درخواست های هفتگی</a:t>
          </a:r>
        </a:p>
        <a:p>
          <a:pPr algn="ctr" rtl="1"/>
          <a:r>
            <a:rPr lang="fa-IR" sz="2400">
              <a:cs typeface="B Nazanin" panose="00000400000000000000" pitchFamily="2" charset="-78"/>
            </a:rPr>
            <a:t>واحد قالب سازی</a:t>
          </a:r>
        </a:p>
        <a:p>
          <a:pPr algn="ctr" rtl="1"/>
          <a:r>
            <a:rPr lang="fa-IR" sz="1600">
              <a:cs typeface="B Nazanin" panose="00000400000000000000" pitchFamily="2" charset="-78"/>
            </a:rPr>
            <a:t>شرکت جهان ترمز   شماره 2  .   هفته 3</a:t>
          </a:r>
          <a:endParaRPr lang="en-US" sz="1600">
            <a:cs typeface="B Nazanin" panose="00000400000000000000" pitchFamily="2" charset="-78"/>
          </a:endParaRPr>
        </a:p>
      </xdr:txBody>
    </xdr:sp>
    <xdr:clientData/>
  </xdr:twoCellAnchor>
  <xdr:twoCellAnchor>
    <xdr:from>
      <xdr:col>9</xdr:col>
      <xdr:colOff>66676</xdr:colOff>
      <xdr:row>10</xdr:row>
      <xdr:rowOff>47625</xdr:rowOff>
    </xdr:from>
    <xdr:to>
      <xdr:col>9</xdr:col>
      <xdr:colOff>285751</xdr:colOff>
      <xdr:row>11</xdr:row>
      <xdr:rowOff>171450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2365F65-65F6-42A0-B271-BC43F8DCE869}"/>
            </a:ext>
          </a:extLst>
        </xdr:cNvPr>
        <xdr:cNvSpPr txBox="1"/>
      </xdr:nvSpPr>
      <xdr:spPr>
        <a:xfrm>
          <a:off x="10761992699" y="1952625"/>
          <a:ext cx="219075" cy="314325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1800">
              <a:latin typeface="Aglio Picasso" pitchFamily="2" charset="0"/>
            </a:rPr>
            <a:t>$</a:t>
          </a:r>
          <a:endParaRPr lang="en-US" sz="1800"/>
        </a:p>
      </xdr:txBody>
    </xdr:sp>
    <xdr:clientData/>
  </xdr:twoCellAnchor>
  <xdr:twoCellAnchor>
    <xdr:from>
      <xdr:col>0</xdr:col>
      <xdr:colOff>180975</xdr:colOff>
      <xdr:row>31</xdr:row>
      <xdr:rowOff>95250</xdr:rowOff>
    </xdr:from>
    <xdr:to>
      <xdr:col>5</xdr:col>
      <xdr:colOff>381000</xdr:colOff>
      <xdr:row>34</xdr:row>
      <xdr:rowOff>95250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BD97861-B9D6-41B9-9098-AEDD06F73992}"/>
            </a:ext>
          </a:extLst>
        </xdr:cNvPr>
        <xdr:cNvSpPr txBox="1"/>
      </xdr:nvSpPr>
      <xdr:spPr>
        <a:xfrm>
          <a:off x="10764526350" y="6000750"/>
          <a:ext cx="3190875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en-US" sz="1100"/>
            <a:t>73</a:t>
          </a:r>
          <a:r>
            <a:rPr lang="fa-IR" sz="1100"/>
            <a:t> درخواست</a:t>
          </a:r>
          <a:r>
            <a:rPr lang="fa-IR" sz="1100" baseline="0"/>
            <a:t> فعال . بیشترین مربوط به ساخت قطعه (</a:t>
          </a:r>
          <a:r>
            <a:rPr lang="en-US" sz="1100" baseline="0"/>
            <a:t>41</a:t>
          </a:r>
          <a:r>
            <a:rPr lang="fa-IR" sz="1100" baseline="0"/>
            <a:t>)</a:t>
          </a:r>
          <a:endParaRPr lang="en-US" sz="1100"/>
        </a:p>
      </xdr:txBody>
    </xdr:sp>
    <xdr:clientData/>
  </xdr:twoCellAnchor>
  <xdr:twoCellAnchor>
    <xdr:from>
      <xdr:col>5</xdr:col>
      <xdr:colOff>647700</xdr:colOff>
      <xdr:row>31</xdr:row>
      <xdr:rowOff>104775</xdr:rowOff>
    </xdr:from>
    <xdr:to>
      <xdr:col>10</xdr:col>
      <xdr:colOff>276225</xdr:colOff>
      <xdr:row>34</xdr:row>
      <xdr:rowOff>104775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A4E7F66-CE61-48A1-9A8E-6DDC867F106F}"/>
            </a:ext>
          </a:extLst>
        </xdr:cNvPr>
        <xdr:cNvSpPr txBox="1"/>
      </xdr:nvSpPr>
      <xdr:spPr>
        <a:xfrm>
          <a:off x="10761068775" y="6010275"/>
          <a:ext cx="3190875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r>
            <a:rPr lang="fa-IR" sz="1100"/>
            <a:t>مجموع </a:t>
          </a:r>
          <a:r>
            <a:rPr lang="en-US" sz="1100"/>
            <a:t>589</a:t>
          </a:r>
          <a:r>
            <a:rPr lang="fa-IR" sz="1100"/>
            <a:t> ساعت</a:t>
          </a:r>
          <a:r>
            <a:rPr lang="fa-IR" sz="1100" baseline="0"/>
            <a:t> . بیشترین تعمیر قالب (278)</a:t>
          </a:r>
          <a:endParaRPr lang="en-US" sz="1100"/>
        </a:p>
      </xdr:txBody>
    </xdr:sp>
    <xdr:clientData/>
  </xdr:twoCellAnchor>
  <xdr:twoCellAnchor>
    <xdr:from>
      <xdr:col>4</xdr:col>
      <xdr:colOff>333375</xdr:colOff>
      <xdr:row>36</xdr:row>
      <xdr:rowOff>19049</xdr:rowOff>
    </xdr:from>
    <xdr:to>
      <xdr:col>7</xdr:col>
      <xdr:colOff>228600</xdr:colOff>
      <xdr:row>38</xdr:row>
      <xdr:rowOff>133350</xdr:rowOff>
    </xdr:to>
    <xdr:sp macro="" textlink="">
      <xdr:nvSpPr>
        <xdr:cNvPr id="16" name="Flowchart: Terminator 15">
          <a:extLst>
            <a:ext uri="{FF2B5EF4-FFF2-40B4-BE49-F238E27FC236}">
              <a16:creationId xmlns:a16="http://schemas.microsoft.com/office/drawing/2014/main" id="{82BE387D-6928-468F-BE00-9AC04512ED31}"/>
            </a:ext>
          </a:extLst>
        </xdr:cNvPr>
        <xdr:cNvSpPr/>
      </xdr:nvSpPr>
      <xdr:spPr>
        <a:xfrm>
          <a:off x="10763364300" y="6877049"/>
          <a:ext cx="1866900" cy="495301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200">
              <a:cs typeface="B Nazanin" panose="00000400000000000000" pitchFamily="2" charset="-78"/>
            </a:rPr>
            <a:t>20    تعمیر قالب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333375</xdr:colOff>
      <xdr:row>36</xdr:row>
      <xdr:rowOff>19049</xdr:rowOff>
    </xdr:from>
    <xdr:to>
      <xdr:col>3</xdr:col>
      <xdr:colOff>523875</xdr:colOff>
      <xdr:row>38</xdr:row>
      <xdr:rowOff>133350</xdr:rowOff>
    </xdr:to>
    <xdr:sp macro="" textlink="">
      <xdr:nvSpPr>
        <xdr:cNvPr id="17" name="Flowchart: Terminator 16">
          <a:extLst>
            <a:ext uri="{FF2B5EF4-FFF2-40B4-BE49-F238E27FC236}">
              <a16:creationId xmlns:a16="http://schemas.microsoft.com/office/drawing/2014/main" id="{67E99D23-AB68-4BCE-BC33-1123E88900E0}"/>
            </a:ext>
          </a:extLst>
        </xdr:cNvPr>
        <xdr:cNvSpPr/>
      </xdr:nvSpPr>
      <xdr:spPr>
        <a:xfrm>
          <a:off x="10765697925" y="6877049"/>
          <a:ext cx="1866900" cy="495301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200">
              <a:cs typeface="B Nazanin" panose="00000400000000000000" pitchFamily="2" charset="-78"/>
            </a:rPr>
            <a:t>12     تعمیر قطعه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7</xdr:col>
      <xdr:colOff>581025</xdr:colOff>
      <xdr:row>36</xdr:row>
      <xdr:rowOff>19049</xdr:rowOff>
    </xdr:from>
    <xdr:to>
      <xdr:col>10</xdr:col>
      <xdr:colOff>200025</xdr:colOff>
      <xdr:row>38</xdr:row>
      <xdr:rowOff>133350</xdr:rowOff>
    </xdr:to>
    <xdr:sp macro="" textlink="">
      <xdr:nvSpPr>
        <xdr:cNvPr id="18" name="Flowchart: Terminator 17">
          <a:extLst>
            <a:ext uri="{FF2B5EF4-FFF2-40B4-BE49-F238E27FC236}">
              <a16:creationId xmlns:a16="http://schemas.microsoft.com/office/drawing/2014/main" id="{22F403B4-0B1B-4D3B-B2CB-7506C19338EC}"/>
            </a:ext>
          </a:extLst>
        </xdr:cNvPr>
        <xdr:cNvSpPr/>
      </xdr:nvSpPr>
      <xdr:spPr>
        <a:xfrm>
          <a:off x="10761144975" y="6877049"/>
          <a:ext cx="1866900" cy="495301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200">
              <a:cs typeface="B Nazanin" panose="00000400000000000000" pitchFamily="2" charset="-78"/>
            </a:rPr>
            <a:t>51   ساخت قطعه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5</xdr:col>
      <xdr:colOff>638175</xdr:colOff>
      <xdr:row>39</xdr:row>
      <xdr:rowOff>66674</xdr:rowOff>
    </xdr:from>
    <xdr:to>
      <xdr:col>8</xdr:col>
      <xdr:colOff>533400</xdr:colOff>
      <xdr:row>41</xdr:row>
      <xdr:rowOff>180975</xdr:rowOff>
    </xdr:to>
    <xdr:sp macro="" textlink="">
      <xdr:nvSpPr>
        <xdr:cNvPr id="19" name="Flowchart: Terminator 18">
          <a:extLst>
            <a:ext uri="{FF2B5EF4-FFF2-40B4-BE49-F238E27FC236}">
              <a16:creationId xmlns:a16="http://schemas.microsoft.com/office/drawing/2014/main" id="{6F9699D3-03EF-42F1-868D-41DEF1016FA0}"/>
            </a:ext>
          </a:extLst>
        </xdr:cNvPr>
        <xdr:cNvSpPr/>
      </xdr:nvSpPr>
      <xdr:spPr>
        <a:xfrm>
          <a:off x="10762402275" y="7496174"/>
          <a:ext cx="1866900" cy="495301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200">
              <a:cs typeface="B Nazanin" panose="00000400000000000000" pitchFamily="2" charset="-78"/>
            </a:rPr>
            <a:t>2    تعمیر دستگاه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2</xdr:col>
      <xdr:colOff>352425</xdr:colOff>
      <xdr:row>39</xdr:row>
      <xdr:rowOff>76199</xdr:rowOff>
    </xdr:from>
    <xdr:to>
      <xdr:col>5</xdr:col>
      <xdr:colOff>247650</xdr:colOff>
      <xdr:row>42</xdr:row>
      <xdr:rowOff>0</xdr:rowOff>
    </xdr:to>
    <xdr:sp macro="" textlink="">
      <xdr:nvSpPr>
        <xdr:cNvPr id="20" name="Flowchart: Terminator 19">
          <a:extLst>
            <a:ext uri="{FF2B5EF4-FFF2-40B4-BE49-F238E27FC236}">
              <a16:creationId xmlns:a16="http://schemas.microsoft.com/office/drawing/2014/main" id="{8452F887-E609-4FB3-BEA9-07CE2AB4D39A}"/>
            </a:ext>
          </a:extLst>
        </xdr:cNvPr>
        <xdr:cNvSpPr/>
      </xdr:nvSpPr>
      <xdr:spPr>
        <a:xfrm>
          <a:off x="10764659700" y="7505699"/>
          <a:ext cx="1866900" cy="495301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200">
              <a:cs typeface="B Nazanin" panose="00000400000000000000" pitchFamily="2" charset="-78"/>
            </a:rPr>
            <a:t>3   ساخت قالب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4</xdr:col>
      <xdr:colOff>257175</xdr:colOff>
      <xdr:row>43</xdr:row>
      <xdr:rowOff>9524</xdr:rowOff>
    </xdr:from>
    <xdr:to>
      <xdr:col>7</xdr:col>
      <xdr:colOff>152400</xdr:colOff>
      <xdr:row>45</xdr:row>
      <xdr:rowOff>123825</xdr:rowOff>
    </xdr:to>
    <xdr:sp macro="" textlink="">
      <xdr:nvSpPr>
        <xdr:cNvPr id="21" name="Flowchart: Terminator 20">
          <a:extLst>
            <a:ext uri="{FF2B5EF4-FFF2-40B4-BE49-F238E27FC236}">
              <a16:creationId xmlns:a16="http://schemas.microsoft.com/office/drawing/2014/main" id="{D793575A-C11F-4907-BB05-5802EF8958BA}"/>
            </a:ext>
          </a:extLst>
        </xdr:cNvPr>
        <xdr:cNvSpPr/>
      </xdr:nvSpPr>
      <xdr:spPr>
        <a:xfrm>
          <a:off x="10763440500" y="8201024"/>
          <a:ext cx="1866900" cy="495301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200">
              <a:cs typeface="B Nazanin" panose="00000400000000000000" pitchFamily="2" charset="-78"/>
            </a:rPr>
            <a:t>3  ساخت دستگاه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7</xdr:col>
      <xdr:colOff>238125</xdr:colOff>
      <xdr:row>46</xdr:row>
      <xdr:rowOff>76200</xdr:rowOff>
    </xdr:from>
    <xdr:to>
      <xdr:col>7</xdr:col>
      <xdr:colOff>552450</xdr:colOff>
      <xdr:row>47</xdr:row>
      <xdr:rowOff>171450</xdr:rowOff>
    </xdr:to>
    <xdr:sp macro="" textlink="">
      <xdr:nvSpPr>
        <xdr:cNvPr id="22" name="Octagon 21">
          <a:extLst>
            <a:ext uri="{FF2B5EF4-FFF2-40B4-BE49-F238E27FC236}">
              <a16:creationId xmlns:a16="http://schemas.microsoft.com/office/drawing/2014/main" id="{1DAAC4D9-1817-452E-9644-A10BEC0318A0}"/>
            </a:ext>
          </a:extLst>
        </xdr:cNvPr>
        <xdr:cNvSpPr/>
      </xdr:nvSpPr>
      <xdr:spPr>
        <a:xfrm>
          <a:off x="10763040450" y="8839200"/>
          <a:ext cx="314325" cy="323850"/>
        </a:xfrm>
        <a:prstGeom prst="octagon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3</xdr:col>
      <xdr:colOff>266700</xdr:colOff>
      <xdr:row>46</xdr:row>
      <xdr:rowOff>76200</xdr:rowOff>
    </xdr:from>
    <xdr:to>
      <xdr:col>4</xdr:col>
      <xdr:colOff>57151</xdr:colOff>
      <xdr:row>47</xdr:row>
      <xdr:rowOff>152399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5409272E-C4CB-46CF-8C2B-0FE492A23F78}"/>
            </a:ext>
          </a:extLst>
        </xdr:cNvPr>
        <xdr:cNvSpPr/>
      </xdr:nvSpPr>
      <xdr:spPr>
        <a:xfrm>
          <a:off x="10765507424" y="8839200"/>
          <a:ext cx="447676" cy="30479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en-US" sz="800"/>
            <a:t>NEW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8</xdr:row>
      <xdr:rowOff>114300</xdr:rowOff>
    </xdr:from>
    <xdr:to>
      <xdr:col>2</xdr:col>
      <xdr:colOff>371475</xdr:colOff>
      <xdr:row>13</xdr:row>
      <xdr:rowOff>57150</xdr:rowOff>
    </xdr:to>
    <xdr:sp macro="" textlink="">
      <xdr:nvSpPr>
        <xdr:cNvPr id="2" name="Flowchart: Alternate Process 1">
          <a:extLst>
            <a:ext uri="{FF2B5EF4-FFF2-40B4-BE49-F238E27FC236}">
              <a16:creationId xmlns:a16="http://schemas.microsoft.com/office/drawing/2014/main" id="{1D19B19C-7F5F-4F53-B75B-B3FA12867F23}"/>
            </a:ext>
          </a:extLst>
        </xdr:cNvPr>
        <xdr:cNvSpPr/>
      </xdr:nvSpPr>
      <xdr:spPr>
        <a:xfrm>
          <a:off x="10766507550" y="1638300"/>
          <a:ext cx="1238250" cy="895350"/>
        </a:xfrm>
        <a:prstGeom prst="flowChartAlternate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fa-IR" sz="1800">
              <a:latin typeface="+mn-lt"/>
              <a:cs typeface="B Nazanin" panose="00000400000000000000" pitchFamily="2" charset="-78"/>
            </a:rPr>
            <a:t>114</a:t>
          </a:r>
        </a:p>
        <a:p>
          <a:pPr algn="r" rtl="1"/>
          <a:r>
            <a:rPr lang="fa-IR" sz="1100">
              <a:cs typeface="B Nazanin" panose="00000400000000000000" pitchFamily="2" charset="-78"/>
            </a:rPr>
            <a:t>       </a:t>
          </a:r>
          <a:r>
            <a:rPr lang="fa-IR" sz="1200">
              <a:cs typeface="B Nazanin" panose="00000400000000000000" pitchFamily="2" charset="-78"/>
            </a:rPr>
            <a:t>درخواست فعال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2</xdr:col>
      <xdr:colOff>561975</xdr:colOff>
      <xdr:row>8</xdr:row>
      <xdr:rowOff>142875</xdr:rowOff>
    </xdr:from>
    <xdr:to>
      <xdr:col>4</xdr:col>
      <xdr:colOff>485775</xdr:colOff>
      <xdr:row>13</xdr:row>
      <xdr:rowOff>85725</xdr:rowOff>
    </xdr:to>
    <xdr:sp macro="" textlink="">
      <xdr:nvSpPr>
        <xdr:cNvPr id="3" name="Flowchart: Alternate Process 2">
          <a:extLst>
            <a:ext uri="{FF2B5EF4-FFF2-40B4-BE49-F238E27FC236}">
              <a16:creationId xmlns:a16="http://schemas.microsoft.com/office/drawing/2014/main" id="{BD379C32-687D-44CD-B605-F5C908B6A89D}"/>
            </a:ext>
          </a:extLst>
        </xdr:cNvPr>
        <xdr:cNvSpPr/>
      </xdr:nvSpPr>
      <xdr:spPr>
        <a:xfrm>
          <a:off x="10765078800" y="1666875"/>
          <a:ext cx="1238250" cy="895350"/>
        </a:xfrm>
        <a:prstGeom prst="flowChartAlternate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fa-IR" sz="1800">
              <a:cs typeface="B Nazanin" panose="00000400000000000000" pitchFamily="2" charset="-78"/>
            </a:rPr>
            <a:t>124</a:t>
          </a:r>
          <a:endParaRPr lang="en-US" sz="1800">
            <a:cs typeface="B Nazanin" panose="00000400000000000000" pitchFamily="2" charset="-78"/>
          </a:endParaRPr>
        </a:p>
        <a:p>
          <a:pPr algn="ctr" rtl="1"/>
          <a:r>
            <a:rPr lang="fa-IR" sz="1200">
              <a:cs typeface="B Nazanin" panose="00000400000000000000" pitchFamily="2" charset="-78"/>
            </a:rPr>
            <a:t>     کل</a:t>
          </a:r>
          <a:r>
            <a:rPr lang="fa-IR" sz="1200" baseline="0">
              <a:cs typeface="B Nazanin" panose="00000400000000000000" pitchFamily="2" charset="-78"/>
            </a:rPr>
            <a:t> درخواست ها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7</xdr:col>
      <xdr:colOff>19050</xdr:colOff>
      <xdr:row>8</xdr:row>
      <xdr:rowOff>133350</xdr:rowOff>
    </xdr:from>
    <xdr:to>
      <xdr:col>8</xdr:col>
      <xdr:colOff>600075</xdr:colOff>
      <xdr:row>13</xdr:row>
      <xdr:rowOff>76200</xdr:rowOff>
    </xdr:to>
    <xdr:sp macro="" textlink="">
      <xdr:nvSpPr>
        <xdr:cNvPr id="4" name="Flowchart: Alternate Process 3">
          <a:extLst>
            <a:ext uri="{FF2B5EF4-FFF2-40B4-BE49-F238E27FC236}">
              <a16:creationId xmlns:a16="http://schemas.microsoft.com/office/drawing/2014/main" id="{AF61E208-699B-4140-899F-132860619FE8}"/>
            </a:ext>
          </a:extLst>
        </xdr:cNvPr>
        <xdr:cNvSpPr/>
      </xdr:nvSpPr>
      <xdr:spPr>
        <a:xfrm>
          <a:off x="10762335600" y="1657350"/>
          <a:ext cx="1238250" cy="895350"/>
        </a:xfrm>
        <a:prstGeom prst="flowChartAlternate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fa-IR" sz="1800">
              <a:cs typeface="B Nazanin" panose="00000400000000000000" pitchFamily="2" charset="-78"/>
            </a:rPr>
            <a:t>141.375</a:t>
          </a:r>
        </a:p>
        <a:p>
          <a:pPr algn="ctr" rtl="1"/>
          <a:r>
            <a:rPr lang="fa-IR" sz="1100">
              <a:cs typeface="B Nazanin" panose="00000400000000000000" pitchFamily="2" charset="-78"/>
            </a:rPr>
            <a:t>      تعمیرات میلیون</a:t>
          </a:r>
        </a:p>
        <a:p>
          <a:pPr algn="ctr" rtl="1"/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9</xdr:col>
      <xdr:colOff>47625</xdr:colOff>
      <xdr:row>8</xdr:row>
      <xdr:rowOff>133350</xdr:rowOff>
    </xdr:from>
    <xdr:to>
      <xdr:col>10</xdr:col>
      <xdr:colOff>352425</xdr:colOff>
      <xdr:row>13</xdr:row>
      <xdr:rowOff>76200</xdr:rowOff>
    </xdr:to>
    <xdr:sp macro="" textlink="">
      <xdr:nvSpPr>
        <xdr:cNvPr id="5" name="Flowchart: Alternate Process 4">
          <a:extLst>
            <a:ext uri="{FF2B5EF4-FFF2-40B4-BE49-F238E27FC236}">
              <a16:creationId xmlns:a16="http://schemas.microsoft.com/office/drawing/2014/main" id="{F6ACE710-E47B-482D-B0DB-42BDF08BB705}"/>
            </a:ext>
          </a:extLst>
        </xdr:cNvPr>
        <xdr:cNvSpPr/>
      </xdr:nvSpPr>
      <xdr:spPr>
        <a:xfrm>
          <a:off x="10760992575" y="1657350"/>
          <a:ext cx="1238250" cy="895350"/>
        </a:xfrm>
        <a:prstGeom prst="flowChartAlternate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fa-IR" sz="1400">
              <a:cs typeface="B Nazanin" panose="00000400000000000000" pitchFamily="2" charset="-78"/>
            </a:rPr>
            <a:t>188.375</a:t>
          </a:r>
        </a:p>
        <a:p>
          <a:pPr algn="ctr" rtl="1"/>
          <a:r>
            <a:rPr lang="en-US" sz="1400"/>
            <a:t>    </a:t>
          </a:r>
          <a:r>
            <a:rPr lang="fa-IR" sz="1400"/>
            <a:t>ساخت</a:t>
          </a:r>
          <a:r>
            <a:rPr lang="en-US" sz="1400"/>
            <a:t> </a:t>
          </a:r>
          <a:r>
            <a:rPr lang="fa-IR" sz="1400"/>
            <a:t>میلیون</a:t>
          </a:r>
          <a:endParaRPr lang="en-US" sz="1400"/>
        </a:p>
      </xdr:txBody>
    </xdr:sp>
    <xdr:clientData/>
  </xdr:twoCellAnchor>
  <xdr:twoCellAnchor>
    <xdr:from>
      <xdr:col>2</xdr:col>
      <xdr:colOff>600075</xdr:colOff>
      <xdr:row>10</xdr:row>
      <xdr:rowOff>152400</xdr:rowOff>
    </xdr:from>
    <xdr:to>
      <xdr:col>3</xdr:col>
      <xdr:colOff>200025</xdr:colOff>
      <xdr:row>12</xdr:row>
      <xdr:rowOff>19050</xdr:rowOff>
    </xdr:to>
    <xdr:sp macro="" textlink="">
      <xdr:nvSpPr>
        <xdr:cNvPr id="6" name="Cube 5">
          <a:extLst>
            <a:ext uri="{FF2B5EF4-FFF2-40B4-BE49-F238E27FC236}">
              <a16:creationId xmlns:a16="http://schemas.microsoft.com/office/drawing/2014/main" id="{72778156-F889-420C-9503-DFA5E79BBE10}"/>
            </a:ext>
          </a:extLst>
        </xdr:cNvPr>
        <xdr:cNvSpPr/>
      </xdr:nvSpPr>
      <xdr:spPr>
        <a:xfrm>
          <a:off x="10766021775" y="2057400"/>
          <a:ext cx="257175" cy="247650"/>
        </a:xfrm>
        <a:prstGeom prst="cub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169734</xdr:colOff>
      <xdr:row>14</xdr:row>
      <xdr:rowOff>71437</xdr:rowOff>
    </xdr:from>
    <xdr:to>
      <xdr:col>5</xdr:col>
      <xdr:colOff>409575</xdr:colOff>
      <xdr:row>30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CD08D8F-2225-45B0-8A4F-1935EC1B48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590550</xdr:colOff>
      <xdr:row>14</xdr:row>
      <xdr:rowOff>61912</xdr:rowOff>
    </xdr:from>
    <xdr:to>
      <xdr:col>10</xdr:col>
      <xdr:colOff>333375</xdr:colOff>
      <xdr:row>30</xdr:row>
      <xdr:rowOff>133350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53895A1-3576-4E3C-BC3A-2D934FC679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76201</xdr:colOff>
      <xdr:row>10</xdr:row>
      <xdr:rowOff>76200</xdr:rowOff>
    </xdr:from>
    <xdr:to>
      <xdr:col>7</xdr:col>
      <xdr:colOff>295276</xdr:colOff>
      <xdr:row>12</xdr:row>
      <xdr:rowOff>9525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A193B68-BF2D-4AAB-AF1A-F2C2D06F8261}"/>
            </a:ext>
          </a:extLst>
        </xdr:cNvPr>
        <xdr:cNvSpPr txBox="1"/>
      </xdr:nvSpPr>
      <xdr:spPr>
        <a:xfrm>
          <a:off x="10763297624" y="1981200"/>
          <a:ext cx="219075" cy="314325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1800">
              <a:latin typeface="Aglio Picasso" pitchFamily="2" charset="0"/>
            </a:rPr>
            <a:t>$</a:t>
          </a:r>
          <a:endParaRPr lang="en-US" sz="1800"/>
        </a:p>
      </xdr:txBody>
    </xdr:sp>
    <xdr:clientData/>
  </xdr:twoCellAnchor>
  <xdr:twoCellAnchor>
    <xdr:from>
      <xdr:col>4</xdr:col>
      <xdr:colOff>628650</xdr:colOff>
      <xdr:row>8</xdr:row>
      <xdr:rowOff>133350</xdr:rowOff>
    </xdr:from>
    <xdr:to>
      <xdr:col>6</xdr:col>
      <xdr:colOff>552450</xdr:colOff>
      <xdr:row>13</xdr:row>
      <xdr:rowOff>76200</xdr:rowOff>
    </xdr:to>
    <xdr:sp macro="" textlink="">
      <xdr:nvSpPr>
        <xdr:cNvPr id="10" name="Flowchart: Alternate Process 9">
          <a:extLst>
            <a:ext uri="{FF2B5EF4-FFF2-40B4-BE49-F238E27FC236}">
              <a16:creationId xmlns:a16="http://schemas.microsoft.com/office/drawing/2014/main" id="{6CE612A9-3868-4F20-8AF0-94B9DF7C9776}"/>
            </a:ext>
          </a:extLst>
        </xdr:cNvPr>
        <xdr:cNvSpPr/>
      </xdr:nvSpPr>
      <xdr:spPr>
        <a:xfrm>
          <a:off x="10763697675" y="1657350"/>
          <a:ext cx="1238250" cy="895350"/>
        </a:xfrm>
        <a:prstGeom prst="flowChartAlternateProcess">
          <a:avLst/>
        </a:prstGeom>
        <a:solidFill>
          <a:schemeClr val="accent1"/>
        </a:solidFill>
        <a:ln cmpd="dbl">
          <a:solidFill>
            <a:schemeClr val="accent1">
              <a:shade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800">
              <a:cs typeface="B Nazanin" panose="00000400000000000000" pitchFamily="2" charset="-78"/>
            </a:rPr>
            <a:t>667</a:t>
          </a:r>
          <a:endParaRPr lang="en-US" sz="1100">
            <a:cs typeface="B Nazanin" panose="00000400000000000000" pitchFamily="2" charset="-78"/>
          </a:endParaRPr>
        </a:p>
        <a:p>
          <a:pPr algn="r" rtl="1"/>
          <a:r>
            <a:rPr lang="fa-IR" sz="1200">
              <a:solidFill>
                <a:schemeClr val="bg1"/>
              </a:solidFill>
              <a:latin typeface="Walbaum Display Light" panose="020B0604020202020204" pitchFamily="18" charset="0"/>
              <a:cs typeface="B Nazanin" panose="00000400000000000000" pitchFamily="2" charset="-78"/>
            </a:rPr>
            <a:t>     ساعت کاری</a:t>
          </a:r>
          <a:endParaRPr lang="en-US" sz="1200">
            <a:solidFill>
              <a:schemeClr val="bg1"/>
            </a:solidFill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95250</xdr:colOff>
      <xdr:row>0</xdr:row>
      <xdr:rowOff>190499</xdr:rowOff>
    </xdr:from>
    <xdr:to>
      <xdr:col>10</xdr:col>
      <xdr:colOff>323850</xdr:colOff>
      <xdr:row>8</xdr:row>
      <xdr:rowOff>28574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9545632-014D-41EA-B136-0208C710A8F1}"/>
            </a:ext>
          </a:extLst>
        </xdr:cNvPr>
        <xdr:cNvSpPr txBox="1"/>
      </xdr:nvSpPr>
      <xdr:spPr>
        <a:xfrm>
          <a:off x="10761021150" y="190499"/>
          <a:ext cx="6781800" cy="1362075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r>
            <a:rPr lang="fa-IR" sz="2400">
              <a:cs typeface="B Nazanin" panose="00000400000000000000" pitchFamily="2" charset="-78"/>
            </a:rPr>
            <a:t>گزارش درخواست های هفتگی</a:t>
          </a:r>
        </a:p>
        <a:p>
          <a:pPr algn="ctr" rtl="1"/>
          <a:r>
            <a:rPr lang="fa-IR" sz="2400">
              <a:cs typeface="B Nazanin" panose="00000400000000000000" pitchFamily="2" charset="-78"/>
            </a:rPr>
            <a:t>واحد قالب سازی</a:t>
          </a:r>
        </a:p>
        <a:p>
          <a:pPr algn="ctr" rtl="1"/>
          <a:r>
            <a:rPr lang="fa-IR" sz="1600">
              <a:cs typeface="B Nazanin" panose="00000400000000000000" pitchFamily="2" charset="-78"/>
            </a:rPr>
            <a:t>شرکت جهان ترمز   شماره 47  .   هفته 47</a:t>
          </a:r>
          <a:endParaRPr lang="en-US" sz="1600">
            <a:cs typeface="B Nazanin" panose="00000400000000000000" pitchFamily="2" charset="-78"/>
          </a:endParaRPr>
        </a:p>
      </xdr:txBody>
    </xdr:sp>
    <xdr:clientData/>
  </xdr:twoCellAnchor>
  <xdr:twoCellAnchor>
    <xdr:from>
      <xdr:col>9</xdr:col>
      <xdr:colOff>66676</xdr:colOff>
      <xdr:row>10</xdr:row>
      <xdr:rowOff>47625</xdr:rowOff>
    </xdr:from>
    <xdr:to>
      <xdr:col>9</xdr:col>
      <xdr:colOff>285751</xdr:colOff>
      <xdr:row>11</xdr:row>
      <xdr:rowOff>171450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9C275C7-4EA5-41D9-A0D1-7F92D1400073}"/>
            </a:ext>
          </a:extLst>
        </xdr:cNvPr>
        <xdr:cNvSpPr txBox="1"/>
      </xdr:nvSpPr>
      <xdr:spPr>
        <a:xfrm>
          <a:off x="10761992699" y="1952625"/>
          <a:ext cx="219075" cy="314325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1800">
              <a:latin typeface="Aglio Picasso" pitchFamily="2" charset="0"/>
            </a:rPr>
            <a:t>$</a:t>
          </a:r>
          <a:endParaRPr lang="en-US" sz="1800"/>
        </a:p>
      </xdr:txBody>
    </xdr:sp>
    <xdr:clientData/>
  </xdr:twoCellAnchor>
  <xdr:twoCellAnchor>
    <xdr:from>
      <xdr:col>0</xdr:col>
      <xdr:colOff>180975</xdr:colOff>
      <xdr:row>31</xdr:row>
      <xdr:rowOff>95250</xdr:rowOff>
    </xdr:from>
    <xdr:to>
      <xdr:col>5</xdr:col>
      <xdr:colOff>381000</xdr:colOff>
      <xdr:row>34</xdr:row>
      <xdr:rowOff>95250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0F6ACCE-F79E-4EFC-A182-D2D3496C3DE8}"/>
            </a:ext>
          </a:extLst>
        </xdr:cNvPr>
        <xdr:cNvSpPr txBox="1"/>
      </xdr:nvSpPr>
      <xdr:spPr>
        <a:xfrm>
          <a:off x="10764526350" y="6000750"/>
          <a:ext cx="3190875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/>
            <a:t>114 درخواست</a:t>
          </a:r>
          <a:r>
            <a:rPr lang="fa-IR" sz="1100" baseline="0"/>
            <a:t> فعال . بیشترین مربوط به ساخت قطعه (275)</a:t>
          </a:r>
          <a:endParaRPr lang="en-US" sz="1100"/>
        </a:p>
      </xdr:txBody>
    </xdr:sp>
    <xdr:clientData/>
  </xdr:twoCellAnchor>
  <xdr:twoCellAnchor>
    <xdr:from>
      <xdr:col>5</xdr:col>
      <xdr:colOff>647700</xdr:colOff>
      <xdr:row>31</xdr:row>
      <xdr:rowOff>104775</xdr:rowOff>
    </xdr:from>
    <xdr:to>
      <xdr:col>10</xdr:col>
      <xdr:colOff>276225</xdr:colOff>
      <xdr:row>34</xdr:row>
      <xdr:rowOff>104775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9CB905AF-B2DD-41A6-B4C9-DF6198F22F71}"/>
            </a:ext>
          </a:extLst>
        </xdr:cNvPr>
        <xdr:cNvSpPr txBox="1"/>
      </xdr:nvSpPr>
      <xdr:spPr>
        <a:xfrm>
          <a:off x="10761068775" y="6010275"/>
          <a:ext cx="3190875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r>
            <a:rPr lang="fa-IR" sz="1100"/>
            <a:t>مجموع 667.3 ساعت</a:t>
          </a:r>
          <a:r>
            <a:rPr lang="fa-IR" sz="1100" baseline="0"/>
            <a:t> . بیشترین ساخت قطعه(</a:t>
          </a:r>
          <a:r>
            <a:rPr lang="en-US" sz="1100" baseline="0"/>
            <a:t> h</a:t>
          </a:r>
          <a:r>
            <a:rPr lang="fa-IR" sz="1100" baseline="0"/>
            <a:t>275</a:t>
          </a:r>
          <a:r>
            <a:rPr lang="en-US" sz="1100" baseline="0"/>
            <a:t> </a:t>
          </a:r>
          <a:r>
            <a:rPr lang="fa-IR" sz="1100" baseline="0"/>
            <a:t>)</a:t>
          </a:r>
          <a:endParaRPr lang="en-US" sz="1100"/>
        </a:p>
      </xdr:txBody>
    </xdr:sp>
    <xdr:clientData/>
  </xdr:twoCellAnchor>
  <xdr:twoCellAnchor>
    <xdr:from>
      <xdr:col>4</xdr:col>
      <xdr:colOff>333375</xdr:colOff>
      <xdr:row>36</xdr:row>
      <xdr:rowOff>19049</xdr:rowOff>
    </xdr:from>
    <xdr:to>
      <xdr:col>7</xdr:col>
      <xdr:colOff>228600</xdr:colOff>
      <xdr:row>38</xdr:row>
      <xdr:rowOff>133350</xdr:rowOff>
    </xdr:to>
    <xdr:sp macro="" textlink="">
      <xdr:nvSpPr>
        <xdr:cNvPr id="15" name="Flowchart: Terminator 14">
          <a:extLst>
            <a:ext uri="{FF2B5EF4-FFF2-40B4-BE49-F238E27FC236}">
              <a16:creationId xmlns:a16="http://schemas.microsoft.com/office/drawing/2014/main" id="{6A5C5830-098D-42BE-8739-EBD6F554BC81}"/>
            </a:ext>
          </a:extLst>
        </xdr:cNvPr>
        <xdr:cNvSpPr/>
      </xdr:nvSpPr>
      <xdr:spPr>
        <a:xfrm>
          <a:off x="10763364300" y="6877049"/>
          <a:ext cx="1866900" cy="495301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200">
              <a:cs typeface="B Nazanin" panose="00000400000000000000" pitchFamily="2" charset="-78"/>
            </a:rPr>
            <a:t>14    تعمیر قالب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333375</xdr:colOff>
      <xdr:row>36</xdr:row>
      <xdr:rowOff>19049</xdr:rowOff>
    </xdr:from>
    <xdr:to>
      <xdr:col>3</xdr:col>
      <xdr:colOff>523875</xdr:colOff>
      <xdr:row>38</xdr:row>
      <xdr:rowOff>133350</xdr:rowOff>
    </xdr:to>
    <xdr:sp macro="" textlink="">
      <xdr:nvSpPr>
        <xdr:cNvPr id="16" name="Flowchart: Terminator 15">
          <a:extLst>
            <a:ext uri="{FF2B5EF4-FFF2-40B4-BE49-F238E27FC236}">
              <a16:creationId xmlns:a16="http://schemas.microsoft.com/office/drawing/2014/main" id="{5C91863C-6BCF-46DD-91E1-55E7FCA24EDF}"/>
            </a:ext>
          </a:extLst>
        </xdr:cNvPr>
        <xdr:cNvSpPr/>
      </xdr:nvSpPr>
      <xdr:spPr>
        <a:xfrm>
          <a:off x="10765697925" y="6877049"/>
          <a:ext cx="1866900" cy="495301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200">
              <a:cs typeface="B Nazanin" panose="00000400000000000000" pitchFamily="2" charset="-78"/>
            </a:rPr>
            <a:t>19     تعمیر قطعه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7</xdr:col>
      <xdr:colOff>581025</xdr:colOff>
      <xdr:row>36</xdr:row>
      <xdr:rowOff>19049</xdr:rowOff>
    </xdr:from>
    <xdr:to>
      <xdr:col>10</xdr:col>
      <xdr:colOff>200025</xdr:colOff>
      <xdr:row>38</xdr:row>
      <xdr:rowOff>133350</xdr:rowOff>
    </xdr:to>
    <xdr:sp macro="" textlink="">
      <xdr:nvSpPr>
        <xdr:cNvPr id="17" name="Flowchart: Terminator 16">
          <a:extLst>
            <a:ext uri="{FF2B5EF4-FFF2-40B4-BE49-F238E27FC236}">
              <a16:creationId xmlns:a16="http://schemas.microsoft.com/office/drawing/2014/main" id="{874924C8-F90C-4161-87C2-06CAA74E2678}"/>
            </a:ext>
          </a:extLst>
        </xdr:cNvPr>
        <xdr:cNvSpPr/>
      </xdr:nvSpPr>
      <xdr:spPr>
        <a:xfrm>
          <a:off x="10761144975" y="6877049"/>
          <a:ext cx="1866900" cy="495301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200">
              <a:cs typeface="B Nazanin" panose="00000400000000000000" pitchFamily="2" charset="-78"/>
            </a:rPr>
            <a:t>73   ساخت قطعه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5</xdr:col>
      <xdr:colOff>638175</xdr:colOff>
      <xdr:row>39</xdr:row>
      <xdr:rowOff>66674</xdr:rowOff>
    </xdr:from>
    <xdr:to>
      <xdr:col>8</xdr:col>
      <xdr:colOff>533400</xdr:colOff>
      <xdr:row>41</xdr:row>
      <xdr:rowOff>180975</xdr:rowOff>
    </xdr:to>
    <xdr:sp macro="" textlink="">
      <xdr:nvSpPr>
        <xdr:cNvPr id="18" name="Flowchart: Terminator 17">
          <a:extLst>
            <a:ext uri="{FF2B5EF4-FFF2-40B4-BE49-F238E27FC236}">
              <a16:creationId xmlns:a16="http://schemas.microsoft.com/office/drawing/2014/main" id="{2B3A8891-1789-491A-9106-1CC24FFBAD0F}"/>
            </a:ext>
          </a:extLst>
        </xdr:cNvPr>
        <xdr:cNvSpPr/>
      </xdr:nvSpPr>
      <xdr:spPr>
        <a:xfrm>
          <a:off x="10762402275" y="7496174"/>
          <a:ext cx="1866900" cy="495301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200">
              <a:cs typeface="B Nazanin" panose="00000400000000000000" pitchFamily="2" charset="-78"/>
            </a:rPr>
            <a:t>2    تعمیر دستگاه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2</xdr:col>
      <xdr:colOff>352425</xdr:colOff>
      <xdr:row>39</xdr:row>
      <xdr:rowOff>76199</xdr:rowOff>
    </xdr:from>
    <xdr:to>
      <xdr:col>5</xdr:col>
      <xdr:colOff>247650</xdr:colOff>
      <xdr:row>42</xdr:row>
      <xdr:rowOff>0</xdr:rowOff>
    </xdr:to>
    <xdr:sp macro="" textlink="">
      <xdr:nvSpPr>
        <xdr:cNvPr id="19" name="Flowchart: Terminator 18">
          <a:extLst>
            <a:ext uri="{FF2B5EF4-FFF2-40B4-BE49-F238E27FC236}">
              <a16:creationId xmlns:a16="http://schemas.microsoft.com/office/drawing/2014/main" id="{0E887630-E30D-43CD-AD0C-2F89E8EE1F0A}"/>
            </a:ext>
          </a:extLst>
        </xdr:cNvPr>
        <xdr:cNvSpPr/>
      </xdr:nvSpPr>
      <xdr:spPr>
        <a:xfrm>
          <a:off x="10764659700" y="7505699"/>
          <a:ext cx="1866900" cy="495301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200">
              <a:cs typeface="B Nazanin" panose="00000400000000000000" pitchFamily="2" charset="-78"/>
            </a:rPr>
            <a:t>4    ساخت قالب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4</xdr:col>
      <xdr:colOff>257175</xdr:colOff>
      <xdr:row>43</xdr:row>
      <xdr:rowOff>9524</xdr:rowOff>
    </xdr:from>
    <xdr:to>
      <xdr:col>7</xdr:col>
      <xdr:colOff>152400</xdr:colOff>
      <xdr:row>45</xdr:row>
      <xdr:rowOff>123825</xdr:rowOff>
    </xdr:to>
    <xdr:sp macro="" textlink="">
      <xdr:nvSpPr>
        <xdr:cNvPr id="20" name="Flowchart: Terminator 19">
          <a:extLst>
            <a:ext uri="{FF2B5EF4-FFF2-40B4-BE49-F238E27FC236}">
              <a16:creationId xmlns:a16="http://schemas.microsoft.com/office/drawing/2014/main" id="{D4539A25-B893-4C7E-B94E-20109371C685}"/>
            </a:ext>
          </a:extLst>
        </xdr:cNvPr>
        <xdr:cNvSpPr/>
      </xdr:nvSpPr>
      <xdr:spPr>
        <a:xfrm>
          <a:off x="10763440500" y="8201024"/>
          <a:ext cx="1866900" cy="495301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200">
              <a:cs typeface="B Nazanin" panose="00000400000000000000" pitchFamily="2" charset="-78"/>
            </a:rPr>
            <a:t>2 ساخت دستگاه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7</xdr:col>
      <xdr:colOff>228600</xdr:colOff>
      <xdr:row>46</xdr:row>
      <xdr:rowOff>66675</xdr:rowOff>
    </xdr:from>
    <xdr:to>
      <xdr:col>7</xdr:col>
      <xdr:colOff>542925</xdr:colOff>
      <xdr:row>47</xdr:row>
      <xdr:rowOff>161925</xdr:rowOff>
    </xdr:to>
    <xdr:sp macro="" textlink="">
      <xdr:nvSpPr>
        <xdr:cNvPr id="21" name="Octagon 20">
          <a:extLst>
            <a:ext uri="{FF2B5EF4-FFF2-40B4-BE49-F238E27FC236}">
              <a16:creationId xmlns:a16="http://schemas.microsoft.com/office/drawing/2014/main" id="{4989A81D-1620-4377-BD44-24A13440779E}"/>
            </a:ext>
          </a:extLst>
        </xdr:cNvPr>
        <xdr:cNvSpPr/>
      </xdr:nvSpPr>
      <xdr:spPr>
        <a:xfrm>
          <a:off x="10763049975" y="8829675"/>
          <a:ext cx="314325" cy="323850"/>
        </a:xfrm>
        <a:prstGeom prst="octagon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3</xdr:col>
      <xdr:colOff>285750</xdr:colOff>
      <xdr:row>46</xdr:row>
      <xdr:rowOff>76200</xdr:rowOff>
    </xdr:from>
    <xdr:to>
      <xdr:col>4</xdr:col>
      <xdr:colOff>76201</xdr:colOff>
      <xdr:row>47</xdr:row>
      <xdr:rowOff>152399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E60BF6FF-A8F3-43EE-AB60-C6CC926A1C95}"/>
            </a:ext>
          </a:extLst>
        </xdr:cNvPr>
        <xdr:cNvSpPr/>
      </xdr:nvSpPr>
      <xdr:spPr>
        <a:xfrm>
          <a:off x="10765488374" y="8839200"/>
          <a:ext cx="447676" cy="30479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en-US" sz="800"/>
            <a:t>NEW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8</xdr:row>
      <xdr:rowOff>114300</xdr:rowOff>
    </xdr:from>
    <xdr:to>
      <xdr:col>2</xdr:col>
      <xdr:colOff>371475</xdr:colOff>
      <xdr:row>13</xdr:row>
      <xdr:rowOff>57150</xdr:rowOff>
    </xdr:to>
    <xdr:sp macro="" textlink="">
      <xdr:nvSpPr>
        <xdr:cNvPr id="2" name="Flowchart: Alternate Process 1">
          <a:extLst>
            <a:ext uri="{FF2B5EF4-FFF2-40B4-BE49-F238E27FC236}">
              <a16:creationId xmlns:a16="http://schemas.microsoft.com/office/drawing/2014/main" id="{FE3FA039-94FD-411F-9132-D8733A2B84D4}"/>
            </a:ext>
          </a:extLst>
        </xdr:cNvPr>
        <xdr:cNvSpPr/>
      </xdr:nvSpPr>
      <xdr:spPr>
        <a:xfrm>
          <a:off x="10766507550" y="1638300"/>
          <a:ext cx="1238250" cy="895350"/>
        </a:xfrm>
        <a:prstGeom prst="flowChartAlternate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fa-IR" sz="1800">
              <a:latin typeface="+mn-lt"/>
              <a:cs typeface="B Nazanin" panose="00000400000000000000" pitchFamily="2" charset="-78"/>
            </a:rPr>
            <a:t>168</a:t>
          </a:r>
        </a:p>
        <a:p>
          <a:pPr algn="r" rtl="1"/>
          <a:r>
            <a:rPr lang="fa-IR" sz="1100">
              <a:cs typeface="B Nazanin" panose="00000400000000000000" pitchFamily="2" charset="-78"/>
            </a:rPr>
            <a:t>     </a:t>
          </a:r>
          <a:r>
            <a:rPr lang="fa-IR" sz="1100">
              <a:solidFill>
                <a:sysClr val="windowText" lastClr="000000"/>
              </a:solidFill>
              <a:latin typeface="Aglio Picasso" pitchFamily="2" charset="0"/>
              <a:cs typeface="B Nazanin" panose="00000400000000000000" pitchFamily="2" charset="-78"/>
            </a:rPr>
            <a:t>√</a:t>
          </a:r>
          <a:r>
            <a:rPr lang="fa-IR" sz="1100">
              <a:solidFill>
                <a:sysClr val="windowText" lastClr="000000"/>
              </a:solidFill>
              <a:cs typeface="B Nazanin" panose="00000400000000000000" pitchFamily="2" charset="-78"/>
            </a:rPr>
            <a:t> </a:t>
          </a:r>
          <a:r>
            <a:rPr lang="fa-IR" sz="1200">
              <a:cs typeface="B Nazanin" panose="00000400000000000000" pitchFamily="2" charset="-78"/>
            </a:rPr>
            <a:t>درخواست فعال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2</xdr:col>
      <xdr:colOff>561975</xdr:colOff>
      <xdr:row>8</xdr:row>
      <xdr:rowOff>142875</xdr:rowOff>
    </xdr:from>
    <xdr:to>
      <xdr:col>4</xdr:col>
      <xdr:colOff>485775</xdr:colOff>
      <xdr:row>13</xdr:row>
      <xdr:rowOff>85725</xdr:rowOff>
    </xdr:to>
    <xdr:sp macro="" textlink="">
      <xdr:nvSpPr>
        <xdr:cNvPr id="3" name="Flowchart: Alternate Process 2">
          <a:extLst>
            <a:ext uri="{FF2B5EF4-FFF2-40B4-BE49-F238E27FC236}">
              <a16:creationId xmlns:a16="http://schemas.microsoft.com/office/drawing/2014/main" id="{70FA59A9-5741-4B5E-A1B1-9B84DB41FB1F}"/>
            </a:ext>
          </a:extLst>
        </xdr:cNvPr>
        <xdr:cNvSpPr/>
      </xdr:nvSpPr>
      <xdr:spPr>
        <a:xfrm>
          <a:off x="10765078800" y="1666875"/>
          <a:ext cx="1238250" cy="895350"/>
        </a:xfrm>
        <a:prstGeom prst="flowChartAlternate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fa-IR" sz="1800">
              <a:cs typeface="B Nazanin" panose="00000400000000000000" pitchFamily="2" charset="-78"/>
            </a:rPr>
            <a:t>180</a:t>
          </a:r>
          <a:endParaRPr lang="en-US" sz="1800">
            <a:cs typeface="B Nazanin" panose="00000400000000000000" pitchFamily="2" charset="-78"/>
          </a:endParaRPr>
        </a:p>
        <a:p>
          <a:pPr algn="ctr" rtl="1"/>
          <a:r>
            <a:rPr lang="fa-IR" sz="1200">
              <a:cs typeface="B Nazanin" panose="00000400000000000000" pitchFamily="2" charset="-78"/>
            </a:rPr>
            <a:t>     کل</a:t>
          </a:r>
          <a:r>
            <a:rPr lang="fa-IR" sz="1200" baseline="0">
              <a:cs typeface="B Nazanin" panose="00000400000000000000" pitchFamily="2" charset="-78"/>
            </a:rPr>
            <a:t> درخواست ها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7</xdr:col>
      <xdr:colOff>19050</xdr:colOff>
      <xdr:row>8</xdr:row>
      <xdr:rowOff>133350</xdr:rowOff>
    </xdr:from>
    <xdr:to>
      <xdr:col>8</xdr:col>
      <xdr:colOff>600075</xdr:colOff>
      <xdr:row>13</xdr:row>
      <xdr:rowOff>76200</xdr:rowOff>
    </xdr:to>
    <xdr:sp macro="" textlink="">
      <xdr:nvSpPr>
        <xdr:cNvPr id="4" name="Flowchart: Alternate Process 3">
          <a:extLst>
            <a:ext uri="{FF2B5EF4-FFF2-40B4-BE49-F238E27FC236}">
              <a16:creationId xmlns:a16="http://schemas.microsoft.com/office/drawing/2014/main" id="{98674C9E-3F64-46A1-9441-8A046FEF9B6A}"/>
            </a:ext>
          </a:extLst>
        </xdr:cNvPr>
        <xdr:cNvSpPr/>
      </xdr:nvSpPr>
      <xdr:spPr>
        <a:xfrm>
          <a:off x="10762335600" y="1657350"/>
          <a:ext cx="1238250" cy="895350"/>
        </a:xfrm>
        <a:prstGeom prst="flowChartAlternate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fa-IR" sz="1800">
              <a:cs typeface="B Nazanin" panose="00000400000000000000" pitchFamily="2" charset="-78"/>
            </a:rPr>
            <a:t>104.333</a:t>
          </a:r>
        </a:p>
        <a:p>
          <a:pPr algn="ctr" rtl="1"/>
          <a:r>
            <a:rPr lang="fa-IR" sz="1100">
              <a:cs typeface="B Nazanin" panose="00000400000000000000" pitchFamily="2" charset="-78"/>
            </a:rPr>
            <a:t>      تعمیرات میلیون</a:t>
          </a:r>
        </a:p>
        <a:p>
          <a:pPr algn="ctr" rtl="1"/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9</xdr:col>
      <xdr:colOff>47625</xdr:colOff>
      <xdr:row>8</xdr:row>
      <xdr:rowOff>133350</xdr:rowOff>
    </xdr:from>
    <xdr:to>
      <xdr:col>10</xdr:col>
      <xdr:colOff>352425</xdr:colOff>
      <xdr:row>13</xdr:row>
      <xdr:rowOff>76200</xdr:rowOff>
    </xdr:to>
    <xdr:sp macro="" textlink="">
      <xdr:nvSpPr>
        <xdr:cNvPr id="5" name="Flowchart: Alternate Process 4">
          <a:extLst>
            <a:ext uri="{FF2B5EF4-FFF2-40B4-BE49-F238E27FC236}">
              <a16:creationId xmlns:a16="http://schemas.microsoft.com/office/drawing/2014/main" id="{A655350B-F938-45DF-A0AF-7AFE83660FBF}"/>
            </a:ext>
          </a:extLst>
        </xdr:cNvPr>
        <xdr:cNvSpPr/>
      </xdr:nvSpPr>
      <xdr:spPr>
        <a:xfrm>
          <a:off x="10760992575" y="1657350"/>
          <a:ext cx="1238250" cy="895350"/>
        </a:xfrm>
        <a:prstGeom prst="flowChartAlternate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fa-IR" sz="1400">
              <a:cs typeface="B Nazanin" panose="00000400000000000000" pitchFamily="2" charset="-78"/>
            </a:rPr>
            <a:t>193.041</a:t>
          </a:r>
        </a:p>
        <a:p>
          <a:pPr algn="ctr" rtl="1"/>
          <a:r>
            <a:rPr lang="en-US" sz="1400"/>
            <a:t>    </a:t>
          </a:r>
          <a:r>
            <a:rPr lang="fa-IR" sz="1400"/>
            <a:t>ساخت</a:t>
          </a:r>
          <a:r>
            <a:rPr lang="en-US" sz="1400"/>
            <a:t> </a:t>
          </a:r>
          <a:r>
            <a:rPr lang="fa-IR" sz="1400"/>
            <a:t>میلیون</a:t>
          </a:r>
          <a:endParaRPr lang="en-US" sz="1400"/>
        </a:p>
      </xdr:txBody>
    </xdr:sp>
    <xdr:clientData/>
  </xdr:twoCellAnchor>
  <xdr:twoCellAnchor>
    <xdr:from>
      <xdr:col>2</xdr:col>
      <xdr:colOff>600075</xdr:colOff>
      <xdr:row>10</xdr:row>
      <xdr:rowOff>152400</xdr:rowOff>
    </xdr:from>
    <xdr:to>
      <xdr:col>3</xdr:col>
      <xdr:colOff>200025</xdr:colOff>
      <xdr:row>12</xdr:row>
      <xdr:rowOff>19050</xdr:rowOff>
    </xdr:to>
    <xdr:sp macro="" textlink="">
      <xdr:nvSpPr>
        <xdr:cNvPr id="6" name="Cube 5">
          <a:extLst>
            <a:ext uri="{FF2B5EF4-FFF2-40B4-BE49-F238E27FC236}">
              <a16:creationId xmlns:a16="http://schemas.microsoft.com/office/drawing/2014/main" id="{335C84AB-1276-4CF3-ACB3-88553B714C3E}"/>
            </a:ext>
          </a:extLst>
        </xdr:cNvPr>
        <xdr:cNvSpPr/>
      </xdr:nvSpPr>
      <xdr:spPr>
        <a:xfrm>
          <a:off x="10766021775" y="2057400"/>
          <a:ext cx="257175" cy="247650"/>
        </a:xfrm>
        <a:prstGeom prst="cub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169734</xdr:colOff>
      <xdr:row>14</xdr:row>
      <xdr:rowOff>71437</xdr:rowOff>
    </xdr:from>
    <xdr:to>
      <xdr:col>5</xdr:col>
      <xdr:colOff>409575</xdr:colOff>
      <xdr:row>30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14C9B38-218E-48F9-8239-540FFAB097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590550</xdr:colOff>
      <xdr:row>14</xdr:row>
      <xdr:rowOff>61912</xdr:rowOff>
    </xdr:from>
    <xdr:to>
      <xdr:col>10</xdr:col>
      <xdr:colOff>333375</xdr:colOff>
      <xdr:row>30</xdr:row>
      <xdr:rowOff>133350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4D3D355-EA3B-4CB3-93D1-54AF80CE6A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76201</xdr:colOff>
      <xdr:row>10</xdr:row>
      <xdr:rowOff>76200</xdr:rowOff>
    </xdr:from>
    <xdr:to>
      <xdr:col>7</xdr:col>
      <xdr:colOff>295276</xdr:colOff>
      <xdr:row>12</xdr:row>
      <xdr:rowOff>9525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18EB5F4-6F20-41E4-AE7A-4BD545B72B86}"/>
            </a:ext>
          </a:extLst>
        </xdr:cNvPr>
        <xdr:cNvSpPr txBox="1"/>
      </xdr:nvSpPr>
      <xdr:spPr>
        <a:xfrm>
          <a:off x="10763297624" y="1981200"/>
          <a:ext cx="219075" cy="314325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1800">
              <a:latin typeface="Aglio Picasso" pitchFamily="2" charset="0"/>
            </a:rPr>
            <a:t>$</a:t>
          </a:r>
          <a:endParaRPr lang="en-US" sz="1800"/>
        </a:p>
      </xdr:txBody>
    </xdr:sp>
    <xdr:clientData/>
  </xdr:twoCellAnchor>
  <xdr:twoCellAnchor>
    <xdr:from>
      <xdr:col>4</xdr:col>
      <xdr:colOff>628650</xdr:colOff>
      <xdr:row>8</xdr:row>
      <xdr:rowOff>133350</xdr:rowOff>
    </xdr:from>
    <xdr:to>
      <xdr:col>6</xdr:col>
      <xdr:colOff>552450</xdr:colOff>
      <xdr:row>13</xdr:row>
      <xdr:rowOff>76200</xdr:rowOff>
    </xdr:to>
    <xdr:sp macro="" textlink="">
      <xdr:nvSpPr>
        <xdr:cNvPr id="10" name="Flowchart: Alternate Process 9">
          <a:extLst>
            <a:ext uri="{FF2B5EF4-FFF2-40B4-BE49-F238E27FC236}">
              <a16:creationId xmlns:a16="http://schemas.microsoft.com/office/drawing/2014/main" id="{593972DC-0B2F-4D61-990B-7E3C4D401DC3}"/>
            </a:ext>
          </a:extLst>
        </xdr:cNvPr>
        <xdr:cNvSpPr/>
      </xdr:nvSpPr>
      <xdr:spPr>
        <a:xfrm>
          <a:off x="10763697675" y="1657350"/>
          <a:ext cx="1238250" cy="895350"/>
        </a:xfrm>
        <a:prstGeom prst="flowChartAlternateProcess">
          <a:avLst/>
        </a:prstGeom>
        <a:solidFill>
          <a:schemeClr val="accent1"/>
        </a:solidFill>
        <a:ln cmpd="dbl">
          <a:solidFill>
            <a:schemeClr val="accent1">
              <a:shade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800">
              <a:cs typeface="B Nazanin" panose="00000400000000000000" pitchFamily="2" charset="-78"/>
            </a:rPr>
            <a:t>530</a:t>
          </a:r>
          <a:endParaRPr lang="en-US" sz="1100">
            <a:cs typeface="B Nazanin" panose="00000400000000000000" pitchFamily="2" charset="-78"/>
          </a:endParaRPr>
        </a:p>
        <a:p>
          <a:pPr algn="r" rtl="1"/>
          <a:r>
            <a:rPr lang="fa-IR" sz="1200">
              <a:solidFill>
                <a:schemeClr val="bg1"/>
              </a:solidFill>
              <a:latin typeface="Walbaum Display Light" panose="020B0604020202020204" pitchFamily="18" charset="0"/>
              <a:cs typeface="B Nazanin" panose="00000400000000000000" pitchFamily="2" charset="-78"/>
            </a:rPr>
            <a:t>     ساعت کاری</a:t>
          </a:r>
          <a:endParaRPr lang="en-US" sz="1200">
            <a:solidFill>
              <a:schemeClr val="bg1"/>
            </a:solidFill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95250</xdr:colOff>
      <xdr:row>0</xdr:row>
      <xdr:rowOff>190499</xdr:rowOff>
    </xdr:from>
    <xdr:to>
      <xdr:col>10</xdr:col>
      <xdr:colOff>323850</xdr:colOff>
      <xdr:row>8</xdr:row>
      <xdr:rowOff>28574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F30BCE6-6D3A-4CD2-A980-74DA7D960808}"/>
            </a:ext>
          </a:extLst>
        </xdr:cNvPr>
        <xdr:cNvSpPr txBox="1"/>
      </xdr:nvSpPr>
      <xdr:spPr>
        <a:xfrm>
          <a:off x="10761021150" y="190499"/>
          <a:ext cx="6781800" cy="1362075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r>
            <a:rPr lang="fa-IR" sz="2400">
              <a:cs typeface="B Nazanin" panose="00000400000000000000" pitchFamily="2" charset="-78"/>
            </a:rPr>
            <a:t>گزارش درخواست های هفتگی</a:t>
          </a:r>
        </a:p>
        <a:p>
          <a:pPr algn="ctr" rtl="1"/>
          <a:r>
            <a:rPr lang="fa-IR" sz="2400">
              <a:cs typeface="B Nazanin" panose="00000400000000000000" pitchFamily="2" charset="-78"/>
            </a:rPr>
            <a:t>واحد قالب سازی</a:t>
          </a:r>
        </a:p>
        <a:p>
          <a:pPr algn="ctr" rtl="1"/>
          <a:r>
            <a:rPr lang="fa-IR" sz="1600">
              <a:cs typeface="B Nazanin" panose="00000400000000000000" pitchFamily="2" charset="-78"/>
            </a:rPr>
            <a:t>شرکت جهان ترمز   شماره 47  .   هفته 47</a:t>
          </a:r>
          <a:endParaRPr lang="en-US" sz="1600">
            <a:cs typeface="B Nazanin" panose="00000400000000000000" pitchFamily="2" charset="-78"/>
          </a:endParaRPr>
        </a:p>
      </xdr:txBody>
    </xdr:sp>
    <xdr:clientData/>
  </xdr:twoCellAnchor>
  <xdr:twoCellAnchor>
    <xdr:from>
      <xdr:col>9</xdr:col>
      <xdr:colOff>66676</xdr:colOff>
      <xdr:row>10</xdr:row>
      <xdr:rowOff>47625</xdr:rowOff>
    </xdr:from>
    <xdr:to>
      <xdr:col>9</xdr:col>
      <xdr:colOff>285751</xdr:colOff>
      <xdr:row>11</xdr:row>
      <xdr:rowOff>171450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131902A-EA64-4DE0-B26C-4EE7E8900B68}"/>
            </a:ext>
          </a:extLst>
        </xdr:cNvPr>
        <xdr:cNvSpPr txBox="1"/>
      </xdr:nvSpPr>
      <xdr:spPr>
        <a:xfrm>
          <a:off x="10761992699" y="1952625"/>
          <a:ext cx="219075" cy="314325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1800">
              <a:latin typeface="Aglio Picasso" pitchFamily="2" charset="0"/>
            </a:rPr>
            <a:t>$</a:t>
          </a:r>
          <a:endParaRPr lang="en-US" sz="1800"/>
        </a:p>
      </xdr:txBody>
    </xdr:sp>
    <xdr:clientData/>
  </xdr:twoCellAnchor>
  <xdr:twoCellAnchor>
    <xdr:from>
      <xdr:col>0</xdr:col>
      <xdr:colOff>180975</xdr:colOff>
      <xdr:row>31</xdr:row>
      <xdr:rowOff>95250</xdr:rowOff>
    </xdr:from>
    <xdr:to>
      <xdr:col>5</xdr:col>
      <xdr:colOff>381000</xdr:colOff>
      <xdr:row>34</xdr:row>
      <xdr:rowOff>95250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B6148E88-0435-49D1-B497-F46A3FD0B795}"/>
            </a:ext>
          </a:extLst>
        </xdr:cNvPr>
        <xdr:cNvSpPr txBox="1"/>
      </xdr:nvSpPr>
      <xdr:spPr>
        <a:xfrm>
          <a:off x="10764526350" y="6000750"/>
          <a:ext cx="3190875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/>
            <a:t>168 درخواست</a:t>
          </a:r>
          <a:r>
            <a:rPr lang="fa-IR" sz="1100" baseline="0"/>
            <a:t> فعال . بیشترین مربوط به ساخت قطعه (118)</a:t>
          </a:r>
          <a:endParaRPr lang="en-US" sz="1100"/>
        </a:p>
      </xdr:txBody>
    </xdr:sp>
    <xdr:clientData/>
  </xdr:twoCellAnchor>
  <xdr:twoCellAnchor>
    <xdr:from>
      <xdr:col>5</xdr:col>
      <xdr:colOff>647700</xdr:colOff>
      <xdr:row>31</xdr:row>
      <xdr:rowOff>104775</xdr:rowOff>
    </xdr:from>
    <xdr:to>
      <xdr:col>10</xdr:col>
      <xdr:colOff>276225</xdr:colOff>
      <xdr:row>34</xdr:row>
      <xdr:rowOff>104775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8455A4E-8709-4D4C-8F3D-2B7CA8483920}"/>
            </a:ext>
          </a:extLst>
        </xdr:cNvPr>
        <xdr:cNvSpPr txBox="1"/>
      </xdr:nvSpPr>
      <xdr:spPr>
        <a:xfrm>
          <a:off x="10761068775" y="6010275"/>
          <a:ext cx="3190875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r>
            <a:rPr lang="fa-IR" sz="1100"/>
            <a:t>مجموع 570 ساعت</a:t>
          </a:r>
          <a:r>
            <a:rPr lang="fa-IR" sz="1100" baseline="0"/>
            <a:t> . بیشترین ساخت قطعه (</a:t>
          </a:r>
          <a:r>
            <a:rPr lang="en-US" sz="1100" baseline="0"/>
            <a:t> h</a:t>
          </a:r>
          <a:r>
            <a:rPr lang="fa-IR" sz="1100" baseline="0"/>
            <a:t>178</a:t>
          </a:r>
          <a:r>
            <a:rPr lang="en-US" sz="1100" baseline="0"/>
            <a:t> </a:t>
          </a:r>
          <a:r>
            <a:rPr lang="fa-IR" sz="1100" baseline="0"/>
            <a:t>)</a:t>
          </a:r>
          <a:endParaRPr lang="en-US" sz="1100"/>
        </a:p>
      </xdr:txBody>
    </xdr:sp>
    <xdr:clientData/>
  </xdr:twoCellAnchor>
  <xdr:twoCellAnchor>
    <xdr:from>
      <xdr:col>4</xdr:col>
      <xdr:colOff>333375</xdr:colOff>
      <xdr:row>36</xdr:row>
      <xdr:rowOff>19049</xdr:rowOff>
    </xdr:from>
    <xdr:to>
      <xdr:col>7</xdr:col>
      <xdr:colOff>228600</xdr:colOff>
      <xdr:row>38</xdr:row>
      <xdr:rowOff>133350</xdr:rowOff>
    </xdr:to>
    <xdr:sp macro="" textlink="">
      <xdr:nvSpPr>
        <xdr:cNvPr id="15" name="Flowchart: Terminator 14">
          <a:extLst>
            <a:ext uri="{FF2B5EF4-FFF2-40B4-BE49-F238E27FC236}">
              <a16:creationId xmlns:a16="http://schemas.microsoft.com/office/drawing/2014/main" id="{6268CADB-2182-4C33-BDDE-24B44E216F06}"/>
            </a:ext>
          </a:extLst>
        </xdr:cNvPr>
        <xdr:cNvSpPr/>
      </xdr:nvSpPr>
      <xdr:spPr>
        <a:xfrm>
          <a:off x="10763364300" y="6877049"/>
          <a:ext cx="1866900" cy="495301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200">
              <a:cs typeface="B Nazanin" panose="00000400000000000000" pitchFamily="2" charset="-78"/>
            </a:rPr>
            <a:t>12    تعمیر قالب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333375</xdr:colOff>
      <xdr:row>36</xdr:row>
      <xdr:rowOff>19049</xdr:rowOff>
    </xdr:from>
    <xdr:to>
      <xdr:col>3</xdr:col>
      <xdr:colOff>523875</xdr:colOff>
      <xdr:row>38</xdr:row>
      <xdr:rowOff>133350</xdr:rowOff>
    </xdr:to>
    <xdr:sp macro="" textlink="">
      <xdr:nvSpPr>
        <xdr:cNvPr id="16" name="Flowchart: Terminator 15">
          <a:extLst>
            <a:ext uri="{FF2B5EF4-FFF2-40B4-BE49-F238E27FC236}">
              <a16:creationId xmlns:a16="http://schemas.microsoft.com/office/drawing/2014/main" id="{953B5D49-0BEB-411C-A6C8-F2C7FFA29F53}"/>
            </a:ext>
          </a:extLst>
        </xdr:cNvPr>
        <xdr:cNvSpPr/>
      </xdr:nvSpPr>
      <xdr:spPr>
        <a:xfrm>
          <a:off x="10765697925" y="6877049"/>
          <a:ext cx="1866900" cy="495301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200">
              <a:cs typeface="B Nazanin" panose="00000400000000000000" pitchFamily="2" charset="-78"/>
            </a:rPr>
            <a:t>34     تعمیر قطعه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7</xdr:col>
      <xdr:colOff>581025</xdr:colOff>
      <xdr:row>36</xdr:row>
      <xdr:rowOff>19049</xdr:rowOff>
    </xdr:from>
    <xdr:to>
      <xdr:col>10</xdr:col>
      <xdr:colOff>200025</xdr:colOff>
      <xdr:row>38</xdr:row>
      <xdr:rowOff>133350</xdr:rowOff>
    </xdr:to>
    <xdr:sp macro="" textlink="">
      <xdr:nvSpPr>
        <xdr:cNvPr id="17" name="Flowchart: Terminator 16">
          <a:extLst>
            <a:ext uri="{FF2B5EF4-FFF2-40B4-BE49-F238E27FC236}">
              <a16:creationId xmlns:a16="http://schemas.microsoft.com/office/drawing/2014/main" id="{8382E767-8D79-448C-90AB-1D3B15010F0C}"/>
            </a:ext>
          </a:extLst>
        </xdr:cNvPr>
        <xdr:cNvSpPr/>
      </xdr:nvSpPr>
      <xdr:spPr>
        <a:xfrm>
          <a:off x="10761144975" y="6877049"/>
          <a:ext cx="1866900" cy="495301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200">
              <a:cs typeface="B Nazanin" panose="00000400000000000000" pitchFamily="2" charset="-78"/>
            </a:rPr>
            <a:t>118  ساخت قطعه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5</xdr:col>
      <xdr:colOff>638175</xdr:colOff>
      <xdr:row>39</xdr:row>
      <xdr:rowOff>66674</xdr:rowOff>
    </xdr:from>
    <xdr:to>
      <xdr:col>8</xdr:col>
      <xdr:colOff>533400</xdr:colOff>
      <xdr:row>41</xdr:row>
      <xdr:rowOff>180975</xdr:rowOff>
    </xdr:to>
    <xdr:sp macro="" textlink="">
      <xdr:nvSpPr>
        <xdr:cNvPr id="18" name="Flowchart: Terminator 17">
          <a:extLst>
            <a:ext uri="{FF2B5EF4-FFF2-40B4-BE49-F238E27FC236}">
              <a16:creationId xmlns:a16="http://schemas.microsoft.com/office/drawing/2014/main" id="{1BB795D0-70E3-47BA-8053-FDC5621E5865}"/>
            </a:ext>
          </a:extLst>
        </xdr:cNvPr>
        <xdr:cNvSpPr/>
      </xdr:nvSpPr>
      <xdr:spPr>
        <a:xfrm>
          <a:off x="10762402275" y="7496174"/>
          <a:ext cx="1866900" cy="495301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200">
              <a:cs typeface="B Nazanin" panose="00000400000000000000" pitchFamily="2" charset="-78"/>
            </a:rPr>
            <a:t>0    تعمیر دستگاه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2</xdr:col>
      <xdr:colOff>352425</xdr:colOff>
      <xdr:row>39</xdr:row>
      <xdr:rowOff>76199</xdr:rowOff>
    </xdr:from>
    <xdr:to>
      <xdr:col>5</xdr:col>
      <xdr:colOff>247650</xdr:colOff>
      <xdr:row>42</xdr:row>
      <xdr:rowOff>0</xdr:rowOff>
    </xdr:to>
    <xdr:sp macro="" textlink="">
      <xdr:nvSpPr>
        <xdr:cNvPr id="19" name="Flowchart: Terminator 18">
          <a:extLst>
            <a:ext uri="{FF2B5EF4-FFF2-40B4-BE49-F238E27FC236}">
              <a16:creationId xmlns:a16="http://schemas.microsoft.com/office/drawing/2014/main" id="{8947FB6F-E217-4A8B-BB8B-1A3A0115AAD3}"/>
            </a:ext>
          </a:extLst>
        </xdr:cNvPr>
        <xdr:cNvSpPr/>
      </xdr:nvSpPr>
      <xdr:spPr>
        <a:xfrm>
          <a:off x="10764659700" y="7505699"/>
          <a:ext cx="1866900" cy="495301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200">
              <a:cs typeface="B Nazanin" panose="00000400000000000000" pitchFamily="2" charset="-78"/>
            </a:rPr>
            <a:t>1    ساخت قالب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4</xdr:col>
      <xdr:colOff>257175</xdr:colOff>
      <xdr:row>43</xdr:row>
      <xdr:rowOff>9524</xdr:rowOff>
    </xdr:from>
    <xdr:to>
      <xdr:col>7</xdr:col>
      <xdr:colOff>152400</xdr:colOff>
      <xdr:row>45</xdr:row>
      <xdr:rowOff>123825</xdr:rowOff>
    </xdr:to>
    <xdr:sp macro="" textlink="">
      <xdr:nvSpPr>
        <xdr:cNvPr id="20" name="Flowchart: Terminator 19">
          <a:extLst>
            <a:ext uri="{FF2B5EF4-FFF2-40B4-BE49-F238E27FC236}">
              <a16:creationId xmlns:a16="http://schemas.microsoft.com/office/drawing/2014/main" id="{36178F50-4AD9-4ABB-94D2-17535AC01A54}"/>
            </a:ext>
          </a:extLst>
        </xdr:cNvPr>
        <xdr:cNvSpPr/>
      </xdr:nvSpPr>
      <xdr:spPr>
        <a:xfrm>
          <a:off x="10763440500" y="8201024"/>
          <a:ext cx="1866900" cy="495301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200">
              <a:cs typeface="B Nazanin" panose="00000400000000000000" pitchFamily="2" charset="-78"/>
            </a:rPr>
            <a:t>3 ساخت دستگاه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7</xdr:col>
      <xdr:colOff>228600</xdr:colOff>
      <xdr:row>46</xdr:row>
      <xdr:rowOff>66675</xdr:rowOff>
    </xdr:from>
    <xdr:to>
      <xdr:col>7</xdr:col>
      <xdr:colOff>542925</xdr:colOff>
      <xdr:row>47</xdr:row>
      <xdr:rowOff>161925</xdr:rowOff>
    </xdr:to>
    <xdr:sp macro="" textlink="">
      <xdr:nvSpPr>
        <xdr:cNvPr id="21" name="Octagon 20">
          <a:extLst>
            <a:ext uri="{FF2B5EF4-FFF2-40B4-BE49-F238E27FC236}">
              <a16:creationId xmlns:a16="http://schemas.microsoft.com/office/drawing/2014/main" id="{C606C577-3C04-48DB-8143-90625E0489E9}"/>
            </a:ext>
          </a:extLst>
        </xdr:cNvPr>
        <xdr:cNvSpPr/>
      </xdr:nvSpPr>
      <xdr:spPr>
        <a:xfrm>
          <a:off x="10763049975" y="8829675"/>
          <a:ext cx="314325" cy="323850"/>
        </a:xfrm>
        <a:prstGeom prst="octagon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3</xdr:col>
      <xdr:colOff>285750</xdr:colOff>
      <xdr:row>46</xdr:row>
      <xdr:rowOff>76200</xdr:rowOff>
    </xdr:from>
    <xdr:to>
      <xdr:col>4</xdr:col>
      <xdr:colOff>76201</xdr:colOff>
      <xdr:row>47</xdr:row>
      <xdr:rowOff>152399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F03CD9C4-0768-45F5-BDCC-CC895AA9C243}"/>
            </a:ext>
          </a:extLst>
        </xdr:cNvPr>
        <xdr:cNvSpPr/>
      </xdr:nvSpPr>
      <xdr:spPr>
        <a:xfrm>
          <a:off x="10765488374" y="8839200"/>
          <a:ext cx="447676" cy="30479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en-US" sz="800"/>
            <a:t>NEW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8</xdr:row>
      <xdr:rowOff>114300</xdr:rowOff>
    </xdr:from>
    <xdr:to>
      <xdr:col>2</xdr:col>
      <xdr:colOff>371475</xdr:colOff>
      <xdr:row>13</xdr:row>
      <xdr:rowOff>57150</xdr:rowOff>
    </xdr:to>
    <xdr:sp macro="" textlink="">
      <xdr:nvSpPr>
        <xdr:cNvPr id="2" name="Flowchart: Alternate Process 1">
          <a:extLst>
            <a:ext uri="{FF2B5EF4-FFF2-40B4-BE49-F238E27FC236}">
              <a16:creationId xmlns:a16="http://schemas.microsoft.com/office/drawing/2014/main" id="{310CFA50-778D-4BED-918E-FCB2C9A123C9}"/>
            </a:ext>
          </a:extLst>
        </xdr:cNvPr>
        <xdr:cNvSpPr/>
      </xdr:nvSpPr>
      <xdr:spPr>
        <a:xfrm>
          <a:off x="10766507550" y="1638300"/>
          <a:ext cx="1238250" cy="895350"/>
        </a:xfrm>
        <a:prstGeom prst="flowChartAlternate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fa-IR" sz="1800">
              <a:latin typeface="+mn-lt"/>
              <a:cs typeface="B Nazanin" panose="00000400000000000000" pitchFamily="2" charset="-78"/>
            </a:rPr>
            <a:t>108</a:t>
          </a:r>
        </a:p>
        <a:p>
          <a:pPr algn="r" rtl="1"/>
          <a:r>
            <a:rPr lang="fa-IR" sz="1100">
              <a:cs typeface="B Nazanin" panose="00000400000000000000" pitchFamily="2" charset="-78"/>
            </a:rPr>
            <a:t>     </a:t>
          </a:r>
          <a:r>
            <a:rPr lang="fa-IR" sz="1100">
              <a:solidFill>
                <a:sysClr val="windowText" lastClr="000000"/>
              </a:solidFill>
              <a:latin typeface="Aglio Picasso" pitchFamily="2" charset="0"/>
              <a:cs typeface="B Nazanin" panose="00000400000000000000" pitchFamily="2" charset="-78"/>
            </a:rPr>
            <a:t>√</a:t>
          </a:r>
          <a:r>
            <a:rPr lang="fa-IR" sz="1100">
              <a:solidFill>
                <a:sysClr val="windowText" lastClr="000000"/>
              </a:solidFill>
              <a:cs typeface="B Nazanin" panose="00000400000000000000" pitchFamily="2" charset="-78"/>
            </a:rPr>
            <a:t> </a:t>
          </a:r>
          <a:r>
            <a:rPr lang="fa-IR" sz="1200">
              <a:cs typeface="B Nazanin" panose="00000400000000000000" pitchFamily="2" charset="-78"/>
            </a:rPr>
            <a:t>درخواست فعال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2</xdr:col>
      <xdr:colOff>561975</xdr:colOff>
      <xdr:row>8</xdr:row>
      <xdr:rowOff>142875</xdr:rowOff>
    </xdr:from>
    <xdr:to>
      <xdr:col>4</xdr:col>
      <xdr:colOff>485775</xdr:colOff>
      <xdr:row>13</xdr:row>
      <xdr:rowOff>85725</xdr:rowOff>
    </xdr:to>
    <xdr:sp macro="" textlink="">
      <xdr:nvSpPr>
        <xdr:cNvPr id="3" name="Flowchart: Alternate Process 2">
          <a:extLst>
            <a:ext uri="{FF2B5EF4-FFF2-40B4-BE49-F238E27FC236}">
              <a16:creationId xmlns:a16="http://schemas.microsoft.com/office/drawing/2014/main" id="{1B3C7B05-BA08-4286-9024-07EA37717C51}"/>
            </a:ext>
          </a:extLst>
        </xdr:cNvPr>
        <xdr:cNvSpPr/>
      </xdr:nvSpPr>
      <xdr:spPr>
        <a:xfrm>
          <a:off x="10765078800" y="1666875"/>
          <a:ext cx="1238250" cy="895350"/>
        </a:xfrm>
        <a:prstGeom prst="flowChartAlternate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fa-IR" sz="1800">
              <a:cs typeface="B Nazanin" panose="00000400000000000000" pitchFamily="2" charset="-78"/>
            </a:rPr>
            <a:t>179</a:t>
          </a:r>
          <a:endParaRPr lang="en-US" sz="1800">
            <a:cs typeface="B Nazanin" panose="00000400000000000000" pitchFamily="2" charset="-78"/>
          </a:endParaRPr>
        </a:p>
        <a:p>
          <a:pPr algn="ctr" rtl="1"/>
          <a:r>
            <a:rPr lang="fa-IR" sz="1200">
              <a:cs typeface="B Nazanin" panose="00000400000000000000" pitchFamily="2" charset="-78"/>
            </a:rPr>
            <a:t>     کل</a:t>
          </a:r>
          <a:r>
            <a:rPr lang="fa-IR" sz="1200" baseline="0">
              <a:cs typeface="B Nazanin" panose="00000400000000000000" pitchFamily="2" charset="-78"/>
            </a:rPr>
            <a:t> درخواست ها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7</xdr:col>
      <xdr:colOff>19050</xdr:colOff>
      <xdr:row>8</xdr:row>
      <xdr:rowOff>133350</xdr:rowOff>
    </xdr:from>
    <xdr:to>
      <xdr:col>8</xdr:col>
      <xdr:colOff>600075</xdr:colOff>
      <xdr:row>13</xdr:row>
      <xdr:rowOff>76200</xdr:rowOff>
    </xdr:to>
    <xdr:sp macro="" textlink="">
      <xdr:nvSpPr>
        <xdr:cNvPr id="4" name="Flowchart: Alternate Process 3">
          <a:extLst>
            <a:ext uri="{FF2B5EF4-FFF2-40B4-BE49-F238E27FC236}">
              <a16:creationId xmlns:a16="http://schemas.microsoft.com/office/drawing/2014/main" id="{BF29C67A-1C56-4A4B-BC7E-C511A848C2FF}"/>
            </a:ext>
          </a:extLst>
        </xdr:cNvPr>
        <xdr:cNvSpPr/>
      </xdr:nvSpPr>
      <xdr:spPr>
        <a:xfrm>
          <a:off x="10762335600" y="1657350"/>
          <a:ext cx="1238250" cy="895350"/>
        </a:xfrm>
        <a:prstGeom prst="flowChartAlternate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fa-IR" sz="1800">
              <a:cs typeface="B Nazanin" panose="00000400000000000000" pitchFamily="2" charset="-78"/>
            </a:rPr>
            <a:t>115.834</a:t>
          </a:r>
        </a:p>
        <a:p>
          <a:pPr algn="ctr" rtl="1"/>
          <a:r>
            <a:rPr lang="fa-IR" sz="1100">
              <a:cs typeface="B Nazanin" panose="00000400000000000000" pitchFamily="2" charset="-78"/>
            </a:rPr>
            <a:t>      تعمیرات میلیون</a:t>
          </a:r>
        </a:p>
        <a:p>
          <a:pPr algn="ctr" rtl="1"/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9</xdr:col>
      <xdr:colOff>47625</xdr:colOff>
      <xdr:row>8</xdr:row>
      <xdr:rowOff>133350</xdr:rowOff>
    </xdr:from>
    <xdr:to>
      <xdr:col>10</xdr:col>
      <xdr:colOff>352425</xdr:colOff>
      <xdr:row>13</xdr:row>
      <xdr:rowOff>76200</xdr:rowOff>
    </xdr:to>
    <xdr:sp macro="" textlink="">
      <xdr:nvSpPr>
        <xdr:cNvPr id="5" name="Flowchart: Alternate Process 4">
          <a:extLst>
            <a:ext uri="{FF2B5EF4-FFF2-40B4-BE49-F238E27FC236}">
              <a16:creationId xmlns:a16="http://schemas.microsoft.com/office/drawing/2014/main" id="{3B7083CC-B5E5-48F7-A287-9799EE3AC35B}"/>
            </a:ext>
          </a:extLst>
        </xdr:cNvPr>
        <xdr:cNvSpPr/>
      </xdr:nvSpPr>
      <xdr:spPr>
        <a:xfrm>
          <a:off x="10760992575" y="1657350"/>
          <a:ext cx="1238250" cy="895350"/>
        </a:xfrm>
        <a:prstGeom prst="flowChartAlternate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fa-IR" sz="1400">
              <a:cs typeface="B Nazanin" panose="00000400000000000000" pitchFamily="2" charset="-78"/>
            </a:rPr>
            <a:t>187.667</a:t>
          </a:r>
        </a:p>
        <a:p>
          <a:pPr algn="ctr" rtl="1"/>
          <a:r>
            <a:rPr lang="en-US" sz="1400"/>
            <a:t>    </a:t>
          </a:r>
          <a:r>
            <a:rPr lang="fa-IR" sz="1400"/>
            <a:t>ساخت</a:t>
          </a:r>
          <a:r>
            <a:rPr lang="en-US" sz="1400"/>
            <a:t> </a:t>
          </a:r>
          <a:r>
            <a:rPr lang="fa-IR" sz="1400"/>
            <a:t>میلیون</a:t>
          </a:r>
          <a:endParaRPr lang="en-US" sz="1400"/>
        </a:p>
      </xdr:txBody>
    </xdr:sp>
    <xdr:clientData/>
  </xdr:twoCellAnchor>
  <xdr:twoCellAnchor>
    <xdr:from>
      <xdr:col>2</xdr:col>
      <xdr:colOff>600075</xdr:colOff>
      <xdr:row>10</xdr:row>
      <xdr:rowOff>152400</xdr:rowOff>
    </xdr:from>
    <xdr:to>
      <xdr:col>3</xdr:col>
      <xdr:colOff>200025</xdr:colOff>
      <xdr:row>12</xdr:row>
      <xdr:rowOff>19050</xdr:rowOff>
    </xdr:to>
    <xdr:sp macro="" textlink="">
      <xdr:nvSpPr>
        <xdr:cNvPr id="6" name="Cube 5">
          <a:extLst>
            <a:ext uri="{FF2B5EF4-FFF2-40B4-BE49-F238E27FC236}">
              <a16:creationId xmlns:a16="http://schemas.microsoft.com/office/drawing/2014/main" id="{B73C62BC-D887-4DCE-9C14-C661B413772F}"/>
            </a:ext>
          </a:extLst>
        </xdr:cNvPr>
        <xdr:cNvSpPr/>
      </xdr:nvSpPr>
      <xdr:spPr>
        <a:xfrm>
          <a:off x="10766021775" y="2057400"/>
          <a:ext cx="257175" cy="247650"/>
        </a:xfrm>
        <a:prstGeom prst="cub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169734</xdr:colOff>
      <xdr:row>14</xdr:row>
      <xdr:rowOff>71437</xdr:rowOff>
    </xdr:from>
    <xdr:to>
      <xdr:col>5</xdr:col>
      <xdr:colOff>409575</xdr:colOff>
      <xdr:row>30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E666364-7E30-4C53-9ACF-9034143269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590550</xdr:colOff>
      <xdr:row>14</xdr:row>
      <xdr:rowOff>61912</xdr:rowOff>
    </xdr:from>
    <xdr:to>
      <xdr:col>10</xdr:col>
      <xdr:colOff>333375</xdr:colOff>
      <xdr:row>30</xdr:row>
      <xdr:rowOff>133350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36EDC8D-CD2E-4ECA-BDF4-D074138FCC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76201</xdr:colOff>
      <xdr:row>10</xdr:row>
      <xdr:rowOff>76200</xdr:rowOff>
    </xdr:from>
    <xdr:to>
      <xdr:col>7</xdr:col>
      <xdr:colOff>295276</xdr:colOff>
      <xdr:row>12</xdr:row>
      <xdr:rowOff>9525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AC585F4-F48F-4E1F-911E-C0D906D95E25}"/>
            </a:ext>
          </a:extLst>
        </xdr:cNvPr>
        <xdr:cNvSpPr txBox="1"/>
      </xdr:nvSpPr>
      <xdr:spPr>
        <a:xfrm>
          <a:off x="10763297624" y="1981200"/>
          <a:ext cx="219075" cy="314325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1800">
              <a:latin typeface="Aglio Picasso" pitchFamily="2" charset="0"/>
            </a:rPr>
            <a:t>$</a:t>
          </a:r>
          <a:endParaRPr lang="en-US" sz="1800"/>
        </a:p>
      </xdr:txBody>
    </xdr:sp>
    <xdr:clientData/>
  </xdr:twoCellAnchor>
  <xdr:twoCellAnchor>
    <xdr:from>
      <xdr:col>4</xdr:col>
      <xdr:colOff>628650</xdr:colOff>
      <xdr:row>8</xdr:row>
      <xdr:rowOff>133350</xdr:rowOff>
    </xdr:from>
    <xdr:to>
      <xdr:col>6</xdr:col>
      <xdr:colOff>552450</xdr:colOff>
      <xdr:row>13</xdr:row>
      <xdr:rowOff>76200</xdr:rowOff>
    </xdr:to>
    <xdr:sp macro="" textlink="">
      <xdr:nvSpPr>
        <xdr:cNvPr id="10" name="Flowchart: Alternate Process 9">
          <a:extLst>
            <a:ext uri="{FF2B5EF4-FFF2-40B4-BE49-F238E27FC236}">
              <a16:creationId xmlns:a16="http://schemas.microsoft.com/office/drawing/2014/main" id="{0173CA25-77C7-4000-958B-41CC15C81081}"/>
            </a:ext>
          </a:extLst>
        </xdr:cNvPr>
        <xdr:cNvSpPr/>
      </xdr:nvSpPr>
      <xdr:spPr>
        <a:xfrm>
          <a:off x="10763697675" y="1657350"/>
          <a:ext cx="1238250" cy="895350"/>
        </a:xfrm>
        <a:prstGeom prst="flowChartAlternateProcess">
          <a:avLst/>
        </a:prstGeom>
        <a:solidFill>
          <a:schemeClr val="accent1"/>
        </a:solidFill>
        <a:ln cmpd="dbl">
          <a:solidFill>
            <a:schemeClr val="accent1">
              <a:shade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800">
              <a:cs typeface="B Nazanin" panose="00000400000000000000" pitchFamily="2" charset="-78"/>
            </a:rPr>
            <a:t>568</a:t>
          </a:r>
          <a:endParaRPr lang="en-US" sz="1100">
            <a:cs typeface="B Nazanin" panose="00000400000000000000" pitchFamily="2" charset="-78"/>
          </a:endParaRPr>
        </a:p>
        <a:p>
          <a:pPr algn="r" rtl="1"/>
          <a:r>
            <a:rPr lang="fa-IR" sz="1200">
              <a:solidFill>
                <a:schemeClr val="bg1"/>
              </a:solidFill>
              <a:latin typeface="Walbaum Display Light" panose="020B0604020202020204" pitchFamily="18" charset="0"/>
              <a:cs typeface="B Nazanin" panose="00000400000000000000" pitchFamily="2" charset="-78"/>
            </a:rPr>
            <a:t>     ساعت کاری</a:t>
          </a:r>
          <a:endParaRPr lang="en-US" sz="1200">
            <a:solidFill>
              <a:schemeClr val="bg1"/>
            </a:solidFill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95250</xdr:colOff>
      <xdr:row>0</xdr:row>
      <xdr:rowOff>190499</xdr:rowOff>
    </xdr:from>
    <xdr:to>
      <xdr:col>10</xdr:col>
      <xdr:colOff>323850</xdr:colOff>
      <xdr:row>8</xdr:row>
      <xdr:rowOff>28574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C89F555-6757-4152-84C3-A05A1A30EF1E}"/>
            </a:ext>
          </a:extLst>
        </xdr:cNvPr>
        <xdr:cNvSpPr txBox="1"/>
      </xdr:nvSpPr>
      <xdr:spPr>
        <a:xfrm>
          <a:off x="10761021150" y="190499"/>
          <a:ext cx="6781800" cy="1362075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r>
            <a:rPr lang="fa-IR" sz="2400">
              <a:cs typeface="B Nazanin" panose="00000400000000000000" pitchFamily="2" charset="-78"/>
            </a:rPr>
            <a:t>گزارش درخواست های هفتگی</a:t>
          </a:r>
        </a:p>
        <a:p>
          <a:pPr algn="ctr" rtl="1"/>
          <a:r>
            <a:rPr lang="fa-IR" sz="2400">
              <a:cs typeface="B Nazanin" panose="00000400000000000000" pitchFamily="2" charset="-78"/>
            </a:rPr>
            <a:t>واحد قالب سازی</a:t>
          </a:r>
        </a:p>
        <a:p>
          <a:pPr algn="ctr" rtl="1"/>
          <a:r>
            <a:rPr lang="fa-IR" sz="1600">
              <a:cs typeface="B Nazanin" panose="00000400000000000000" pitchFamily="2" charset="-78"/>
            </a:rPr>
            <a:t>شرکت جهان ترمز   شماره 49  .   هفته 49</a:t>
          </a:r>
          <a:endParaRPr lang="en-US" sz="1600">
            <a:cs typeface="B Nazanin" panose="00000400000000000000" pitchFamily="2" charset="-78"/>
          </a:endParaRPr>
        </a:p>
      </xdr:txBody>
    </xdr:sp>
    <xdr:clientData/>
  </xdr:twoCellAnchor>
  <xdr:twoCellAnchor>
    <xdr:from>
      <xdr:col>9</xdr:col>
      <xdr:colOff>66676</xdr:colOff>
      <xdr:row>10</xdr:row>
      <xdr:rowOff>47625</xdr:rowOff>
    </xdr:from>
    <xdr:to>
      <xdr:col>9</xdr:col>
      <xdr:colOff>285751</xdr:colOff>
      <xdr:row>11</xdr:row>
      <xdr:rowOff>171450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683C449-BAB3-4414-A2CC-79A10C180781}"/>
            </a:ext>
          </a:extLst>
        </xdr:cNvPr>
        <xdr:cNvSpPr txBox="1"/>
      </xdr:nvSpPr>
      <xdr:spPr>
        <a:xfrm>
          <a:off x="10761992699" y="1952625"/>
          <a:ext cx="219075" cy="314325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1800">
              <a:latin typeface="Aglio Picasso" pitchFamily="2" charset="0"/>
            </a:rPr>
            <a:t>$</a:t>
          </a:r>
          <a:endParaRPr lang="en-US" sz="1800"/>
        </a:p>
      </xdr:txBody>
    </xdr:sp>
    <xdr:clientData/>
  </xdr:twoCellAnchor>
  <xdr:twoCellAnchor>
    <xdr:from>
      <xdr:col>0</xdr:col>
      <xdr:colOff>180975</xdr:colOff>
      <xdr:row>31</xdr:row>
      <xdr:rowOff>95250</xdr:rowOff>
    </xdr:from>
    <xdr:to>
      <xdr:col>5</xdr:col>
      <xdr:colOff>381000</xdr:colOff>
      <xdr:row>34</xdr:row>
      <xdr:rowOff>95250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F5FB009-69C6-4559-8556-2A6B35B3F492}"/>
            </a:ext>
          </a:extLst>
        </xdr:cNvPr>
        <xdr:cNvSpPr txBox="1"/>
      </xdr:nvSpPr>
      <xdr:spPr>
        <a:xfrm>
          <a:off x="10764526350" y="6000750"/>
          <a:ext cx="3190875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/>
            <a:t>108 درخواست</a:t>
          </a:r>
          <a:r>
            <a:rPr lang="fa-IR" sz="1100" baseline="0"/>
            <a:t> فعال . بیشترین مربوط به ساخت قطعه (58)</a:t>
          </a:r>
          <a:endParaRPr lang="en-US" sz="1100"/>
        </a:p>
      </xdr:txBody>
    </xdr:sp>
    <xdr:clientData/>
  </xdr:twoCellAnchor>
  <xdr:twoCellAnchor>
    <xdr:from>
      <xdr:col>5</xdr:col>
      <xdr:colOff>647700</xdr:colOff>
      <xdr:row>31</xdr:row>
      <xdr:rowOff>104775</xdr:rowOff>
    </xdr:from>
    <xdr:to>
      <xdr:col>10</xdr:col>
      <xdr:colOff>276225</xdr:colOff>
      <xdr:row>34</xdr:row>
      <xdr:rowOff>104775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169AECC-9ACF-4D16-ADDC-C186C6E3A55C}"/>
            </a:ext>
          </a:extLst>
        </xdr:cNvPr>
        <xdr:cNvSpPr txBox="1"/>
      </xdr:nvSpPr>
      <xdr:spPr>
        <a:xfrm>
          <a:off x="10761068775" y="6010275"/>
          <a:ext cx="3190875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r>
            <a:rPr lang="fa-IR" sz="1100"/>
            <a:t>مجموع 568 ساعت</a:t>
          </a:r>
          <a:r>
            <a:rPr lang="fa-IR" sz="1100" baseline="0"/>
            <a:t> . بیشترین ساخت قطعه (</a:t>
          </a:r>
          <a:r>
            <a:rPr lang="en-US" sz="1100" baseline="0"/>
            <a:t> h</a:t>
          </a:r>
          <a:r>
            <a:rPr lang="fa-IR" sz="1100" baseline="0"/>
            <a:t>248)</a:t>
          </a:r>
          <a:endParaRPr lang="en-US" sz="1100"/>
        </a:p>
      </xdr:txBody>
    </xdr:sp>
    <xdr:clientData/>
  </xdr:twoCellAnchor>
  <xdr:twoCellAnchor>
    <xdr:from>
      <xdr:col>4</xdr:col>
      <xdr:colOff>333375</xdr:colOff>
      <xdr:row>36</xdr:row>
      <xdr:rowOff>19049</xdr:rowOff>
    </xdr:from>
    <xdr:to>
      <xdr:col>7</xdr:col>
      <xdr:colOff>228600</xdr:colOff>
      <xdr:row>38</xdr:row>
      <xdr:rowOff>133350</xdr:rowOff>
    </xdr:to>
    <xdr:sp macro="" textlink="">
      <xdr:nvSpPr>
        <xdr:cNvPr id="15" name="Flowchart: Terminator 14">
          <a:extLst>
            <a:ext uri="{FF2B5EF4-FFF2-40B4-BE49-F238E27FC236}">
              <a16:creationId xmlns:a16="http://schemas.microsoft.com/office/drawing/2014/main" id="{FEFA67B7-E4DA-4497-B341-0B7A98B8A63F}"/>
            </a:ext>
          </a:extLst>
        </xdr:cNvPr>
        <xdr:cNvSpPr/>
      </xdr:nvSpPr>
      <xdr:spPr>
        <a:xfrm>
          <a:off x="10763364300" y="6877049"/>
          <a:ext cx="1866900" cy="495301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200">
              <a:cs typeface="B Nazanin" panose="00000400000000000000" pitchFamily="2" charset="-78"/>
            </a:rPr>
            <a:t>10    تعمیر قالب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333375</xdr:colOff>
      <xdr:row>36</xdr:row>
      <xdr:rowOff>19049</xdr:rowOff>
    </xdr:from>
    <xdr:to>
      <xdr:col>3</xdr:col>
      <xdr:colOff>523875</xdr:colOff>
      <xdr:row>38</xdr:row>
      <xdr:rowOff>133350</xdr:rowOff>
    </xdr:to>
    <xdr:sp macro="" textlink="">
      <xdr:nvSpPr>
        <xdr:cNvPr id="16" name="Flowchart: Terminator 15">
          <a:extLst>
            <a:ext uri="{FF2B5EF4-FFF2-40B4-BE49-F238E27FC236}">
              <a16:creationId xmlns:a16="http://schemas.microsoft.com/office/drawing/2014/main" id="{23F5303E-2D1F-469C-A8B4-4BD0155A8DA8}"/>
            </a:ext>
          </a:extLst>
        </xdr:cNvPr>
        <xdr:cNvSpPr/>
      </xdr:nvSpPr>
      <xdr:spPr>
        <a:xfrm>
          <a:off x="10765697925" y="6877049"/>
          <a:ext cx="1866900" cy="495301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200">
              <a:cs typeface="B Nazanin" panose="00000400000000000000" pitchFamily="2" charset="-78"/>
            </a:rPr>
            <a:t>37     تعمیر قطعه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7</xdr:col>
      <xdr:colOff>581025</xdr:colOff>
      <xdr:row>36</xdr:row>
      <xdr:rowOff>19049</xdr:rowOff>
    </xdr:from>
    <xdr:to>
      <xdr:col>10</xdr:col>
      <xdr:colOff>200025</xdr:colOff>
      <xdr:row>38</xdr:row>
      <xdr:rowOff>133350</xdr:rowOff>
    </xdr:to>
    <xdr:sp macro="" textlink="">
      <xdr:nvSpPr>
        <xdr:cNvPr id="17" name="Flowchart: Terminator 16">
          <a:extLst>
            <a:ext uri="{FF2B5EF4-FFF2-40B4-BE49-F238E27FC236}">
              <a16:creationId xmlns:a16="http://schemas.microsoft.com/office/drawing/2014/main" id="{9B2BD562-3D0A-440D-900D-C9F6C80B8C3E}"/>
            </a:ext>
          </a:extLst>
        </xdr:cNvPr>
        <xdr:cNvSpPr/>
      </xdr:nvSpPr>
      <xdr:spPr>
        <a:xfrm>
          <a:off x="10761144975" y="6877049"/>
          <a:ext cx="1866900" cy="495301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200">
              <a:cs typeface="B Nazanin" panose="00000400000000000000" pitchFamily="2" charset="-78"/>
            </a:rPr>
            <a:t>58  ساخت قطعه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5</xdr:col>
      <xdr:colOff>638175</xdr:colOff>
      <xdr:row>39</xdr:row>
      <xdr:rowOff>66674</xdr:rowOff>
    </xdr:from>
    <xdr:to>
      <xdr:col>8</xdr:col>
      <xdr:colOff>533400</xdr:colOff>
      <xdr:row>41</xdr:row>
      <xdr:rowOff>180975</xdr:rowOff>
    </xdr:to>
    <xdr:sp macro="" textlink="">
      <xdr:nvSpPr>
        <xdr:cNvPr id="18" name="Flowchart: Terminator 17">
          <a:extLst>
            <a:ext uri="{FF2B5EF4-FFF2-40B4-BE49-F238E27FC236}">
              <a16:creationId xmlns:a16="http://schemas.microsoft.com/office/drawing/2014/main" id="{242B5868-5646-44E4-B1D1-00247B3B14BB}"/>
            </a:ext>
          </a:extLst>
        </xdr:cNvPr>
        <xdr:cNvSpPr/>
      </xdr:nvSpPr>
      <xdr:spPr>
        <a:xfrm>
          <a:off x="10762402275" y="7496174"/>
          <a:ext cx="1866900" cy="495301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200">
              <a:cs typeface="B Nazanin" panose="00000400000000000000" pitchFamily="2" charset="-78"/>
            </a:rPr>
            <a:t>0    تعمیر دستگاه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2</xdr:col>
      <xdr:colOff>352425</xdr:colOff>
      <xdr:row>39</xdr:row>
      <xdr:rowOff>76199</xdr:rowOff>
    </xdr:from>
    <xdr:to>
      <xdr:col>5</xdr:col>
      <xdr:colOff>247650</xdr:colOff>
      <xdr:row>42</xdr:row>
      <xdr:rowOff>0</xdr:rowOff>
    </xdr:to>
    <xdr:sp macro="" textlink="">
      <xdr:nvSpPr>
        <xdr:cNvPr id="19" name="Flowchart: Terminator 18">
          <a:extLst>
            <a:ext uri="{FF2B5EF4-FFF2-40B4-BE49-F238E27FC236}">
              <a16:creationId xmlns:a16="http://schemas.microsoft.com/office/drawing/2014/main" id="{B1BF7398-5F16-4E7E-AA5C-5ABE4EBFAD49}"/>
            </a:ext>
          </a:extLst>
        </xdr:cNvPr>
        <xdr:cNvSpPr/>
      </xdr:nvSpPr>
      <xdr:spPr>
        <a:xfrm>
          <a:off x="10764659700" y="7505699"/>
          <a:ext cx="1866900" cy="495301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200">
              <a:cs typeface="B Nazanin" panose="00000400000000000000" pitchFamily="2" charset="-78"/>
            </a:rPr>
            <a:t>1    ساخت قالب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4</xdr:col>
      <xdr:colOff>257175</xdr:colOff>
      <xdr:row>43</xdr:row>
      <xdr:rowOff>9524</xdr:rowOff>
    </xdr:from>
    <xdr:to>
      <xdr:col>7</xdr:col>
      <xdr:colOff>152400</xdr:colOff>
      <xdr:row>45</xdr:row>
      <xdr:rowOff>123825</xdr:rowOff>
    </xdr:to>
    <xdr:sp macro="" textlink="">
      <xdr:nvSpPr>
        <xdr:cNvPr id="20" name="Flowchart: Terminator 19">
          <a:extLst>
            <a:ext uri="{FF2B5EF4-FFF2-40B4-BE49-F238E27FC236}">
              <a16:creationId xmlns:a16="http://schemas.microsoft.com/office/drawing/2014/main" id="{047F69F2-DCBF-4FFB-B2D2-960ED9A527B4}"/>
            </a:ext>
          </a:extLst>
        </xdr:cNvPr>
        <xdr:cNvSpPr/>
      </xdr:nvSpPr>
      <xdr:spPr>
        <a:xfrm>
          <a:off x="10763440500" y="8201024"/>
          <a:ext cx="1866900" cy="495301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200">
              <a:cs typeface="B Nazanin" panose="00000400000000000000" pitchFamily="2" charset="-78"/>
            </a:rPr>
            <a:t>2ساخت دستگاه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7</xdr:col>
      <xdr:colOff>228600</xdr:colOff>
      <xdr:row>46</xdr:row>
      <xdr:rowOff>66675</xdr:rowOff>
    </xdr:from>
    <xdr:to>
      <xdr:col>7</xdr:col>
      <xdr:colOff>542925</xdr:colOff>
      <xdr:row>47</xdr:row>
      <xdr:rowOff>161925</xdr:rowOff>
    </xdr:to>
    <xdr:sp macro="" textlink="">
      <xdr:nvSpPr>
        <xdr:cNvPr id="21" name="Octagon 20">
          <a:extLst>
            <a:ext uri="{FF2B5EF4-FFF2-40B4-BE49-F238E27FC236}">
              <a16:creationId xmlns:a16="http://schemas.microsoft.com/office/drawing/2014/main" id="{B6BFC127-C420-43E1-A068-5BEF709FEF5F}"/>
            </a:ext>
          </a:extLst>
        </xdr:cNvPr>
        <xdr:cNvSpPr/>
      </xdr:nvSpPr>
      <xdr:spPr>
        <a:xfrm>
          <a:off x="10763049975" y="8829675"/>
          <a:ext cx="314325" cy="323850"/>
        </a:xfrm>
        <a:prstGeom prst="octagon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3</xdr:col>
      <xdr:colOff>285750</xdr:colOff>
      <xdr:row>46</xdr:row>
      <xdr:rowOff>76200</xdr:rowOff>
    </xdr:from>
    <xdr:to>
      <xdr:col>4</xdr:col>
      <xdr:colOff>76201</xdr:colOff>
      <xdr:row>47</xdr:row>
      <xdr:rowOff>152399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C81D55D3-70FA-44B8-83F7-9D3FBD893D40}"/>
            </a:ext>
          </a:extLst>
        </xdr:cNvPr>
        <xdr:cNvSpPr/>
      </xdr:nvSpPr>
      <xdr:spPr>
        <a:xfrm>
          <a:off x="10765488374" y="8839200"/>
          <a:ext cx="447676" cy="30479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en-US" sz="800"/>
            <a:t>NEW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8</xdr:row>
      <xdr:rowOff>114300</xdr:rowOff>
    </xdr:from>
    <xdr:to>
      <xdr:col>2</xdr:col>
      <xdr:colOff>371475</xdr:colOff>
      <xdr:row>13</xdr:row>
      <xdr:rowOff>57150</xdr:rowOff>
    </xdr:to>
    <xdr:sp macro="" textlink="">
      <xdr:nvSpPr>
        <xdr:cNvPr id="2" name="Flowchart: Alternate Process 1">
          <a:extLst>
            <a:ext uri="{FF2B5EF4-FFF2-40B4-BE49-F238E27FC236}">
              <a16:creationId xmlns:a16="http://schemas.microsoft.com/office/drawing/2014/main" id="{ECF941CC-F077-4D2E-A158-6E781237D6EB}"/>
            </a:ext>
          </a:extLst>
        </xdr:cNvPr>
        <xdr:cNvSpPr/>
      </xdr:nvSpPr>
      <xdr:spPr>
        <a:xfrm>
          <a:off x="10766507550" y="1638300"/>
          <a:ext cx="1238250" cy="895350"/>
        </a:xfrm>
        <a:prstGeom prst="flowChartAlternate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fa-IR" sz="1800">
              <a:latin typeface="+mn-lt"/>
              <a:cs typeface="B Nazanin" panose="00000400000000000000" pitchFamily="2" charset="-78"/>
            </a:rPr>
            <a:t>147</a:t>
          </a:r>
        </a:p>
        <a:p>
          <a:pPr algn="r" rtl="1"/>
          <a:r>
            <a:rPr lang="fa-IR" sz="1100">
              <a:cs typeface="B Nazanin" panose="00000400000000000000" pitchFamily="2" charset="-78"/>
            </a:rPr>
            <a:t>     </a:t>
          </a:r>
          <a:r>
            <a:rPr lang="fa-IR" sz="1100">
              <a:solidFill>
                <a:sysClr val="windowText" lastClr="000000"/>
              </a:solidFill>
              <a:latin typeface="Aglio Picasso" pitchFamily="2" charset="0"/>
              <a:cs typeface="B Nazanin" panose="00000400000000000000" pitchFamily="2" charset="-78"/>
            </a:rPr>
            <a:t>√</a:t>
          </a:r>
          <a:r>
            <a:rPr lang="fa-IR" sz="1100">
              <a:solidFill>
                <a:sysClr val="windowText" lastClr="000000"/>
              </a:solidFill>
              <a:cs typeface="B Nazanin" panose="00000400000000000000" pitchFamily="2" charset="-78"/>
            </a:rPr>
            <a:t> </a:t>
          </a:r>
          <a:r>
            <a:rPr lang="fa-IR" sz="1200">
              <a:cs typeface="B Nazanin" panose="00000400000000000000" pitchFamily="2" charset="-78"/>
            </a:rPr>
            <a:t>درخواست فعال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2</xdr:col>
      <xdr:colOff>561975</xdr:colOff>
      <xdr:row>8</xdr:row>
      <xdr:rowOff>142875</xdr:rowOff>
    </xdr:from>
    <xdr:to>
      <xdr:col>4</xdr:col>
      <xdr:colOff>485775</xdr:colOff>
      <xdr:row>13</xdr:row>
      <xdr:rowOff>85725</xdr:rowOff>
    </xdr:to>
    <xdr:sp macro="" textlink="">
      <xdr:nvSpPr>
        <xdr:cNvPr id="3" name="Flowchart: Alternate Process 2">
          <a:extLst>
            <a:ext uri="{FF2B5EF4-FFF2-40B4-BE49-F238E27FC236}">
              <a16:creationId xmlns:a16="http://schemas.microsoft.com/office/drawing/2014/main" id="{7425FAB6-5646-4633-98F3-C56C1E2F6585}"/>
            </a:ext>
          </a:extLst>
        </xdr:cNvPr>
        <xdr:cNvSpPr/>
      </xdr:nvSpPr>
      <xdr:spPr>
        <a:xfrm>
          <a:off x="10765078800" y="1666875"/>
          <a:ext cx="1238250" cy="895350"/>
        </a:xfrm>
        <a:prstGeom prst="flowChartAlternate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fa-IR" sz="1800">
              <a:cs typeface="B Nazanin" panose="00000400000000000000" pitchFamily="2" charset="-78"/>
            </a:rPr>
            <a:t>155</a:t>
          </a:r>
          <a:endParaRPr lang="en-US" sz="1800">
            <a:cs typeface="B Nazanin" panose="00000400000000000000" pitchFamily="2" charset="-78"/>
          </a:endParaRPr>
        </a:p>
        <a:p>
          <a:pPr algn="ctr" rtl="1"/>
          <a:r>
            <a:rPr lang="fa-IR" sz="1200">
              <a:cs typeface="B Nazanin" panose="00000400000000000000" pitchFamily="2" charset="-78"/>
            </a:rPr>
            <a:t>     کل</a:t>
          </a:r>
          <a:r>
            <a:rPr lang="fa-IR" sz="1200" baseline="0">
              <a:cs typeface="B Nazanin" panose="00000400000000000000" pitchFamily="2" charset="-78"/>
            </a:rPr>
            <a:t> درخواست ها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7</xdr:col>
      <xdr:colOff>19050</xdr:colOff>
      <xdr:row>8</xdr:row>
      <xdr:rowOff>133350</xdr:rowOff>
    </xdr:from>
    <xdr:to>
      <xdr:col>8</xdr:col>
      <xdr:colOff>600075</xdr:colOff>
      <xdr:row>13</xdr:row>
      <xdr:rowOff>76200</xdr:rowOff>
    </xdr:to>
    <xdr:sp macro="" textlink="">
      <xdr:nvSpPr>
        <xdr:cNvPr id="4" name="Flowchart: Alternate Process 3">
          <a:extLst>
            <a:ext uri="{FF2B5EF4-FFF2-40B4-BE49-F238E27FC236}">
              <a16:creationId xmlns:a16="http://schemas.microsoft.com/office/drawing/2014/main" id="{DDC8ED32-AC8F-4B2A-AC1C-7A4822580E40}"/>
            </a:ext>
          </a:extLst>
        </xdr:cNvPr>
        <xdr:cNvSpPr/>
      </xdr:nvSpPr>
      <xdr:spPr>
        <a:xfrm>
          <a:off x="10762335600" y="1657350"/>
          <a:ext cx="1238250" cy="895350"/>
        </a:xfrm>
        <a:prstGeom prst="flowChartAlternate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fa-IR" sz="1800">
              <a:cs typeface="B Nazanin" panose="00000400000000000000" pitchFamily="2" charset="-78"/>
            </a:rPr>
            <a:t>85.584</a:t>
          </a:r>
        </a:p>
        <a:p>
          <a:pPr algn="ctr" rtl="1"/>
          <a:r>
            <a:rPr lang="fa-IR" sz="1100">
              <a:cs typeface="B Nazanin" panose="00000400000000000000" pitchFamily="2" charset="-78"/>
            </a:rPr>
            <a:t>      تعمیرات میلیون</a:t>
          </a:r>
        </a:p>
        <a:p>
          <a:pPr algn="ctr" rtl="1"/>
          <a:endParaRPr lang="en-US" sz="1100">
            <a:cs typeface="B Nazanin" panose="00000400000000000000" pitchFamily="2" charset="-78"/>
          </a:endParaRPr>
        </a:p>
      </xdr:txBody>
    </xdr:sp>
    <xdr:clientData/>
  </xdr:twoCellAnchor>
  <xdr:twoCellAnchor>
    <xdr:from>
      <xdr:col>9</xdr:col>
      <xdr:colOff>47625</xdr:colOff>
      <xdr:row>8</xdr:row>
      <xdr:rowOff>133350</xdr:rowOff>
    </xdr:from>
    <xdr:to>
      <xdr:col>10</xdr:col>
      <xdr:colOff>352425</xdr:colOff>
      <xdr:row>13</xdr:row>
      <xdr:rowOff>76200</xdr:rowOff>
    </xdr:to>
    <xdr:sp macro="" textlink="">
      <xdr:nvSpPr>
        <xdr:cNvPr id="5" name="Flowchart: Alternate Process 4">
          <a:extLst>
            <a:ext uri="{FF2B5EF4-FFF2-40B4-BE49-F238E27FC236}">
              <a16:creationId xmlns:a16="http://schemas.microsoft.com/office/drawing/2014/main" id="{554BC0F1-A0E3-4211-A91C-90DB7DB0B4AB}"/>
            </a:ext>
          </a:extLst>
        </xdr:cNvPr>
        <xdr:cNvSpPr/>
      </xdr:nvSpPr>
      <xdr:spPr>
        <a:xfrm>
          <a:off x="10760992575" y="1657350"/>
          <a:ext cx="1238250" cy="895350"/>
        </a:xfrm>
        <a:prstGeom prst="flowChartAlternateProcess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 rtl="1"/>
          <a:r>
            <a:rPr lang="fa-IR" sz="1400">
              <a:cs typeface="B Nazanin" panose="00000400000000000000" pitchFamily="2" charset="-78"/>
            </a:rPr>
            <a:t>202.584</a:t>
          </a:r>
        </a:p>
        <a:p>
          <a:pPr algn="ctr" rtl="1"/>
          <a:r>
            <a:rPr lang="en-US" sz="1400"/>
            <a:t>    </a:t>
          </a:r>
          <a:r>
            <a:rPr lang="fa-IR" sz="1400"/>
            <a:t>ساخت</a:t>
          </a:r>
          <a:r>
            <a:rPr lang="en-US" sz="1400"/>
            <a:t> </a:t>
          </a:r>
          <a:r>
            <a:rPr lang="fa-IR" sz="1400"/>
            <a:t>میلیون</a:t>
          </a:r>
          <a:endParaRPr lang="en-US" sz="1400"/>
        </a:p>
      </xdr:txBody>
    </xdr:sp>
    <xdr:clientData/>
  </xdr:twoCellAnchor>
  <xdr:twoCellAnchor>
    <xdr:from>
      <xdr:col>2</xdr:col>
      <xdr:colOff>600075</xdr:colOff>
      <xdr:row>10</xdr:row>
      <xdr:rowOff>152400</xdr:rowOff>
    </xdr:from>
    <xdr:to>
      <xdr:col>3</xdr:col>
      <xdr:colOff>200025</xdr:colOff>
      <xdr:row>12</xdr:row>
      <xdr:rowOff>19050</xdr:rowOff>
    </xdr:to>
    <xdr:sp macro="" textlink="">
      <xdr:nvSpPr>
        <xdr:cNvPr id="6" name="Cube 5">
          <a:extLst>
            <a:ext uri="{FF2B5EF4-FFF2-40B4-BE49-F238E27FC236}">
              <a16:creationId xmlns:a16="http://schemas.microsoft.com/office/drawing/2014/main" id="{47FD4304-AEBD-45BE-8B3B-A2A879121CFC}"/>
            </a:ext>
          </a:extLst>
        </xdr:cNvPr>
        <xdr:cNvSpPr/>
      </xdr:nvSpPr>
      <xdr:spPr>
        <a:xfrm>
          <a:off x="10766021775" y="2057400"/>
          <a:ext cx="257175" cy="247650"/>
        </a:xfrm>
        <a:prstGeom prst="cube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0</xdr:col>
      <xdr:colOff>169734</xdr:colOff>
      <xdr:row>14</xdr:row>
      <xdr:rowOff>71437</xdr:rowOff>
    </xdr:from>
    <xdr:to>
      <xdr:col>5</xdr:col>
      <xdr:colOff>409575</xdr:colOff>
      <xdr:row>30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22F72-968A-4186-92F2-77D12E8752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590550</xdr:colOff>
      <xdr:row>14</xdr:row>
      <xdr:rowOff>61912</xdr:rowOff>
    </xdr:from>
    <xdr:to>
      <xdr:col>10</xdr:col>
      <xdr:colOff>333375</xdr:colOff>
      <xdr:row>30</xdr:row>
      <xdr:rowOff>133350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AEF274B-6CF2-41A6-BA01-0031A2CBC4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76201</xdr:colOff>
      <xdr:row>10</xdr:row>
      <xdr:rowOff>76200</xdr:rowOff>
    </xdr:from>
    <xdr:to>
      <xdr:col>7</xdr:col>
      <xdr:colOff>295276</xdr:colOff>
      <xdr:row>12</xdr:row>
      <xdr:rowOff>9525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AE25CE8-8FED-4FD0-B8C3-188C785B94DA}"/>
            </a:ext>
          </a:extLst>
        </xdr:cNvPr>
        <xdr:cNvSpPr txBox="1"/>
      </xdr:nvSpPr>
      <xdr:spPr>
        <a:xfrm>
          <a:off x="10763297624" y="1981200"/>
          <a:ext cx="219075" cy="314325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1800">
              <a:latin typeface="Aglio Picasso" pitchFamily="2" charset="0"/>
            </a:rPr>
            <a:t>$</a:t>
          </a:r>
          <a:endParaRPr lang="en-US" sz="1800"/>
        </a:p>
      </xdr:txBody>
    </xdr:sp>
    <xdr:clientData/>
  </xdr:twoCellAnchor>
  <xdr:twoCellAnchor>
    <xdr:from>
      <xdr:col>4</xdr:col>
      <xdr:colOff>628650</xdr:colOff>
      <xdr:row>8</xdr:row>
      <xdr:rowOff>133350</xdr:rowOff>
    </xdr:from>
    <xdr:to>
      <xdr:col>6</xdr:col>
      <xdr:colOff>552450</xdr:colOff>
      <xdr:row>13</xdr:row>
      <xdr:rowOff>76200</xdr:rowOff>
    </xdr:to>
    <xdr:sp macro="" textlink="">
      <xdr:nvSpPr>
        <xdr:cNvPr id="10" name="Flowchart: Alternate Process 9">
          <a:extLst>
            <a:ext uri="{FF2B5EF4-FFF2-40B4-BE49-F238E27FC236}">
              <a16:creationId xmlns:a16="http://schemas.microsoft.com/office/drawing/2014/main" id="{2B01D3F1-6C34-4F97-B69B-DC52247946F8}"/>
            </a:ext>
          </a:extLst>
        </xdr:cNvPr>
        <xdr:cNvSpPr/>
      </xdr:nvSpPr>
      <xdr:spPr>
        <a:xfrm>
          <a:off x="10763697675" y="1657350"/>
          <a:ext cx="1238250" cy="895350"/>
        </a:xfrm>
        <a:prstGeom prst="flowChartAlternateProcess">
          <a:avLst/>
        </a:prstGeom>
        <a:solidFill>
          <a:schemeClr val="accent1"/>
        </a:solidFill>
        <a:ln cmpd="dbl">
          <a:solidFill>
            <a:schemeClr val="accent1">
              <a:shade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800">
              <a:cs typeface="B Nazanin" panose="00000400000000000000" pitchFamily="2" charset="-78"/>
            </a:rPr>
            <a:t>511</a:t>
          </a:r>
          <a:endParaRPr lang="en-US" sz="1100">
            <a:cs typeface="B Nazanin" panose="00000400000000000000" pitchFamily="2" charset="-78"/>
          </a:endParaRPr>
        </a:p>
        <a:p>
          <a:pPr algn="r" rtl="1"/>
          <a:r>
            <a:rPr lang="fa-IR" sz="1200">
              <a:solidFill>
                <a:schemeClr val="bg1"/>
              </a:solidFill>
              <a:latin typeface="Walbaum Display Light" panose="020B0604020202020204" pitchFamily="18" charset="0"/>
              <a:cs typeface="B Nazanin" panose="00000400000000000000" pitchFamily="2" charset="-78"/>
            </a:rPr>
            <a:t>     ساعت کاری</a:t>
          </a:r>
          <a:endParaRPr lang="en-US" sz="1200">
            <a:solidFill>
              <a:schemeClr val="bg1"/>
            </a:solidFill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106456</xdr:colOff>
      <xdr:row>0</xdr:row>
      <xdr:rowOff>123264</xdr:rowOff>
    </xdr:from>
    <xdr:to>
      <xdr:col>10</xdr:col>
      <xdr:colOff>368673</xdr:colOff>
      <xdr:row>7</xdr:row>
      <xdr:rowOff>151839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59A4167-7CDB-4C1E-8C90-D404906DEEE1}"/>
            </a:ext>
          </a:extLst>
        </xdr:cNvPr>
        <xdr:cNvSpPr txBox="1"/>
      </xdr:nvSpPr>
      <xdr:spPr>
        <a:xfrm>
          <a:off x="10825186033" y="123264"/>
          <a:ext cx="6840070" cy="1362075"/>
        </a:xfrm>
        <a:prstGeom prst="rect">
          <a:avLst/>
        </a:prstGeom>
        <a:solidFill>
          <a:schemeClr val="accent5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r>
            <a:rPr lang="fa-IR" sz="2400">
              <a:cs typeface="B Nazanin" panose="00000400000000000000" pitchFamily="2" charset="-78"/>
            </a:rPr>
            <a:t>گزارش درخواست های هفتگی</a:t>
          </a:r>
        </a:p>
        <a:p>
          <a:pPr algn="ctr" rtl="1"/>
          <a:r>
            <a:rPr lang="fa-IR" sz="2400">
              <a:cs typeface="B Nazanin" panose="00000400000000000000" pitchFamily="2" charset="-78"/>
            </a:rPr>
            <a:t>واحد قالب سازی</a:t>
          </a:r>
        </a:p>
        <a:p>
          <a:pPr algn="ctr" rtl="1"/>
          <a:r>
            <a:rPr lang="fa-IR" sz="1600">
              <a:cs typeface="B Nazanin" panose="00000400000000000000" pitchFamily="2" charset="-78"/>
            </a:rPr>
            <a:t>شرکت جهان ترمز   شماره 50  .   هفته 50</a:t>
          </a:r>
          <a:endParaRPr lang="en-US" sz="1600">
            <a:cs typeface="B Nazanin" panose="00000400000000000000" pitchFamily="2" charset="-78"/>
          </a:endParaRPr>
        </a:p>
      </xdr:txBody>
    </xdr:sp>
    <xdr:clientData/>
  </xdr:twoCellAnchor>
  <xdr:twoCellAnchor>
    <xdr:from>
      <xdr:col>9</xdr:col>
      <xdr:colOff>66676</xdr:colOff>
      <xdr:row>10</xdr:row>
      <xdr:rowOff>47625</xdr:rowOff>
    </xdr:from>
    <xdr:to>
      <xdr:col>9</xdr:col>
      <xdr:colOff>285751</xdr:colOff>
      <xdr:row>11</xdr:row>
      <xdr:rowOff>171450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4331ADF-3FD1-42B1-87FE-5D255AF30991}"/>
            </a:ext>
          </a:extLst>
        </xdr:cNvPr>
        <xdr:cNvSpPr txBox="1"/>
      </xdr:nvSpPr>
      <xdr:spPr>
        <a:xfrm>
          <a:off x="10761992699" y="1952625"/>
          <a:ext cx="219075" cy="314325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 rtl="1"/>
          <a:r>
            <a:rPr lang="en-US" sz="1800">
              <a:latin typeface="Aglio Picasso" pitchFamily="2" charset="0"/>
            </a:rPr>
            <a:t>$</a:t>
          </a:r>
          <a:endParaRPr lang="en-US" sz="1800"/>
        </a:p>
      </xdr:txBody>
    </xdr:sp>
    <xdr:clientData/>
  </xdr:twoCellAnchor>
  <xdr:twoCellAnchor>
    <xdr:from>
      <xdr:col>0</xdr:col>
      <xdr:colOff>180975</xdr:colOff>
      <xdr:row>31</xdr:row>
      <xdr:rowOff>95250</xdr:rowOff>
    </xdr:from>
    <xdr:to>
      <xdr:col>5</xdr:col>
      <xdr:colOff>381000</xdr:colOff>
      <xdr:row>34</xdr:row>
      <xdr:rowOff>95250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A2F68EB-D761-406E-B4D7-0608E5DC125D}"/>
            </a:ext>
          </a:extLst>
        </xdr:cNvPr>
        <xdr:cNvSpPr txBox="1"/>
      </xdr:nvSpPr>
      <xdr:spPr>
        <a:xfrm>
          <a:off x="10764526350" y="6000750"/>
          <a:ext cx="3190875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 rtl="1"/>
          <a:r>
            <a:rPr lang="fa-IR" sz="1100"/>
            <a:t>147 درخواست</a:t>
          </a:r>
          <a:r>
            <a:rPr lang="fa-IR" sz="1100" baseline="0"/>
            <a:t> فعال . بیشترین مربوط به ساخت قطعه (117)</a:t>
          </a:r>
          <a:endParaRPr lang="en-US" sz="1100"/>
        </a:p>
      </xdr:txBody>
    </xdr:sp>
    <xdr:clientData/>
  </xdr:twoCellAnchor>
  <xdr:twoCellAnchor>
    <xdr:from>
      <xdr:col>5</xdr:col>
      <xdr:colOff>647700</xdr:colOff>
      <xdr:row>31</xdr:row>
      <xdr:rowOff>104775</xdr:rowOff>
    </xdr:from>
    <xdr:to>
      <xdr:col>10</xdr:col>
      <xdr:colOff>276225</xdr:colOff>
      <xdr:row>34</xdr:row>
      <xdr:rowOff>104775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1E4212F9-57C0-42BC-A3AD-FAEE99F45971}"/>
            </a:ext>
          </a:extLst>
        </xdr:cNvPr>
        <xdr:cNvSpPr txBox="1"/>
      </xdr:nvSpPr>
      <xdr:spPr>
        <a:xfrm>
          <a:off x="10761068775" y="6010275"/>
          <a:ext cx="3190875" cy="571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r>
            <a:rPr lang="fa-IR" sz="1100"/>
            <a:t>مجموع 568 ساعت</a:t>
          </a:r>
          <a:r>
            <a:rPr lang="fa-IR" sz="1100" baseline="0"/>
            <a:t> . بیشترین ساخت قطعه (</a:t>
          </a:r>
          <a:r>
            <a:rPr lang="en-US" sz="1100" baseline="0"/>
            <a:t> h</a:t>
          </a:r>
          <a:r>
            <a:rPr lang="fa-IR" sz="1100" baseline="0"/>
            <a:t>284)</a:t>
          </a:r>
          <a:endParaRPr lang="en-US" sz="1100"/>
        </a:p>
      </xdr:txBody>
    </xdr:sp>
    <xdr:clientData/>
  </xdr:twoCellAnchor>
  <xdr:twoCellAnchor>
    <xdr:from>
      <xdr:col>4</xdr:col>
      <xdr:colOff>333375</xdr:colOff>
      <xdr:row>36</xdr:row>
      <xdr:rowOff>19049</xdr:rowOff>
    </xdr:from>
    <xdr:to>
      <xdr:col>7</xdr:col>
      <xdr:colOff>228600</xdr:colOff>
      <xdr:row>38</xdr:row>
      <xdr:rowOff>133350</xdr:rowOff>
    </xdr:to>
    <xdr:sp macro="" textlink="">
      <xdr:nvSpPr>
        <xdr:cNvPr id="15" name="Flowchart: Terminator 14">
          <a:extLst>
            <a:ext uri="{FF2B5EF4-FFF2-40B4-BE49-F238E27FC236}">
              <a16:creationId xmlns:a16="http://schemas.microsoft.com/office/drawing/2014/main" id="{50C65638-848F-40E8-A564-A6BE3BD83C7A}"/>
            </a:ext>
          </a:extLst>
        </xdr:cNvPr>
        <xdr:cNvSpPr/>
      </xdr:nvSpPr>
      <xdr:spPr>
        <a:xfrm>
          <a:off x="10763364300" y="6877049"/>
          <a:ext cx="1866900" cy="495301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200">
              <a:cs typeface="B Nazanin" panose="00000400000000000000" pitchFamily="2" charset="-78"/>
            </a:rPr>
            <a:t>8    تعمیر قالب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0</xdr:col>
      <xdr:colOff>333375</xdr:colOff>
      <xdr:row>36</xdr:row>
      <xdr:rowOff>19049</xdr:rowOff>
    </xdr:from>
    <xdr:to>
      <xdr:col>3</xdr:col>
      <xdr:colOff>523875</xdr:colOff>
      <xdr:row>38</xdr:row>
      <xdr:rowOff>133350</xdr:rowOff>
    </xdr:to>
    <xdr:sp macro="" textlink="">
      <xdr:nvSpPr>
        <xdr:cNvPr id="16" name="Flowchart: Terminator 15">
          <a:extLst>
            <a:ext uri="{FF2B5EF4-FFF2-40B4-BE49-F238E27FC236}">
              <a16:creationId xmlns:a16="http://schemas.microsoft.com/office/drawing/2014/main" id="{D5ADBBFD-E4F9-4904-A58E-5156336F43AB}"/>
            </a:ext>
          </a:extLst>
        </xdr:cNvPr>
        <xdr:cNvSpPr/>
      </xdr:nvSpPr>
      <xdr:spPr>
        <a:xfrm>
          <a:off x="10765697925" y="6877049"/>
          <a:ext cx="1866900" cy="495301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200">
              <a:cs typeface="B Nazanin" panose="00000400000000000000" pitchFamily="2" charset="-78"/>
            </a:rPr>
            <a:t>37     تعمیر قطعه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7</xdr:col>
      <xdr:colOff>581025</xdr:colOff>
      <xdr:row>36</xdr:row>
      <xdr:rowOff>19049</xdr:rowOff>
    </xdr:from>
    <xdr:to>
      <xdr:col>10</xdr:col>
      <xdr:colOff>200025</xdr:colOff>
      <xdr:row>38</xdr:row>
      <xdr:rowOff>133350</xdr:rowOff>
    </xdr:to>
    <xdr:sp macro="" textlink="">
      <xdr:nvSpPr>
        <xdr:cNvPr id="17" name="Flowchart: Terminator 16">
          <a:extLst>
            <a:ext uri="{FF2B5EF4-FFF2-40B4-BE49-F238E27FC236}">
              <a16:creationId xmlns:a16="http://schemas.microsoft.com/office/drawing/2014/main" id="{243B750B-DBC0-44C4-8EF8-D928DA8AAC22}"/>
            </a:ext>
          </a:extLst>
        </xdr:cNvPr>
        <xdr:cNvSpPr/>
      </xdr:nvSpPr>
      <xdr:spPr>
        <a:xfrm>
          <a:off x="10761144975" y="6877049"/>
          <a:ext cx="1866900" cy="495301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200">
              <a:cs typeface="B Nazanin" panose="00000400000000000000" pitchFamily="2" charset="-78"/>
            </a:rPr>
            <a:t>117  ساخت قطعه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5</xdr:col>
      <xdr:colOff>638175</xdr:colOff>
      <xdr:row>39</xdr:row>
      <xdr:rowOff>66674</xdr:rowOff>
    </xdr:from>
    <xdr:to>
      <xdr:col>8</xdr:col>
      <xdr:colOff>533400</xdr:colOff>
      <xdr:row>41</xdr:row>
      <xdr:rowOff>180975</xdr:rowOff>
    </xdr:to>
    <xdr:sp macro="" textlink="">
      <xdr:nvSpPr>
        <xdr:cNvPr id="18" name="Flowchart: Terminator 17">
          <a:extLst>
            <a:ext uri="{FF2B5EF4-FFF2-40B4-BE49-F238E27FC236}">
              <a16:creationId xmlns:a16="http://schemas.microsoft.com/office/drawing/2014/main" id="{F909A324-AADC-4D36-8D6C-A55C79F0864B}"/>
            </a:ext>
          </a:extLst>
        </xdr:cNvPr>
        <xdr:cNvSpPr/>
      </xdr:nvSpPr>
      <xdr:spPr>
        <a:xfrm>
          <a:off x="10762402275" y="7496174"/>
          <a:ext cx="1866900" cy="495301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200">
              <a:cs typeface="B Nazanin" panose="00000400000000000000" pitchFamily="2" charset="-78"/>
            </a:rPr>
            <a:t>0    تعمیر دستگاه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2</xdr:col>
      <xdr:colOff>352425</xdr:colOff>
      <xdr:row>39</xdr:row>
      <xdr:rowOff>76199</xdr:rowOff>
    </xdr:from>
    <xdr:to>
      <xdr:col>5</xdr:col>
      <xdr:colOff>247650</xdr:colOff>
      <xdr:row>42</xdr:row>
      <xdr:rowOff>0</xdr:rowOff>
    </xdr:to>
    <xdr:sp macro="" textlink="">
      <xdr:nvSpPr>
        <xdr:cNvPr id="19" name="Flowchart: Terminator 18">
          <a:extLst>
            <a:ext uri="{FF2B5EF4-FFF2-40B4-BE49-F238E27FC236}">
              <a16:creationId xmlns:a16="http://schemas.microsoft.com/office/drawing/2014/main" id="{96629DFE-FA74-4065-B5F1-765E9CB356AD}"/>
            </a:ext>
          </a:extLst>
        </xdr:cNvPr>
        <xdr:cNvSpPr/>
      </xdr:nvSpPr>
      <xdr:spPr>
        <a:xfrm>
          <a:off x="10764659700" y="7505699"/>
          <a:ext cx="1866900" cy="495301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200">
              <a:cs typeface="B Nazanin" panose="00000400000000000000" pitchFamily="2" charset="-78"/>
            </a:rPr>
            <a:t>1    ساخت قالب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4</xdr:col>
      <xdr:colOff>257175</xdr:colOff>
      <xdr:row>43</xdr:row>
      <xdr:rowOff>9524</xdr:rowOff>
    </xdr:from>
    <xdr:to>
      <xdr:col>7</xdr:col>
      <xdr:colOff>152400</xdr:colOff>
      <xdr:row>45</xdr:row>
      <xdr:rowOff>123825</xdr:rowOff>
    </xdr:to>
    <xdr:sp macro="" textlink="">
      <xdr:nvSpPr>
        <xdr:cNvPr id="20" name="Flowchart: Terminator 19">
          <a:extLst>
            <a:ext uri="{FF2B5EF4-FFF2-40B4-BE49-F238E27FC236}">
              <a16:creationId xmlns:a16="http://schemas.microsoft.com/office/drawing/2014/main" id="{F2A73FDA-677A-4C4E-82C3-AE93581E4638}"/>
            </a:ext>
          </a:extLst>
        </xdr:cNvPr>
        <xdr:cNvSpPr/>
      </xdr:nvSpPr>
      <xdr:spPr>
        <a:xfrm>
          <a:off x="10763440500" y="8201024"/>
          <a:ext cx="1866900" cy="495301"/>
        </a:xfrm>
        <a:prstGeom prst="flowChartTerminator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1"/>
          <a:r>
            <a:rPr lang="fa-IR" sz="1200">
              <a:cs typeface="B Nazanin" panose="00000400000000000000" pitchFamily="2" charset="-78"/>
            </a:rPr>
            <a:t>1 ساخت دستگاه</a:t>
          </a:r>
          <a:endParaRPr lang="en-US" sz="1200">
            <a:cs typeface="B Nazanin" panose="00000400000000000000" pitchFamily="2" charset="-78"/>
          </a:endParaRPr>
        </a:p>
      </xdr:txBody>
    </xdr:sp>
    <xdr:clientData/>
  </xdr:twoCellAnchor>
  <xdr:twoCellAnchor>
    <xdr:from>
      <xdr:col>7</xdr:col>
      <xdr:colOff>228600</xdr:colOff>
      <xdr:row>46</xdr:row>
      <xdr:rowOff>66675</xdr:rowOff>
    </xdr:from>
    <xdr:to>
      <xdr:col>7</xdr:col>
      <xdr:colOff>542925</xdr:colOff>
      <xdr:row>47</xdr:row>
      <xdr:rowOff>161925</xdr:rowOff>
    </xdr:to>
    <xdr:sp macro="" textlink="">
      <xdr:nvSpPr>
        <xdr:cNvPr id="21" name="Octagon 20">
          <a:extLst>
            <a:ext uri="{FF2B5EF4-FFF2-40B4-BE49-F238E27FC236}">
              <a16:creationId xmlns:a16="http://schemas.microsoft.com/office/drawing/2014/main" id="{FD7A013E-62B0-4E61-989F-CB2BCAC10601}"/>
            </a:ext>
          </a:extLst>
        </xdr:cNvPr>
        <xdr:cNvSpPr/>
      </xdr:nvSpPr>
      <xdr:spPr>
        <a:xfrm>
          <a:off x="10763049975" y="8829675"/>
          <a:ext cx="314325" cy="323850"/>
        </a:xfrm>
        <a:prstGeom prst="octagon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endParaRPr lang="en-US" sz="1100"/>
        </a:p>
      </xdr:txBody>
    </xdr:sp>
    <xdr:clientData/>
  </xdr:twoCellAnchor>
  <xdr:twoCellAnchor>
    <xdr:from>
      <xdr:col>3</xdr:col>
      <xdr:colOff>285750</xdr:colOff>
      <xdr:row>46</xdr:row>
      <xdr:rowOff>76200</xdr:rowOff>
    </xdr:from>
    <xdr:to>
      <xdr:col>4</xdr:col>
      <xdr:colOff>76201</xdr:colOff>
      <xdr:row>47</xdr:row>
      <xdr:rowOff>152399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F8254DC4-7B3B-420B-A257-A03822AD3C17}"/>
            </a:ext>
          </a:extLst>
        </xdr:cNvPr>
        <xdr:cNvSpPr/>
      </xdr:nvSpPr>
      <xdr:spPr>
        <a:xfrm>
          <a:off x="10765488374" y="8839200"/>
          <a:ext cx="447676" cy="30479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 rtl="1"/>
          <a:r>
            <a:rPr lang="en-US" sz="800"/>
            <a:t>NEW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0824D-8091-482D-AEE1-F65348C7E9D1}">
  <dimension ref="A1:N51"/>
  <sheetViews>
    <sheetView rightToLeft="1" tabSelected="1" view="pageLayout" topLeftCell="A28" zoomScaleNormal="100" workbookViewId="0">
      <selection activeCell="I51" sqref="I51"/>
    </sheetView>
  </sheetViews>
  <sheetFormatPr defaultRowHeight="15" x14ac:dyDescent="0.25"/>
  <cols>
    <col min="1" max="1" width="5" customWidth="1"/>
    <col min="10" max="10" width="13" customWidth="1"/>
    <col min="11" max="11" width="6.28515625" customWidth="1"/>
    <col min="12" max="12" width="11.28515625" bestFit="1" customWidth="1"/>
  </cols>
  <sheetData>
    <row r="1" spans="1:11" x14ac:dyDescent="0.25">
      <c r="A1" s="2"/>
      <c r="B1" s="3"/>
      <c r="C1" s="3"/>
      <c r="D1" s="3"/>
      <c r="E1" s="3"/>
      <c r="F1" s="3"/>
      <c r="G1" s="3"/>
      <c r="H1" s="3"/>
      <c r="I1" s="3"/>
      <c r="J1" s="3"/>
      <c r="K1" s="4"/>
    </row>
    <row r="2" spans="1:11" x14ac:dyDescent="0.25">
      <c r="A2" s="5"/>
      <c r="B2" s="25" t="s">
        <v>0</v>
      </c>
      <c r="C2" s="26"/>
      <c r="D2" s="26"/>
      <c r="E2" s="26"/>
      <c r="F2" s="26"/>
      <c r="G2" s="26"/>
      <c r="H2" s="26"/>
      <c r="I2" s="26"/>
      <c r="J2" s="26"/>
      <c r="K2" s="6"/>
    </row>
    <row r="3" spans="1:11" x14ac:dyDescent="0.25">
      <c r="A3" s="5"/>
      <c r="B3" s="26"/>
      <c r="C3" s="26"/>
      <c r="D3" s="26"/>
      <c r="E3" s="26"/>
      <c r="F3" s="26"/>
      <c r="G3" s="26"/>
      <c r="H3" s="26"/>
      <c r="I3" s="26"/>
      <c r="J3" s="26"/>
      <c r="K3" s="6"/>
    </row>
    <row r="4" spans="1:11" x14ac:dyDescent="0.25">
      <c r="A4" s="5"/>
      <c r="B4" s="26"/>
      <c r="C4" s="26"/>
      <c r="D4" s="26"/>
      <c r="E4" s="26"/>
      <c r="F4" s="26"/>
      <c r="G4" s="26"/>
      <c r="H4" s="26"/>
      <c r="I4" s="26"/>
      <c r="J4" s="26"/>
      <c r="K4" s="6"/>
    </row>
    <row r="5" spans="1:11" x14ac:dyDescent="0.25">
      <c r="A5" s="5"/>
      <c r="B5" s="26"/>
      <c r="C5" s="26"/>
      <c r="D5" s="26"/>
      <c r="E5" s="26"/>
      <c r="F5" s="26"/>
      <c r="G5" s="26"/>
      <c r="H5" s="26"/>
      <c r="I5" s="26"/>
      <c r="J5" s="26"/>
      <c r="K5" s="6"/>
    </row>
    <row r="6" spans="1:11" x14ac:dyDescent="0.25">
      <c r="A6" s="5"/>
      <c r="B6" s="26"/>
      <c r="C6" s="26"/>
      <c r="D6" s="26"/>
      <c r="E6" s="26"/>
      <c r="F6" s="26"/>
      <c r="G6" s="26"/>
      <c r="H6" s="26"/>
      <c r="I6" s="26"/>
      <c r="J6" s="26"/>
      <c r="K6" s="6"/>
    </row>
    <row r="7" spans="1:11" x14ac:dyDescent="0.25">
      <c r="A7" s="5"/>
      <c r="B7" s="26"/>
      <c r="C7" s="26"/>
      <c r="D7" s="26"/>
      <c r="E7" s="26"/>
      <c r="F7" s="26"/>
      <c r="G7" s="26"/>
      <c r="H7" s="26"/>
      <c r="I7" s="26"/>
      <c r="J7" s="26"/>
      <c r="K7" s="6"/>
    </row>
    <row r="8" spans="1:11" x14ac:dyDescent="0.25">
      <c r="A8" s="5"/>
      <c r="B8" s="26"/>
      <c r="C8" s="26"/>
      <c r="D8" s="26"/>
      <c r="E8" s="26"/>
      <c r="F8" s="26"/>
      <c r="G8" s="26"/>
      <c r="H8" s="26"/>
      <c r="I8" s="26"/>
      <c r="J8" s="26"/>
      <c r="K8" s="6"/>
    </row>
    <row r="9" spans="1:11" x14ac:dyDescent="0.25">
      <c r="A9" s="5"/>
      <c r="B9" s="7"/>
      <c r="C9" s="7"/>
      <c r="D9" s="7"/>
      <c r="E9" s="7"/>
      <c r="F9" s="7"/>
      <c r="G9" s="7"/>
      <c r="H9" s="7"/>
      <c r="I9" s="7"/>
      <c r="J9" s="7"/>
      <c r="K9" s="6"/>
    </row>
    <row r="10" spans="1:11" x14ac:dyDescent="0.25">
      <c r="A10" s="5"/>
      <c r="B10" s="7"/>
      <c r="C10" s="7"/>
      <c r="D10" s="7"/>
      <c r="E10" s="7"/>
      <c r="F10" s="7"/>
      <c r="G10" s="7"/>
      <c r="H10" s="7"/>
      <c r="I10" s="7"/>
      <c r="J10" s="7"/>
      <c r="K10" s="6"/>
    </row>
    <row r="11" spans="1:11" x14ac:dyDescent="0.25">
      <c r="A11" s="5"/>
      <c r="B11" s="7"/>
      <c r="C11" s="7"/>
      <c r="D11" s="7"/>
      <c r="E11" s="7"/>
      <c r="F11" s="7"/>
      <c r="G11" s="7"/>
      <c r="H11" s="7"/>
      <c r="I11" s="7"/>
      <c r="J11" s="7"/>
      <c r="K11" s="6"/>
    </row>
    <row r="12" spans="1:11" x14ac:dyDescent="0.25">
      <c r="A12" s="5"/>
      <c r="B12" s="7"/>
      <c r="C12" s="7"/>
      <c r="D12" s="7"/>
      <c r="E12" s="7"/>
      <c r="F12" s="7"/>
      <c r="G12" s="7"/>
      <c r="H12" s="7"/>
      <c r="I12" s="7"/>
      <c r="J12" s="7"/>
      <c r="K12" s="6"/>
    </row>
    <row r="13" spans="1:11" x14ac:dyDescent="0.25">
      <c r="A13" s="5"/>
      <c r="B13" s="7"/>
      <c r="C13" s="7"/>
      <c r="D13" s="7"/>
      <c r="E13" s="7"/>
      <c r="F13" s="7"/>
      <c r="G13" s="7"/>
      <c r="H13" s="7"/>
      <c r="I13" s="7"/>
      <c r="J13" s="7"/>
      <c r="K13" s="6"/>
    </row>
    <row r="14" spans="1:11" x14ac:dyDescent="0.25">
      <c r="A14" s="5"/>
      <c r="B14" s="7"/>
      <c r="C14" s="7"/>
      <c r="D14" s="7"/>
      <c r="E14" s="7"/>
      <c r="F14" s="7"/>
      <c r="G14" s="7"/>
      <c r="H14" s="7"/>
      <c r="I14" s="7"/>
      <c r="J14" s="7"/>
      <c r="K14" s="6"/>
    </row>
    <row r="15" spans="1:11" x14ac:dyDescent="0.25">
      <c r="A15" s="5"/>
      <c r="B15" s="7"/>
      <c r="C15" s="7"/>
      <c r="D15" s="7"/>
      <c r="E15" s="7"/>
      <c r="F15" s="7"/>
      <c r="G15" s="7"/>
      <c r="H15" s="7"/>
      <c r="I15" s="7"/>
      <c r="J15" s="7"/>
      <c r="K15" s="6"/>
    </row>
    <row r="16" spans="1:11" x14ac:dyDescent="0.25">
      <c r="A16" s="5"/>
      <c r="B16" s="7"/>
      <c r="C16" s="7"/>
      <c r="D16" s="7"/>
      <c r="E16" s="7"/>
      <c r="F16" s="7"/>
      <c r="G16" s="7"/>
      <c r="H16" s="7"/>
      <c r="I16" s="7"/>
      <c r="J16" s="7"/>
      <c r="K16" s="6"/>
    </row>
    <row r="17" spans="1:14" x14ac:dyDescent="0.25">
      <c r="A17" s="5"/>
      <c r="B17" s="7"/>
      <c r="C17" s="7"/>
      <c r="D17" s="7"/>
      <c r="E17" s="7"/>
      <c r="F17" s="7"/>
      <c r="G17" s="7"/>
      <c r="H17" s="7"/>
      <c r="I17" s="7"/>
      <c r="J17" s="7"/>
      <c r="K17" s="6"/>
      <c r="L17" s="16" t="s">
        <v>7</v>
      </c>
      <c r="M17" s="16"/>
      <c r="N17" s="16"/>
    </row>
    <row r="18" spans="1:14" x14ac:dyDescent="0.25">
      <c r="A18" s="5"/>
      <c r="B18" s="7"/>
      <c r="C18" s="7"/>
      <c r="D18" s="7"/>
      <c r="E18" s="7"/>
      <c r="F18" s="7"/>
      <c r="G18" s="7"/>
      <c r="H18" s="7"/>
      <c r="I18" s="7"/>
      <c r="J18" s="7"/>
      <c r="K18" s="6"/>
      <c r="L18" t="s">
        <v>1</v>
      </c>
      <c r="M18">
        <v>0</v>
      </c>
      <c r="N18" s="1">
        <f>M18/M24</f>
        <v>0</v>
      </c>
    </row>
    <row r="19" spans="1:14" x14ac:dyDescent="0.25">
      <c r="A19" s="5"/>
      <c r="B19" s="7"/>
      <c r="C19" s="7"/>
      <c r="D19" s="7"/>
      <c r="E19" s="7"/>
      <c r="F19" s="7"/>
      <c r="G19" s="7"/>
      <c r="H19" s="7"/>
      <c r="I19" s="7"/>
      <c r="J19" s="7"/>
      <c r="K19" s="6"/>
      <c r="L19" t="s">
        <v>2</v>
      </c>
      <c r="M19">
        <v>3</v>
      </c>
      <c r="N19" s="1">
        <f>M19/M24</f>
        <v>3.896103896103896E-2</v>
      </c>
    </row>
    <row r="20" spans="1:14" x14ac:dyDescent="0.25">
      <c r="A20" s="5"/>
      <c r="B20" s="7"/>
      <c r="C20" s="7"/>
      <c r="D20" s="7"/>
      <c r="E20" s="7"/>
      <c r="F20" s="7"/>
      <c r="G20" s="7"/>
      <c r="H20" s="7"/>
      <c r="I20" s="7"/>
      <c r="J20" s="7"/>
      <c r="K20" s="6"/>
      <c r="L20" t="s">
        <v>3</v>
      </c>
      <c r="M20">
        <v>51</v>
      </c>
      <c r="N20" s="1">
        <f>M20/M24</f>
        <v>0.66233766233766234</v>
      </c>
    </row>
    <row r="21" spans="1:14" x14ac:dyDescent="0.25">
      <c r="A21" s="5"/>
      <c r="B21" s="7"/>
      <c r="C21" s="7"/>
      <c r="D21" s="7"/>
      <c r="E21" s="7"/>
      <c r="F21" s="7"/>
      <c r="G21" s="7"/>
      <c r="H21" s="7"/>
      <c r="I21" s="7"/>
      <c r="J21" s="7"/>
      <c r="K21" s="6"/>
      <c r="L21" t="s">
        <v>4</v>
      </c>
      <c r="M21">
        <v>3</v>
      </c>
      <c r="N21" s="1">
        <f>M21/M24</f>
        <v>3.896103896103896E-2</v>
      </c>
    </row>
    <row r="22" spans="1:14" x14ac:dyDescent="0.25">
      <c r="A22" s="5"/>
      <c r="B22" s="7"/>
      <c r="C22" s="7"/>
      <c r="D22" s="7"/>
      <c r="E22" s="7"/>
      <c r="F22" s="7"/>
      <c r="G22" s="7"/>
      <c r="H22" s="7"/>
      <c r="I22" s="7"/>
      <c r="J22" s="7"/>
      <c r="K22" s="6"/>
      <c r="L22" t="s">
        <v>5</v>
      </c>
      <c r="M22">
        <v>17</v>
      </c>
      <c r="N22" s="1">
        <f>M22/M24</f>
        <v>0.22077922077922077</v>
      </c>
    </row>
    <row r="23" spans="1:14" x14ac:dyDescent="0.25">
      <c r="A23" s="5"/>
      <c r="B23" s="7"/>
      <c r="C23" s="7"/>
      <c r="D23" s="7"/>
      <c r="E23" s="7"/>
      <c r="F23" s="7"/>
      <c r="G23" s="7"/>
      <c r="H23" s="7"/>
      <c r="I23" s="7"/>
      <c r="J23" s="7"/>
      <c r="K23" s="6"/>
      <c r="L23" t="s">
        <v>6</v>
      </c>
      <c r="M23">
        <v>3</v>
      </c>
      <c r="N23" s="1">
        <f>M23/M24</f>
        <v>3.896103896103896E-2</v>
      </c>
    </row>
    <row r="24" spans="1:14" x14ac:dyDescent="0.25">
      <c r="A24" s="5"/>
      <c r="B24" s="7"/>
      <c r="C24" s="7"/>
      <c r="D24" s="7"/>
      <c r="E24" s="7"/>
      <c r="F24" s="7"/>
      <c r="G24" s="7"/>
      <c r="H24" s="7"/>
      <c r="I24" s="7"/>
      <c r="J24" s="7"/>
      <c r="K24" s="6"/>
      <c r="M24">
        <f>SUM(M18:M23)</f>
        <v>77</v>
      </c>
      <c r="N24" s="1">
        <f>N18+N19+N20+N21+N22+N23</f>
        <v>1</v>
      </c>
    </row>
    <row r="25" spans="1:14" x14ac:dyDescent="0.25">
      <c r="A25" s="5"/>
      <c r="B25" s="7"/>
      <c r="C25" s="7"/>
      <c r="D25" s="7"/>
      <c r="E25" s="7"/>
      <c r="F25" s="7"/>
      <c r="G25" s="7"/>
      <c r="H25" s="7"/>
      <c r="I25" s="7"/>
      <c r="J25" s="7"/>
      <c r="K25" s="6"/>
      <c r="L25" s="16" t="s">
        <v>8</v>
      </c>
      <c r="M25" s="16"/>
      <c r="N25" s="16"/>
    </row>
    <row r="26" spans="1:14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6"/>
      <c r="L26" t="s">
        <v>1</v>
      </c>
      <c r="M26">
        <v>0</v>
      </c>
    </row>
    <row r="27" spans="1:14" x14ac:dyDescent="0.25">
      <c r="A27" s="5"/>
      <c r="B27" s="7"/>
      <c r="C27" s="7"/>
      <c r="D27" s="7"/>
      <c r="E27" s="7"/>
      <c r="F27" s="7"/>
      <c r="G27" s="7"/>
      <c r="H27" s="7"/>
      <c r="I27" s="7"/>
      <c r="J27" s="7"/>
      <c r="K27" s="6"/>
      <c r="L27" t="s">
        <v>2</v>
      </c>
      <c r="M27">
        <v>0</v>
      </c>
    </row>
    <row r="28" spans="1:14" x14ac:dyDescent="0.25">
      <c r="A28" s="5"/>
      <c r="B28" s="7"/>
      <c r="C28" s="7"/>
      <c r="D28" s="7"/>
      <c r="E28" s="7"/>
      <c r="F28" s="7"/>
      <c r="G28" s="7"/>
      <c r="H28" s="7"/>
      <c r="I28" s="7"/>
      <c r="J28" s="7"/>
      <c r="K28" s="6"/>
      <c r="L28" t="s">
        <v>3</v>
      </c>
      <c r="M28">
        <v>44</v>
      </c>
    </row>
    <row r="29" spans="1:14" x14ac:dyDescent="0.25">
      <c r="A29" s="5"/>
      <c r="B29" s="7"/>
      <c r="C29" s="7"/>
      <c r="D29" s="7"/>
      <c r="E29" s="7"/>
      <c r="F29" s="7"/>
      <c r="G29" s="7"/>
      <c r="H29" s="7"/>
      <c r="I29" s="7"/>
      <c r="J29" s="7"/>
      <c r="K29" s="6"/>
      <c r="L29" t="s">
        <v>4</v>
      </c>
      <c r="M29">
        <v>0</v>
      </c>
    </row>
    <row r="30" spans="1:14" x14ac:dyDescent="0.25">
      <c r="A30" s="5"/>
      <c r="B30" s="7"/>
      <c r="C30" s="7"/>
      <c r="D30" s="7"/>
      <c r="E30" s="7"/>
      <c r="F30" s="7"/>
      <c r="G30" s="7"/>
      <c r="H30" s="7"/>
      <c r="I30" s="7"/>
      <c r="J30" s="7"/>
      <c r="K30" s="6"/>
      <c r="L30" t="s">
        <v>5</v>
      </c>
      <c r="M30">
        <v>153</v>
      </c>
    </row>
    <row r="31" spans="1:14" x14ac:dyDescent="0.25">
      <c r="A31" s="5"/>
      <c r="B31" s="7"/>
      <c r="C31" s="7"/>
      <c r="D31" s="7"/>
      <c r="E31" s="7"/>
      <c r="F31" s="7"/>
      <c r="G31" s="7"/>
      <c r="H31" s="7"/>
      <c r="I31" s="7"/>
      <c r="J31" s="7"/>
      <c r="K31" s="6"/>
      <c r="L31" t="s">
        <v>6</v>
      </c>
      <c r="M31">
        <v>22</v>
      </c>
    </row>
    <row r="32" spans="1:14" x14ac:dyDescent="0.25">
      <c r="A32" s="5"/>
      <c r="B32" s="7"/>
      <c r="C32" s="7"/>
      <c r="D32" s="7"/>
      <c r="E32" s="7"/>
      <c r="F32" s="7"/>
      <c r="G32" s="7"/>
      <c r="H32" s="7"/>
      <c r="I32" s="7"/>
      <c r="J32" s="7"/>
      <c r="K32" s="6"/>
      <c r="M32">
        <f>SUM(M26:M31)</f>
        <v>219</v>
      </c>
    </row>
    <row r="33" spans="1:11" x14ac:dyDescent="0.25">
      <c r="A33" s="5"/>
      <c r="B33" s="7"/>
      <c r="C33" s="7"/>
      <c r="D33" s="7"/>
      <c r="E33" s="7"/>
      <c r="F33" s="7"/>
      <c r="G33" s="7"/>
      <c r="H33" s="7"/>
      <c r="I33" s="7"/>
      <c r="J33" s="7"/>
      <c r="K33" s="6"/>
    </row>
    <row r="34" spans="1:11" x14ac:dyDescent="0.25">
      <c r="A34" s="5"/>
      <c r="B34" s="7"/>
      <c r="C34" s="7"/>
      <c r="D34" s="7"/>
      <c r="E34" s="7"/>
      <c r="F34" s="7"/>
      <c r="G34" s="7"/>
      <c r="H34" s="7"/>
      <c r="I34" s="7"/>
      <c r="J34" s="7"/>
      <c r="K34" s="6"/>
    </row>
    <row r="35" spans="1:11" x14ac:dyDescent="0.25">
      <c r="A35" s="5"/>
      <c r="B35" s="7"/>
      <c r="C35" s="7"/>
      <c r="D35" s="7"/>
      <c r="E35" s="7"/>
      <c r="F35" s="7"/>
      <c r="G35" s="7"/>
      <c r="H35" s="7"/>
      <c r="I35" s="7"/>
      <c r="J35" s="7"/>
      <c r="K35" s="6"/>
    </row>
    <row r="36" spans="1:11" x14ac:dyDescent="0.25">
      <c r="A36" s="5"/>
      <c r="B36" s="7"/>
      <c r="C36" s="7"/>
      <c r="D36" s="7"/>
      <c r="E36" s="7"/>
      <c r="F36" s="7"/>
      <c r="G36" s="7"/>
      <c r="H36" s="7"/>
      <c r="I36" s="7"/>
      <c r="J36" s="7"/>
      <c r="K36" s="6"/>
    </row>
    <row r="37" spans="1:11" x14ac:dyDescent="0.25">
      <c r="A37" s="5"/>
      <c r="B37" s="7"/>
      <c r="C37" s="7"/>
      <c r="D37" s="7"/>
      <c r="E37" s="7"/>
      <c r="F37" s="7"/>
      <c r="G37" s="7"/>
      <c r="H37" s="7"/>
      <c r="I37" s="7"/>
      <c r="J37" s="7"/>
      <c r="K37" s="6"/>
    </row>
    <row r="38" spans="1:11" x14ac:dyDescent="0.25">
      <c r="A38" s="5"/>
      <c r="B38" s="7"/>
      <c r="C38" s="7"/>
      <c r="D38" s="7"/>
      <c r="E38" s="7"/>
      <c r="F38" s="7"/>
      <c r="G38" s="7"/>
      <c r="H38" s="7"/>
      <c r="I38" s="7"/>
      <c r="J38" s="7"/>
      <c r="K38" s="6"/>
    </row>
    <row r="39" spans="1:11" x14ac:dyDescent="0.25">
      <c r="A39" s="5"/>
      <c r="B39" s="7"/>
      <c r="C39" s="7"/>
      <c r="D39" s="7"/>
      <c r="E39" s="7"/>
      <c r="F39" s="7"/>
      <c r="G39" s="7"/>
      <c r="H39" s="7"/>
      <c r="I39" s="7"/>
      <c r="J39" s="7"/>
      <c r="K39" s="6"/>
    </row>
    <row r="40" spans="1:11" x14ac:dyDescent="0.25">
      <c r="A40" s="5"/>
      <c r="B40" s="7"/>
      <c r="C40" s="7"/>
      <c r="D40" s="7"/>
      <c r="E40" s="7"/>
      <c r="F40" s="7"/>
      <c r="G40" s="7"/>
      <c r="H40" s="7"/>
      <c r="I40" s="7"/>
      <c r="J40" s="7"/>
      <c r="K40" s="6"/>
    </row>
    <row r="41" spans="1:11" x14ac:dyDescent="0.25">
      <c r="A41" s="5"/>
      <c r="B41" s="7"/>
      <c r="C41" s="7"/>
      <c r="D41" s="7"/>
      <c r="E41" s="7"/>
      <c r="F41" s="7"/>
      <c r="G41" s="7"/>
      <c r="H41" s="7"/>
      <c r="I41" s="7"/>
      <c r="J41" s="7"/>
      <c r="K41" s="6"/>
    </row>
    <row r="42" spans="1:11" x14ac:dyDescent="0.25">
      <c r="A42" s="5"/>
      <c r="B42" s="7"/>
      <c r="C42" s="7"/>
      <c r="D42" s="7"/>
      <c r="E42" s="7"/>
      <c r="F42" s="7"/>
      <c r="G42" s="7"/>
      <c r="H42" s="7"/>
      <c r="I42" s="7"/>
      <c r="J42" s="7"/>
      <c r="K42" s="6"/>
    </row>
    <row r="43" spans="1:11" x14ac:dyDescent="0.25">
      <c r="A43" s="5"/>
      <c r="B43" s="7"/>
      <c r="C43" s="7"/>
      <c r="D43" s="7"/>
      <c r="E43" s="7"/>
      <c r="F43" s="7"/>
      <c r="G43" s="7"/>
      <c r="H43" s="7"/>
      <c r="I43" s="7"/>
      <c r="J43" s="7"/>
      <c r="K43" s="6"/>
    </row>
    <row r="44" spans="1:11" x14ac:dyDescent="0.25">
      <c r="A44" s="5"/>
      <c r="B44" s="7"/>
      <c r="C44" s="7"/>
      <c r="D44" s="7"/>
      <c r="E44" s="7"/>
      <c r="F44" s="7"/>
      <c r="G44" s="7"/>
      <c r="H44" s="7"/>
      <c r="I44" s="7"/>
      <c r="J44" s="7"/>
      <c r="K44" s="6"/>
    </row>
    <row r="45" spans="1:11" x14ac:dyDescent="0.25">
      <c r="A45" s="5"/>
      <c r="B45" s="7"/>
      <c r="C45" s="7"/>
      <c r="D45" s="7"/>
      <c r="E45" s="7"/>
      <c r="F45" s="7"/>
      <c r="G45" s="7"/>
      <c r="H45" s="7"/>
      <c r="I45" s="7"/>
      <c r="J45" s="7"/>
      <c r="K45" s="6"/>
    </row>
    <row r="46" spans="1:11" x14ac:dyDescent="0.25">
      <c r="A46" s="5"/>
      <c r="B46" s="7"/>
      <c r="C46" s="7"/>
      <c r="D46" s="7"/>
      <c r="E46" s="7"/>
      <c r="F46" s="7"/>
      <c r="G46" s="7"/>
      <c r="H46" s="7"/>
      <c r="I46" s="7"/>
      <c r="J46" s="7"/>
      <c r="K46" s="6"/>
    </row>
    <row r="47" spans="1:11" ht="18" x14ac:dyDescent="0.45">
      <c r="A47" s="17" t="s">
        <v>10</v>
      </c>
      <c r="B47" s="19" t="s">
        <v>13</v>
      </c>
      <c r="C47" s="19"/>
      <c r="D47" s="14"/>
      <c r="E47" s="19" t="s">
        <v>14</v>
      </c>
      <c r="F47" s="19"/>
      <c r="G47" s="19"/>
      <c r="H47" s="20"/>
      <c r="I47" s="19" t="s">
        <v>22</v>
      </c>
      <c r="J47" s="19"/>
      <c r="K47" s="21"/>
    </row>
    <row r="48" spans="1:11" ht="18" x14ac:dyDescent="0.45">
      <c r="A48" s="18"/>
      <c r="B48" s="19"/>
      <c r="C48" s="19"/>
      <c r="D48" s="14"/>
      <c r="E48" s="19"/>
      <c r="F48" s="19"/>
      <c r="G48" s="19"/>
      <c r="H48" s="20"/>
      <c r="I48" s="19"/>
      <c r="J48" s="19"/>
      <c r="K48" s="21"/>
    </row>
    <row r="49" spans="1:11" ht="18" x14ac:dyDescent="0.45">
      <c r="A49" s="22" t="s">
        <v>11</v>
      </c>
      <c r="B49" s="19" t="s">
        <v>23</v>
      </c>
      <c r="C49" s="19"/>
      <c r="D49" s="19"/>
      <c r="E49" s="14"/>
      <c r="F49" s="14"/>
      <c r="G49" s="14"/>
      <c r="H49" s="24" t="s">
        <v>9</v>
      </c>
      <c r="I49" s="19" t="s">
        <v>26</v>
      </c>
      <c r="J49" s="19"/>
      <c r="K49" s="21"/>
    </row>
    <row r="50" spans="1:11" ht="18.75" customHeight="1" x14ac:dyDescent="0.25">
      <c r="A50" s="23"/>
      <c r="B50" s="19"/>
      <c r="C50" s="19"/>
      <c r="D50" s="19"/>
      <c r="E50" s="7"/>
      <c r="F50" s="7"/>
      <c r="G50" s="7"/>
      <c r="H50" s="24"/>
      <c r="I50" s="19"/>
      <c r="J50" s="19"/>
      <c r="K50" s="21"/>
    </row>
    <row r="51" spans="1:11" ht="15.75" thickBot="1" x14ac:dyDescent="0.3">
      <c r="A51" s="8"/>
      <c r="B51" s="9"/>
      <c r="C51" s="9"/>
      <c r="D51" s="9"/>
      <c r="E51" s="9"/>
      <c r="F51" s="9"/>
      <c r="G51" s="9"/>
      <c r="H51" s="9"/>
      <c r="I51" s="9"/>
      <c r="J51" s="9"/>
      <c r="K51" s="10"/>
    </row>
  </sheetData>
  <mergeCells count="12">
    <mergeCell ref="A49:A50"/>
    <mergeCell ref="B49:D50"/>
    <mergeCell ref="H49:H50"/>
    <mergeCell ref="I49:K50"/>
    <mergeCell ref="B2:J8"/>
    <mergeCell ref="L17:N17"/>
    <mergeCell ref="L25:N25"/>
    <mergeCell ref="A47:A48"/>
    <mergeCell ref="B47:C48"/>
    <mergeCell ref="H47:H48"/>
    <mergeCell ref="E47:G48"/>
    <mergeCell ref="I47:K48"/>
  </mergeCells>
  <printOptions horizontalCentered="1" verticalCentered="1"/>
  <pageMargins left="0" right="0" top="0" bottom="0" header="0" footer="0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96ADE-1BF2-49FC-B258-D4E1874CD845}">
  <dimension ref="A1:N51"/>
  <sheetViews>
    <sheetView rightToLeft="1" view="pageLayout" topLeftCell="A28" zoomScaleNormal="100" workbookViewId="0">
      <selection activeCell="F51" sqref="F51"/>
    </sheetView>
  </sheetViews>
  <sheetFormatPr defaultRowHeight="15" x14ac:dyDescent="0.25"/>
  <cols>
    <col min="1" max="1" width="5" customWidth="1"/>
    <col min="10" max="10" width="13" customWidth="1"/>
    <col min="11" max="11" width="6.28515625" customWidth="1"/>
    <col min="12" max="12" width="11.28515625" bestFit="1" customWidth="1"/>
  </cols>
  <sheetData>
    <row r="1" spans="1:11" x14ac:dyDescent="0.25">
      <c r="A1" s="2"/>
      <c r="B1" s="3"/>
      <c r="C1" s="3"/>
      <c r="D1" s="3"/>
      <c r="E1" s="3"/>
      <c r="F1" s="3"/>
      <c r="G1" s="3"/>
      <c r="H1" s="3"/>
      <c r="I1" s="3"/>
      <c r="J1" s="3"/>
      <c r="K1" s="4"/>
    </row>
    <row r="2" spans="1:11" x14ac:dyDescent="0.25">
      <c r="A2" s="5"/>
      <c r="B2" s="25" t="s">
        <v>0</v>
      </c>
      <c r="C2" s="26"/>
      <c r="D2" s="26"/>
      <c r="E2" s="26"/>
      <c r="F2" s="26"/>
      <c r="G2" s="26"/>
      <c r="H2" s="26"/>
      <c r="I2" s="26"/>
      <c r="J2" s="26"/>
      <c r="K2" s="6"/>
    </row>
    <row r="3" spans="1:11" x14ac:dyDescent="0.25">
      <c r="A3" s="5"/>
      <c r="B3" s="26"/>
      <c r="C3" s="26"/>
      <c r="D3" s="26"/>
      <c r="E3" s="26"/>
      <c r="F3" s="26"/>
      <c r="G3" s="26"/>
      <c r="H3" s="26"/>
      <c r="I3" s="26"/>
      <c r="J3" s="26"/>
      <c r="K3" s="6"/>
    </row>
    <row r="4" spans="1:11" x14ac:dyDescent="0.25">
      <c r="A4" s="5"/>
      <c r="B4" s="26"/>
      <c r="C4" s="26"/>
      <c r="D4" s="26"/>
      <c r="E4" s="26"/>
      <c r="F4" s="26"/>
      <c r="G4" s="26"/>
      <c r="H4" s="26"/>
      <c r="I4" s="26"/>
      <c r="J4" s="26"/>
      <c r="K4" s="6"/>
    </row>
    <row r="5" spans="1:11" x14ac:dyDescent="0.25">
      <c r="A5" s="5"/>
      <c r="B5" s="26"/>
      <c r="C5" s="26"/>
      <c r="D5" s="26"/>
      <c r="E5" s="26"/>
      <c r="F5" s="26"/>
      <c r="G5" s="26"/>
      <c r="H5" s="26"/>
      <c r="I5" s="26"/>
      <c r="J5" s="26"/>
      <c r="K5" s="6"/>
    </row>
    <row r="6" spans="1:11" x14ac:dyDescent="0.25">
      <c r="A6" s="5"/>
      <c r="B6" s="26"/>
      <c r="C6" s="26"/>
      <c r="D6" s="26"/>
      <c r="E6" s="26"/>
      <c r="F6" s="26"/>
      <c r="G6" s="26"/>
      <c r="H6" s="26"/>
      <c r="I6" s="26"/>
      <c r="J6" s="26"/>
      <c r="K6" s="6"/>
    </row>
    <row r="7" spans="1:11" x14ac:dyDescent="0.25">
      <c r="A7" s="5"/>
      <c r="B7" s="26"/>
      <c r="C7" s="26"/>
      <c r="D7" s="26"/>
      <c r="E7" s="26"/>
      <c r="F7" s="26"/>
      <c r="G7" s="26"/>
      <c r="H7" s="26"/>
      <c r="I7" s="26"/>
      <c r="J7" s="26"/>
      <c r="K7" s="6"/>
    </row>
    <row r="8" spans="1:11" x14ac:dyDescent="0.25">
      <c r="A8" s="5"/>
      <c r="B8" s="26"/>
      <c r="C8" s="26"/>
      <c r="D8" s="26"/>
      <c r="E8" s="26"/>
      <c r="F8" s="26"/>
      <c r="G8" s="26"/>
      <c r="H8" s="26"/>
      <c r="I8" s="26"/>
      <c r="J8" s="26"/>
      <c r="K8" s="6"/>
    </row>
    <row r="9" spans="1:11" x14ac:dyDescent="0.25">
      <c r="A9" s="5"/>
      <c r="B9" s="7"/>
      <c r="C9" s="7"/>
      <c r="D9" s="7"/>
      <c r="E9" s="7"/>
      <c r="F9" s="7"/>
      <c r="G9" s="7"/>
      <c r="H9" s="7"/>
      <c r="I9" s="7"/>
      <c r="J9" s="7"/>
      <c r="K9" s="6"/>
    </row>
    <row r="10" spans="1:11" x14ac:dyDescent="0.25">
      <c r="A10" s="5"/>
      <c r="B10" s="7"/>
      <c r="C10" s="7"/>
      <c r="D10" s="7"/>
      <c r="E10" s="7"/>
      <c r="F10" s="7"/>
      <c r="G10" s="7"/>
      <c r="H10" s="7"/>
      <c r="I10" s="7"/>
      <c r="J10" s="7"/>
      <c r="K10" s="6"/>
    </row>
    <row r="11" spans="1:11" x14ac:dyDescent="0.25">
      <c r="A11" s="5"/>
      <c r="B11" s="7"/>
      <c r="C11" s="7"/>
      <c r="D11" s="7"/>
      <c r="E11" s="7"/>
      <c r="F11" s="7"/>
      <c r="G11" s="7"/>
      <c r="H11" s="7"/>
      <c r="I11" s="7"/>
      <c r="J11" s="7"/>
      <c r="K11" s="6"/>
    </row>
    <row r="12" spans="1:11" x14ac:dyDescent="0.25">
      <c r="A12" s="5"/>
      <c r="B12" s="7"/>
      <c r="C12" s="7"/>
      <c r="D12" s="7"/>
      <c r="E12" s="7"/>
      <c r="F12" s="7"/>
      <c r="G12" s="7"/>
      <c r="H12" s="7"/>
      <c r="I12" s="7"/>
      <c r="J12" s="7"/>
      <c r="K12" s="6"/>
    </row>
    <row r="13" spans="1:11" x14ac:dyDescent="0.25">
      <c r="A13" s="5"/>
      <c r="B13" s="7"/>
      <c r="C13" s="7"/>
      <c r="D13" s="7"/>
      <c r="E13" s="7"/>
      <c r="F13" s="7"/>
      <c r="G13" s="7"/>
      <c r="H13" s="7"/>
      <c r="I13" s="7"/>
      <c r="J13" s="7"/>
      <c r="K13" s="6"/>
    </row>
    <row r="14" spans="1:11" x14ac:dyDescent="0.25">
      <c r="A14" s="5"/>
      <c r="B14" s="7"/>
      <c r="C14" s="7"/>
      <c r="D14" s="7"/>
      <c r="E14" s="7"/>
      <c r="F14" s="7"/>
      <c r="G14" s="7"/>
      <c r="H14" s="7"/>
      <c r="I14" s="7"/>
      <c r="J14" s="7"/>
      <c r="K14" s="6"/>
    </row>
    <row r="15" spans="1:11" x14ac:dyDescent="0.25">
      <c r="A15" s="5"/>
      <c r="B15" s="7"/>
      <c r="C15" s="7"/>
      <c r="D15" s="7"/>
      <c r="E15" s="7"/>
      <c r="F15" s="7"/>
      <c r="G15" s="7"/>
      <c r="H15" s="7"/>
      <c r="I15" s="7"/>
      <c r="J15" s="7"/>
      <c r="K15" s="6"/>
    </row>
    <row r="16" spans="1:11" x14ac:dyDescent="0.25">
      <c r="A16" s="5"/>
      <c r="B16" s="7"/>
      <c r="C16" s="7"/>
      <c r="D16" s="7"/>
      <c r="E16" s="7"/>
      <c r="F16" s="7"/>
      <c r="G16" s="7"/>
      <c r="H16" s="7"/>
      <c r="I16" s="7"/>
      <c r="J16" s="7"/>
      <c r="K16" s="6"/>
    </row>
    <row r="17" spans="1:14" x14ac:dyDescent="0.25">
      <c r="A17" s="5"/>
      <c r="B17" s="7"/>
      <c r="C17" s="7"/>
      <c r="D17" s="7"/>
      <c r="E17" s="7"/>
      <c r="F17" s="7"/>
      <c r="G17" s="7"/>
      <c r="H17" s="7"/>
      <c r="I17" s="7"/>
      <c r="J17" s="7"/>
      <c r="K17" s="6"/>
      <c r="L17" s="16" t="s">
        <v>7</v>
      </c>
      <c r="M17" s="16"/>
      <c r="N17" s="16"/>
    </row>
    <row r="18" spans="1:14" x14ac:dyDescent="0.25">
      <c r="A18" s="5"/>
      <c r="B18" s="7"/>
      <c r="C18" s="7"/>
      <c r="D18" s="7"/>
      <c r="E18" s="7"/>
      <c r="F18" s="7"/>
      <c r="G18" s="7"/>
      <c r="H18" s="7"/>
      <c r="I18" s="7"/>
      <c r="J18" s="7"/>
      <c r="K18" s="6"/>
      <c r="L18" t="s">
        <v>1</v>
      </c>
      <c r="M18">
        <v>3</v>
      </c>
      <c r="N18" s="1">
        <f>M18/M24</f>
        <v>3.2967032967032968E-2</v>
      </c>
    </row>
    <row r="19" spans="1:14" x14ac:dyDescent="0.25">
      <c r="A19" s="5"/>
      <c r="B19" s="7"/>
      <c r="C19" s="7"/>
      <c r="D19" s="7"/>
      <c r="E19" s="7"/>
      <c r="F19" s="7"/>
      <c r="G19" s="7"/>
      <c r="H19" s="7"/>
      <c r="I19" s="7"/>
      <c r="J19" s="7"/>
      <c r="K19" s="6"/>
      <c r="L19" t="s">
        <v>2</v>
      </c>
      <c r="M19">
        <v>3</v>
      </c>
      <c r="N19" s="1">
        <f>M19/M24</f>
        <v>3.2967032967032968E-2</v>
      </c>
    </row>
    <row r="20" spans="1:14" x14ac:dyDescent="0.25">
      <c r="A20" s="5"/>
      <c r="B20" s="7"/>
      <c r="C20" s="7"/>
      <c r="D20" s="7"/>
      <c r="E20" s="7"/>
      <c r="F20" s="7"/>
      <c r="G20" s="7"/>
      <c r="H20" s="7"/>
      <c r="I20" s="7"/>
      <c r="J20" s="7"/>
      <c r="K20" s="6"/>
      <c r="L20" t="s">
        <v>3</v>
      </c>
      <c r="M20">
        <v>51</v>
      </c>
      <c r="N20" s="1">
        <f>M20/M24</f>
        <v>0.56043956043956045</v>
      </c>
    </row>
    <row r="21" spans="1:14" x14ac:dyDescent="0.25">
      <c r="A21" s="5"/>
      <c r="B21" s="7"/>
      <c r="C21" s="7"/>
      <c r="D21" s="7"/>
      <c r="E21" s="7"/>
      <c r="F21" s="7"/>
      <c r="G21" s="7"/>
      <c r="H21" s="7"/>
      <c r="I21" s="7"/>
      <c r="J21" s="7"/>
      <c r="K21" s="6"/>
      <c r="L21" t="s">
        <v>4</v>
      </c>
      <c r="M21">
        <v>2</v>
      </c>
      <c r="N21" s="1">
        <f>M21/M24</f>
        <v>2.197802197802198E-2</v>
      </c>
    </row>
    <row r="22" spans="1:14" x14ac:dyDescent="0.25">
      <c r="A22" s="5"/>
      <c r="B22" s="7"/>
      <c r="C22" s="7"/>
      <c r="D22" s="7"/>
      <c r="E22" s="7"/>
      <c r="F22" s="7"/>
      <c r="G22" s="7"/>
      <c r="H22" s="7"/>
      <c r="I22" s="7"/>
      <c r="J22" s="7"/>
      <c r="K22" s="6"/>
      <c r="L22" t="s">
        <v>5</v>
      </c>
      <c r="M22">
        <v>20</v>
      </c>
      <c r="N22" s="1">
        <f>M22/M24</f>
        <v>0.21978021978021978</v>
      </c>
    </row>
    <row r="23" spans="1:14" x14ac:dyDescent="0.25">
      <c r="A23" s="5"/>
      <c r="B23" s="7"/>
      <c r="C23" s="7"/>
      <c r="D23" s="7"/>
      <c r="E23" s="7"/>
      <c r="F23" s="7"/>
      <c r="G23" s="7"/>
      <c r="H23" s="7"/>
      <c r="I23" s="7"/>
      <c r="J23" s="7"/>
      <c r="K23" s="6"/>
      <c r="L23" t="s">
        <v>6</v>
      </c>
      <c r="M23">
        <v>12</v>
      </c>
      <c r="N23" s="1">
        <f>M23/M24</f>
        <v>0.13186813186813187</v>
      </c>
    </row>
    <row r="24" spans="1:14" x14ac:dyDescent="0.25">
      <c r="A24" s="5"/>
      <c r="B24" s="7"/>
      <c r="C24" s="7"/>
      <c r="D24" s="7"/>
      <c r="E24" s="7"/>
      <c r="F24" s="7"/>
      <c r="G24" s="7"/>
      <c r="H24" s="7"/>
      <c r="I24" s="7"/>
      <c r="J24" s="7"/>
      <c r="K24" s="6"/>
      <c r="M24">
        <f>SUM(M18:M23)</f>
        <v>91</v>
      </c>
      <c r="N24" s="1">
        <f>N18+N19+N20+N21+N22+N23</f>
        <v>1</v>
      </c>
    </row>
    <row r="25" spans="1:14" x14ac:dyDescent="0.25">
      <c r="A25" s="5"/>
      <c r="B25" s="7"/>
      <c r="C25" s="7"/>
      <c r="D25" s="7"/>
      <c r="E25" s="7"/>
      <c r="F25" s="7"/>
      <c r="G25" s="7"/>
      <c r="H25" s="7"/>
      <c r="I25" s="7"/>
      <c r="J25" s="7"/>
      <c r="K25" s="6"/>
      <c r="L25" s="16" t="s">
        <v>8</v>
      </c>
      <c r="M25" s="16"/>
      <c r="N25" s="16"/>
    </row>
    <row r="26" spans="1:14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6"/>
      <c r="L26" t="s">
        <v>1</v>
      </c>
      <c r="M26">
        <v>35</v>
      </c>
    </row>
    <row r="27" spans="1:14" x14ac:dyDescent="0.25">
      <c r="A27" s="5"/>
      <c r="B27" s="7"/>
      <c r="C27" s="7"/>
      <c r="D27" s="7"/>
      <c r="E27" s="7"/>
      <c r="F27" s="7"/>
      <c r="G27" s="7"/>
      <c r="H27" s="7"/>
      <c r="I27" s="7"/>
      <c r="J27" s="7"/>
      <c r="K27" s="6"/>
      <c r="L27" t="s">
        <v>2</v>
      </c>
      <c r="M27">
        <v>0</v>
      </c>
    </row>
    <row r="28" spans="1:14" x14ac:dyDescent="0.25">
      <c r="A28" s="5"/>
      <c r="B28" s="7"/>
      <c r="C28" s="7"/>
      <c r="D28" s="7"/>
      <c r="E28" s="7"/>
      <c r="F28" s="7"/>
      <c r="G28" s="7"/>
      <c r="H28" s="7"/>
      <c r="I28" s="7"/>
      <c r="J28" s="7"/>
      <c r="K28" s="6"/>
      <c r="L28" t="s">
        <v>3</v>
      </c>
      <c r="M28">
        <v>214</v>
      </c>
    </row>
    <row r="29" spans="1:14" x14ac:dyDescent="0.25">
      <c r="A29" s="5"/>
      <c r="B29" s="7"/>
      <c r="C29" s="7"/>
      <c r="D29" s="7"/>
      <c r="E29" s="7"/>
      <c r="F29" s="7"/>
      <c r="G29" s="7"/>
      <c r="H29" s="7"/>
      <c r="I29" s="7"/>
      <c r="J29" s="7"/>
      <c r="K29" s="6"/>
      <c r="L29" t="s">
        <v>4</v>
      </c>
      <c r="M29">
        <v>3</v>
      </c>
    </row>
    <row r="30" spans="1:14" x14ac:dyDescent="0.25">
      <c r="A30" s="5"/>
      <c r="B30" s="7"/>
      <c r="C30" s="7"/>
      <c r="D30" s="7"/>
      <c r="E30" s="7"/>
      <c r="F30" s="7"/>
      <c r="G30" s="7"/>
      <c r="H30" s="7"/>
      <c r="I30" s="7"/>
      <c r="J30" s="7"/>
      <c r="K30" s="6"/>
      <c r="L30" t="s">
        <v>5</v>
      </c>
      <c r="M30">
        <v>278</v>
      </c>
    </row>
    <row r="31" spans="1:14" x14ac:dyDescent="0.25">
      <c r="A31" s="5"/>
      <c r="B31" s="7"/>
      <c r="C31" s="7"/>
      <c r="D31" s="7"/>
      <c r="E31" s="7"/>
      <c r="F31" s="7"/>
      <c r="G31" s="7"/>
      <c r="H31" s="7"/>
      <c r="I31" s="7"/>
      <c r="J31" s="7"/>
      <c r="K31" s="6"/>
      <c r="L31" t="s">
        <v>6</v>
      </c>
      <c r="M31">
        <v>59</v>
      </c>
    </row>
    <row r="32" spans="1:14" x14ac:dyDescent="0.25">
      <c r="A32" s="5"/>
      <c r="B32" s="7"/>
      <c r="C32" s="7"/>
      <c r="D32" s="7"/>
      <c r="E32" s="7"/>
      <c r="F32" s="7"/>
      <c r="G32" s="7"/>
      <c r="H32" s="7"/>
      <c r="I32" s="7"/>
      <c r="J32" s="7"/>
      <c r="K32" s="6"/>
      <c r="M32">
        <f>SUM(M26:M31)</f>
        <v>589</v>
      </c>
    </row>
    <row r="33" spans="1:11" x14ac:dyDescent="0.25">
      <c r="A33" s="5"/>
      <c r="B33" s="7"/>
      <c r="C33" s="7"/>
      <c r="D33" s="7"/>
      <c r="E33" s="7"/>
      <c r="F33" s="7"/>
      <c r="G33" s="7"/>
      <c r="H33" s="7"/>
      <c r="I33" s="7"/>
      <c r="J33" s="7"/>
      <c r="K33" s="6"/>
    </row>
    <row r="34" spans="1:11" x14ac:dyDescent="0.25">
      <c r="A34" s="5"/>
      <c r="B34" s="7"/>
      <c r="C34" s="7"/>
      <c r="D34" s="7"/>
      <c r="E34" s="7"/>
      <c r="F34" s="7"/>
      <c r="G34" s="7"/>
      <c r="H34" s="7"/>
      <c r="I34" s="7"/>
      <c r="J34" s="7"/>
      <c r="K34" s="6"/>
    </row>
    <row r="35" spans="1:11" x14ac:dyDescent="0.25">
      <c r="A35" s="5"/>
      <c r="B35" s="7"/>
      <c r="C35" s="7"/>
      <c r="D35" s="7"/>
      <c r="E35" s="7"/>
      <c r="F35" s="7"/>
      <c r="G35" s="7"/>
      <c r="H35" s="7"/>
      <c r="I35" s="7"/>
      <c r="J35" s="7"/>
      <c r="K35" s="6"/>
    </row>
    <row r="36" spans="1:11" x14ac:dyDescent="0.25">
      <c r="A36" s="5"/>
      <c r="B36" s="7"/>
      <c r="C36" s="7"/>
      <c r="D36" s="7"/>
      <c r="E36" s="7"/>
      <c r="F36" s="7"/>
      <c r="G36" s="7"/>
      <c r="H36" s="7"/>
      <c r="I36" s="7"/>
      <c r="J36" s="7"/>
      <c r="K36" s="6"/>
    </row>
    <row r="37" spans="1:11" x14ac:dyDescent="0.25">
      <c r="A37" s="5"/>
      <c r="B37" s="7"/>
      <c r="C37" s="7"/>
      <c r="D37" s="7"/>
      <c r="E37" s="7"/>
      <c r="F37" s="7"/>
      <c r="G37" s="7"/>
      <c r="H37" s="7"/>
      <c r="I37" s="7"/>
      <c r="J37" s="7"/>
      <c r="K37" s="6"/>
    </row>
    <row r="38" spans="1:11" x14ac:dyDescent="0.25">
      <c r="A38" s="5"/>
      <c r="B38" s="7"/>
      <c r="C38" s="7"/>
      <c r="D38" s="7"/>
      <c r="E38" s="7"/>
      <c r="F38" s="7"/>
      <c r="G38" s="7"/>
      <c r="H38" s="7"/>
      <c r="I38" s="7"/>
      <c r="J38" s="7"/>
      <c r="K38" s="6"/>
    </row>
    <row r="39" spans="1:11" x14ac:dyDescent="0.25">
      <c r="A39" s="5"/>
      <c r="B39" s="7"/>
      <c r="C39" s="7"/>
      <c r="D39" s="7"/>
      <c r="E39" s="7"/>
      <c r="F39" s="7"/>
      <c r="G39" s="7"/>
      <c r="H39" s="7"/>
      <c r="I39" s="7"/>
      <c r="J39" s="7"/>
      <c r="K39" s="6"/>
    </row>
    <row r="40" spans="1:11" x14ac:dyDescent="0.25">
      <c r="A40" s="5"/>
      <c r="B40" s="7"/>
      <c r="C40" s="7"/>
      <c r="D40" s="7"/>
      <c r="E40" s="7"/>
      <c r="F40" s="7"/>
      <c r="G40" s="7"/>
      <c r="H40" s="7"/>
      <c r="I40" s="7"/>
      <c r="J40" s="7"/>
      <c r="K40" s="6"/>
    </row>
    <row r="41" spans="1:11" x14ac:dyDescent="0.25">
      <c r="A41" s="5"/>
      <c r="B41" s="7"/>
      <c r="C41" s="7"/>
      <c r="D41" s="7"/>
      <c r="E41" s="7"/>
      <c r="F41" s="7"/>
      <c r="G41" s="7"/>
      <c r="H41" s="7"/>
      <c r="I41" s="7"/>
      <c r="J41" s="7"/>
      <c r="K41" s="6"/>
    </row>
    <row r="42" spans="1:11" x14ac:dyDescent="0.25">
      <c r="A42" s="5"/>
      <c r="B42" s="7"/>
      <c r="C42" s="7"/>
      <c r="D42" s="7"/>
      <c r="E42" s="7"/>
      <c r="F42" s="7"/>
      <c r="G42" s="7"/>
      <c r="H42" s="7"/>
      <c r="I42" s="7"/>
      <c r="J42" s="7"/>
      <c r="K42" s="6"/>
    </row>
    <row r="43" spans="1:11" x14ac:dyDescent="0.25">
      <c r="A43" s="5"/>
      <c r="B43" s="7"/>
      <c r="C43" s="7"/>
      <c r="D43" s="7"/>
      <c r="E43" s="7"/>
      <c r="F43" s="7"/>
      <c r="G43" s="7"/>
      <c r="H43" s="7"/>
      <c r="I43" s="7"/>
      <c r="J43" s="7"/>
      <c r="K43" s="6"/>
    </row>
    <row r="44" spans="1:11" x14ac:dyDescent="0.25">
      <c r="A44" s="5"/>
      <c r="B44" s="7"/>
      <c r="C44" s="7"/>
      <c r="D44" s="7"/>
      <c r="E44" s="7"/>
      <c r="F44" s="7"/>
      <c r="G44" s="7"/>
      <c r="H44" s="7"/>
      <c r="I44" s="7"/>
      <c r="J44" s="7"/>
      <c r="K44" s="6"/>
    </row>
    <row r="45" spans="1:11" x14ac:dyDescent="0.25">
      <c r="A45" s="5"/>
      <c r="B45" s="7"/>
      <c r="C45" s="7"/>
      <c r="D45" s="7"/>
      <c r="E45" s="7"/>
      <c r="F45" s="7"/>
      <c r="G45" s="7"/>
      <c r="H45" s="7"/>
      <c r="I45" s="7"/>
      <c r="J45" s="7"/>
      <c r="K45" s="6"/>
    </row>
    <row r="46" spans="1:11" x14ac:dyDescent="0.25">
      <c r="A46" s="5"/>
      <c r="B46" s="7"/>
      <c r="C46" s="7"/>
      <c r="D46" s="7"/>
      <c r="E46" s="7"/>
      <c r="F46" s="7"/>
      <c r="G46" s="7"/>
      <c r="H46" s="7"/>
      <c r="I46" s="7"/>
      <c r="J46" s="7"/>
      <c r="K46" s="6"/>
    </row>
    <row r="47" spans="1:11" ht="18" customHeight="1" x14ac:dyDescent="0.45">
      <c r="A47" s="17" t="s">
        <v>10</v>
      </c>
      <c r="B47" s="19" t="s">
        <v>24</v>
      </c>
      <c r="C47" s="19"/>
      <c r="D47" s="14"/>
      <c r="E47" s="19" t="s">
        <v>14</v>
      </c>
      <c r="F47" s="19"/>
      <c r="G47" s="19"/>
      <c r="H47" s="20"/>
      <c r="I47" s="19" t="s">
        <v>22</v>
      </c>
      <c r="J47" s="19"/>
      <c r="K47" s="21"/>
    </row>
    <row r="48" spans="1:11" ht="18" customHeight="1" x14ac:dyDescent="0.45">
      <c r="A48" s="18"/>
      <c r="B48" s="19"/>
      <c r="C48" s="19"/>
      <c r="D48" s="14"/>
      <c r="E48" s="19"/>
      <c r="F48" s="19"/>
      <c r="G48" s="19"/>
      <c r="H48" s="20"/>
      <c r="I48" s="19"/>
      <c r="J48" s="19"/>
      <c r="K48" s="21"/>
    </row>
    <row r="49" spans="1:11" ht="18" x14ac:dyDescent="0.45">
      <c r="A49" s="22" t="s">
        <v>11</v>
      </c>
      <c r="B49" s="19" t="s">
        <v>25</v>
      </c>
      <c r="C49" s="19"/>
      <c r="D49" s="19"/>
      <c r="E49" s="14"/>
      <c r="F49" s="14"/>
      <c r="G49" s="14"/>
      <c r="H49" s="24" t="s">
        <v>9</v>
      </c>
      <c r="I49" s="19" t="s">
        <v>26</v>
      </c>
      <c r="J49" s="19"/>
      <c r="K49" s="21"/>
    </row>
    <row r="50" spans="1:11" ht="15" customHeight="1" x14ac:dyDescent="0.25">
      <c r="A50" s="23"/>
      <c r="B50" s="19"/>
      <c r="C50" s="19"/>
      <c r="D50" s="19"/>
      <c r="E50" s="7"/>
      <c r="F50" s="7"/>
      <c r="G50" s="7"/>
      <c r="H50" s="24"/>
      <c r="I50" s="19"/>
      <c r="J50" s="19"/>
      <c r="K50" s="21"/>
    </row>
    <row r="51" spans="1:11" ht="18.75" thickBot="1" x14ac:dyDescent="0.5">
      <c r="A51" s="11"/>
      <c r="B51" s="12"/>
      <c r="C51" s="12"/>
      <c r="D51" s="12"/>
      <c r="E51" s="12"/>
      <c r="F51" s="12"/>
      <c r="G51" s="12"/>
      <c r="H51" s="12"/>
      <c r="I51" s="12"/>
      <c r="J51" s="12"/>
      <c r="K51" s="13"/>
    </row>
  </sheetData>
  <mergeCells count="12">
    <mergeCell ref="A49:A50"/>
    <mergeCell ref="B49:D50"/>
    <mergeCell ref="H49:H50"/>
    <mergeCell ref="I49:K50"/>
    <mergeCell ref="B2:J8"/>
    <mergeCell ref="L17:N17"/>
    <mergeCell ref="L25:N25"/>
    <mergeCell ref="B47:C48"/>
    <mergeCell ref="A47:A48"/>
    <mergeCell ref="H47:H48"/>
    <mergeCell ref="E47:G48"/>
    <mergeCell ref="I47:K48"/>
  </mergeCells>
  <printOptions horizontalCentered="1" verticalCentered="1"/>
  <pageMargins left="0" right="0" top="0" bottom="0" header="0" footer="0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1AB77-187D-4B76-B5F8-FA57A2DC47DA}">
  <dimension ref="A1:N51"/>
  <sheetViews>
    <sheetView rightToLeft="1" view="pageLayout" topLeftCell="A40" zoomScale="145" zoomScaleNormal="100" zoomScalePageLayoutView="145" workbookViewId="0">
      <selection activeCell="L14" sqref="L14"/>
    </sheetView>
  </sheetViews>
  <sheetFormatPr defaultRowHeight="15" x14ac:dyDescent="0.25"/>
  <cols>
    <col min="1" max="1" width="5" customWidth="1"/>
    <col min="10" max="10" width="13" customWidth="1"/>
    <col min="11" max="11" width="6.28515625" customWidth="1"/>
    <col min="12" max="12" width="11.28515625" bestFit="1" customWidth="1"/>
  </cols>
  <sheetData>
    <row r="1" spans="1:11" x14ac:dyDescent="0.25">
      <c r="A1" s="2"/>
      <c r="B1" s="3"/>
      <c r="C1" s="3"/>
      <c r="D1" s="3"/>
      <c r="E1" s="3"/>
      <c r="F1" s="3"/>
      <c r="G1" s="3"/>
      <c r="H1" s="3"/>
      <c r="I1" s="3"/>
      <c r="J1" s="3"/>
      <c r="K1" s="4"/>
    </row>
    <row r="2" spans="1:11" x14ac:dyDescent="0.25">
      <c r="A2" s="5"/>
      <c r="B2" s="25" t="s">
        <v>0</v>
      </c>
      <c r="C2" s="26"/>
      <c r="D2" s="26"/>
      <c r="E2" s="26"/>
      <c r="F2" s="26"/>
      <c r="G2" s="26"/>
      <c r="H2" s="26"/>
      <c r="I2" s="26"/>
      <c r="J2" s="26"/>
      <c r="K2" s="6"/>
    </row>
    <row r="3" spans="1:11" x14ac:dyDescent="0.25">
      <c r="A3" s="5"/>
      <c r="B3" s="26"/>
      <c r="C3" s="26"/>
      <c r="D3" s="26"/>
      <c r="E3" s="26"/>
      <c r="F3" s="26"/>
      <c r="G3" s="26"/>
      <c r="H3" s="26"/>
      <c r="I3" s="26"/>
      <c r="J3" s="26"/>
      <c r="K3" s="6"/>
    </row>
    <row r="4" spans="1:11" x14ac:dyDescent="0.25">
      <c r="A4" s="5"/>
      <c r="B4" s="26"/>
      <c r="C4" s="26"/>
      <c r="D4" s="26"/>
      <c r="E4" s="26"/>
      <c r="F4" s="26"/>
      <c r="G4" s="26"/>
      <c r="H4" s="26"/>
      <c r="I4" s="26"/>
      <c r="J4" s="26"/>
      <c r="K4" s="6"/>
    </row>
    <row r="5" spans="1:11" x14ac:dyDescent="0.25">
      <c r="A5" s="5"/>
      <c r="B5" s="26"/>
      <c r="C5" s="26"/>
      <c r="D5" s="26"/>
      <c r="E5" s="26"/>
      <c r="F5" s="26"/>
      <c r="G5" s="26"/>
      <c r="H5" s="26"/>
      <c r="I5" s="26"/>
      <c r="J5" s="26"/>
      <c r="K5" s="6"/>
    </row>
    <row r="6" spans="1:11" x14ac:dyDescent="0.25">
      <c r="A6" s="5"/>
      <c r="B6" s="26"/>
      <c r="C6" s="26"/>
      <c r="D6" s="26"/>
      <c r="E6" s="26"/>
      <c r="F6" s="26"/>
      <c r="G6" s="26"/>
      <c r="H6" s="26"/>
      <c r="I6" s="26"/>
      <c r="J6" s="26"/>
      <c r="K6" s="6"/>
    </row>
    <row r="7" spans="1:11" x14ac:dyDescent="0.25">
      <c r="A7" s="5"/>
      <c r="B7" s="26"/>
      <c r="C7" s="26"/>
      <c r="D7" s="26"/>
      <c r="E7" s="26"/>
      <c r="F7" s="26"/>
      <c r="G7" s="26"/>
      <c r="H7" s="26"/>
      <c r="I7" s="26"/>
      <c r="J7" s="26"/>
      <c r="K7" s="6"/>
    </row>
    <row r="8" spans="1:11" x14ac:dyDescent="0.25">
      <c r="A8" s="5"/>
      <c r="B8" s="26"/>
      <c r="C8" s="26"/>
      <c r="D8" s="26"/>
      <c r="E8" s="26"/>
      <c r="F8" s="26"/>
      <c r="G8" s="26"/>
      <c r="H8" s="26"/>
      <c r="I8" s="26"/>
      <c r="J8" s="26"/>
      <c r="K8" s="6"/>
    </row>
    <row r="9" spans="1:11" x14ac:dyDescent="0.25">
      <c r="A9" s="5"/>
      <c r="B9" s="7"/>
      <c r="C9" s="7"/>
      <c r="D9" s="7"/>
      <c r="E9" s="7"/>
      <c r="F9" s="7"/>
      <c r="G9" s="7"/>
      <c r="H9" s="7"/>
      <c r="I9" s="7"/>
      <c r="J9" s="7"/>
      <c r="K9" s="6"/>
    </row>
    <row r="10" spans="1:11" x14ac:dyDescent="0.25">
      <c r="A10" s="5"/>
      <c r="B10" s="7"/>
      <c r="C10" s="7"/>
      <c r="D10" s="7"/>
      <c r="E10" s="7"/>
      <c r="F10" s="7"/>
      <c r="G10" s="7"/>
      <c r="H10" s="7"/>
      <c r="I10" s="7"/>
      <c r="J10" s="7"/>
      <c r="K10" s="6"/>
    </row>
    <row r="11" spans="1:11" x14ac:dyDescent="0.25">
      <c r="A11" s="5"/>
      <c r="B11" s="7"/>
      <c r="C11" s="7"/>
      <c r="D11" s="7"/>
      <c r="E11" s="7"/>
      <c r="F11" s="7"/>
      <c r="G11" s="7"/>
      <c r="H11" s="7"/>
      <c r="I11" s="7"/>
      <c r="J11" s="7"/>
      <c r="K11" s="6"/>
    </row>
    <row r="12" spans="1:11" x14ac:dyDescent="0.25">
      <c r="A12" s="5"/>
      <c r="B12" s="7"/>
      <c r="C12" s="7"/>
      <c r="D12" s="7"/>
      <c r="E12" s="7"/>
      <c r="F12" s="7"/>
      <c r="G12" s="7"/>
      <c r="H12" s="7"/>
      <c r="I12" s="7"/>
      <c r="J12" s="7"/>
      <c r="K12" s="6"/>
    </row>
    <row r="13" spans="1:11" x14ac:dyDescent="0.25">
      <c r="A13" s="5"/>
      <c r="B13" s="7"/>
      <c r="C13" s="7"/>
      <c r="D13" s="7"/>
      <c r="E13" s="7"/>
      <c r="F13" s="7"/>
      <c r="G13" s="7"/>
      <c r="H13" s="7"/>
      <c r="I13" s="7"/>
      <c r="J13" s="7"/>
      <c r="K13" s="6"/>
    </row>
    <row r="14" spans="1:11" x14ac:dyDescent="0.25">
      <c r="A14" s="5"/>
      <c r="B14" s="7"/>
      <c r="C14" s="7"/>
      <c r="D14" s="7"/>
      <c r="E14" s="7"/>
      <c r="F14" s="7"/>
      <c r="G14" s="7"/>
      <c r="H14" s="7"/>
      <c r="I14" s="7"/>
      <c r="J14" s="7"/>
      <c r="K14" s="6"/>
    </row>
    <row r="15" spans="1:11" x14ac:dyDescent="0.25">
      <c r="A15" s="5"/>
      <c r="B15" s="7"/>
      <c r="C15" s="7"/>
      <c r="D15" s="7"/>
      <c r="E15" s="7"/>
      <c r="F15" s="7"/>
      <c r="G15" s="7"/>
      <c r="H15" s="7"/>
      <c r="I15" s="7"/>
      <c r="J15" s="7"/>
      <c r="K15" s="6"/>
    </row>
    <row r="16" spans="1:11" x14ac:dyDescent="0.25">
      <c r="A16" s="5"/>
      <c r="B16" s="7"/>
      <c r="C16" s="7"/>
      <c r="D16" s="7"/>
      <c r="E16" s="7"/>
      <c r="F16" s="7"/>
      <c r="G16" s="7"/>
      <c r="H16" s="7"/>
      <c r="I16" s="7"/>
      <c r="J16" s="7"/>
      <c r="K16" s="6"/>
    </row>
    <row r="17" spans="1:14" x14ac:dyDescent="0.25">
      <c r="A17" s="5"/>
      <c r="B17" s="7"/>
      <c r="C17" s="7"/>
      <c r="D17" s="7"/>
      <c r="E17" s="7"/>
      <c r="F17" s="7"/>
      <c r="G17" s="7"/>
      <c r="H17" s="7"/>
      <c r="I17" s="7"/>
      <c r="J17" s="7"/>
      <c r="K17" s="6"/>
      <c r="L17" s="16" t="s">
        <v>7</v>
      </c>
      <c r="M17" s="16"/>
      <c r="N17" s="16"/>
    </row>
    <row r="18" spans="1:14" x14ac:dyDescent="0.25">
      <c r="A18" s="5"/>
      <c r="B18" s="7"/>
      <c r="C18" s="7"/>
      <c r="D18" s="7"/>
      <c r="E18" s="7"/>
      <c r="F18" s="7"/>
      <c r="G18" s="7"/>
      <c r="H18" s="7"/>
      <c r="I18" s="7"/>
      <c r="J18" s="7"/>
      <c r="K18" s="6"/>
      <c r="L18" t="s">
        <v>1</v>
      </c>
      <c r="M18">
        <v>2</v>
      </c>
      <c r="N18" s="1">
        <f>M18/M24</f>
        <v>1.7543859649122806E-2</v>
      </c>
    </row>
    <row r="19" spans="1:14" x14ac:dyDescent="0.25">
      <c r="A19" s="5"/>
      <c r="B19" s="7"/>
      <c r="C19" s="7"/>
      <c r="D19" s="7"/>
      <c r="E19" s="7"/>
      <c r="F19" s="7"/>
      <c r="G19" s="7"/>
      <c r="H19" s="7"/>
      <c r="I19" s="7"/>
      <c r="J19" s="7"/>
      <c r="K19" s="6"/>
      <c r="L19" t="s">
        <v>2</v>
      </c>
      <c r="M19">
        <v>4</v>
      </c>
      <c r="N19" s="1">
        <f>M19/M24</f>
        <v>3.5087719298245612E-2</v>
      </c>
    </row>
    <row r="20" spans="1:14" x14ac:dyDescent="0.25">
      <c r="A20" s="5"/>
      <c r="B20" s="7"/>
      <c r="C20" s="7"/>
      <c r="D20" s="7"/>
      <c r="E20" s="7"/>
      <c r="F20" s="7"/>
      <c r="G20" s="7"/>
      <c r="H20" s="7"/>
      <c r="I20" s="7"/>
      <c r="J20" s="7"/>
      <c r="K20" s="6"/>
      <c r="L20" t="s">
        <v>3</v>
      </c>
      <c r="M20">
        <v>73</v>
      </c>
      <c r="N20" s="1">
        <f>M20/M24</f>
        <v>0.64035087719298245</v>
      </c>
    </row>
    <row r="21" spans="1:14" x14ac:dyDescent="0.25">
      <c r="A21" s="5"/>
      <c r="B21" s="7"/>
      <c r="C21" s="7"/>
      <c r="D21" s="7"/>
      <c r="E21" s="7"/>
      <c r="F21" s="7"/>
      <c r="G21" s="7"/>
      <c r="H21" s="7"/>
      <c r="I21" s="7"/>
      <c r="J21" s="7"/>
      <c r="K21" s="6"/>
      <c r="L21" t="s">
        <v>4</v>
      </c>
      <c r="M21">
        <v>2</v>
      </c>
      <c r="N21" s="1">
        <f>M21/M24</f>
        <v>1.7543859649122806E-2</v>
      </c>
    </row>
    <row r="22" spans="1:14" x14ac:dyDescent="0.25">
      <c r="A22" s="5"/>
      <c r="B22" s="7"/>
      <c r="C22" s="7"/>
      <c r="D22" s="7"/>
      <c r="E22" s="7"/>
      <c r="F22" s="7"/>
      <c r="G22" s="7"/>
      <c r="H22" s="7"/>
      <c r="I22" s="7"/>
      <c r="J22" s="7"/>
      <c r="K22" s="6"/>
      <c r="L22" t="s">
        <v>5</v>
      </c>
      <c r="M22">
        <v>14</v>
      </c>
      <c r="N22" s="1">
        <f>M22/M24</f>
        <v>0.12280701754385964</v>
      </c>
    </row>
    <row r="23" spans="1:14" x14ac:dyDescent="0.25">
      <c r="A23" s="5"/>
      <c r="B23" s="7"/>
      <c r="C23" s="7"/>
      <c r="D23" s="7"/>
      <c r="E23" s="7"/>
      <c r="F23" s="7"/>
      <c r="G23" s="7"/>
      <c r="H23" s="7"/>
      <c r="I23" s="7"/>
      <c r="J23" s="7"/>
      <c r="K23" s="6"/>
      <c r="L23" t="s">
        <v>6</v>
      </c>
      <c r="M23">
        <v>19</v>
      </c>
      <c r="N23" s="1">
        <f>M23/M24</f>
        <v>0.16666666666666666</v>
      </c>
    </row>
    <row r="24" spans="1:14" x14ac:dyDescent="0.25">
      <c r="A24" s="5"/>
      <c r="B24" s="7"/>
      <c r="C24" s="7"/>
      <c r="D24" s="7"/>
      <c r="E24" s="7"/>
      <c r="F24" s="7"/>
      <c r="G24" s="7"/>
      <c r="H24" s="7"/>
      <c r="I24" s="7"/>
      <c r="J24" s="7"/>
      <c r="K24" s="6"/>
      <c r="M24">
        <f>SUM(M18:M23)</f>
        <v>114</v>
      </c>
      <c r="N24" s="1">
        <f>N18+N19+N20+N21+N22+N23</f>
        <v>0.99999999999999989</v>
      </c>
    </row>
    <row r="25" spans="1:14" x14ac:dyDescent="0.25">
      <c r="A25" s="5"/>
      <c r="B25" s="7"/>
      <c r="C25" s="7"/>
      <c r="D25" s="7"/>
      <c r="E25" s="7"/>
      <c r="F25" s="7"/>
      <c r="G25" s="7"/>
      <c r="H25" s="7"/>
      <c r="I25" s="7"/>
      <c r="J25" s="7"/>
      <c r="K25" s="6"/>
      <c r="L25" s="16" t="s">
        <v>8</v>
      </c>
      <c r="M25" s="16"/>
      <c r="N25" s="16"/>
    </row>
    <row r="26" spans="1:14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6"/>
      <c r="L26" t="s">
        <v>1</v>
      </c>
      <c r="M26">
        <v>61</v>
      </c>
    </row>
    <row r="27" spans="1:14" x14ac:dyDescent="0.25">
      <c r="A27" s="5"/>
      <c r="B27" s="7"/>
      <c r="C27" s="7"/>
      <c r="D27" s="7"/>
      <c r="E27" s="7"/>
      <c r="F27" s="7"/>
      <c r="G27" s="7"/>
      <c r="H27" s="7"/>
      <c r="I27" s="7"/>
      <c r="J27" s="7"/>
      <c r="K27" s="6"/>
      <c r="L27" t="s">
        <v>2</v>
      </c>
      <c r="M27">
        <v>66</v>
      </c>
    </row>
    <row r="28" spans="1:14" x14ac:dyDescent="0.25">
      <c r="A28" s="5"/>
      <c r="B28" s="7"/>
      <c r="C28" s="7"/>
      <c r="D28" s="7"/>
      <c r="E28" s="7"/>
      <c r="F28" s="7"/>
      <c r="G28" s="7"/>
      <c r="H28" s="7"/>
      <c r="I28" s="7"/>
      <c r="J28" s="7"/>
      <c r="K28" s="6"/>
      <c r="L28" t="s">
        <v>3</v>
      </c>
      <c r="M28">
        <v>275</v>
      </c>
    </row>
    <row r="29" spans="1:14" x14ac:dyDescent="0.25">
      <c r="A29" s="5"/>
      <c r="B29" s="7"/>
      <c r="C29" s="7"/>
      <c r="D29" s="7"/>
      <c r="E29" s="7"/>
      <c r="F29" s="7"/>
      <c r="G29" s="7"/>
      <c r="H29" s="7"/>
      <c r="I29" s="7"/>
      <c r="J29" s="7"/>
      <c r="K29" s="6"/>
      <c r="L29" t="s">
        <v>4</v>
      </c>
      <c r="M29">
        <v>3</v>
      </c>
    </row>
    <row r="30" spans="1:14" x14ac:dyDescent="0.25">
      <c r="A30" s="5"/>
      <c r="B30" s="7"/>
      <c r="C30" s="7"/>
      <c r="D30" s="7"/>
      <c r="E30" s="7"/>
      <c r="F30" s="7"/>
      <c r="G30" s="7"/>
      <c r="H30" s="7"/>
      <c r="I30" s="7"/>
      <c r="J30" s="7"/>
      <c r="K30" s="6"/>
      <c r="L30" t="s">
        <v>5</v>
      </c>
      <c r="M30">
        <v>219</v>
      </c>
    </row>
    <row r="31" spans="1:14" x14ac:dyDescent="0.25">
      <c r="A31" s="5"/>
      <c r="B31" s="7"/>
      <c r="C31" s="7"/>
      <c r="D31" s="7"/>
      <c r="E31" s="7"/>
      <c r="F31" s="7"/>
      <c r="G31" s="7"/>
      <c r="H31" s="7"/>
      <c r="I31" s="7"/>
      <c r="J31" s="7"/>
      <c r="K31" s="6"/>
      <c r="L31" t="s">
        <v>6</v>
      </c>
      <c r="M31">
        <v>43.3</v>
      </c>
    </row>
    <row r="32" spans="1:14" x14ac:dyDescent="0.25">
      <c r="A32" s="5"/>
      <c r="B32" s="7"/>
      <c r="C32" s="7"/>
      <c r="D32" s="7"/>
      <c r="E32" s="7"/>
      <c r="F32" s="7"/>
      <c r="G32" s="7"/>
      <c r="H32" s="7"/>
      <c r="I32" s="7"/>
      <c r="J32" s="7"/>
      <c r="K32" s="6"/>
      <c r="M32">
        <f>SUM(M26:M31)</f>
        <v>667.3</v>
      </c>
    </row>
    <row r="33" spans="1:11" x14ac:dyDescent="0.25">
      <c r="A33" s="5"/>
      <c r="B33" s="7"/>
      <c r="C33" s="7"/>
      <c r="D33" s="7"/>
      <c r="E33" s="7"/>
      <c r="F33" s="7"/>
      <c r="G33" s="7"/>
      <c r="H33" s="7"/>
      <c r="I33" s="7"/>
      <c r="J33" s="7"/>
      <c r="K33" s="6"/>
    </row>
    <row r="34" spans="1:11" x14ac:dyDescent="0.25">
      <c r="A34" s="5"/>
      <c r="B34" s="7"/>
      <c r="C34" s="7"/>
      <c r="D34" s="7"/>
      <c r="E34" s="7"/>
      <c r="F34" s="7"/>
      <c r="G34" s="7"/>
      <c r="H34" s="7"/>
      <c r="I34" s="7"/>
      <c r="J34" s="7"/>
      <c r="K34" s="6"/>
    </row>
    <row r="35" spans="1:11" x14ac:dyDescent="0.25">
      <c r="A35" s="5"/>
      <c r="B35" s="7"/>
      <c r="C35" s="7"/>
      <c r="D35" s="7"/>
      <c r="E35" s="7"/>
      <c r="F35" s="7"/>
      <c r="G35" s="7"/>
      <c r="H35" s="7"/>
      <c r="I35" s="7"/>
      <c r="J35" s="7"/>
      <c r="K35" s="6"/>
    </row>
    <row r="36" spans="1:11" x14ac:dyDescent="0.25">
      <c r="A36" s="5"/>
      <c r="B36" s="7"/>
      <c r="C36" s="7"/>
      <c r="D36" s="7"/>
      <c r="E36" s="7"/>
      <c r="F36" s="7"/>
      <c r="G36" s="7"/>
      <c r="H36" s="7"/>
      <c r="I36" s="7"/>
      <c r="J36" s="7"/>
      <c r="K36" s="6"/>
    </row>
    <row r="37" spans="1:11" x14ac:dyDescent="0.25">
      <c r="A37" s="5"/>
      <c r="B37" s="7"/>
      <c r="C37" s="7"/>
      <c r="D37" s="7"/>
      <c r="E37" s="7"/>
      <c r="F37" s="7"/>
      <c r="G37" s="7"/>
      <c r="H37" s="7"/>
      <c r="I37" s="7"/>
      <c r="J37" s="7"/>
      <c r="K37" s="6"/>
    </row>
    <row r="38" spans="1:11" x14ac:dyDescent="0.25">
      <c r="A38" s="5"/>
      <c r="B38" s="7"/>
      <c r="C38" s="7"/>
      <c r="D38" s="7"/>
      <c r="E38" s="7"/>
      <c r="F38" s="7"/>
      <c r="G38" s="7"/>
      <c r="H38" s="7"/>
      <c r="I38" s="7"/>
      <c r="J38" s="7"/>
      <c r="K38" s="6"/>
    </row>
    <row r="39" spans="1:11" x14ac:dyDescent="0.25">
      <c r="A39" s="5"/>
      <c r="B39" s="7"/>
      <c r="C39" s="7"/>
      <c r="D39" s="7"/>
      <c r="E39" s="7"/>
      <c r="F39" s="7"/>
      <c r="G39" s="7"/>
      <c r="H39" s="7"/>
      <c r="I39" s="7"/>
      <c r="J39" s="7"/>
      <c r="K39" s="6"/>
    </row>
    <row r="40" spans="1:11" x14ac:dyDescent="0.25">
      <c r="A40" s="5"/>
      <c r="B40" s="7"/>
      <c r="C40" s="7"/>
      <c r="D40" s="7"/>
      <c r="E40" s="7"/>
      <c r="F40" s="7"/>
      <c r="G40" s="7"/>
      <c r="H40" s="7"/>
      <c r="I40" s="7"/>
      <c r="J40" s="7"/>
      <c r="K40" s="6"/>
    </row>
    <row r="41" spans="1:11" x14ac:dyDescent="0.25">
      <c r="A41" s="5"/>
      <c r="B41" s="7"/>
      <c r="C41" s="7"/>
      <c r="D41" s="7"/>
      <c r="E41" s="7"/>
      <c r="F41" s="7"/>
      <c r="G41" s="7"/>
      <c r="H41" s="7"/>
      <c r="I41" s="7"/>
      <c r="J41" s="7"/>
      <c r="K41" s="6"/>
    </row>
    <row r="42" spans="1:11" x14ac:dyDescent="0.25">
      <c r="A42" s="5"/>
      <c r="B42" s="7"/>
      <c r="C42" s="7"/>
      <c r="D42" s="7"/>
      <c r="E42" s="7"/>
      <c r="F42" s="7"/>
      <c r="G42" s="7"/>
      <c r="H42" s="7"/>
      <c r="I42" s="7"/>
      <c r="J42" s="7"/>
      <c r="K42" s="6"/>
    </row>
    <row r="43" spans="1:11" x14ac:dyDescent="0.25">
      <c r="A43" s="5"/>
      <c r="B43" s="7"/>
      <c r="C43" s="7"/>
      <c r="D43" s="7"/>
      <c r="E43" s="7"/>
      <c r="F43" s="7"/>
      <c r="G43" s="7"/>
      <c r="H43" s="7"/>
      <c r="I43" s="7"/>
      <c r="J43" s="7"/>
      <c r="K43" s="6"/>
    </row>
    <row r="44" spans="1:11" x14ac:dyDescent="0.25">
      <c r="A44" s="5"/>
      <c r="B44" s="7"/>
      <c r="C44" s="7"/>
      <c r="D44" s="7"/>
      <c r="E44" s="7"/>
      <c r="F44" s="7"/>
      <c r="G44" s="7"/>
      <c r="H44" s="7"/>
      <c r="I44" s="7"/>
      <c r="J44" s="7"/>
      <c r="K44" s="6"/>
    </row>
    <row r="45" spans="1:11" x14ac:dyDescent="0.25">
      <c r="A45" s="5"/>
      <c r="B45" s="7"/>
      <c r="C45" s="7"/>
      <c r="D45" s="7"/>
      <c r="E45" s="7"/>
      <c r="F45" s="7"/>
      <c r="G45" s="7"/>
      <c r="H45" s="7"/>
      <c r="I45" s="7"/>
      <c r="J45" s="7"/>
      <c r="K45" s="6"/>
    </row>
    <row r="46" spans="1:11" x14ac:dyDescent="0.25">
      <c r="A46" s="5"/>
      <c r="B46" s="7"/>
      <c r="C46" s="7"/>
      <c r="D46" s="7"/>
      <c r="E46" s="7"/>
      <c r="F46" s="7"/>
      <c r="G46" s="7"/>
      <c r="H46" s="7"/>
      <c r="I46" s="7"/>
      <c r="J46" s="7"/>
      <c r="K46" s="6"/>
    </row>
    <row r="47" spans="1:11" ht="18" customHeight="1" x14ac:dyDescent="0.45">
      <c r="A47" s="17" t="s">
        <v>10</v>
      </c>
      <c r="B47" s="19" t="s">
        <v>17</v>
      </c>
      <c r="C47" s="19"/>
      <c r="D47" s="14"/>
      <c r="E47" s="19" t="s">
        <v>14</v>
      </c>
      <c r="F47" s="19"/>
      <c r="G47" s="19"/>
      <c r="H47" s="20"/>
      <c r="I47" s="19" t="s">
        <v>12</v>
      </c>
      <c r="J47" s="19"/>
      <c r="K47" s="21"/>
    </row>
    <row r="48" spans="1:11" ht="18" customHeight="1" x14ac:dyDescent="0.45">
      <c r="A48" s="18"/>
      <c r="B48" s="19"/>
      <c r="C48" s="19"/>
      <c r="D48" s="14"/>
      <c r="E48" s="19"/>
      <c r="F48" s="19"/>
      <c r="G48" s="19"/>
      <c r="H48" s="20"/>
      <c r="I48" s="19"/>
      <c r="J48" s="19"/>
      <c r="K48" s="21"/>
    </row>
    <row r="49" spans="1:11" ht="18" x14ac:dyDescent="0.45">
      <c r="A49" s="22" t="s">
        <v>11</v>
      </c>
      <c r="B49" s="19" t="s">
        <v>16</v>
      </c>
      <c r="C49" s="19"/>
      <c r="D49" s="19"/>
      <c r="E49" s="14"/>
      <c r="F49" s="14"/>
      <c r="G49" s="14"/>
      <c r="H49" s="24" t="s">
        <v>9</v>
      </c>
      <c r="I49" s="19" t="s">
        <v>15</v>
      </c>
      <c r="J49" s="19"/>
      <c r="K49" s="21"/>
    </row>
    <row r="50" spans="1:11" x14ac:dyDescent="0.25">
      <c r="A50" s="23"/>
      <c r="B50" s="19"/>
      <c r="C50" s="19"/>
      <c r="D50" s="19"/>
      <c r="E50" s="7"/>
      <c r="F50" s="7"/>
      <c r="G50" s="7"/>
      <c r="H50" s="24"/>
      <c r="I50" s="19"/>
      <c r="J50" s="19"/>
      <c r="K50" s="21"/>
    </row>
    <row r="51" spans="1:11" ht="18.75" thickBot="1" x14ac:dyDescent="0.5">
      <c r="A51" s="11"/>
      <c r="B51" s="12"/>
      <c r="C51" s="12"/>
      <c r="D51" s="12"/>
      <c r="E51" s="12"/>
      <c r="F51" s="12"/>
      <c r="G51" s="12"/>
      <c r="H51" s="12"/>
      <c r="I51" s="12"/>
      <c r="J51" s="12"/>
      <c r="K51" s="13"/>
    </row>
  </sheetData>
  <mergeCells count="12">
    <mergeCell ref="A49:A50"/>
    <mergeCell ref="B49:D50"/>
    <mergeCell ref="H49:H50"/>
    <mergeCell ref="I49:K50"/>
    <mergeCell ref="B2:J8"/>
    <mergeCell ref="L17:N17"/>
    <mergeCell ref="L25:N25"/>
    <mergeCell ref="A47:A48"/>
    <mergeCell ref="B47:C48"/>
    <mergeCell ref="E47:G48"/>
    <mergeCell ref="H47:H48"/>
    <mergeCell ref="I47:K48"/>
  </mergeCells>
  <printOptions horizontalCentered="1" verticalCentered="1"/>
  <pageMargins left="0" right="0" top="0" bottom="0" header="0" footer="0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8203A-211E-4715-AB47-F19A483CD1EA}">
  <dimension ref="A1:N51"/>
  <sheetViews>
    <sheetView rightToLeft="1" view="pageLayout" zoomScale="85" zoomScaleNormal="100" zoomScalePageLayoutView="85" workbookViewId="0">
      <selection activeCell="I47" sqref="I47:K48"/>
    </sheetView>
  </sheetViews>
  <sheetFormatPr defaultRowHeight="15" x14ac:dyDescent="0.25"/>
  <cols>
    <col min="1" max="1" width="5" customWidth="1"/>
    <col min="10" max="10" width="13" customWidth="1"/>
    <col min="11" max="11" width="6.28515625" customWidth="1"/>
    <col min="12" max="12" width="11.28515625" bestFit="1" customWidth="1"/>
  </cols>
  <sheetData>
    <row r="1" spans="1:11" x14ac:dyDescent="0.25">
      <c r="A1" s="2"/>
      <c r="B1" s="3"/>
      <c r="C1" s="3"/>
      <c r="D1" s="3"/>
      <c r="E1" s="3"/>
      <c r="F1" s="3"/>
      <c r="G1" s="3"/>
      <c r="H1" s="3"/>
      <c r="I1" s="3"/>
      <c r="J1" s="3"/>
      <c r="K1" s="4"/>
    </row>
    <row r="2" spans="1:11" x14ac:dyDescent="0.25">
      <c r="A2" s="5"/>
      <c r="B2" s="25" t="s">
        <v>0</v>
      </c>
      <c r="C2" s="26"/>
      <c r="D2" s="26"/>
      <c r="E2" s="26"/>
      <c r="F2" s="26"/>
      <c r="G2" s="26"/>
      <c r="H2" s="26"/>
      <c r="I2" s="26"/>
      <c r="J2" s="26"/>
      <c r="K2" s="6"/>
    </row>
    <row r="3" spans="1:11" x14ac:dyDescent="0.25">
      <c r="A3" s="5"/>
      <c r="B3" s="26"/>
      <c r="C3" s="26"/>
      <c r="D3" s="26"/>
      <c r="E3" s="26"/>
      <c r="F3" s="26"/>
      <c r="G3" s="26"/>
      <c r="H3" s="26"/>
      <c r="I3" s="26"/>
      <c r="J3" s="26"/>
      <c r="K3" s="6"/>
    </row>
    <row r="4" spans="1:11" x14ac:dyDescent="0.25">
      <c r="A4" s="5"/>
      <c r="B4" s="26"/>
      <c r="C4" s="26"/>
      <c r="D4" s="26"/>
      <c r="E4" s="26"/>
      <c r="F4" s="26"/>
      <c r="G4" s="26"/>
      <c r="H4" s="26"/>
      <c r="I4" s="26"/>
      <c r="J4" s="26"/>
      <c r="K4" s="6"/>
    </row>
    <row r="5" spans="1:11" x14ac:dyDescent="0.25">
      <c r="A5" s="5"/>
      <c r="B5" s="26"/>
      <c r="C5" s="26"/>
      <c r="D5" s="26"/>
      <c r="E5" s="26"/>
      <c r="F5" s="26"/>
      <c r="G5" s="26"/>
      <c r="H5" s="26"/>
      <c r="I5" s="26"/>
      <c r="J5" s="26"/>
      <c r="K5" s="6"/>
    </row>
    <row r="6" spans="1:11" x14ac:dyDescent="0.25">
      <c r="A6" s="5"/>
      <c r="B6" s="26"/>
      <c r="C6" s="26"/>
      <c r="D6" s="26"/>
      <c r="E6" s="26"/>
      <c r="F6" s="26"/>
      <c r="G6" s="26"/>
      <c r="H6" s="26"/>
      <c r="I6" s="26"/>
      <c r="J6" s="26"/>
      <c r="K6" s="6"/>
    </row>
    <row r="7" spans="1:11" x14ac:dyDescent="0.25">
      <c r="A7" s="5"/>
      <c r="B7" s="26"/>
      <c r="C7" s="26"/>
      <c r="D7" s="26"/>
      <c r="E7" s="26"/>
      <c r="F7" s="26"/>
      <c r="G7" s="26"/>
      <c r="H7" s="26"/>
      <c r="I7" s="26"/>
      <c r="J7" s="26"/>
      <c r="K7" s="6"/>
    </row>
    <row r="8" spans="1:11" x14ac:dyDescent="0.25">
      <c r="A8" s="5"/>
      <c r="B8" s="26"/>
      <c r="C8" s="26"/>
      <c r="D8" s="26"/>
      <c r="E8" s="26"/>
      <c r="F8" s="26"/>
      <c r="G8" s="26"/>
      <c r="H8" s="26"/>
      <c r="I8" s="26"/>
      <c r="J8" s="26"/>
      <c r="K8" s="6"/>
    </row>
    <row r="9" spans="1:11" x14ac:dyDescent="0.25">
      <c r="A9" s="5"/>
      <c r="B9" s="7"/>
      <c r="C9" s="7"/>
      <c r="D9" s="7"/>
      <c r="E9" s="7"/>
      <c r="F9" s="7"/>
      <c r="G9" s="7"/>
      <c r="H9" s="7"/>
      <c r="I9" s="7"/>
      <c r="J9" s="7"/>
      <c r="K9" s="6"/>
    </row>
    <row r="10" spans="1:11" x14ac:dyDescent="0.25">
      <c r="A10" s="5"/>
      <c r="B10" s="7"/>
      <c r="C10" s="7"/>
      <c r="D10" s="7"/>
      <c r="E10" s="7"/>
      <c r="F10" s="7"/>
      <c r="G10" s="7"/>
      <c r="H10" s="7"/>
      <c r="I10" s="7"/>
      <c r="J10" s="7"/>
      <c r="K10" s="6"/>
    </row>
    <row r="11" spans="1:11" x14ac:dyDescent="0.25">
      <c r="A11" s="5"/>
      <c r="B11" s="7"/>
      <c r="C11" s="7"/>
      <c r="D11" s="7"/>
      <c r="E11" s="7"/>
      <c r="F11" s="7"/>
      <c r="G11" s="7"/>
      <c r="H11" s="7"/>
      <c r="I11" s="7"/>
      <c r="J11" s="7"/>
      <c r="K11" s="6"/>
    </row>
    <row r="12" spans="1:11" x14ac:dyDescent="0.25">
      <c r="A12" s="5"/>
      <c r="B12" s="7"/>
      <c r="C12" s="7"/>
      <c r="D12" s="7"/>
      <c r="E12" s="7"/>
      <c r="F12" s="7"/>
      <c r="G12" s="7"/>
      <c r="H12" s="7"/>
      <c r="I12" s="7"/>
      <c r="J12" s="7"/>
      <c r="K12" s="6"/>
    </row>
    <row r="13" spans="1:11" x14ac:dyDescent="0.25">
      <c r="A13" s="5"/>
      <c r="B13" s="7"/>
      <c r="C13" s="7"/>
      <c r="D13" s="7"/>
      <c r="E13" s="7"/>
      <c r="F13" s="7"/>
      <c r="G13" s="7"/>
      <c r="H13" s="7"/>
      <c r="I13" s="7"/>
      <c r="J13" s="7"/>
      <c r="K13" s="6"/>
    </row>
    <row r="14" spans="1:11" x14ac:dyDescent="0.25">
      <c r="A14" s="5"/>
      <c r="B14" s="7"/>
      <c r="C14" s="7"/>
      <c r="D14" s="7"/>
      <c r="E14" s="7"/>
      <c r="F14" s="7"/>
      <c r="G14" s="7"/>
      <c r="H14" s="7"/>
      <c r="I14" s="7"/>
      <c r="J14" s="7"/>
      <c r="K14" s="6"/>
    </row>
    <row r="15" spans="1:11" x14ac:dyDescent="0.25">
      <c r="A15" s="5"/>
      <c r="B15" s="7"/>
      <c r="C15" s="7"/>
      <c r="D15" s="7"/>
      <c r="E15" s="7"/>
      <c r="F15" s="7"/>
      <c r="G15" s="7"/>
      <c r="H15" s="7"/>
      <c r="I15" s="7"/>
      <c r="J15" s="7"/>
      <c r="K15" s="6"/>
    </row>
    <row r="16" spans="1:11" x14ac:dyDescent="0.25">
      <c r="A16" s="5"/>
      <c r="B16" s="7"/>
      <c r="C16" s="7"/>
      <c r="D16" s="7"/>
      <c r="E16" s="7"/>
      <c r="F16" s="7"/>
      <c r="G16" s="7"/>
      <c r="H16" s="7"/>
      <c r="I16" s="7"/>
      <c r="J16" s="7"/>
      <c r="K16" s="6"/>
    </row>
    <row r="17" spans="1:14" x14ac:dyDescent="0.25">
      <c r="A17" s="5"/>
      <c r="B17" s="7"/>
      <c r="C17" s="7"/>
      <c r="D17" s="7"/>
      <c r="E17" s="7"/>
      <c r="F17" s="7"/>
      <c r="G17" s="7"/>
      <c r="H17" s="7"/>
      <c r="I17" s="7"/>
      <c r="J17" s="7"/>
      <c r="K17" s="6"/>
      <c r="L17" s="16" t="s">
        <v>7</v>
      </c>
      <c r="M17" s="16"/>
      <c r="N17" s="16"/>
    </row>
    <row r="18" spans="1:14" x14ac:dyDescent="0.25">
      <c r="A18" s="5"/>
      <c r="B18" s="7"/>
      <c r="C18" s="7"/>
      <c r="D18" s="7"/>
      <c r="E18" s="7"/>
      <c r="F18" s="7"/>
      <c r="G18" s="7"/>
      <c r="H18" s="7"/>
      <c r="I18" s="7"/>
      <c r="J18" s="7"/>
      <c r="K18" s="6"/>
      <c r="L18" t="s">
        <v>1</v>
      </c>
      <c r="M18">
        <v>3</v>
      </c>
      <c r="N18" s="1">
        <f>M18/M24</f>
        <v>1.7857142857142856E-2</v>
      </c>
    </row>
    <row r="19" spans="1:14" x14ac:dyDescent="0.25">
      <c r="A19" s="5"/>
      <c r="B19" s="7"/>
      <c r="C19" s="7"/>
      <c r="D19" s="7"/>
      <c r="E19" s="7"/>
      <c r="F19" s="7"/>
      <c r="G19" s="7"/>
      <c r="H19" s="7"/>
      <c r="I19" s="7"/>
      <c r="J19" s="7"/>
      <c r="K19" s="6"/>
      <c r="L19" t="s">
        <v>2</v>
      </c>
      <c r="M19">
        <v>1</v>
      </c>
      <c r="N19" s="1">
        <f>M19/M24</f>
        <v>5.9523809523809521E-3</v>
      </c>
    </row>
    <row r="20" spans="1:14" x14ac:dyDescent="0.25">
      <c r="A20" s="5"/>
      <c r="B20" s="7"/>
      <c r="C20" s="7"/>
      <c r="D20" s="7"/>
      <c r="E20" s="7"/>
      <c r="F20" s="7"/>
      <c r="G20" s="7"/>
      <c r="H20" s="7"/>
      <c r="I20" s="7"/>
      <c r="J20" s="7"/>
      <c r="K20" s="6"/>
      <c r="L20" t="s">
        <v>3</v>
      </c>
      <c r="M20">
        <v>118</v>
      </c>
      <c r="N20" s="1">
        <f>M20/M24</f>
        <v>0.70238095238095233</v>
      </c>
    </row>
    <row r="21" spans="1:14" x14ac:dyDescent="0.25">
      <c r="A21" s="5"/>
      <c r="B21" s="7"/>
      <c r="C21" s="7"/>
      <c r="D21" s="7"/>
      <c r="E21" s="7"/>
      <c r="F21" s="7"/>
      <c r="G21" s="7"/>
      <c r="H21" s="7"/>
      <c r="I21" s="7"/>
      <c r="J21" s="7"/>
      <c r="K21" s="6"/>
      <c r="L21" t="s">
        <v>4</v>
      </c>
      <c r="M21">
        <v>0</v>
      </c>
      <c r="N21" s="1">
        <f>M21/M24</f>
        <v>0</v>
      </c>
    </row>
    <row r="22" spans="1:14" x14ac:dyDescent="0.25">
      <c r="A22" s="5"/>
      <c r="B22" s="7"/>
      <c r="C22" s="7"/>
      <c r="D22" s="7"/>
      <c r="E22" s="7"/>
      <c r="F22" s="7"/>
      <c r="G22" s="7"/>
      <c r="H22" s="7"/>
      <c r="I22" s="7"/>
      <c r="J22" s="7"/>
      <c r="K22" s="6"/>
      <c r="L22" t="s">
        <v>5</v>
      </c>
      <c r="M22">
        <v>12</v>
      </c>
      <c r="N22" s="1">
        <f>M22/M24</f>
        <v>7.1428571428571425E-2</v>
      </c>
    </row>
    <row r="23" spans="1:14" x14ac:dyDescent="0.25">
      <c r="A23" s="5"/>
      <c r="B23" s="7"/>
      <c r="C23" s="7"/>
      <c r="D23" s="7"/>
      <c r="E23" s="7"/>
      <c r="F23" s="7"/>
      <c r="G23" s="7"/>
      <c r="H23" s="7"/>
      <c r="I23" s="7"/>
      <c r="J23" s="7"/>
      <c r="K23" s="6"/>
      <c r="L23" t="s">
        <v>6</v>
      </c>
      <c r="M23">
        <v>34</v>
      </c>
      <c r="N23" s="1">
        <f>M23/M24</f>
        <v>0.20238095238095238</v>
      </c>
    </row>
    <row r="24" spans="1:14" x14ac:dyDescent="0.25">
      <c r="A24" s="5"/>
      <c r="B24" s="7"/>
      <c r="C24" s="7"/>
      <c r="D24" s="7"/>
      <c r="E24" s="7"/>
      <c r="F24" s="7"/>
      <c r="G24" s="7"/>
      <c r="H24" s="7"/>
      <c r="I24" s="7"/>
      <c r="J24" s="7"/>
      <c r="K24" s="6"/>
      <c r="M24">
        <f>SUM(M18:M23)</f>
        <v>168</v>
      </c>
      <c r="N24" s="1">
        <f>N18+N19+N20+N21+N22+N23</f>
        <v>1</v>
      </c>
    </row>
    <row r="25" spans="1:14" x14ac:dyDescent="0.25">
      <c r="A25" s="5"/>
      <c r="B25" s="7"/>
      <c r="C25" s="7"/>
      <c r="D25" s="7"/>
      <c r="E25" s="7"/>
      <c r="F25" s="7"/>
      <c r="G25" s="7"/>
      <c r="H25" s="7"/>
      <c r="I25" s="7"/>
      <c r="J25" s="7"/>
      <c r="K25" s="6"/>
      <c r="L25" s="16" t="s">
        <v>8</v>
      </c>
      <c r="M25" s="16"/>
      <c r="N25" s="16"/>
    </row>
    <row r="26" spans="1:14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6"/>
      <c r="L26" t="s">
        <v>1</v>
      </c>
      <c r="M26">
        <v>73</v>
      </c>
    </row>
    <row r="27" spans="1:14" x14ac:dyDescent="0.25">
      <c r="A27" s="5"/>
      <c r="B27" s="7"/>
      <c r="C27" s="7"/>
      <c r="D27" s="7"/>
      <c r="E27" s="7"/>
      <c r="F27" s="7"/>
      <c r="G27" s="7"/>
      <c r="H27" s="7"/>
      <c r="I27" s="7"/>
      <c r="J27" s="7"/>
      <c r="K27" s="6"/>
      <c r="L27" t="s">
        <v>2</v>
      </c>
      <c r="M27">
        <v>32</v>
      </c>
    </row>
    <row r="28" spans="1:14" x14ac:dyDescent="0.25">
      <c r="A28" s="5"/>
      <c r="B28" s="7"/>
      <c r="C28" s="7"/>
      <c r="D28" s="7"/>
      <c r="E28" s="7"/>
      <c r="F28" s="7"/>
      <c r="G28" s="7"/>
      <c r="H28" s="7"/>
      <c r="I28" s="7"/>
      <c r="J28" s="7"/>
      <c r="K28" s="6"/>
      <c r="L28" t="s">
        <v>3</v>
      </c>
      <c r="M28">
        <v>178</v>
      </c>
    </row>
    <row r="29" spans="1:14" x14ac:dyDescent="0.25">
      <c r="A29" s="5"/>
      <c r="B29" s="7"/>
      <c r="C29" s="7"/>
      <c r="D29" s="7"/>
      <c r="E29" s="7"/>
      <c r="F29" s="7"/>
      <c r="G29" s="7"/>
      <c r="H29" s="7"/>
      <c r="I29" s="7"/>
      <c r="J29" s="7"/>
      <c r="K29" s="6"/>
      <c r="L29" t="s">
        <v>4</v>
      </c>
      <c r="M29">
        <v>0</v>
      </c>
    </row>
    <row r="30" spans="1:14" x14ac:dyDescent="0.25">
      <c r="A30" s="5"/>
      <c r="B30" s="7"/>
      <c r="C30" s="7"/>
      <c r="D30" s="7"/>
      <c r="E30" s="7"/>
      <c r="F30" s="7"/>
      <c r="G30" s="7"/>
      <c r="H30" s="7"/>
      <c r="I30" s="7"/>
      <c r="J30" s="7"/>
      <c r="K30" s="6"/>
      <c r="L30" t="s">
        <v>5</v>
      </c>
      <c r="M30">
        <v>144</v>
      </c>
    </row>
    <row r="31" spans="1:14" x14ac:dyDescent="0.25">
      <c r="A31" s="5"/>
      <c r="B31" s="7"/>
      <c r="C31" s="7"/>
      <c r="D31" s="7"/>
      <c r="E31" s="7"/>
      <c r="F31" s="7"/>
      <c r="G31" s="7"/>
      <c r="H31" s="7"/>
      <c r="I31" s="7"/>
      <c r="J31" s="7"/>
      <c r="K31" s="6"/>
      <c r="L31" t="s">
        <v>6</v>
      </c>
      <c r="M31">
        <v>60</v>
      </c>
    </row>
    <row r="32" spans="1:14" x14ac:dyDescent="0.25">
      <c r="A32" s="5"/>
      <c r="B32" s="7"/>
      <c r="C32" s="7"/>
      <c r="D32" s="7"/>
      <c r="E32" s="7"/>
      <c r="F32" s="7"/>
      <c r="G32" s="7"/>
      <c r="H32" s="7"/>
      <c r="I32" s="7"/>
      <c r="J32" s="7"/>
      <c r="K32" s="6"/>
      <c r="M32">
        <f>SUM(M26:M31)</f>
        <v>487</v>
      </c>
    </row>
    <row r="33" spans="1:11" x14ac:dyDescent="0.25">
      <c r="A33" s="5"/>
      <c r="B33" s="7"/>
      <c r="C33" s="7"/>
      <c r="D33" s="7"/>
      <c r="E33" s="7"/>
      <c r="F33" s="7"/>
      <c r="G33" s="7"/>
      <c r="H33" s="7"/>
      <c r="I33" s="7"/>
      <c r="J33" s="7"/>
      <c r="K33" s="6"/>
    </row>
    <row r="34" spans="1:11" x14ac:dyDescent="0.25">
      <c r="A34" s="5"/>
      <c r="B34" s="7"/>
      <c r="C34" s="7"/>
      <c r="D34" s="7"/>
      <c r="E34" s="7"/>
      <c r="F34" s="7"/>
      <c r="G34" s="7"/>
      <c r="H34" s="7"/>
      <c r="I34" s="7"/>
      <c r="J34" s="7"/>
      <c r="K34" s="6"/>
    </row>
    <row r="35" spans="1:11" x14ac:dyDescent="0.25">
      <c r="A35" s="5"/>
      <c r="B35" s="7"/>
      <c r="C35" s="7"/>
      <c r="D35" s="7"/>
      <c r="E35" s="7"/>
      <c r="F35" s="7"/>
      <c r="G35" s="7"/>
      <c r="H35" s="7"/>
      <c r="I35" s="7"/>
      <c r="J35" s="7"/>
      <c r="K35" s="6"/>
    </row>
    <row r="36" spans="1:11" x14ac:dyDescent="0.25">
      <c r="A36" s="5"/>
      <c r="B36" s="7"/>
      <c r="C36" s="7"/>
      <c r="D36" s="7"/>
      <c r="E36" s="7"/>
      <c r="F36" s="7"/>
      <c r="G36" s="7"/>
      <c r="H36" s="7"/>
      <c r="I36" s="7"/>
      <c r="J36" s="7"/>
      <c r="K36" s="6"/>
    </row>
    <row r="37" spans="1:11" x14ac:dyDescent="0.25">
      <c r="A37" s="5"/>
      <c r="B37" s="7"/>
      <c r="C37" s="7"/>
      <c r="D37" s="7"/>
      <c r="E37" s="7"/>
      <c r="F37" s="7"/>
      <c r="G37" s="7"/>
      <c r="H37" s="7"/>
      <c r="I37" s="7"/>
      <c r="J37" s="7"/>
      <c r="K37" s="6"/>
    </row>
    <row r="38" spans="1:11" x14ac:dyDescent="0.25">
      <c r="A38" s="5"/>
      <c r="B38" s="7"/>
      <c r="C38" s="7"/>
      <c r="D38" s="7"/>
      <c r="E38" s="7"/>
      <c r="F38" s="7"/>
      <c r="G38" s="7"/>
      <c r="H38" s="7"/>
      <c r="I38" s="7"/>
      <c r="J38" s="7"/>
      <c r="K38" s="6"/>
    </row>
    <row r="39" spans="1:11" x14ac:dyDescent="0.25">
      <c r="A39" s="5"/>
      <c r="B39" s="7"/>
      <c r="C39" s="7"/>
      <c r="D39" s="7"/>
      <c r="E39" s="7"/>
      <c r="F39" s="7"/>
      <c r="G39" s="7"/>
      <c r="H39" s="7"/>
      <c r="I39" s="7"/>
      <c r="J39" s="7"/>
      <c r="K39" s="6"/>
    </row>
    <row r="40" spans="1:11" x14ac:dyDescent="0.25">
      <c r="A40" s="5"/>
      <c r="B40" s="7"/>
      <c r="C40" s="7"/>
      <c r="D40" s="7"/>
      <c r="E40" s="7"/>
      <c r="F40" s="7"/>
      <c r="G40" s="7"/>
      <c r="H40" s="7"/>
      <c r="I40" s="7"/>
      <c r="J40" s="7"/>
      <c r="K40" s="6"/>
    </row>
    <row r="41" spans="1:11" x14ac:dyDescent="0.25">
      <c r="A41" s="5"/>
      <c r="B41" s="7"/>
      <c r="C41" s="7"/>
      <c r="D41" s="7"/>
      <c r="E41" s="7"/>
      <c r="F41" s="7"/>
      <c r="G41" s="7"/>
      <c r="H41" s="7"/>
      <c r="I41" s="7"/>
      <c r="J41" s="7"/>
      <c r="K41" s="6"/>
    </row>
    <row r="42" spans="1:11" x14ac:dyDescent="0.25">
      <c r="A42" s="5"/>
      <c r="B42" s="7"/>
      <c r="C42" s="7"/>
      <c r="D42" s="7"/>
      <c r="E42" s="7"/>
      <c r="F42" s="7"/>
      <c r="G42" s="7"/>
      <c r="H42" s="7"/>
      <c r="I42" s="7"/>
      <c r="J42" s="7"/>
      <c r="K42" s="6"/>
    </row>
    <row r="43" spans="1:11" x14ac:dyDescent="0.25">
      <c r="A43" s="5"/>
      <c r="B43" s="7"/>
      <c r="C43" s="7"/>
      <c r="D43" s="7"/>
      <c r="E43" s="7"/>
      <c r="F43" s="7"/>
      <c r="G43" s="7"/>
      <c r="H43" s="7"/>
      <c r="I43" s="7"/>
      <c r="J43" s="7"/>
      <c r="K43" s="6"/>
    </row>
    <row r="44" spans="1:11" x14ac:dyDescent="0.25">
      <c r="A44" s="5"/>
      <c r="B44" s="7"/>
      <c r="C44" s="7"/>
      <c r="D44" s="7"/>
      <c r="E44" s="7"/>
      <c r="F44" s="7"/>
      <c r="G44" s="7"/>
      <c r="H44" s="7"/>
      <c r="I44" s="7"/>
      <c r="J44" s="7"/>
      <c r="K44" s="6"/>
    </row>
    <row r="45" spans="1:11" x14ac:dyDescent="0.25">
      <c r="A45" s="5"/>
      <c r="B45" s="7"/>
      <c r="C45" s="7"/>
      <c r="D45" s="7"/>
      <c r="E45" s="7"/>
      <c r="F45" s="7"/>
      <c r="G45" s="7"/>
      <c r="H45" s="7"/>
      <c r="I45" s="7"/>
      <c r="J45" s="7"/>
      <c r="K45" s="6"/>
    </row>
    <row r="46" spans="1:11" x14ac:dyDescent="0.25">
      <c r="A46" s="5"/>
      <c r="B46" s="7"/>
      <c r="C46" s="7"/>
      <c r="D46" s="7"/>
      <c r="E46" s="7"/>
      <c r="F46" s="7"/>
      <c r="G46" s="7"/>
      <c r="H46" s="7"/>
      <c r="I46" s="7"/>
      <c r="J46" s="7"/>
      <c r="K46" s="6"/>
    </row>
    <row r="47" spans="1:11" ht="18" customHeight="1" x14ac:dyDescent="0.45">
      <c r="A47" s="17" t="s">
        <v>10</v>
      </c>
      <c r="B47" s="19" t="s">
        <v>18</v>
      </c>
      <c r="C47" s="19"/>
      <c r="D47" s="14"/>
      <c r="E47" s="19" t="s">
        <v>14</v>
      </c>
      <c r="F47" s="19"/>
      <c r="G47" s="19"/>
      <c r="H47" s="20"/>
      <c r="I47" s="19" t="s">
        <v>12</v>
      </c>
      <c r="J47" s="19"/>
      <c r="K47" s="21"/>
    </row>
    <row r="48" spans="1:11" ht="18" customHeight="1" x14ac:dyDescent="0.45">
      <c r="A48" s="18"/>
      <c r="B48" s="19"/>
      <c r="C48" s="19"/>
      <c r="D48" s="14"/>
      <c r="E48" s="19"/>
      <c r="F48" s="19"/>
      <c r="G48" s="19"/>
      <c r="H48" s="20"/>
      <c r="I48" s="19"/>
      <c r="J48" s="19"/>
      <c r="K48" s="21"/>
    </row>
    <row r="49" spans="1:11" ht="18" x14ac:dyDescent="0.45">
      <c r="A49" s="22" t="s">
        <v>11</v>
      </c>
      <c r="B49" s="19" t="s">
        <v>16</v>
      </c>
      <c r="C49" s="19"/>
      <c r="D49" s="19"/>
      <c r="E49" s="14"/>
      <c r="F49" s="14"/>
      <c r="G49" s="14"/>
      <c r="H49" s="24" t="s">
        <v>9</v>
      </c>
      <c r="I49" s="19" t="s">
        <v>15</v>
      </c>
      <c r="J49" s="19"/>
      <c r="K49" s="21"/>
    </row>
    <row r="50" spans="1:11" x14ac:dyDescent="0.25">
      <c r="A50" s="23"/>
      <c r="B50" s="19"/>
      <c r="C50" s="19"/>
      <c r="D50" s="19"/>
      <c r="E50" s="7"/>
      <c r="F50" s="7"/>
      <c r="G50" s="7"/>
      <c r="H50" s="24"/>
      <c r="I50" s="19"/>
      <c r="J50" s="19"/>
      <c r="K50" s="21"/>
    </row>
    <row r="51" spans="1:11" ht="18.75" thickBot="1" x14ac:dyDescent="0.5">
      <c r="A51" s="11"/>
      <c r="B51" s="12"/>
      <c r="C51" s="12"/>
      <c r="D51" s="12"/>
      <c r="E51" s="12"/>
      <c r="F51" s="12"/>
      <c r="G51" s="12"/>
      <c r="H51" s="12"/>
      <c r="I51" s="12"/>
      <c r="J51" s="12"/>
      <c r="K51" s="13"/>
    </row>
  </sheetData>
  <mergeCells count="12">
    <mergeCell ref="A49:A50"/>
    <mergeCell ref="B49:D50"/>
    <mergeCell ref="H49:H50"/>
    <mergeCell ref="I49:K50"/>
    <mergeCell ref="B2:J8"/>
    <mergeCell ref="L17:N17"/>
    <mergeCell ref="L25:N25"/>
    <mergeCell ref="A47:A48"/>
    <mergeCell ref="B47:C48"/>
    <mergeCell ref="E47:G48"/>
    <mergeCell ref="H47:H48"/>
    <mergeCell ref="I47:K48"/>
  </mergeCells>
  <printOptions horizontalCentered="1" verticalCentered="1"/>
  <pageMargins left="0" right="0" top="0" bottom="0" header="0" footer="0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1DCC5-BAC7-46CB-8838-0B61049DF5AB}">
  <dimension ref="A1:N51"/>
  <sheetViews>
    <sheetView rightToLeft="1" view="pageLayout" zoomScale="85" zoomScaleNormal="100" zoomScalePageLayoutView="85" workbookViewId="0">
      <selection activeCell="E47" sqref="E47:G48"/>
    </sheetView>
  </sheetViews>
  <sheetFormatPr defaultRowHeight="15" x14ac:dyDescent="0.25"/>
  <cols>
    <col min="1" max="1" width="5" customWidth="1"/>
    <col min="10" max="10" width="13" customWidth="1"/>
    <col min="11" max="11" width="6.28515625" customWidth="1"/>
    <col min="12" max="12" width="11.28515625" bestFit="1" customWidth="1"/>
  </cols>
  <sheetData>
    <row r="1" spans="1:11" x14ac:dyDescent="0.25">
      <c r="A1" s="2"/>
      <c r="B1" s="3"/>
      <c r="C1" s="3"/>
      <c r="D1" s="3"/>
      <c r="E1" s="3"/>
      <c r="F1" s="3"/>
      <c r="G1" s="3"/>
      <c r="H1" s="3"/>
      <c r="I1" s="3"/>
      <c r="J1" s="3"/>
      <c r="K1" s="4"/>
    </row>
    <row r="2" spans="1:11" x14ac:dyDescent="0.25">
      <c r="A2" s="5"/>
      <c r="B2" s="25" t="s">
        <v>0</v>
      </c>
      <c r="C2" s="26"/>
      <c r="D2" s="26"/>
      <c r="E2" s="26"/>
      <c r="F2" s="26"/>
      <c r="G2" s="26"/>
      <c r="H2" s="26"/>
      <c r="I2" s="26"/>
      <c r="J2" s="26"/>
      <c r="K2" s="6"/>
    </row>
    <row r="3" spans="1:11" x14ac:dyDescent="0.25">
      <c r="A3" s="5"/>
      <c r="B3" s="26"/>
      <c r="C3" s="26"/>
      <c r="D3" s="26"/>
      <c r="E3" s="26"/>
      <c r="F3" s="26"/>
      <c r="G3" s="26"/>
      <c r="H3" s="26"/>
      <c r="I3" s="26"/>
      <c r="J3" s="26"/>
      <c r="K3" s="6"/>
    </row>
    <row r="4" spans="1:11" x14ac:dyDescent="0.25">
      <c r="A4" s="5"/>
      <c r="B4" s="26"/>
      <c r="C4" s="26"/>
      <c r="D4" s="26"/>
      <c r="E4" s="26"/>
      <c r="F4" s="26"/>
      <c r="G4" s="26"/>
      <c r="H4" s="26"/>
      <c r="I4" s="26"/>
      <c r="J4" s="26"/>
      <c r="K4" s="6"/>
    </row>
    <row r="5" spans="1:11" x14ac:dyDescent="0.25">
      <c r="A5" s="5"/>
      <c r="B5" s="26"/>
      <c r="C5" s="26"/>
      <c r="D5" s="26"/>
      <c r="E5" s="26"/>
      <c r="F5" s="26"/>
      <c r="G5" s="26"/>
      <c r="H5" s="26"/>
      <c r="I5" s="26"/>
      <c r="J5" s="26"/>
      <c r="K5" s="6"/>
    </row>
    <row r="6" spans="1:11" x14ac:dyDescent="0.25">
      <c r="A6" s="5"/>
      <c r="B6" s="26"/>
      <c r="C6" s="26"/>
      <c r="D6" s="26"/>
      <c r="E6" s="26"/>
      <c r="F6" s="26"/>
      <c r="G6" s="26"/>
      <c r="H6" s="26"/>
      <c r="I6" s="26"/>
      <c r="J6" s="26"/>
      <c r="K6" s="6"/>
    </row>
    <row r="7" spans="1:11" x14ac:dyDescent="0.25">
      <c r="A7" s="5"/>
      <c r="B7" s="26"/>
      <c r="C7" s="26"/>
      <c r="D7" s="26"/>
      <c r="E7" s="26"/>
      <c r="F7" s="26"/>
      <c r="G7" s="26"/>
      <c r="H7" s="26"/>
      <c r="I7" s="26"/>
      <c r="J7" s="26"/>
      <c r="K7" s="6"/>
    </row>
    <row r="8" spans="1:11" x14ac:dyDescent="0.25">
      <c r="A8" s="5"/>
      <c r="B8" s="26"/>
      <c r="C8" s="26"/>
      <c r="D8" s="26"/>
      <c r="E8" s="26"/>
      <c r="F8" s="26"/>
      <c r="G8" s="26"/>
      <c r="H8" s="26"/>
      <c r="I8" s="26"/>
      <c r="J8" s="26"/>
      <c r="K8" s="6"/>
    </row>
    <row r="9" spans="1:11" x14ac:dyDescent="0.25">
      <c r="A9" s="5"/>
      <c r="B9" s="7"/>
      <c r="C9" s="7"/>
      <c r="D9" s="7"/>
      <c r="E9" s="7"/>
      <c r="F9" s="7"/>
      <c r="G9" s="7"/>
      <c r="H9" s="7"/>
      <c r="I9" s="7"/>
      <c r="J9" s="7"/>
      <c r="K9" s="6"/>
    </row>
    <row r="10" spans="1:11" x14ac:dyDescent="0.25">
      <c r="A10" s="5"/>
      <c r="B10" s="7"/>
      <c r="C10" s="7"/>
      <c r="D10" s="7"/>
      <c r="E10" s="7"/>
      <c r="F10" s="7"/>
      <c r="G10" s="7"/>
      <c r="H10" s="7"/>
      <c r="I10" s="7"/>
      <c r="J10" s="7"/>
      <c r="K10" s="6"/>
    </row>
    <row r="11" spans="1:11" x14ac:dyDescent="0.25">
      <c r="A11" s="5"/>
      <c r="B11" s="7"/>
      <c r="C11" s="7"/>
      <c r="D11" s="7"/>
      <c r="E11" s="7"/>
      <c r="F11" s="7"/>
      <c r="G11" s="7"/>
      <c r="H11" s="7"/>
      <c r="I11" s="7"/>
      <c r="J11" s="7"/>
      <c r="K11" s="6"/>
    </row>
    <row r="12" spans="1:11" x14ac:dyDescent="0.25">
      <c r="A12" s="5"/>
      <c r="B12" s="7"/>
      <c r="C12" s="7"/>
      <c r="D12" s="7"/>
      <c r="E12" s="7"/>
      <c r="F12" s="7"/>
      <c r="G12" s="7"/>
      <c r="H12" s="7"/>
      <c r="I12" s="7"/>
      <c r="J12" s="7"/>
      <c r="K12" s="6"/>
    </row>
    <row r="13" spans="1:11" x14ac:dyDescent="0.25">
      <c r="A13" s="5"/>
      <c r="B13" s="7"/>
      <c r="C13" s="7"/>
      <c r="D13" s="7"/>
      <c r="E13" s="7"/>
      <c r="F13" s="7"/>
      <c r="G13" s="7"/>
      <c r="H13" s="7"/>
      <c r="I13" s="7"/>
      <c r="J13" s="7"/>
      <c r="K13" s="6"/>
    </row>
    <row r="14" spans="1:11" x14ac:dyDescent="0.25">
      <c r="A14" s="5"/>
      <c r="B14" s="7"/>
      <c r="C14" s="7"/>
      <c r="D14" s="7"/>
      <c r="E14" s="7"/>
      <c r="F14" s="7"/>
      <c r="G14" s="7"/>
      <c r="H14" s="7"/>
      <c r="I14" s="7"/>
      <c r="J14" s="7"/>
      <c r="K14" s="6"/>
    </row>
    <row r="15" spans="1:11" x14ac:dyDescent="0.25">
      <c r="A15" s="5"/>
      <c r="B15" s="7"/>
      <c r="C15" s="7"/>
      <c r="D15" s="7"/>
      <c r="E15" s="7"/>
      <c r="F15" s="7"/>
      <c r="G15" s="7"/>
      <c r="H15" s="7"/>
      <c r="I15" s="7"/>
      <c r="J15" s="7"/>
      <c r="K15" s="6"/>
    </row>
    <row r="16" spans="1:11" x14ac:dyDescent="0.25">
      <c r="A16" s="5"/>
      <c r="B16" s="7"/>
      <c r="C16" s="7"/>
      <c r="D16" s="7"/>
      <c r="E16" s="7"/>
      <c r="F16" s="7"/>
      <c r="G16" s="7"/>
      <c r="H16" s="7"/>
      <c r="I16" s="7"/>
      <c r="J16" s="7"/>
      <c r="K16" s="6"/>
    </row>
    <row r="17" spans="1:14" x14ac:dyDescent="0.25">
      <c r="A17" s="5"/>
      <c r="B17" s="7"/>
      <c r="C17" s="7"/>
      <c r="D17" s="7"/>
      <c r="E17" s="7"/>
      <c r="F17" s="7"/>
      <c r="G17" s="7"/>
      <c r="H17" s="7"/>
      <c r="I17" s="7"/>
      <c r="J17" s="7"/>
      <c r="K17" s="6"/>
      <c r="L17" s="16" t="s">
        <v>7</v>
      </c>
      <c r="M17" s="16"/>
      <c r="N17" s="16"/>
    </row>
    <row r="18" spans="1:14" x14ac:dyDescent="0.25">
      <c r="A18" s="5"/>
      <c r="B18" s="7"/>
      <c r="C18" s="7"/>
      <c r="D18" s="7"/>
      <c r="E18" s="7"/>
      <c r="F18" s="7"/>
      <c r="G18" s="7"/>
      <c r="H18" s="7"/>
      <c r="I18" s="7"/>
      <c r="J18" s="7"/>
      <c r="K18" s="6"/>
      <c r="L18" t="s">
        <v>1</v>
      </c>
      <c r="M18">
        <v>2</v>
      </c>
      <c r="N18" s="1">
        <f>M18/M24</f>
        <v>1.8518518518518517E-2</v>
      </c>
    </row>
    <row r="19" spans="1:14" x14ac:dyDescent="0.25">
      <c r="A19" s="5"/>
      <c r="B19" s="7"/>
      <c r="C19" s="7"/>
      <c r="D19" s="7"/>
      <c r="E19" s="7"/>
      <c r="F19" s="7"/>
      <c r="G19" s="7"/>
      <c r="H19" s="7"/>
      <c r="I19" s="7"/>
      <c r="J19" s="7"/>
      <c r="K19" s="6"/>
      <c r="L19" t="s">
        <v>2</v>
      </c>
      <c r="M19">
        <v>1</v>
      </c>
      <c r="N19" s="1">
        <f>M19/M24</f>
        <v>9.2592592592592587E-3</v>
      </c>
    </row>
    <row r="20" spans="1:14" x14ac:dyDescent="0.25">
      <c r="A20" s="5"/>
      <c r="B20" s="7"/>
      <c r="C20" s="7"/>
      <c r="D20" s="7"/>
      <c r="E20" s="7"/>
      <c r="F20" s="7"/>
      <c r="G20" s="7"/>
      <c r="H20" s="7"/>
      <c r="I20" s="7"/>
      <c r="J20" s="7"/>
      <c r="K20" s="6"/>
      <c r="L20" t="s">
        <v>3</v>
      </c>
      <c r="M20">
        <v>58</v>
      </c>
      <c r="N20" s="1">
        <f>M20/M24</f>
        <v>0.53703703703703709</v>
      </c>
    </row>
    <row r="21" spans="1:14" x14ac:dyDescent="0.25">
      <c r="A21" s="5"/>
      <c r="B21" s="7"/>
      <c r="C21" s="7"/>
      <c r="D21" s="7"/>
      <c r="E21" s="7"/>
      <c r="F21" s="7"/>
      <c r="G21" s="7"/>
      <c r="H21" s="7"/>
      <c r="I21" s="7"/>
      <c r="J21" s="7"/>
      <c r="K21" s="6"/>
      <c r="L21" t="s">
        <v>4</v>
      </c>
      <c r="M21">
        <v>0</v>
      </c>
      <c r="N21" s="1">
        <f>M21/M24</f>
        <v>0</v>
      </c>
    </row>
    <row r="22" spans="1:14" x14ac:dyDescent="0.25">
      <c r="A22" s="5"/>
      <c r="B22" s="7"/>
      <c r="C22" s="7"/>
      <c r="D22" s="7"/>
      <c r="E22" s="7"/>
      <c r="F22" s="7"/>
      <c r="G22" s="7"/>
      <c r="H22" s="7"/>
      <c r="I22" s="7"/>
      <c r="J22" s="7"/>
      <c r="K22" s="6"/>
      <c r="L22" t="s">
        <v>5</v>
      </c>
      <c r="M22">
        <v>10</v>
      </c>
      <c r="N22" s="1">
        <f>M22/M24</f>
        <v>9.2592592592592587E-2</v>
      </c>
    </row>
    <row r="23" spans="1:14" x14ac:dyDescent="0.25">
      <c r="A23" s="5"/>
      <c r="B23" s="7"/>
      <c r="C23" s="7"/>
      <c r="D23" s="7"/>
      <c r="E23" s="7"/>
      <c r="F23" s="7"/>
      <c r="G23" s="7"/>
      <c r="H23" s="7"/>
      <c r="I23" s="7"/>
      <c r="J23" s="7"/>
      <c r="K23" s="6"/>
      <c r="L23" t="s">
        <v>6</v>
      </c>
      <c r="M23">
        <v>37</v>
      </c>
      <c r="N23" s="1">
        <f>M23/M24</f>
        <v>0.34259259259259262</v>
      </c>
    </row>
    <row r="24" spans="1:14" x14ac:dyDescent="0.25">
      <c r="A24" s="5"/>
      <c r="B24" s="7"/>
      <c r="C24" s="7"/>
      <c r="D24" s="7"/>
      <c r="E24" s="7"/>
      <c r="F24" s="7"/>
      <c r="G24" s="7"/>
      <c r="H24" s="7"/>
      <c r="I24" s="7"/>
      <c r="J24" s="7"/>
      <c r="K24" s="6"/>
      <c r="M24">
        <f>SUM(M18:M23)</f>
        <v>108</v>
      </c>
      <c r="N24" s="1">
        <f>N18+N19+N20+N21+N22+N23</f>
        <v>1</v>
      </c>
    </row>
    <row r="25" spans="1:14" x14ac:dyDescent="0.25">
      <c r="A25" s="5"/>
      <c r="B25" s="7"/>
      <c r="C25" s="7"/>
      <c r="D25" s="7"/>
      <c r="E25" s="7"/>
      <c r="F25" s="7"/>
      <c r="G25" s="7"/>
      <c r="H25" s="7"/>
      <c r="I25" s="7"/>
      <c r="J25" s="7"/>
      <c r="K25" s="6"/>
      <c r="L25" s="16" t="s">
        <v>8</v>
      </c>
      <c r="M25" s="16"/>
      <c r="N25" s="16"/>
    </row>
    <row r="26" spans="1:14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6"/>
      <c r="L26" t="s">
        <v>1</v>
      </c>
      <c r="M26">
        <v>59</v>
      </c>
    </row>
    <row r="27" spans="1:14" x14ac:dyDescent="0.25">
      <c r="A27" s="5"/>
      <c r="B27" s="7"/>
      <c r="C27" s="7"/>
      <c r="D27" s="7"/>
      <c r="E27" s="7"/>
      <c r="F27" s="7"/>
      <c r="G27" s="7"/>
      <c r="H27" s="7"/>
      <c r="I27" s="7"/>
      <c r="J27" s="7"/>
      <c r="K27" s="6"/>
      <c r="L27" t="s">
        <v>2</v>
      </c>
      <c r="M27">
        <v>29</v>
      </c>
    </row>
    <row r="28" spans="1:14" x14ac:dyDescent="0.25">
      <c r="A28" s="5"/>
      <c r="B28" s="7"/>
      <c r="C28" s="7"/>
      <c r="D28" s="7"/>
      <c r="E28" s="7"/>
      <c r="F28" s="7"/>
      <c r="G28" s="7"/>
      <c r="H28" s="7"/>
      <c r="I28" s="7"/>
      <c r="J28" s="7"/>
      <c r="K28" s="6"/>
      <c r="L28" t="s">
        <v>3</v>
      </c>
      <c r="M28">
        <v>248</v>
      </c>
    </row>
    <row r="29" spans="1:14" x14ac:dyDescent="0.25">
      <c r="A29" s="5"/>
      <c r="B29" s="7"/>
      <c r="C29" s="7"/>
      <c r="D29" s="7"/>
      <c r="E29" s="7"/>
      <c r="F29" s="7"/>
      <c r="G29" s="7"/>
      <c r="H29" s="7"/>
      <c r="I29" s="7"/>
      <c r="J29" s="7"/>
      <c r="K29" s="6"/>
      <c r="L29" t="s">
        <v>4</v>
      </c>
      <c r="M29">
        <v>0</v>
      </c>
    </row>
    <row r="30" spans="1:14" x14ac:dyDescent="0.25">
      <c r="A30" s="5"/>
      <c r="B30" s="7"/>
      <c r="C30" s="7"/>
      <c r="D30" s="7"/>
      <c r="E30" s="7"/>
      <c r="F30" s="7"/>
      <c r="G30" s="7"/>
      <c r="H30" s="7"/>
      <c r="I30" s="7"/>
      <c r="J30" s="7"/>
      <c r="K30" s="6"/>
      <c r="L30" t="s">
        <v>5</v>
      </c>
      <c r="M30">
        <v>175</v>
      </c>
    </row>
    <row r="31" spans="1:14" x14ac:dyDescent="0.25">
      <c r="A31" s="5"/>
      <c r="B31" s="7"/>
      <c r="C31" s="7"/>
      <c r="D31" s="7"/>
      <c r="E31" s="7"/>
      <c r="F31" s="7"/>
      <c r="G31" s="7"/>
      <c r="H31" s="7"/>
      <c r="I31" s="7"/>
      <c r="J31" s="7"/>
      <c r="K31" s="6"/>
      <c r="L31" t="s">
        <v>6</v>
      </c>
      <c r="M31">
        <v>57</v>
      </c>
    </row>
    <row r="32" spans="1:14" x14ac:dyDescent="0.25">
      <c r="A32" s="5"/>
      <c r="B32" s="7"/>
      <c r="C32" s="7"/>
      <c r="D32" s="7"/>
      <c r="E32" s="7"/>
      <c r="F32" s="7"/>
      <c r="G32" s="7"/>
      <c r="H32" s="7"/>
      <c r="I32" s="7"/>
      <c r="J32" s="7"/>
      <c r="K32" s="6"/>
      <c r="M32">
        <f>SUM(M26:M31)</f>
        <v>568</v>
      </c>
    </row>
    <row r="33" spans="1:11" x14ac:dyDescent="0.25">
      <c r="A33" s="5"/>
      <c r="B33" s="7"/>
      <c r="C33" s="7"/>
      <c r="D33" s="7"/>
      <c r="E33" s="7"/>
      <c r="F33" s="7"/>
      <c r="G33" s="7"/>
      <c r="H33" s="7"/>
      <c r="I33" s="7"/>
      <c r="J33" s="7"/>
      <c r="K33" s="6"/>
    </row>
    <row r="34" spans="1:11" x14ac:dyDescent="0.25">
      <c r="A34" s="5"/>
      <c r="B34" s="7"/>
      <c r="C34" s="7"/>
      <c r="D34" s="7"/>
      <c r="E34" s="7"/>
      <c r="F34" s="7"/>
      <c r="G34" s="7"/>
      <c r="H34" s="7"/>
      <c r="I34" s="7"/>
      <c r="J34" s="7"/>
      <c r="K34" s="6"/>
    </row>
    <row r="35" spans="1:11" x14ac:dyDescent="0.25">
      <c r="A35" s="5"/>
      <c r="B35" s="7"/>
      <c r="C35" s="7"/>
      <c r="D35" s="7"/>
      <c r="E35" s="7"/>
      <c r="F35" s="7"/>
      <c r="G35" s="7"/>
      <c r="H35" s="7"/>
      <c r="I35" s="7"/>
      <c r="J35" s="7"/>
      <c r="K35" s="6"/>
    </row>
    <row r="36" spans="1:11" x14ac:dyDescent="0.25">
      <c r="A36" s="5"/>
      <c r="B36" s="7"/>
      <c r="C36" s="7"/>
      <c r="D36" s="7"/>
      <c r="E36" s="7"/>
      <c r="F36" s="7"/>
      <c r="G36" s="7"/>
      <c r="H36" s="7"/>
      <c r="I36" s="7"/>
      <c r="J36" s="7"/>
      <c r="K36" s="6"/>
    </row>
    <row r="37" spans="1:11" x14ac:dyDescent="0.25">
      <c r="A37" s="5"/>
      <c r="B37" s="7"/>
      <c r="C37" s="7"/>
      <c r="D37" s="7"/>
      <c r="E37" s="7"/>
      <c r="F37" s="7"/>
      <c r="G37" s="7"/>
      <c r="H37" s="7"/>
      <c r="I37" s="7"/>
      <c r="J37" s="7"/>
      <c r="K37" s="6"/>
    </row>
    <row r="38" spans="1:11" x14ac:dyDescent="0.25">
      <c r="A38" s="5"/>
      <c r="B38" s="7"/>
      <c r="C38" s="7"/>
      <c r="D38" s="7"/>
      <c r="E38" s="7"/>
      <c r="F38" s="7"/>
      <c r="G38" s="7"/>
      <c r="H38" s="7"/>
      <c r="I38" s="7"/>
      <c r="J38" s="7"/>
      <c r="K38" s="6"/>
    </row>
    <row r="39" spans="1:11" x14ac:dyDescent="0.25">
      <c r="A39" s="5"/>
      <c r="B39" s="7"/>
      <c r="C39" s="7"/>
      <c r="D39" s="7"/>
      <c r="E39" s="7"/>
      <c r="F39" s="7"/>
      <c r="G39" s="7"/>
      <c r="H39" s="7"/>
      <c r="I39" s="7"/>
      <c r="J39" s="7"/>
      <c r="K39" s="6"/>
    </row>
    <row r="40" spans="1:11" x14ac:dyDescent="0.25">
      <c r="A40" s="5"/>
      <c r="B40" s="7"/>
      <c r="C40" s="7"/>
      <c r="D40" s="7"/>
      <c r="E40" s="7"/>
      <c r="F40" s="7"/>
      <c r="G40" s="7"/>
      <c r="H40" s="7"/>
      <c r="I40" s="7"/>
      <c r="J40" s="7"/>
      <c r="K40" s="6"/>
    </row>
    <row r="41" spans="1:11" x14ac:dyDescent="0.25">
      <c r="A41" s="5"/>
      <c r="B41" s="7"/>
      <c r="C41" s="7"/>
      <c r="D41" s="7"/>
      <c r="E41" s="7"/>
      <c r="F41" s="7"/>
      <c r="G41" s="7"/>
      <c r="H41" s="7"/>
      <c r="I41" s="7"/>
      <c r="J41" s="7"/>
      <c r="K41" s="6"/>
    </row>
    <row r="42" spans="1:11" x14ac:dyDescent="0.25">
      <c r="A42" s="5"/>
      <c r="B42" s="7"/>
      <c r="C42" s="7"/>
      <c r="D42" s="7"/>
      <c r="E42" s="7"/>
      <c r="F42" s="7"/>
      <c r="G42" s="7"/>
      <c r="H42" s="7"/>
      <c r="I42" s="7"/>
      <c r="J42" s="7"/>
      <c r="K42" s="6"/>
    </row>
    <row r="43" spans="1:11" x14ac:dyDescent="0.25">
      <c r="A43" s="5"/>
      <c r="B43" s="7"/>
      <c r="C43" s="7"/>
      <c r="D43" s="7"/>
      <c r="E43" s="7"/>
      <c r="F43" s="7"/>
      <c r="G43" s="7"/>
      <c r="H43" s="7"/>
      <c r="I43" s="7"/>
      <c r="J43" s="7"/>
      <c r="K43" s="6"/>
    </row>
    <row r="44" spans="1:11" x14ac:dyDescent="0.25">
      <c r="A44" s="5"/>
      <c r="B44" s="7"/>
      <c r="C44" s="7"/>
      <c r="D44" s="7"/>
      <c r="E44" s="7"/>
      <c r="F44" s="7"/>
      <c r="G44" s="7"/>
      <c r="H44" s="7"/>
      <c r="I44" s="7"/>
      <c r="J44" s="7"/>
      <c r="K44" s="6"/>
    </row>
    <row r="45" spans="1:11" x14ac:dyDescent="0.25">
      <c r="A45" s="5"/>
      <c r="B45" s="7"/>
      <c r="C45" s="7"/>
      <c r="D45" s="7"/>
      <c r="E45" s="7"/>
      <c r="F45" s="7"/>
      <c r="G45" s="7"/>
      <c r="H45" s="7"/>
      <c r="I45" s="7"/>
      <c r="J45" s="7"/>
      <c r="K45" s="6"/>
    </row>
    <row r="46" spans="1:11" x14ac:dyDescent="0.25">
      <c r="A46" s="5"/>
      <c r="B46" s="7"/>
      <c r="C46" s="7"/>
      <c r="D46" s="7"/>
      <c r="E46" s="7"/>
      <c r="F46" s="7"/>
      <c r="G46" s="7"/>
      <c r="H46" s="7"/>
      <c r="I46" s="7"/>
      <c r="J46" s="7"/>
      <c r="K46" s="6"/>
    </row>
    <row r="47" spans="1:11" ht="18" customHeight="1" x14ac:dyDescent="0.45">
      <c r="A47" s="17" t="s">
        <v>10</v>
      </c>
      <c r="B47" s="19" t="s">
        <v>19</v>
      </c>
      <c r="C47" s="19"/>
      <c r="D47" s="14"/>
      <c r="E47" s="19" t="s">
        <v>14</v>
      </c>
      <c r="F47" s="19"/>
      <c r="G47" s="19"/>
      <c r="H47" s="20"/>
      <c r="I47" s="19" t="s">
        <v>12</v>
      </c>
      <c r="J47" s="19"/>
      <c r="K47" s="21"/>
    </row>
    <row r="48" spans="1:11" ht="18" customHeight="1" x14ac:dyDescent="0.45">
      <c r="A48" s="18"/>
      <c r="B48" s="19"/>
      <c r="C48" s="19"/>
      <c r="D48" s="14"/>
      <c r="E48" s="19"/>
      <c r="F48" s="19"/>
      <c r="G48" s="19"/>
      <c r="H48" s="20"/>
      <c r="I48" s="19"/>
      <c r="J48" s="19"/>
      <c r="K48" s="21"/>
    </row>
    <row r="49" spans="1:11" ht="18" x14ac:dyDescent="0.45">
      <c r="A49" s="22" t="s">
        <v>11</v>
      </c>
      <c r="B49" s="19" t="s">
        <v>20</v>
      </c>
      <c r="C49" s="19"/>
      <c r="D49" s="19"/>
      <c r="E49" s="14"/>
      <c r="F49" s="14"/>
      <c r="G49" s="14"/>
      <c r="H49" s="24" t="s">
        <v>9</v>
      </c>
      <c r="I49" s="19" t="s">
        <v>15</v>
      </c>
      <c r="J49" s="19"/>
      <c r="K49" s="21"/>
    </row>
    <row r="50" spans="1:11" x14ac:dyDescent="0.25">
      <c r="A50" s="23"/>
      <c r="B50" s="19"/>
      <c r="C50" s="19"/>
      <c r="D50" s="19"/>
      <c r="E50" s="7"/>
      <c r="F50" s="7"/>
      <c r="G50" s="7"/>
      <c r="H50" s="24"/>
      <c r="I50" s="19"/>
      <c r="J50" s="19"/>
      <c r="K50" s="21"/>
    </row>
    <row r="51" spans="1:11" ht="18.75" thickBot="1" x14ac:dyDescent="0.5">
      <c r="A51" s="11"/>
      <c r="B51" s="12"/>
      <c r="C51" s="12"/>
      <c r="D51" s="12"/>
      <c r="E51" s="12"/>
      <c r="F51" s="12"/>
      <c r="G51" s="12"/>
      <c r="H51" s="12"/>
      <c r="I51" s="12"/>
      <c r="J51" s="12"/>
      <c r="K51" s="13"/>
    </row>
  </sheetData>
  <mergeCells count="12">
    <mergeCell ref="A49:A50"/>
    <mergeCell ref="B49:D50"/>
    <mergeCell ref="H49:H50"/>
    <mergeCell ref="I49:K50"/>
    <mergeCell ref="B2:J8"/>
    <mergeCell ref="L17:N17"/>
    <mergeCell ref="L25:N25"/>
    <mergeCell ref="A47:A48"/>
    <mergeCell ref="B47:C48"/>
    <mergeCell ref="E47:G48"/>
    <mergeCell ref="H47:H48"/>
    <mergeCell ref="I47:K48"/>
  </mergeCells>
  <printOptions horizontalCentered="1" verticalCentered="1"/>
  <pageMargins left="0" right="0" top="0" bottom="0" header="0" footer="0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ACA3F-B29A-49A6-8001-6509DC5FCB47}">
  <dimension ref="A1:N51"/>
  <sheetViews>
    <sheetView rightToLeft="1" view="pageLayout" zoomScale="85" zoomScaleNormal="100" zoomScalePageLayoutView="85" workbookViewId="0">
      <selection activeCell="P7" sqref="P7"/>
    </sheetView>
  </sheetViews>
  <sheetFormatPr defaultRowHeight="15" x14ac:dyDescent="0.25"/>
  <cols>
    <col min="1" max="1" width="5" customWidth="1"/>
    <col min="10" max="10" width="13" customWidth="1"/>
    <col min="11" max="11" width="6.28515625" customWidth="1"/>
    <col min="12" max="12" width="11.28515625" bestFit="1" customWidth="1"/>
  </cols>
  <sheetData>
    <row r="1" spans="1:14" x14ac:dyDescent="0.25">
      <c r="A1" s="2"/>
      <c r="B1" s="3"/>
      <c r="C1" s="3"/>
      <c r="D1" s="3"/>
      <c r="E1" s="3"/>
      <c r="F1" s="3"/>
      <c r="G1" s="3"/>
      <c r="H1" s="3"/>
      <c r="I1" s="3"/>
      <c r="J1" s="3"/>
      <c r="K1" s="4"/>
    </row>
    <row r="2" spans="1:14" x14ac:dyDescent="0.25">
      <c r="A2" s="5"/>
      <c r="K2" s="6"/>
    </row>
    <row r="3" spans="1:14" x14ac:dyDescent="0.25">
      <c r="A3" s="5"/>
      <c r="K3" s="6"/>
    </row>
    <row r="4" spans="1:14" x14ac:dyDescent="0.25">
      <c r="A4" s="5"/>
      <c r="K4" s="6"/>
    </row>
    <row r="5" spans="1:14" x14ac:dyDescent="0.25">
      <c r="A5" s="5"/>
      <c r="K5" s="6"/>
    </row>
    <row r="6" spans="1:14" x14ac:dyDescent="0.25">
      <c r="A6" s="5"/>
      <c r="K6" s="6"/>
    </row>
    <row r="7" spans="1:14" x14ac:dyDescent="0.25">
      <c r="A7" s="5"/>
      <c r="K7" s="6"/>
    </row>
    <row r="8" spans="1:14" x14ac:dyDescent="0.25">
      <c r="A8" s="5"/>
      <c r="K8" s="6"/>
    </row>
    <row r="9" spans="1:14" x14ac:dyDescent="0.25">
      <c r="A9" s="5"/>
      <c r="B9" s="7"/>
      <c r="C9" s="7"/>
      <c r="D9" s="7"/>
      <c r="E9" s="7"/>
      <c r="F9" s="7"/>
      <c r="G9" s="7"/>
      <c r="H9" s="7"/>
      <c r="I9" s="7"/>
      <c r="J9" s="7"/>
      <c r="K9" s="6"/>
    </row>
    <row r="10" spans="1:14" x14ac:dyDescent="0.25">
      <c r="A10" s="5"/>
      <c r="B10" s="7"/>
      <c r="C10" s="7"/>
      <c r="D10" s="7"/>
      <c r="E10" s="7"/>
      <c r="F10" s="7"/>
      <c r="G10" s="7"/>
      <c r="H10" s="7"/>
      <c r="I10" s="7"/>
      <c r="J10" s="7"/>
      <c r="K10" s="6"/>
      <c r="N10" s="15"/>
    </row>
    <row r="11" spans="1:14" x14ac:dyDescent="0.25">
      <c r="A11" s="5"/>
      <c r="B11" s="7"/>
      <c r="C11" s="7"/>
      <c r="D11" s="7"/>
      <c r="E11" s="7"/>
      <c r="F11" s="7"/>
      <c r="G11" s="7"/>
      <c r="H11" s="7"/>
      <c r="I11" s="7"/>
      <c r="J11" s="7"/>
      <c r="K11" s="6"/>
      <c r="N11" s="1">
        <f>M18/M24</f>
        <v>6.8027210884353739E-3</v>
      </c>
    </row>
    <row r="12" spans="1:14" x14ac:dyDescent="0.25">
      <c r="A12" s="5"/>
      <c r="B12" s="7"/>
      <c r="C12" s="7"/>
      <c r="D12" s="7"/>
      <c r="E12" s="7"/>
      <c r="F12" s="7"/>
      <c r="G12" s="7"/>
      <c r="H12" s="7"/>
      <c r="I12" s="7"/>
      <c r="J12" s="7"/>
      <c r="K12" s="6"/>
      <c r="N12" s="1">
        <f>M19/M24</f>
        <v>1.3605442176870748E-2</v>
      </c>
    </row>
    <row r="13" spans="1:14" x14ac:dyDescent="0.25">
      <c r="A13" s="5"/>
      <c r="B13" s="7"/>
      <c r="C13" s="7"/>
      <c r="D13" s="7"/>
      <c r="E13" s="7"/>
      <c r="F13" s="7"/>
      <c r="G13" s="7"/>
      <c r="H13" s="7"/>
      <c r="I13" s="7"/>
      <c r="J13" s="7"/>
      <c r="K13" s="6"/>
      <c r="N13" s="1">
        <f>M20/M24</f>
        <v>0.79591836734693877</v>
      </c>
    </row>
    <row r="14" spans="1:14" x14ac:dyDescent="0.25">
      <c r="A14" s="5"/>
      <c r="B14" s="7"/>
      <c r="C14" s="7"/>
      <c r="D14" s="7"/>
      <c r="E14" s="7"/>
      <c r="F14" s="7"/>
      <c r="G14" s="7"/>
      <c r="H14" s="7"/>
      <c r="I14" s="7"/>
      <c r="J14" s="7"/>
      <c r="K14" s="6"/>
      <c r="N14" s="1">
        <f>M21/M24</f>
        <v>0</v>
      </c>
    </row>
    <row r="15" spans="1:14" x14ac:dyDescent="0.25">
      <c r="A15" s="5"/>
      <c r="B15" s="7"/>
      <c r="C15" s="7"/>
      <c r="D15" s="7"/>
      <c r="E15" s="7"/>
      <c r="F15" s="7"/>
      <c r="G15" s="7"/>
      <c r="H15" s="7"/>
      <c r="I15" s="7"/>
      <c r="J15" s="7"/>
      <c r="K15" s="6"/>
      <c r="N15" s="1">
        <f>M22/M24</f>
        <v>5.4421768707482991E-2</v>
      </c>
    </row>
    <row r="16" spans="1:14" x14ac:dyDescent="0.25">
      <c r="A16" s="5"/>
      <c r="B16" s="7"/>
      <c r="C16" s="7"/>
      <c r="D16" s="7"/>
      <c r="E16" s="7"/>
      <c r="F16" s="7"/>
      <c r="G16" s="7"/>
      <c r="H16" s="7"/>
      <c r="I16" s="7"/>
      <c r="J16" s="7"/>
      <c r="K16" s="6"/>
      <c r="N16" s="1">
        <f>M23/M24</f>
        <v>0.12925170068027211</v>
      </c>
    </row>
    <row r="17" spans="1:14" x14ac:dyDescent="0.25">
      <c r="A17" s="5"/>
      <c r="B17" s="7"/>
      <c r="C17" s="7"/>
      <c r="D17" s="7"/>
      <c r="E17" s="7"/>
      <c r="F17" s="7"/>
      <c r="G17" s="7"/>
      <c r="H17" s="7"/>
      <c r="I17" s="7"/>
      <c r="J17" s="7"/>
      <c r="K17" s="6"/>
      <c r="L17" s="15" t="s">
        <v>7</v>
      </c>
      <c r="M17" s="15"/>
      <c r="N17" s="1">
        <f>N11+N12+N13+N14+N15+N16</f>
        <v>1</v>
      </c>
    </row>
    <row r="18" spans="1:14" x14ac:dyDescent="0.25">
      <c r="A18" s="5"/>
      <c r="B18" s="7"/>
      <c r="C18" s="7"/>
      <c r="D18" s="7"/>
      <c r="E18" s="7"/>
      <c r="F18" s="7"/>
      <c r="G18" s="7"/>
      <c r="H18" s="7"/>
      <c r="I18" s="7"/>
      <c r="J18" s="7"/>
      <c r="K18" s="6"/>
      <c r="L18" t="s">
        <v>1</v>
      </c>
      <c r="M18">
        <v>1</v>
      </c>
      <c r="N18" s="15"/>
    </row>
    <row r="19" spans="1:14" x14ac:dyDescent="0.25">
      <c r="A19" s="5"/>
      <c r="B19" s="7"/>
      <c r="C19" s="7"/>
      <c r="D19" s="7"/>
      <c r="E19" s="7"/>
      <c r="F19" s="7"/>
      <c r="G19" s="7"/>
      <c r="H19" s="7"/>
      <c r="I19" s="7"/>
      <c r="J19" s="7"/>
      <c r="K19" s="6"/>
      <c r="L19" t="s">
        <v>2</v>
      </c>
      <c r="M19">
        <v>2</v>
      </c>
    </row>
    <row r="20" spans="1:14" x14ac:dyDescent="0.25">
      <c r="A20" s="5"/>
      <c r="B20" s="7"/>
      <c r="C20" s="7"/>
      <c r="D20" s="7"/>
      <c r="E20" s="7"/>
      <c r="F20" s="7"/>
      <c r="G20" s="7"/>
      <c r="H20" s="7"/>
      <c r="I20" s="7"/>
      <c r="J20" s="7"/>
      <c r="K20" s="6"/>
      <c r="L20" t="s">
        <v>3</v>
      </c>
      <c r="M20">
        <v>117</v>
      </c>
    </row>
    <row r="21" spans="1:14" x14ac:dyDescent="0.25">
      <c r="A21" s="5"/>
      <c r="B21" s="7"/>
      <c r="C21" s="7"/>
      <c r="D21" s="7"/>
      <c r="E21" s="7"/>
      <c r="F21" s="7"/>
      <c r="G21" s="7"/>
      <c r="H21" s="7"/>
      <c r="I21" s="7"/>
      <c r="J21" s="7"/>
      <c r="K21" s="6"/>
      <c r="L21" t="s">
        <v>4</v>
      </c>
      <c r="M21">
        <v>0</v>
      </c>
    </row>
    <row r="22" spans="1:14" x14ac:dyDescent="0.25">
      <c r="A22" s="5"/>
      <c r="B22" s="7"/>
      <c r="C22" s="7"/>
      <c r="D22" s="7"/>
      <c r="E22" s="7"/>
      <c r="F22" s="7"/>
      <c r="G22" s="7"/>
      <c r="H22" s="7"/>
      <c r="I22" s="7"/>
      <c r="J22" s="7"/>
      <c r="K22" s="6"/>
      <c r="L22" t="s">
        <v>5</v>
      </c>
      <c r="M22">
        <v>8</v>
      </c>
    </row>
    <row r="23" spans="1:14" x14ac:dyDescent="0.25">
      <c r="A23" s="5"/>
      <c r="B23" s="7"/>
      <c r="C23" s="7"/>
      <c r="D23" s="7"/>
      <c r="E23" s="7"/>
      <c r="F23" s="7"/>
      <c r="G23" s="7"/>
      <c r="H23" s="7"/>
      <c r="I23" s="7"/>
      <c r="J23" s="7"/>
      <c r="K23" s="6"/>
      <c r="L23" t="s">
        <v>6</v>
      </c>
      <c r="M23">
        <v>19</v>
      </c>
    </row>
    <row r="24" spans="1:14" x14ac:dyDescent="0.25">
      <c r="A24" s="5"/>
      <c r="B24" s="7"/>
      <c r="C24" s="7"/>
      <c r="D24" s="7"/>
      <c r="E24" s="7"/>
      <c r="F24" s="7"/>
      <c r="G24" s="7"/>
      <c r="H24" s="7"/>
      <c r="I24" s="7"/>
      <c r="J24" s="7"/>
      <c r="K24" s="6"/>
      <c r="M24">
        <f>SUM(M18:M23)</f>
        <v>147</v>
      </c>
    </row>
    <row r="25" spans="1:14" x14ac:dyDescent="0.25">
      <c r="A25" s="5"/>
      <c r="B25" s="7"/>
      <c r="C25" s="7"/>
      <c r="D25" s="7"/>
      <c r="E25" s="7"/>
      <c r="F25" s="7"/>
      <c r="G25" s="7"/>
      <c r="H25" s="7"/>
      <c r="I25" s="7"/>
      <c r="J25" s="7"/>
      <c r="K25" s="6"/>
      <c r="L25" s="15" t="s">
        <v>8</v>
      </c>
      <c r="M25" s="15"/>
    </row>
    <row r="26" spans="1:14" x14ac:dyDescent="0.25">
      <c r="A26" s="5"/>
      <c r="B26" s="7"/>
      <c r="C26" s="7"/>
      <c r="D26" s="7"/>
      <c r="E26" s="7"/>
      <c r="F26" s="7"/>
      <c r="G26" s="7"/>
      <c r="H26" s="7"/>
      <c r="I26" s="7"/>
      <c r="J26" s="7"/>
      <c r="K26" s="6"/>
      <c r="L26" t="s">
        <v>1</v>
      </c>
      <c r="M26">
        <v>31</v>
      </c>
    </row>
    <row r="27" spans="1:14" x14ac:dyDescent="0.25">
      <c r="A27" s="5"/>
      <c r="B27" s="7"/>
      <c r="C27" s="7"/>
      <c r="D27" s="7"/>
      <c r="E27" s="7"/>
      <c r="F27" s="7"/>
      <c r="G27" s="7"/>
      <c r="H27" s="7"/>
      <c r="I27" s="7"/>
      <c r="J27" s="7"/>
      <c r="K27" s="6"/>
      <c r="L27" t="s">
        <v>2</v>
      </c>
      <c r="M27">
        <v>42</v>
      </c>
    </row>
    <row r="28" spans="1:14" x14ac:dyDescent="0.25">
      <c r="A28" s="5"/>
      <c r="B28" s="7"/>
      <c r="C28" s="7"/>
      <c r="D28" s="7"/>
      <c r="E28" s="7"/>
      <c r="F28" s="7"/>
      <c r="G28" s="7"/>
      <c r="H28" s="7"/>
      <c r="I28" s="7"/>
      <c r="J28" s="7"/>
      <c r="K28" s="6"/>
      <c r="L28" t="s">
        <v>3</v>
      </c>
      <c r="M28">
        <v>284</v>
      </c>
    </row>
    <row r="29" spans="1:14" x14ac:dyDescent="0.25">
      <c r="A29" s="5"/>
      <c r="B29" s="7"/>
      <c r="C29" s="7"/>
      <c r="D29" s="7"/>
      <c r="E29" s="7"/>
      <c r="F29" s="7"/>
      <c r="G29" s="7"/>
      <c r="H29" s="7"/>
      <c r="I29" s="7"/>
      <c r="J29" s="7"/>
      <c r="K29" s="6"/>
      <c r="L29" t="s">
        <v>4</v>
      </c>
      <c r="M29">
        <v>0</v>
      </c>
    </row>
    <row r="30" spans="1:14" x14ac:dyDescent="0.25">
      <c r="A30" s="5"/>
      <c r="B30" s="7"/>
      <c r="C30" s="7"/>
      <c r="D30" s="7"/>
      <c r="E30" s="7"/>
      <c r="F30" s="7"/>
      <c r="G30" s="7"/>
      <c r="H30" s="7"/>
      <c r="I30" s="7"/>
      <c r="J30" s="7"/>
      <c r="K30" s="6"/>
      <c r="L30" t="s">
        <v>5</v>
      </c>
      <c r="M30">
        <v>124</v>
      </c>
    </row>
    <row r="31" spans="1:14" x14ac:dyDescent="0.25">
      <c r="A31" s="5"/>
      <c r="B31" s="7"/>
      <c r="C31" s="7"/>
      <c r="D31" s="7"/>
      <c r="E31" s="7"/>
      <c r="F31" s="7"/>
      <c r="G31" s="7"/>
      <c r="H31" s="7"/>
      <c r="I31" s="7"/>
      <c r="J31" s="7"/>
      <c r="K31" s="6"/>
      <c r="L31" t="s">
        <v>6</v>
      </c>
      <c r="M31">
        <v>30</v>
      </c>
    </row>
    <row r="32" spans="1:14" x14ac:dyDescent="0.25">
      <c r="A32" s="5"/>
      <c r="B32" s="7"/>
      <c r="C32" s="7"/>
      <c r="D32" s="7"/>
      <c r="E32" s="7"/>
      <c r="F32" s="7"/>
      <c r="G32" s="7"/>
      <c r="H32" s="7"/>
      <c r="I32" s="7"/>
      <c r="J32" s="7"/>
      <c r="K32" s="6"/>
      <c r="M32">
        <f>SUM(M26:M31)</f>
        <v>511</v>
      </c>
    </row>
    <row r="33" spans="1:11" x14ac:dyDescent="0.25">
      <c r="A33" s="5"/>
      <c r="B33" s="7"/>
      <c r="C33" s="7"/>
      <c r="D33" s="7"/>
      <c r="E33" s="7"/>
      <c r="F33" s="7"/>
      <c r="G33" s="7"/>
      <c r="H33" s="7"/>
      <c r="I33" s="7"/>
      <c r="J33" s="7"/>
      <c r="K33" s="6"/>
    </row>
    <row r="34" spans="1:11" x14ac:dyDescent="0.25">
      <c r="A34" s="5"/>
      <c r="B34" s="7"/>
      <c r="C34" s="7"/>
      <c r="D34" s="7"/>
      <c r="E34" s="7"/>
      <c r="F34" s="7"/>
      <c r="G34" s="7"/>
      <c r="H34" s="7"/>
      <c r="I34" s="7"/>
      <c r="J34" s="7"/>
      <c r="K34" s="6"/>
    </row>
    <row r="35" spans="1:11" x14ac:dyDescent="0.25">
      <c r="A35" s="5"/>
      <c r="B35" s="7"/>
      <c r="C35" s="7"/>
      <c r="D35" s="7"/>
      <c r="E35" s="7"/>
      <c r="F35" s="7"/>
      <c r="G35" s="7"/>
      <c r="H35" s="7"/>
      <c r="I35" s="7"/>
      <c r="J35" s="7"/>
      <c r="K35" s="6"/>
    </row>
    <row r="36" spans="1:11" x14ac:dyDescent="0.25">
      <c r="A36" s="5"/>
      <c r="B36" s="7"/>
      <c r="C36" s="7"/>
      <c r="D36" s="7"/>
      <c r="E36" s="7"/>
      <c r="F36" s="7"/>
      <c r="G36" s="7"/>
      <c r="H36" s="7"/>
      <c r="I36" s="7"/>
      <c r="J36" s="7"/>
      <c r="K36" s="6"/>
    </row>
    <row r="37" spans="1:11" x14ac:dyDescent="0.25">
      <c r="A37" s="5"/>
      <c r="B37" s="7"/>
      <c r="C37" s="7"/>
      <c r="D37" s="7"/>
      <c r="E37" s="7"/>
      <c r="F37" s="7"/>
      <c r="G37" s="7"/>
      <c r="H37" s="7"/>
      <c r="I37" s="7"/>
      <c r="J37" s="7"/>
      <c r="K37" s="6"/>
    </row>
    <row r="38" spans="1:11" x14ac:dyDescent="0.25">
      <c r="A38" s="5"/>
      <c r="B38" s="7"/>
      <c r="C38" s="7"/>
      <c r="D38" s="7"/>
      <c r="E38" s="7"/>
      <c r="F38" s="7"/>
      <c r="G38" s="7"/>
      <c r="H38" s="7"/>
      <c r="I38" s="7"/>
      <c r="J38" s="7"/>
      <c r="K38" s="6"/>
    </row>
    <row r="39" spans="1:11" x14ac:dyDescent="0.25">
      <c r="A39" s="5"/>
      <c r="B39" s="7"/>
      <c r="C39" s="7"/>
      <c r="D39" s="7"/>
      <c r="E39" s="7"/>
      <c r="F39" s="7"/>
      <c r="G39" s="7"/>
      <c r="H39" s="7"/>
      <c r="I39" s="7"/>
      <c r="J39" s="7"/>
      <c r="K39" s="6"/>
    </row>
    <row r="40" spans="1:11" x14ac:dyDescent="0.25">
      <c r="A40" s="5"/>
      <c r="B40" s="7"/>
      <c r="C40" s="7"/>
      <c r="D40" s="7"/>
      <c r="E40" s="7"/>
      <c r="F40" s="7"/>
      <c r="G40" s="7"/>
      <c r="H40" s="7"/>
      <c r="I40" s="7"/>
      <c r="J40" s="7"/>
      <c r="K40" s="6"/>
    </row>
    <row r="41" spans="1:11" x14ac:dyDescent="0.25">
      <c r="A41" s="5"/>
      <c r="B41" s="7"/>
      <c r="C41" s="7"/>
      <c r="D41" s="7"/>
      <c r="E41" s="7"/>
      <c r="F41" s="7"/>
      <c r="G41" s="7"/>
      <c r="H41" s="7"/>
      <c r="I41" s="7"/>
      <c r="J41" s="7"/>
      <c r="K41" s="6"/>
    </row>
    <row r="42" spans="1:11" x14ac:dyDescent="0.25">
      <c r="A42" s="5"/>
      <c r="B42" s="7"/>
      <c r="C42" s="7"/>
      <c r="D42" s="7"/>
      <c r="E42" s="7"/>
      <c r="F42" s="7"/>
      <c r="G42" s="7"/>
      <c r="H42" s="7"/>
      <c r="I42" s="7"/>
      <c r="J42" s="7"/>
      <c r="K42" s="6"/>
    </row>
    <row r="43" spans="1:11" x14ac:dyDescent="0.25">
      <c r="A43" s="5"/>
      <c r="B43" s="7"/>
      <c r="C43" s="7"/>
      <c r="D43" s="7"/>
      <c r="E43" s="7"/>
      <c r="F43" s="7"/>
      <c r="G43" s="7"/>
      <c r="H43" s="7"/>
      <c r="I43" s="7"/>
      <c r="J43" s="7"/>
      <c r="K43" s="6"/>
    </row>
    <row r="44" spans="1:11" x14ac:dyDescent="0.25">
      <c r="A44" s="5"/>
      <c r="B44" s="7"/>
      <c r="C44" s="7"/>
      <c r="D44" s="7"/>
      <c r="E44" s="7"/>
      <c r="F44" s="7"/>
      <c r="G44" s="7"/>
      <c r="H44" s="7"/>
      <c r="I44" s="7"/>
      <c r="J44" s="7"/>
      <c r="K44" s="6"/>
    </row>
    <row r="45" spans="1:11" x14ac:dyDescent="0.25">
      <c r="A45" s="5"/>
      <c r="B45" s="7"/>
      <c r="C45" s="7"/>
      <c r="D45" s="7"/>
      <c r="E45" s="7"/>
      <c r="F45" s="7"/>
      <c r="G45" s="7"/>
      <c r="H45" s="7"/>
      <c r="I45" s="7"/>
      <c r="J45" s="7"/>
      <c r="K45" s="6"/>
    </row>
    <row r="46" spans="1:11" x14ac:dyDescent="0.25">
      <c r="A46" s="5"/>
      <c r="B46" s="7"/>
      <c r="C46" s="7"/>
      <c r="D46" s="7"/>
      <c r="E46" s="7"/>
      <c r="F46" s="7"/>
      <c r="G46" s="7"/>
      <c r="H46" s="7"/>
      <c r="I46" s="7"/>
      <c r="J46" s="7"/>
      <c r="K46" s="6"/>
    </row>
    <row r="47" spans="1:11" ht="18" customHeight="1" x14ac:dyDescent="0.45">
      <c r="A47" s="17" t="s">
        <v>10</v>
      </c>
      <c r="B47" s="19" t="s">
        <v>19</v>
      </c>
      <c r="C47" s="19"/>
      <c r="D47" s="14"/>
      <c r="E47" s="19" t="s">
        <v>14</v>
      </c>
      <c r="F47" s="19"/>
      <c r="G47" s="19"/>
      <c r="H47" s="20"/>
      <c r="I47" s="19" t="s">
        <v>12</v>
      </c>
      <c r="J47" s="19"/>
      <c r="K47" s="21"/>
    </row>
    <row r="48" spans="1:11" ht="18" customHeight="1" x14ac:dyDescent="0.45">
      <c r="A48" s="18"/>
      <c r="B48" s="19"/>
      <c r="C48" s="19"/>
      <c r="D48" s="14"/>
      <c r="E48" s="19"/>
      <c r="F48" s="19"/>
      <c r="G48" s="19"/>
      <c r="H48" s="20"/>
      <c r="I48" s="19"/>
      <c r="J48" s="19"/>
      <c r="K48" s="21"/>
    </row>
    <row r="49" spans="1:11" ht="18" x14ac:dyDescent="0.45">
      <c r="A49" s="22" t="s">
        <v>11</v>
      </c>
      <c r="B49" s="19" t="s">
        <v>21</v>
      </c>
      <c r="C49" s="19"/>
      <c r="D49" s="19"/>
      <c r="E49" s="14"/>
      <c r="F49" s="14"/>
      <c r="G49" s="14"/>
      <c r="H49" s="24" t="s">
        <v>9</v>
      </c>
      <c r="I49" s="19" t="s">
        <v>15</v>
      </c>
      <c r="J49" s="19"/>
      <c r="K49" s="21"/>
    </row>
    <row r="50" spans="1:11" x14ac:dyDescent="0.25">
      <c r="A50" s="23"/>
      <c r="B50" s="19"/>
      <c r="C50" s="19"/>
      <c r="D50" s="19"/>
      <c r="E50" s="7"/>
      <c r="F50" s="7"/>
      <c r="G50" s="7"/>
      <c r="H50" s="24"/>
      <c r="I50" s="19"/>
      <c r="J50" s="19"/>
      <c r="K50" s="21"/>
    </row>
    <row r="51" spans="1:11" ht="18.75" thickBot="1" x14ac:dyDescent="0.5">
      <c r="A51" s="11"/>
      <c r="B51" s="12"/>
      <c r="C51" s="12"/>
      <c r="D51" s="12"/>
      <c r="E51" s="12"/>
      <c r="F51" s="12"/>
      <c r="G51" s="12"/>
      <c r="H51" s="12"/>
      <c r="I51" s="12"/>
      <c r="J51" s="12"/>
      <c r="K51" s="13"/>
    </row>
  </sheetData>
  <mergeCells count="9">
    <mergeCell ref="A49:A50"/>
    <mergeCell ref="B49:D50"/>
    <mergeCell ref="H49:H50"/>
    <mergeCell ref="I49:K50"/>
    <mergeCell ref="A47:A48"/>
    <mergeCell ref="B47:C48"/>
    <mergeCell ref="E47:G48"/>
    <mergeCell ref="H47:H48"/>
    <mergeCell ref="I47:K48"/>
  </mergeCells>
  <printOptions horizontalCentered="1" verticalCentered="1"/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01</vt:lpstr>
      <vt:lpstr>02</vt:lpstr>
      <vt:lpstr>03</vt:lpstr>
      <vt:lpstr>04</vt:lpstr>
      <vt:lpstr>05</vt:lpstr>
      <vt:lpstr>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alizadeh pc</dc:creator>
  <cp:lastModifiedBy>alizadeh pc</cp:lastModifiedBy>
  <cp:lastPrinted>2026-05-14T09:23:29Z</cp:lastPrinted>
  <dcterms:created xsi:type="dcterms:W3CDTF">2026-04-04T07:13:48Z</dcterms:created>
  <dcterms:modified xsi:type="dcterms:W3CDTF">2026-05-14T10:29:35Z</dcterms:modified>
</cp:coreProperties>
</file>